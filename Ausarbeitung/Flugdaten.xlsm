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queryTables/queryTable1.xml" ContentType="application/vnd.openxmlformats-officedocument.spreadsheetml.queryTable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DieseArbeitsmappe" defaultThemeVersion="164011"/>
  <mc:AlternateContent xmlns:mc="http://schemas.openxmlformats.org/markup-compatibility/2006">
    <mc:Choice Requires="x15">
      <x15ac:absPath xmlns:x15ac="http://schemas.microsoft.com/office/spreadsheetml/2010/11/ac" url="C:\Users\maag\Git-Repos\DHBW_SARB\ROSLabDrohne\Ausarbeitung\"/>
    </mc:Choice>
  </mc:AlternateContent>
  <bookViews>
    <workbookView xWindow="0" yWindow="0" windowWidth="23040" windowHeight="9192" tabRatio="656" activeTab="2"/>
  </bookViews>
  <sheets>
    <sheet name="Real Input" sheetId="5" r:id="rId1"/>
    <sheet name="Real Analysis" sheetId="6" r:id="rId2"/>
    <sheet name="Real Values" sheetId="4" r:id="rId3"/>
  </sheets>
  <functionGroups builtInGroupCount="18"/>
  <definedNames>
    <definedName name="BagOut_220411_Flight2_1" localSheetId="0">'Real Input'!$A$1:$K$1124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19" i="6" l="1"/>
  <c r="B20" i="6"/>
  <c r="B8" i="6"/>
  <c r="B28" i="6"/>
  <c r="B29" i="6"/>
  <c r="B26" i="6"/>
  <c r="N604" i="4" l="1"/>
  <c r="N605" i="4"/>
  <c r="N606" i="4"/>
  <c r="N607" i="4"/>
  <c r="N608" i="4"/>
  <c r="N609" i="4"/>
  <c r="N610" i="4"/>
  <c r="N611" i="4"/>
  <c r="N612" i="4"/>
  <c r="N613" i="4"/>
  <c r="N614" i="4"/>
  <c r="N615" i="4"/>
  <c r="N616" i="4"/>
  <c r="N617" i="4"/>
  <c r="N941" i="4"/>
  <c r="N942" i="4"/>
  <c r="N943" i="4"/>
  <c r="N944" i="4"/>
  <c r="N945" i="4"/>
  <c r="N946" i="4"/>
  <c r="N947" i="4"/>
  <c r="N948" i="4"/>
  <c r="N949" i="4"/>
  <c r="N950" i="4"/>
  <c r="N951" i="4"/>
  <c r="N952" i="4"/>
  <c r="N953" i="4"/>
  <c r="N954" i="4"/>
  <c r="N955" i="4"/>
  <c r="N956" i="4"/>
  <c r="N957" i="4"/>
  <c r="N958" i="4"/>
  <c r="N959" i="4"/>
  <c r="N960" i="4"/>
  <c r="N961" i="4"/>
  <c r="N962" i="4"/>
  <c r="N963" i="4"/>
  <c r="N964" i="4"/>
  <c r="N965" i="4"/>
  <c r="N966" i="4"/>
  <c r="N967" i="4"/>
  <c r="N968" i="4"/>
  <c r="N969" i="4"/>
  <c r="N970" i="4"/>
  <c r="N971" i="4"/>
  <c r="N972" i="4"/>
  <c r="N973" i="4"/>
  <c r="N974" i="4"/>
  <c r="N975" i="4"/>
  <c r="N976" i="4"/>
  <c r="N977" i="4"/>
  <c r="N978" i="4"/>
  <c r="N979" i="4"/>
  <c r="N980" i="4"/>
  <c r="N981" i="4"/>
  <c r="N982" i="4"/>
  <c r="N983" i="4"/>
  <c r="N984" i="4"/>
  <c r="N985" i="4"/>
  <c r="N986" i="4"/>
  <c r="N987" i="4"/>
  <c r="N988" i="4"/>
  <c r="N989" i="4"/>
  <c r="N990" i="4"/>
  <c r="N991" i="4"/>
  <c r="N992" i="4"/>
  <c r="N993" i="4"/>
  <c r="N994" i="4"/>
  <c r="N995" i="4"/>
  <c r="N996" i="4"/>
  <c r="N997" i="4"/>
  <c r="N998" i="4"/>
  <c r="N999" i="4"/>
  <c r="N1000" i="4"/>
  <c r="N1001" i="4"/>
  <c r="N1002" i="4"/>
  <c r="N1003" i="4"/>
  <c r="N1004" i="4"/>
  <c r="N1005" i="4"/>
  <c r="N1006" i="4"/>
  <c r="N1007" i="4"/>
  <c r="N1008" i="4"/>
  <c r="N1009" i="4"/>
  <c r="N1010" i="4"/>
  <c r="N1011" i="4"/>
  <c r="N1012" i="4"/>
  <c r="N1013" i="4"/>
  <c r="N1014" i="4"/>
  <c r="N1015" i="4"/>
  <c r="N1016" i="4"/>
  <c r="N1017" i="4"/>
  <c r="N1018" i="4"/>
  <c r="N1019" i="4"/>
  <c r="N1020" i="4"/>
  <c r="N1021" i="4"/>
  <c r="N1022" i="4"/>
  <c r="N1023" i="4"/>
  <c r="N1024" i="4"/>
  <c r="N1025" i="4"/>
  <c r="N1026" i="4"/>
  <c r="N1027" i="4"/>
  <c r="N1028" i="4"/>
  <c r="N1029" i="4"/>
  <c r="N1030" i="4"/>
  <c r="N1031" i="4"/>
  <c r="N1032" i="4"/>
  <c r="N1033" i="4"/>
  <c r="N1034" i="4"/>
  <c r="N1035" i="4"/>
  <c r="N1036" i="4"/>
  <c r="N1037" i="4"/>
  <c r="N1038" i="4"/>
  <c r="N1039" i="4"/>
  <c r="N1040" i="4"/>
  <c r="N1041" i="4"/>
  <c r="N1042" i="4"/>
  <c r="N1043" i="4"/>
  <c r="N1044" i="4"/>
  <c r="N1045" i="4"/>
  <c r="N1046" i="4"/>
  <c r="N1047" i="4"/>
  <c r="N1048" i="4"/>
  <c r="N1049" i="4"/>
  <c r="N1050" i="4"/>
  <c r="N1051" i="4"/>
  <c r="N1052" i="4"/>
  <c r="N1053" i="4"/>
  <c r="N1054" i="4"/>
  <c r="N1055" i="4"/>
  <c r="N1056" i="4"/>
  <c r="N1057" i="4"/>
  <c r="N1058" i="4"/>
  <c r="N1059" i="4"/>
  <c r="N1060" i="4"/>
  <c r="N1061" i="4"/>
  <c r="N1062" i="4"/>
  <c r="N1063" i="4"/>
  <c r="N1064" i="4"/>
  <c r="N1065" i="4"/>
  <c r="N1066" i="4"/>
  <c r="N1067" i="4"/>
  <c r="N1068" i="4"/>
  <c r="N1069" i="4"/>
  <c r="N1070" i="4"/>
  <c r="N1071" i="4"/>
  <c r="N1072" i="4"/>
  <c r="N1073" i="4"/>
  <c r="N1074" i="4"/>
  <c r="N1075" i="4"/>
  <c r="N1076" i="4"/>
  <c r="N1077" i="4"/>
  <c r="N1078" i="4"/>
  <c r="N1079" i="4"/>
  <c r="N1080" i="4"/>
  <c r="N1081" i="4"/>
  <c r="N1082" i="4"/>
  <c r="N1083" i="4"/>
  <c r="N1084" i="4"/>
  <c r="N1085" i="4"/>
  <c r="N1086" i="4"/>
  <c r="N1087" i="4"/>
  <c r="N1088" i="4"/>
  <c r="N1089" i="4"/>
  <c r="N1090" i="4"/>
  <c r="N1091" i="4"/>
  <c r="N1092" i="4"/>
  <c r="N1093" i="4"/>
  <c r="N1094" i="4"/>
  <c r="N1095" i="4"/>
  <c r="N1096" i="4"/>
  <c r="N1097" i="4"/>
  <c r="N1098" i="4"/>
  <c r="N1099" i="4"/>
  <c r="N1100" i="4"/>
  <c r="N1101" i="4"/>
  <c r="N1102" i="4"/>
  <c r="N1103" i="4"/>
  <c r="N1104" i="4"/>
  <c r="N1105" i="4"/>
  <c r="N1106" i="4"/>
  <c r="N1107" i="4"/>
  <c r="N1108" i="4"/>
  <c r="N1109" i="4"/>
  <c r="N1110" i="4"/>
  <c r="N1111" i="4"/>
  <c r="N1112" i="4"/>
  <c r="N1113" i="4"/>
  <c r="N1114" i="4"/>
  <c r="N1115" i="4"/>
  <c r="N1116" i="4"/>
  <c r="N1117" i="4"/>
  <c r="N1118" i="4"/>
  <c r="N1119" i="4"/>
  <c r="N1120" i="4"/>
  <c r="N1121" i="4"/>
  <c r="N1122" i="4"/>
  <c r="N1123" i="4"/>
  <c r="N1124" i="4"/>
  <c r="N1125" i="4"/>
  <c r="N1126" i="4"/>
  <c r="N1127" i="4"/>
  <c r="N1128" i="4"/>
  <c r="N1129" i="4"/>
  <c r="N1130" i="4"/>
  <c r="N1131" i="4"/>
  <c r="N1132" i="4"/>
  <c r="N1133" i="4"/>
  <c r="N1134" i="4"/>
  <c r="N1135" i="4"/>
  <c r="N1136" i="4"/>
  <c r="N1137" i="4"/>
  <c r="N1138" i="4"/>
  <c r="N1139" i="4"/>
  <c r="N1140" i="4"/>
  <c r="N1141" i="4"/>
  <c r="N1142" i="4"/>
  <c r="N1143" i="4"/>
  <c r="N1144" i="4"/>
  <c r="N1145" i="4"/>
  <c r="N1146" i="4"/>
  <c r="N1147" i="4"/>
  <c r="N1148" i="4"/>
  <c r="N1149" i="4"/>
  <c r="N1150" i="4"/>
  <c r="N1151" i="4"/>
  <c r="N1152" i="4"/>
  <c r="N5" i="4"/>
  <c r="N6" i="4"/>
  <c r="N7" i="4"/>
  <c r="N8" i="4"/>
  <c r="N9" i="4"/>
  <c r="N10" i="4"/>
  <c r="N11" i="4"/>
  <c r="N12" i="4"/>
  <c r="N13" i="4"/>
  <c r="N14" i="4"/>
  <c r="N15" i="4"/>
  <c r="N16" i="4"/>
  <c r="N17" i="4"/>
  <c r="N18" i="4"/>
  <c r="N19" i="4"/>
  <c r="N20" i="4"/>
  <c r="N21" i="4"/>
  <c r="N22" i="4"/>
  <c r="N23" i="4"/>
  <c r="N24" i="4"/>
  <c r="N25" i="4"/>
  <c r="N26" i="4"/>
  <c r="N27" i="4"/>
  <c r="N28" i="4"/>
  <c r="N29" i="4"/>
  <c r="N30" i="4"/>
  <c r="N31" i="4"/>
  <c r="N32" i="4"/>
  <c r="N33" i="4"/>
  <c r="N34" i="4"/>
  <c r="N35" i="4"/>
  <c r="N36" i="4"/>
  <c r="N37" i="4"/>
  <c r="N38" i="4"/>
  <c r="N39" i="4"/>
  <c r="N40" i="4"/>
  <c r="N41" i="4"/>
  <c r="N42" i="4"/>
  <c r="N43" i="4"/>
  <c r="N44" i="4"/>
  <c r="N45" i="4"/>
  <c r="N46" i="4"/>
  <c r="N47" i="4"/>
  <c r="N48" i="4"/>
  <c r="N49" i="4"/>
  <c r="N50" i="4"/>
  <c r="N51" i="4"/>
  <c r="N52" i="4"/>
  <c r="N53" i="4"/>
  <c r="N54" i="4"/>
  <c r="N55" i="4"/>
  <c r="N56" i="4"/>
  <c r="N57" i="4"/>
  <c r="N58" i="4"/>
  <c r="N59" i="4"/>
  <c r="N60" i="4"/>
  <c r="N61" i="4"/>
  <c r="N62" i="4"/>
  <c r="N63" i="4"/>
  <c r="N64" i="4"/>
  <c r="N65" i="4"/>
  <c r="N66" i="4"/>
  <c r="N67" i="4"/>
  <c r="N68" i="4"/>
  <c r="N69" i="4"/>
  <c r="N70" i="4"/>
  <c r="N71" i="4"/>
  <c r="N72" i="4"/>
  <c r="N73" i="4"/>
  <c r="N74" i="4"/>
  <c r="N75" i="4"/>
  <c r="N76" i="4"/>
  <c r="N77" i="4"/>
  <c r="N78" i="4"/>
  <c r="N79" i="4"/>
  <c r="N80" i="4"/>
  <c r="N81" i="4"/>
  <c r="N82" i="4"/>
  <c r="N83" i="4"/>
  <c r="N84" i="4"/>
  <c r="N85" i="4"/>
  <c r="N86" i="4"/>
  <c r="N87" i="4"/>
  <c r="N88" i="4"/>
  <c r="N89" i="4"/>
  <c r="N90" i="4"/>
  <c r="N91" i="4"/>
  <c r="N92" i="4"/>
  <c r="N93" i="4"/>
  <c r="N94" i="4"/>
  <c r="N95" i="4"/>
  <c r="N96" i="4"/>
  <c r="N97" i="4"/>
  <c r="N98" i="4"/>
  <c r="N99" i="4"/>
  <c r="N100" i="4"/>
  <c r="N101" i="4"/>
  <c r="N102" i="4"/>
  <c r="N103" i="4"/>
  <c r="N104" i="4"/>
  <c r="N105" i="4"/>
  <c r="N106" i="4"/>
  <c r="N107" i="4"/>
  <c r="N108" i="4"/>
  <c r="N109" i="4"/>
  <c r="N110" i="4"/>
  <c r="N111" i="4"/>
  <c r="N112" i="4"/>
  <c r="N113" i="4"/>
  <c r="N114" i="4"/>
  <c r="N115" i="4"/>
  <c r="N116" i="4"/>
  <c r="N117" i="4"/>
  <c r="N118" i="4"/>
  <c r="N119" i="4"/>
  <c r="N120" i="4"/>
  <c r="N121" i="4"/>
  <c r="N122" i="4"/>
  <c r="N123" i="4"/>
  <c r="N124" i="4"/>
  <c r="N125" i="4"/>
  <c r="N126" i="4"/>
  <c r="N127" i="4"/>
  <c r="N128" i="4"/>
  <c r="N129" i="4"/>
  <c r="N130" i="4"/>
  <c r="N131" i="4"/>
  <c r="N132" i="4"/>
  <c r="N133" i="4"/>
  <c r="N134" i="4"/>
  <c r="N135" i="4"/>
  <c r="N136" i="4"/>
  <c r="N137" i="4"/>
  <c r="N138" i="4"/>
  <c r="N139" i="4"/>
  <c r="N140" i="4"/>
  <c r="N141" i="4"/>
  <c r="N142" i="4"/>
  <c r="N143" i="4"/>
  <c r="N144" i="4"/>
  <c r="N145" i="4"/>
  <c r="N146" i="4"/>
  <c r="N147" i="4"/>
  <c r="N148" i="4"/>
  <c r="N149" i="4"/>
  <c r="N150" i="4"/>
  <c r="N151" i="4"/>
  <c r="N152" i="4"/>
  <c r="N153" i="4"/>
  <c r="N154" i="4"/>
  <c r="N155" i="4"/>
  <c r="N156" i="4"/>
  <c r="N157" i="4"/>
  <c r="N158" i="4"/>
  <c r="N159" i="4"/>
  <c r="N160" i="4"/>
  <c r="N161" i="4"/>
  <c r="N162" i="4"/>
  <c r="N163" i="4"/>
  <c r="N164" i="4"/>
  <c r="N165" i="4"/>
  <c r="N166" i="4"/>
  <c r="N167" i="4"/>
  <c r="N168" i="4"/>
  <c r="N169" i="4"/>
  <c r="N170" i="4"/>
  <c r="N171" i="4"/>
  <c r="N172" i="4"/>
  <c r="N173" i="4"/>
  <c r="N174" i="4"/>
  <c r="N175" i="4"/>
  <c r="N176" i="4"/>
  <c r="N177" i="4"/>
  <c r="N178" i="4"/>
  <c r="N179" i="4"/>
  <c r="N180" i="4"/>
  <c r="N181" i="4"/>
  <c r="N182" i="4"/>
  <c r="N183" i="4"/>
  <c r="N184" i="4"/>
  <c r="N185" i="4"/>
  <c r="N186" i="4"/>
  <c r="N187" i="4"/>
  <c r="N188" i="4"/>
  <c r="N189" i="4"/>
  <c r="N190" i="4"/>
  <c r="N191" i="4"/>
  <c r="N192" i="4"/>
  <c r="N193" i="4"/>
  <c r="N194" i="4"/>
  <c r="N195" i="4"/>
  <c r="N196" i="4"/>
  <c r="N197" i="4"/>
  <c r="N198" i="4"/>
  <c r="N199" i="4"/>
  <c r="N200" i="4"/>
  <c r="N201" i="4"/>
  <c r="N202" i="4"/>
  <c r="N203" i="4"/>
  <c r="N204" i="4"/>
  <c r="N205" i="4"/>
  <c r="N206" i="4"/>
  <c r="N207" i="4"/>
  <c r="N208" i="4"/>
  <c r="N209" i="4"/>
  <c r="N210" i="4"/>
  <c r="N211" i="4"/>
  <c r="N212" i="4"/>
  <c r="N213" i="4"/>
  <c r="N214" i="4"/>
  <c r="N215" i="4"/>
  <c r="N216" i="4"/>
  <c r="N217" i="4"/>
  <c r="N218" i="4"/>
  <c r="N219" i="4"/>
  <c r="N220" i="4"/>
  <c r="N221" i="4"/>
  <c r="N222" i="4"/>
  <c r="N223" i="4"/>
  <c r="N224" i="4"/>
  <c r="N225" i="4"/>
  <c r="N226" i="4"/>
  <c r="N227" i="4"/>
  <c r="N228" i="4"/>
  <c r="N229" i="4"/>
  <c r="N230" i="4"/>
  <c r="N231" i="4"/>
  <c r="N232" i="4"/>
  <c r="N233" i="4"/>
  <c r="N234" i="4"/>
  <c r="N235" i="4"/>
  <c r="N236" i="4"/>
  <c r="N237" i="4"/>
  <c r="N238" i="4"/>
  <c r="N239" i="4"/>
  <c r="N240" i="4"/>
  <c r="N241" i="4"/>
  <c r="N242" i="4"/>
  <c r="N243" i="4"/>
  <c r="N244" i="4"/>
  <c r="N245" i="4"/>
  <c r="N246" i="4"/>
  <c r="N247" i="4"/>
  <c r="N248" i="4"/>
  <c r="N249" i="4"/>
  <c r="N250" i="4"/>
  <c r="N251" i="4"/>
  <c r="N252" i="4"/>
  <c r="N253" i="4"/>
  <c r="N254" i="4"/>
  <c r="N255" i="4"/>
  <c r="N256" i="4"/>
  <c r="N257" i="4"/>
  <c r="N258" i="4"/>
  <c r="N259" i="4"/>
  <c r="N260" i="4"/>
  <c r="N261" i="4"/>
  <c r="N262" i="4"/>
  <c r="N263" i="4"/>
  <c r="N264" i="4"/>
  <c r="N265" i="4"/>
  <c r="N266" i="4"/>
  <c r="N267" i="4"/>
  <c r="N268" i="4"/>
  <c r="N269" i="4"/>
  <c r="N270" i="4"/>
  <c r="N271" i="4"/>
  <c r="N272" i="4"/>
  <c r="N273" i="4"/>
  <c r="N274" i="4"/>
  <c r="N275" i="4"/>
  <c r="N276" i="4"/>
  <c r="N277" i="4"/>
  <c r="N278" i="4"/>
  <c r="N279" i="4"/>
  <c r="N280" i="4"/>
  <c r="N281" i="4"/>
  <c r="N282" i="4"/>
  <c r="N283" i="4"/>
  <c r="N284" i="4"/>
  <c r="N285" i="4"/>
  <c r="N286" i="4"/>
  <c r="N287" i="4"/>
  <c r="N288" i="4"/>
  <c r="N289" i="4"/>
  <c r="N290" i="4"/>
  <c r="N291" i="4"/>
  <c r="N292" i="4"/>
  <c r="N293" i="4"/>
  <c r="N294" i="4"/>
  <c r="N295" i="4"/>
  <c r="N296" i="4"/>
  <c r="N297" i="4"/>
  <c r="N298" i="4"/>
  <c r="N299" i="4"/>
  <c r="N300" i="4"/>
  <c r="N301" i="4"/>
  <c r="N302" i="4"/>
  <c r="N303" i="4"/>
  <c r="N304" i="4"/>
  <c r="N305" i="4"/>
  <c r="N306" i="4"/>
  <c r="N307" i="4"/>
  <c r="N308" i="4"/>
  <c r="N309" i="4"/>
  <c r="N310" i="4"/>
  <c r="N311" i="4"/>
  <c r="N312" i="4"/>
  <c r="N313" i="4"/>
  <c r="N314" i="4"/>
  <c r="N315" i="4"/>
  <c r="N316" i="4"/>
  <c r="N317" i="4"/>
  <c r="N318" i="4"/>
  <c r="N319" i="4"/>
  <c r="N320" i="4"/>
  <c r="N321" i="4"/>
  <c r="N322" i="4"/>
  <c r="N323" i="4"/>
  <c r="N324" i="4"/>
  <c r="N325" i="4"/>
  <c r="N326" i="4"/>
  <c r="N327" i="4"/>
  <c r="N328" i="4"/>
  <c r="N329" i="4"/>
  <c r="N330" i="4"/>
  <c r="N331" i="4"/>
  <c r="N332" i="4"/>
  <c r="N333" i="4"/>
  <c r="N334" i="4"/>
  <c r="N335" i="4"/>
  <c r="N336" i="4"/>
  <c r="N337" i="4"/>
  <c r="N338" i="4"/>
  <c r="N339" i="4"/>
  <c r="N340" i="4"/>
  <c r="N341" i="4"/>
  <c r="N342" i="4"/>
  <c r="N343" i="4"/>
  <c r="N344" i="4"/>
  <c r="N345" i="4"/>
  <c r="N346" i="4"/>
  <c r="N347" i="4"/>
  <c r="N348" i="4"/>
  <c r="N349" i="4"/>
  <c r="N350" i="4"/>
  <c r="N351" i="4"/>
  <c r="N352" i="4"/>
  <c r="N353" i="4"/>
  <c r="N354" i="4"/>
  <c r="N355" i="4"/>
  <c r="N356" i="4"/>
  <c r="N357" i="4"/>
  <c r="N358" i="4"/>
  <c r="N359" i="4"/>
  <c r="N360" i="4"/>
  <c r="N361" i="4"/>
  <c r="N362" i="4"/>
  <c r="N363" i="4"/>
  <c r="N364" i="4"/>
  <c r="N365" i="4"/>
  <c r="N366" i="4"/>
  <c r="N367" i="4"/>
  <c r="N368" i="4"/>
  <c r="N369" i="4"/>
  <c r="N370" i="4"/>
  <c r="N371" i="4"/>
  <c r="N372" i="4"/>
  <c r="N373" i="4"/>
  <c r="N374" i="4"/>
  <c r="N375" i="4"/>
  <c r="N376" i="4"/>
  <c r="N377" i="4"/>
  <c r="N378" i="4"/>
  <c r="N379" i="4"/>
  <c r="N380" i="4"/>
  <c r="N381" i="4"/>
  <c r="N382" i="4"/>
  <c r="N383" i="4"/>
  <c r="N384" i="4"/>
  <c r="N385" i="4"/>
  <c r="N386" i="4"/>
  <c r="N387" i="4"/>
  <c r="N388" i="4"/>
  <c r="N389" i="4"/>
  <c r="N390" i="4"/>
  <c r="N391" i="4"/>
  <c r="N392" i="4"/>
  <c r="N393" i="4"/>
  <c r="N394" i="4"/>
  <c r="N395" i="4"/>
  <c r="N396" i="4"/>
  <c r="N397" i="4"/>
  <c r="N398" i="4"/>
  <c r="N399" i="4"/>
  <c r="N400" i="4"/>
  <c r="N401" i="4"/>
  <c r="N402" i="4"/>
  <c r="N403" i="4"/>
  <c r="N404" i="4"/>
  <c r="N405" i="4"/>
  <c r="N406" i="4"/>
  <c r="N407" i="4"/>
  <c r="N408" i="4"/>
  <c r="N409" i="4"/>
  <c r="N410" i="4"/>
  <c r="N411" i="4"/>
  <c r="N412" i="4"/>
  <c r="N413" i="4"/>
  <c r="N414" i="4"/>
  <c r="N415" i="4"/>
  <c r="N416" i="4"/>
  <c r="N417" i="4"/>
  <c r="N418" i="4"/>
  <c r="N419" i="4"/>
  <c r="N420" i="4"/>
  <c r="N421" i="4"/>
  <c r="N422" i="4"/>
  <c r="N423" i="4"/>
  <c r="N424" i="4"/>
  <c r="N425" i="4"/>
  <c r="N426" i="4"/>
  <c r="N427" i="4"/>
  <c r="N428" i="4"/>
  <c r="N429" i="4"/>
  <c r="N430" i="4"/>
  <c r="N431" i="4"/>
  <c r="N432" i="4"/>
  <c r="N433" i="4"/>
  <c r="N434" i="4"/>
  <c r="N435" i="4"/>
  <c r="N436" i="4"/>
  <c r="N437" i="4"/>
  <c r="N438" i="4"/>
  <c r="N439" i="4"/>
  <c r="N440" i="4"/>
  <c r="N441" i="4"/>
  <c r="N442" i="4"/>
  <c r="N443" i="4"/>
  <c r="N444" i="4"/>
  <c r="N445" i="4"/>
  <c r="N446" i="4"/>
  <c r="N447" i="4"/>
  <c r="N448" i="4"/>
  <c r="N449" i="4"/>
  <c r="N450" i="4"/>
  <c r="N451" i="4"/>
  <c r="N452" i="4"/>
  <c r="N453" i="4"/>
  <c r="N454" i="4"/>
  <c r="N455" i="4"/>
  <c r="N456" i="4"/>
  <c r="N457" i="4"/>
  <c r="N458" i="4"/>
  <c r="N459" i="4"/>
  <c r="N460" i="4"/>
  <c r="N461" i="4"/>
  <c r="N462" i="4"/>
  <c r="N463" i="4"/>
  <c r="N464" i="4"/>
  <c r="N465" i="4"/>
  <c r="N466" i="4"/>
  <c r="N467" i="4"/>
  <c r="N468" i="4"/>
  <c r="N469" i="4"/>
  <c r="N470" i="4"/>
  <c r="N471" i="4"/>
  <c r="N472" i="4"/>
  <c r="N473" i="4"/>
  <c r="N474" i="4"/>
  <c r="N475" i="4"/>
  <c r="N476" i="4"/>
  <c r="N477" i="4"/>
  <c r="N478" i="4"/>
  <c r="N479" i="4"/>
  <c r="N480" i="4"/>
  <c r="N481" i="4"/>
  <c r="N482" i="4"/>
  <c r="N483" i="4"/>
  <c r="N484" i="4"/>
  <c r="N485" i="4"/>
  <c r="N486" i="4"/>
  <c r="N487" i="4"/>
  <c r="N488" i="4"/>
  <c r="N489" i="4"/>
  <c r="N490" i="4"/>
  <c r="N491" i="4"/>
  <c r="N492" i="4"/>
  <c r="N493" i="4"/>
  <c r="N494" i="4"/>
  <c r="N495" i="4"/>
  <c r="N496" i="4"/>
  <c r="N497" i="4"/>
  <c r="N498" i="4"/>
  <c r="N499" i="4"/>
  <c r="N500" i="4"/>
  <c r="N501" i="4"/>
  <c r="N502" i="4"/>
  <c r="N503" i="4"/>
  <c r="N504" i="4"/>
  <c r="N505" i="4"/>
  <c r="N506" i="4"/>
  <c r="N507" i="4"/>
  <c r="N508" i="4"/>
  <c r="N509" i="4"/>
  <c r="N510" i="4"/>
  <c r="N511" i="4"/>
  <c r="N512" i="4"/>
  <c r="N513" i="4"/>
  <c r="N514" i="4"/>
  <c r="N515" i="4"/>
  <c r="N516" i="4"/>
  <c r="N517" i="4"/>
  <c r="N518" i="4"/>
  <c r="N519" i="4"/>
  <c r="N520" i="4"/>
  <c r="N521" i="4"/>
  <c r="N522" i="4"/>
  <c r="N523" i="4"/>
  <c r="N524" i="4"/>
  <c r="N525" i="4"/>
  <c r="N526" i="4"/>
  <c r="N527" i="4"/>
  <c r="N528" i="4"/>
  <c r="N529" i="4"/>
  <c r="N530" i="4"/>
  <c r="N531" i="4"/>
  <c r="N532" i="4"/>
  <c r="N533" i="4"/>
  <c r="N534" i="4"/>
  <c r="N535" i="4"/>
  <c r="N536" i="4"/>
  <c r="N537" i="4"/>
  <c r="N538" i="4"/>
  <c r="N539" i="4"/>
  <c r="N540" i="4"/>
  <c r="N541" i="4"/>
  <c r="N542" i="4"/>
  <c r="N543" i="4"/>
  <c r="N544" i="4"/>
  <c r="N545" i="4"/>
  <c r="N546" i="4"/>
  <c r="N547" i="4"/>
  <c r="N548" i="4"/>
  <c r="N549" i="4"/>
  <c r="N550" i="4"/>
  <c r="N551" i="4"/>
  <c r="N552" i="4"/>
  <c r="N553" i="4"/>
  <c r="N554" i="4"/>
  <c r="N555" i="4"/>
  <c r="N556" i="4"/>
  <c r="N557" i="4"/>
  <c r="N558" i="4"/>
  <c r="N559" i="4"/>
  <c r="N560" i="4"/>
  <c r="N561" i="4"/>
  <c r="N562" i="4"/>
  <c r="N563" i="4"/>
  <c r="N564" i="4"/>
  <c r="N565" i="4"/>
  <c r="N566" i="4"/>
  <c r="N567" i="4"/>
  <c r="N568" i="4"/>
  <c r="N569" i="4"/>
  <c r="N570" i="4"/>
  <c r="N571" i="4"/>
  <c r="N572" i="4"/>
  <c r="N573" i="4"/>
  <c r="N574" i="4"/>
  <c r="N575" i="4"/>
  <c r="N576" i="4"/>
  <c r="N577" i="4"/>
  <c r="N578" i="4"/>
  <c r="N579" i="4"/>
  <c r="N580" i="4"/>
  <c r="N581" i="4"/>
  <c r="N582" i="4"/>
  <c r="N583" i="4"/>
  <c r="N584" i="4"/>
  <c r="N585" i="4"/>
  <c r="N586" i="4"/>
  <c r="N587" i="4"/>
  <c r="N588" i="4"/>
  <c r="N589" i="4"/>
  <c r="N590" i="4"/>
  <c r="N591" i="4"/>
  <c r="N592" i="4"/>
  <c r="N593" i="4"/>
  <c r="N594" i="4"/>
  <c r="N595" i="4"/>
  <c r="N596" i="4"/>
  <c r="N597" i="4"/>
  <c r="N598" i="4"/>
  <c r="N599" i="4"/>
  <c r="N600" i="4"/>
  <c r="N601" i="4"/>
  <c r="N602" i="4"/>
  <c r="N603" i="4"/>
  <c r="N3" i="4"/>
  <c r="N4" i="4"/>
  <c r="N2" i="4"/>
  <c r="P2" i="4" s="1"/>
  <c r="F1125" i="4" l="1"/>
  <c r="F1126" i="4"/>
  <c r="F1127" i="4"/>
  <c r="F1128" i="4"/>
  <c r="F1129" i="4"/>
  <c r="F1130" i="4"/>
  <c r="F1131" i="4"/>
  <c r="F1132" i="4"/>
  <c r="F1133" i="4"/>
  <c r="F1134" i="4"/>
  <c r="F1135" i="4"/>
  <c r="F1136" i="4"/>
  <c r="F1137" i="4"/>
  <c r="F1138" i="4"/>
  <c r="F1139" i="4"/>
  <c r="F1140" i="4"/>
  <c r="F1141" i="4"/>
  <c r="F1142" i="4"/>
  <c r="F1143" i="4"/>
  <c r="F1144" i="4"/>
  <c r="F1145" i="4"/>
  <c r="F1146" i="4"/>
  <c r="F1147" i="4"/>
  <c r="F1148" i="4"/>
  <c r="F1149" i="4"/>
  <c r="F1150" i="4"/>
  <c r="F1151" i="4"/>
  <c r="F1152" i="4"/>
  <c r="G1125" i="4"/>
  <c r="G1126" i="4"/>
  <c r="G1127" i="4"/>
  <c r="G1128" i="4"/>
  <c r="G1129" i="4"/>
  <c r="G1130" i="4"/>
  <c r="G1131" i="4"/>
  <c r="G1132" i="4"/>
  <c r="G1133" i="4"/>
  <c r="G1134" i="4"/>
  <c r="G1135" i="4"/>
  <c r="G1136" i="4"/>
  <c r="G1137" i="4"/>
  <c r="G1138" i="4"/>
  <c r="G1139" i="4"/>
  <c r="G1140" i="4"/>
  <c r="G1141" i="4"/>
  <c r="G1142" i="4"/>
  <c r="G1143" i="4"/>
  <c r="G1144" i="4"/>
  <c r="G1145" i="4"/>
  <c r="G1146" i="4"/>
  <c r="G1147" i="4"/>
  <c r="G1148" i="4"/>
  <c r="G1149" i="4"/>
  <c r="G1150" i="4"/>
  <c r="G1151" i="4"/>
  <c r="G1152" i="4"/>
  <c r="E1125" i="4"/>
  <c r="E1126" i="4"/>
  <c r="E1127" i="4"/>
  <c r="E1128" i="4"/>
  <c r="E1129" i="4"/>
  <c r="E1130" i="4"/>
  <c r="E1131" i="4"/>
  <c r="E1132" i="4"/>
  <c r="E1133" i="4"/>
  <c r="E1134" i="4"/>
  <c r="E1135" i="4"/>
  <c r="E1136" i="4"/>
  <c r="E1137" i="4"/>
  <c r="E1138" i="4"/>
  <c r="E1139" i="4"/>
  <c r="E1140" i="4"/>
  <c r="E1141" i="4"/>
  <c r="E1142" i="4"/>
  <c r="E1143" i="4"/>
  <c r="E1144" i="4"/>
  <c r="E1145" i="4"/>
  <c r="E1146" i="4"/>
  <c r="E1147" i="4"/>
  <c r="E1148" i="4"/>
  <c r="E1149" i="4"/>
  <c r="E1150" i="4"/>
  <c r="E1151" i="4"/>
  <c r="E1152" i="4"/>
  <c r="O3" i="5"/>
  <c r="P3" i="5"/>
  <c r="Q3" i="5"/>
  <c r="O4" i="5"/>
  <c r="P4" i="5"/>
  <c r="Q4" i="5"/>
  <c r="O5" i="5"/>
  <c r="P5" i="5"/>
  <c r="Q5" i="5"/>
  <c r="O6" i="5"/>
  <c r="P6" i="5"/>
  <c r="Q6" i="5"/>
  <c r="O7" i="5"/>
  <c r="P7" i="5"/>
  <c r="Q7" i="5"/>
  <c r="O8" i="5"/>
  <c r="P8" i="5"/>
  <c r="Q8" i="5"/>
  <c r="O9" i="5"/>
  <c r="P9" i="5"/>
  <c r="Q9" i="5"/>
  <c r="O10" i="5"/>
  <c r="P10" i="5"/>
  <c r="Q10" i="5"/>
  <c r="O11" i="5"/>
  <c r="P11" i="5"/>
  <c r="Q11" i="5"/>
  <c r="O12" i="5"/>
  <c r="P12" i="5"/>
  <c r="Q12" i="5"/>
  <c r="O13" i="5"/>
  <c r="P13" i="5"/>
  <c r="Q13" i="5"/>
  <c r="O14" i="5"/>
  <c r="P14" i="5"/>
  <c r="Q14" i="5"/>
  <c r="O15" i="5"/>
  <c r="P15" i="5"/>
  <c r="Q15" i="5"/>
  <c r="O16" i="5"/>
  <c r="P16" i="5"/>
  <c r="Q16" i="5"/>
  <c r="O17" i="5"/>
  <c r="P17" i="5"/>
  <c r="Q17" i="5"/>
  <c r="O18" i="5"/>
  <c r="P18" i="5"/>
  <c r="Q18" i="5"/>
  <c r="O19" i="5"/>
  <c r="P19" i="5"/>
  <c r="Q19" i="5"/>
  <c r="O20" i="5"/>
  <c r="P20" i="5"/>
  <c r="Q20" i="5"/>
  <c r="O21" i="5"/>
  <c r="P21" i="5"/>
  <c r="Q21" i="5"/>
  <c r="O22" i="5"/>
  <c r="P22" i="5"/>
  <c r="Q22" i="5"/>
  <c r="O23" i="5"/>
  <c r="P23" i="5"/>
  <c r="Q23" i="5"/>
  <c r="O24" i="5"/>
  <c r="P24" i="5"/>
  <c r="Q24" i="5"/>
  <c r="O25" i="5"/>
  <c r="P25" i="5"/>
  <c r="Q25" i="5"/>
  <c r="O26" i="5"/>
  <c r="P26" i="5"/>
  <c r="Q26" i="5"/>
  <c r="O27" i="5"/>
  <c r="P27" i="5"/>
  <c r="Q27" i="5"/>
  <c r="O28" i="5"/>
  <c r="P28" i="5"/>
  <c r="Q28" i="5"/>
  <c r="O29" i="5"/>
  <c r="P29" i="5"/>
  <c r="Q29" i="5"/>
  <c r="O30" i="5"/>
  <c r="P30" i="5"/>
  <c r="Q30" i="5"/>
  <c r="O31" i="5"/>
  <c r="P31" i="5"/>
  <c r="Q31" i="5"/>
  <c r="O32" i="5"/>
  <c r="P32" i="5"/>
  <c r="Q32" i="5"/>
  <c r="O33" i="5"/>
  <c r="P33" i="5"/>
  <c r="Q33" i="5"/>
  <c r="O34" i="5"/>
  <c r="P34" i="5"/>
  <c r="Q34" i="5"/>
  <c r="O35" i="5"/>
  <c r="P35" i="5"/>
  <c r="Q35" i="5"/>
  <c r="O36" i="5"/>
  <c r="P36" i="5"/>
  <c r="Q36" i="5"/>
  <c r="O37" i="5"/>
  <c r="P37" i="5"/>
  <c r="Q37" i="5"/>
  <c r="O38" i="5"/>
  <c r="P38" i="5"/>
  <c r="Q38" i="5"/>
  <c r="O39" i="5"/>
  <c r="P39" i="5"/>
  <c r="Q39" i="5"/>
  <c r="O40" i="5"/>
  <c r="P40" i="5"/>
  <c r="Q40" i="5"/>
  <c r="O41" i="5"/>
  <c r="P41" i="5"/>
  <c r="Q41" i="5"/>
  <c r="O42" i="5"/>
  <c r="P42" i="5"/>
  <c r="Q42" i="5"/>
  <c r="O43" i="5"/>
  <c r="P43" i="5"/>
  <c r="Q43" i="5"/>
  <c r="O44" i="5"/>
  <c r="P44" i="5"/>
  <c r="Q44" i="5"/>
  <c r="O45" i="5"/>
  <c r="P45" i="5"/>
  <c r="Q45" i="5"/>
  <c r="O46" i="5"/>
  <c r="P46" i="5"/>
  <c r="Q46" i="5"/>
  <c r="O47" i="5"/>
  <c r="P47" i="5"/>
  <c r="Q47" i="5"/>
  <c r="O48" i="5"/>
  <c r="P48" i="5"/>
  <c r="Q48" i="5"/>
  <c r="O49" i="5"/>
  <c r="P49" i="5"/>
  <c r="Q49" i="5"/>
  <c r="O50" i="5"/>
  <c r="P50" i="5"/>
  <c r="Q50" i="5"/>
  <c r="O51" i="5"/>
  <c r="P51" i="5"/>
  <c r="Q51" i="5"/>
  <c r="O52" i="5"/>
  <c r="P52" i="5"/>
  <c r="Q52" i="5"/>
  <c r="O53" i="5"/>
  <c r="P53" i="5"/>
  <c r="Q53" i="5"/>
  <c r="O54" i="5"/>
  <c r="P54" i="5"/>
  <c r="Q54" i="5"/>
  <c r="O55" i="5"/>
  <c r="P55" i="5"/>
  <c r="Q55" i="5"/>
  <c r="O56" i="5"/>
  <c r="P56" i="5"/>
  <c r="Q56" i="5"/>
  <c r="O57" i="5"/>
  <c r="P57" i="5"/>
  <c r="Q57" i="5"/>
  <c r="O58" i="5"/>
  <c r="P58" i="5"/>
  <c r="Q58" i="5"/>
  <c r="O59" i="5"/>
  <c r="P59" i="5"/>
  <c r="Q59" i="5"/>
  <c r="O60" i="5"/>
  <c r="P60" i="5"/>
  <c r="Q60" i="5"/>
  <c r="O61" i="5"/>
  <c r="P61" i="5"/>
  <c r="Q61" i="5"/>
  <c r="O62" i="5"/>
  <c r="P62" i="5"/>
  <c r="Q62" i="5"/>
  <c r="O63" i="5"/>
  <c r="P63" i="5"/>
  <c r="Q63" i="5"/>
  <c r="O64" i="5"/>
  <c r="P64" i="5"/>
  <c r="Q64" i="5"/>
  <c r="O65" i="5"/>
  <c r="P65" i="5"/>
  <c r="Q65" i="5"/>
  <c r="O66" i="5"/>
  <c r="P66" i="5"/>
  <c r="Q66" i="5"/>
  <c r="O67" i="5"/>
  <c r="P67" i="5"/>
  <c r="Q67" i="5"/>
  <c r="O68" i="5"/>
  <c r="P68" i="5"/>
  <c r="Q68" i="5"/>
  <c r="O69" i="5"/>
  <c r="P69" i="5"/>
  <c r="Q69" i="5"/>
  <c r="O70" i="5"/>
  <c r="P70" i="5"/>
  <c r="Q70" i="5"/>
  <c r="O71" i="5"/>
  <c r="P71" i="5"/>
  <c r="Q71" i="5"/>
  <c r="O72" i="5"/>
  <c r="P72" i="5"/>
  <c r="Q72" i="5"/>
  <c r="O73" i="5"/>
  <c r="P73" i="5"/>
  <c r="Q73" i="5"/>
  <c r="O74" i="5"/>
  <c r="P74" i="5"/>
  <c r="Q74" i="5"/>
  <c r="O75" i="5"/>
  <c r="P75" i="5"/>
  <c r="Q75" i="5"/>
  <c r="O76" i="5"/>
  <c r="P76" i="5"/>
  <c r="Q76" i="5"/>
  <c r="O77" i="5"/>
  <c r="P77" i="5"/>
  <c r="Q77" i="5"/>
  <c r="O78" i="5"/>
  <c r="P78" i="5"/>
  <c r="Q78" i="5"/>
  <c r="O79" i="5"/>
  <c r="P79" i="5"/>
  <c r="Q79" i="5"/>
  <c r="O80" i="5"/>
  <c r="P80" i="5"/>
  <c r="Q80" i="5"/>
  <c r="O81" i="5"/>
  <c r="P81" i="5"/>
  <c r="Q81" i="5"/>
  <c r="O82" i="5"/>
  <c r="P82" i="5"/>
  <c r="Q82" i="5"/>
  <c r="O83" i="5"/>
  <c r="P83" i="5"/>
  <c r="Q83" i="5"/>
  <c r="O84" i="5"/>
  <c r="P84" i="5"/>
  <c r="Q84" i="5"/>
  <c r="O85" i="5"/>
  <c r="P85" i="5"/>
  <c r="Q85" i="5"/>
  <c r="O86" i="5"/>
  <c r="P86" i="5"/>
  <c r="Q86" i="5"/>
  <c r="O87" i="5"/>
  <c r="P87" i="5"/>
  <c r="Q87" i="5"/>
  <c r="O88" i="5"/>
  <c r="P88" i="5"/>
  <c r="Q88" i="5"/>
  <c r="O89" i="5"/>
  <c r="P89" i="5"/>
  <c r="Q89" i="5"/>
  <c r="O90" i="5"/>
  <c r="P90" i="5"/>
  <c r="Q90" i="5"/>
  <c r="O91" i="5"/>
  <c r="P91" i="5"/>
  <c r="Q91" i="5"/>
  <c r="O92" i="5"/>
  <c r="P92" i="5"/>
  <c r="Q92" i="5"/>
  <c r="O93" i="5"/>
  <c r="P93" i="5"/>
  <c r="Q93" i="5"/>
  <c r="O94" i="5"/>
  <c r="P94" i="5"/>
  <c r="Q94" i="5"/>
  <c r="O95" i="5"/>
  <c r="P95" i="5"/>
  <c r="Q95" i="5"/>
  <c r="O96" i="5"/>
  <c r="P96" i="5"/>
  <c r="Q96" i="5"/>
  <c r="O97" i="5"/>
  <c r="P97" i="5"/>
  <c r="Q97" i="5"/>
  <c r="O98" i="5"/>
  <c r="P98" i="5"/>
  <c r="Q98" i="5"/>
  <c r="O99" i="5"/>
  <c r="P99" i="5"/>
  <c r="Q99" i="5"/>
  <c r="O100" i="5"/>
  <c r="P100" i="5"/>
  <c r="Q100" i="5"/>
  <c r="O101" i="5"/>
  <c r="P101" i="5"/>
  <c r="Q101" i="5"/>
  <c r="O102" i="5"/>
  <c r="P102" i="5"/>
  <c r="Q102" i="5"/>
  <c r="O103" i="5"/>
  <c r="P103" i="5"/>
  <c r="Q103" i="5"/>
  <c r="O104" i="5"/>
  <c r="P104" i="5"/>
  <c r="Q104" i="5"/>
  <c r="O105" i="5"/>
  <c r="P105" i="5"/>
  <c r="Q105" i="5"/>
  <c r="O106" i="5"/>
  <c r="P106" i="5"/>
  <c r="Q106" i="5"/>
  <c r="O107" i="5"/>
  <c r="P107" i="5"/>
  <c r="Q107" i="5"/>
  <c r="O108" i="5"/>
  <c r="P108" i="5"/>
  <c r="Q108" i="5"/>
  <c r="O109" i="5"/>
  <c r="P109" i="5"/>
  <c r="Q109" i="5"/>
  <c r="O110" i="5"/>
  <c r="P110" i="5"/>
  <c r="Q110" i="5"/>
  <c r="O111" i="5"/>
  <c r="P111" i="5"/>
  <c r="Q111" i="5"/>
  <c r="O112" i="5"/>
  <c r="P112" i="5"/>
  <c r="Q112" i="5"/>
  <c r="O113" i="5"/>
  <c r="P113" i="5"/>
  <c r="Q113" i="5"/>
  <c r="O114" i="5"/>
  <c r="P114" i="5"/>
  <c r="Q114" i="5"/>
  <c r="O115" i="5"/>
  <c r="P115" i="5"/>
  <c r="Q115" i="5"/>
  <c r="O116" i="5"/>
  <c r="P116" i="5"/>
  <c r="Q116" i="5"/>
  <c r="O117" i="5"/>
  <c r="P117" i="5"/>
  <c r="Q117" i="5"/>
  <c r="O118" i="5"/>
  <c r="P118" i="5"/>
  <c r="Q118" i="5"/>
  <c r="O119" i="5"/>
  <c r="P119" i="5"/>
  <c r="Q119" i="5"/>
  <c r="O120" i="5"/>
  <c r="P120" i="5"/>
  <c r="Q120" i="5"/>
  <c r="O121" i="5"/>
  <c r="P121" i="5"/>
  <c r="Q121" i="5"/>
  <c r="O122" i="5"/>
  <c r="P122" i="5"/>
  <c r="Q122" i="5"/>
  <c r="O123" i="5"/>
  <c r="P123" i="5"/>
  <c r="Q123" i="5"/>
  <c r="O124" i="5"/>
  <c r="P124" i="5"/>
  <c r="Q124" i="5"/>
  <c r="O125" i="5"/>
  <c r="P125" i="5"/>
  <c r="Q125" i="5"/>
  <c r="O126" i="5"/>
  <c r="P126" i="5"/>
  <c r="Q126" i="5"/>
  <c r="O127" i="5"/>
  <c r="P127" i="5"/>
  <c r="Q127" i="5"/>
  <c r="O128" i="5"/>
  <c r="P128" i="5"/>
  <c r="Q128" i="5"/>
  <c r="O129" i="5"/>
  <c r="P129" i="5"/>
  <c r="Q129" i="5"/>
  <c r="O130" i="5"/>
  <c r="P130" i="5"/>
  <c r="Q130" i="5"/>
  <c r="O131" i="5"/>
  <c r="P131" i="5"/>
  <c r="Q131" i="5"/>
  <c r="O132" i="5"/>
  <c r="P132" i="5"/>
  <c r="Q132" i="5"/>
  <c r="O133" i="5"/>
  <c r="P133" i="5"/>
  <c r="Q133" i="5"/>
  <c r="O134" i="5"/>
  <c r="P134" i="5"/>
  <c r="Q134" i="5"/>
  <c r="O135" i="5"/>
  <c r="P135" i="5"/>
  <c r="Q135" i="5"/>
  <c r="O136" i="5"/>
  <c r="P136" i="5"/>
  <c r="Q136" i="5"/>
  <c r="O137" i="5"/>
  <c r="P137" i="5"/>
  <c r="Q137" i="5"/>
  <c r="O138" i="5"/>
  <c r="P138" i="5"/>
  <c r="Q138" i="5"/>
  <c r="O139" i="5"/>
  <c r="P139" i="5"/>
  <c r="Q139" i="5"/>
  <c r="O140" i="5"/>
  <c r="P140" i="5"/>
  <c r="Q140" i="5"/>
  <c r="O141" i="5"/>
  <c r="P141" i="5"/>
  <c r="Q141" i="5"/>
  <c r="O142" i="5"/>
  <c r="P142" i="5"/>
  <c r="Q142" i="5"/>
  <c r="O143" i="5"/>
  <c r="P143" i="5"/>
  <c r="Q143" i="5"/>
  <c r="O144" i="5"/>
  <c r="P144" i="5"/>
  <c r="Q144" i="5"/>
  <c r="O145" i="5"/>
  <c r="P145" i="5"/>
  <c r="Q145" i="5"/>
  <c r="O146" i="5"/>
  <c r="P146" i="5"/>
  <c r="Q146" i="5"/>
  <c r="O147" i="5"/>
  <c r="P147" i="5"/>
  <c r="Q147" i="5"/>
  <c r="O148" i="5"/>
  <c r="P148" i="5"/>
  <c r="Q148" i="5"/>
  <c r="O149" i="5"/>
  <c r="P149" i="5"/>
  <c r="Q149" i="5"/>
  <c r="O150" i="5"/>
  <c r="P150" i="5"/>
  <c r="Q150" i="5"/>
  <c r="O151" i="5"/>
  <c r="P151" i="5"/>
  <c r="Q151" i="5"/>
  <c r="O152" i="5"/>
  <c r="P152" i="5"/>
  <c r="Q152" i="5"/>
  <c r="O153" i="5"/>
  <c r="P153" i="5"/>
  <c r="Q153" i="5"/>
  <c r="O154" i="5"/>
  <c r="P154" i="5"/>
  <c r="Q154" i="5"/>
  <c r="O155" i="5"/>
  <c r="P155" i="5"/>
  <c r="Q155" i="5"/>
  <c r="O156" i="5"/>
  <c r="P156" i="5"/>
  <c r="Q156" i="5"/>
  <c r="O157" i="5"/>
  <c r="P157" i="5"/>
  <c r="Q157" i="5"/>
  <c r="O158" i="5"/>
  <c r="P158" i="5"/>
  <c r="Q158" i="5"/>
  <c r="O159" i="5"/>
  <c r="P159" i="5"/>
  <c r="Q159" i="5"/>
  <c r="O160" i="5"/>
  <c r="P160" i="5"/>
  <c r="Q160" i="5"/>
  <c r="O161" i="5"/>
  <c r="P161" i="5"/>
  <c r="Q161" i="5"/>
  <c r="O162" i="5"/>
  <c r="P162" i="5"/>
  <c r="Q162" i="5"/>
  <c r="O163" i="5"/>
  <c r="P163" i="5"/>
  <c r="Q163" i="5"/>
  <c r="O164" i="5"/>
  <c r="P164" i="5"/>
  <c r="Q164" i="5"/>
  <c r="O165" i="5"/>
  <c r="P165" i="5"/>
  <c r="Q165" i="5"/>
  <c r="O166" i="5"/>
  <c r="P166" i="5"/>
  <c r="Q166" i="5"/>
  <c r="O167" i="5"/>
  <c r="P167" i="5"/>
  <c r="Q167" i="5"/>
  <c r="O168" i="5"/>
  <c r="P168" i="5"/>
  <c r="Q168" i="5"/>
  <c r="O169" i="5"/>
  <c r="P169" i="5"/>
  <c r="Q169" i="5"/>
  <c r="O170" i="5"/>
  <c r="P170" i="5"/>
  <c r="Q170" i="5"/>
  <c r="O171" i="5"/>
  <c r="P171" i="5"/>
  <c r="Q171" i="5"/>
  <c r="O172" i="5"/>
  <c r="P172" i="5"/>
  <c r="Q172" i="5"/>
  <c r="O173" i="5"/>
  <c r="P173" i="5"/>
  <c r="Q173" i="5"/>
  <c r="O174" i="5"/>
  <c r="P174" i="5"/>
  <c r="Q174" i="5"/>
  <c r="O175" i="5"/>
  <c r="P175" i="5"/>
  <c r="Q175" i="5"/>
  <c r="O176" i="5"/>
  <c r="P176" i="5"/>
  <c r="Q176" i="5"/>
  <c r="O177" i="5"/>
  <c r="P177" i="5"/>
  <c r="Q177" i="5"/>
  <c r="O178" i="5"/>
  <c r="P178" i="5"/>
  <c r="Q178" i="5"/>
  <c r="O179" i="5"/>
  <c r="P179" i="5"/>
  <c r="Q179" i="5"/>
  <c r="O180" i="5"/>
  <c r="P180" i="5"/>
  <c r="Q180" i="5"/>
  <c r="O181" i="5"/>
  <c r="P181" i="5"/>
  <c r="Q181" i="5"/>
  <c r="O182" i="5"/>
  <c r="P182" i="5"/>
  <c r="Q182" i="5"/>
  <c r="O183" i="5"/>
  <c r="P183" i="5"/>
  <c r="Q183" i="5"/>
  <c r="O184" i="5"/>
  <c r="P184" i="5"/>
  <c r="Q184" i="5"/>
  <c r="O185" i="5"/>
  <c r="P185" i="5"/>
  <c r="Q185" i="5"/>
  <c r="O186" i="5"/>
  <c r="P186" i="5"/>
  <c r="Q186" i="5"/>
  <c r="O187" i="5"/>
  <c r="P187" i="5"/>
  <c r="Q187" i="5"/>
  <c r="O188" i="5"/>
  <c r="P188" i="5"/>
  <c r="Q188" i="5"/>
  <c r="O189" i="5"/>
  <c r="P189" i="5"/>
  <c r="Q189" i="5"/>
  <c r="O190" i="5"/>
  <c r="P190" i="5"/>
  <c r="Q190" i="5"/>
  <c r="O191" i="5"/>
  <c r="P191" i="5"/>
  <c r="Q191" i="5"/>
  <c r="O192" i="5"/>
  <c r="P192" i="5"/>
  <c r="Q192" i="5"/>
  <c r="O193" i="5"/>
  <c r="P193" i="5"/>
  <c r="Q193" i="5"/>
  <c r="O194" i="5"/>
  <c r="P194" i="5"/>
  <c r="Q194" i="5"/>
  <c r="O195" i="5"/>
  <c r="P195" i="5"/>
  <c r="Q195" i="5"/>
  <c r="O196" i="5"/>
  <c r="P196" i="5"/>
  <c r="Q196" i="5"/>
  <c r="O197" i="5"/>
  <c r="P197" i="5"/>
  <c r="Q197" i="5"/>
  <c r="O198" i="5"/>
  <c r="P198" i="5"/>
  <c r="Q198" i="5"/>
  <c r="O199" i="5"/>
  <c r="P199" i="5"/>
  <c r="Q199" i="5"/>
  <c r="O200" i="5"/>
  <c r="P200" i="5"/>
  <c r="Q200" i="5"/>
  <c r="O201" i="5"/>
  <c r="P201" i="5"/>
  <c r="Q201" i="5"/>
  <c r="O202" i="5"/>
  <c r="P202" i="5"/>
  <c r="Q202" i="5"/>
  <c r="O203" i="5"/>
  <c r="P203" i="5"/>
  <c r="Q203" i="5"/>
  <c r="O204" i="5"/>
  <c r="P204" i="5"/>
  <c r="Q204" i="5"/>
  <c r="O205" i="5"/>
  <c r="P205" i="5"/>
  <c r="Q205" i="5"/>
  <c r="O206" i="5"/>
  <c r="P206" i="5"/>
  <c r="Q206" i="5"/>
  <c r="O207" i="5"/>
  <c r="P207" i="5"/>
  <c r="Q207" i="5"/>
  <c r="O208" i="5"/>
  <c r="P208" i="5"/>
  <c r="Q208" i="5"/>
  <c r="O209" i="5"/>
  <c r="P209" i="5"/>
  <c r="Q209" i="5"/>
  <c r="O210" i="5"/>
  <c r="P210" i="5"/>
  <c r="Q210" i="5"/>
  <c r="O211" i="5"/>
  <c r="P211" i="5"/>
  <c r="Q211" i="5"/>
  <c r="O212" i="5"/>
  <c r="P212" i="5"/>
  <c r="Q212" i="5"/>
  <c r="O213" i="5"/>
  <c r="P213" i="5"/>
  <c r="Q213" i="5"/>
  <c r="O214" i="5"/>
  <c r="P214" i="5"/>
  <c r="Q214" i="5"/>
  <c r="O215" i="5"/>
  <c r="P215" i="5"/>
  <c r="Q215" i="5"/>
  <c r="O216" i="5"/>
  <c r="P216" i="5"/>
  <c r="Q216" i="5"/>
  <c r="O217" i="5"/>
  <c r="P217" i="5"/>
  <c r="Q217" i="5"/>
  <c r="O218" i="5"/>
  <c r="P218" i="5"/>
  <c r="Q218" i="5"/>
  <c r="O219" i="5"/>
  <c r="P219" i="5"/>
  <c r="Q219" i="5"/>
  <c r="O220" i="5"/>
  <c r="P220" i="5"/>
  <c r="Q220" i="5"/>
  <c r="O221" i="5"/>
  <c r="P221" i="5"/>
  <c r="Q221" i="5"/>
  <c r="O222" i="5"/>
  <c r="P222" i="5"/>
  <c r="Q222" i="5"/>
  <c r="O223" i="5"/>
  <c r="P223" i="5"/>
  <c r="Q223" i="5"/>
  <c r="O224" i="5"/>
  <c r="P224" i="5"/>
  <c r="Q224" i="5"/>
  <c r="O225" i="5"/>
  <c r="P225" i="5"/>
  <c r="Q225" i="5"/>
  <c r="O226" i="5"/>
  <c r="P226" i="5"/>
  <c r="Q226" i="5"/>
  <c r="O227" i="5"/>
  <c r="P227" i="5"/>
  <c r="Q227" i="5"/>
  <c r="O228" i="5"/>
  <c r="P228" i="5"/>
  <c r="Q228" i="5"/>
  <c r="O229" i="5"/>
  <c r="P229" i="5"/>
  <c r="Q229" i="5"/>
  <c r="O230" i="5"/>
  <c r="P230" i="5"/>
  <c r="Q230" i="5"/>
  <c r="O231" i="5"/>
  <c r="P231" i="5"/>
  <c r="Q231" i="5"/>
  <c r="O232" i="5"/>
  <c r="P232" i="5"/>
  <c r="Q232" i="5"/>
  <c r="O233" i="5"/>
  <c r="P233" i="5"/>
  <c r="Q233" i="5"/>
  <c r="O234" i="5"/>
  <c r="P234" i="5"/>
  <c r="Q234" i="5"/>
  <c r="O235" i="5"/>
  <c r="P235" i="5"/>
  <c r="Q235" i="5"/>
  <c r="O236" i="5"/>
  <c r="P236" i="5"/>
  <c r="Q236" i="5"/>
  <c r="O237" i="5"/>
  <c r="P237" i="5"/>
  <c r="Q237" i="5"/>
  <c r="O238" i="5"/>
  <c r="P238" i="5"/>
  <c r="Q238" i="5"/>
  <c r="O239" i="5"/>
  <c r="P239" i="5"/>
  <c r="Q239" i="5"/>
  <c r="O240" i="5"/>
  <c r="P240" i="5"/>
  <c r="Q240" i="5"/>
  <c r="O241" i="5"/>
  <c r="P241" i="5"/>
  <c r="Q241" i="5"/>
  <c r="O242" i="5"/>
  <c r="P242" i="5"/>
  <c r="Q242" i="5"/>
  <c r="O243" i="5"/>
  <c r="P243" i="5"/>
  <c r="Q243" i="5"/>
  <c r="O244" i="5"/>
  <c r="P244" i="5"/>
  <c r="Q244" i="5"/>
  <c r="O245" i="5"/>
  <c r="P245" i="5"/>
  <c r="Q245" i="5"/>
  <c r="O246" i="5"/>
  <c r="P246" i="5"/>
  <c r="Q246" i="5"/>
  <c r="O247" i="5"/>
  <c r="P247" i="5"/>
  <c r="Q247" i="5"/>
  <c r="O248" i="5"/>
  <c r="P248" i="5"/>
  <c r="Q248" i="5"/>
  <c r="O249" i="5"/>
  <c r="P249" i="5"/>
  <c r="Q249" i="5"/>
  <c r="O250" i="5"/>
  <c r="P250" i="5"/>
  <c r="Q250" i="5"/>
  <c r="O251" i="5"/>
  <c r="P251" i="5"/>
  <c r="Q251" i="5"/>
  <c r="O252" i="5"/>
  <c r="P252" i="5"/>
  <c r="Q252" i="5"/>
  <c r="O253" i="5"/>
  <c r="P253" i="5"/>
  <c r="Q253" i="5"/>
  <c r="O254" i="5"/>
  <c r="P254" i="5"/>
  <c r="Q254" i="5"/>
  <c r="O255" i="5"/>
  <c r="P255" i="5"/>
  <c r="Q255" i="5"/>
  <c r="O256" i="5"/>
  <c r="P256" i="5"/>
  <c r="Q256" i="5"/>
  <c r="O257" i="5"/>
  <c r="P257" i="5"/>
  <c r="Q257" i="5"/>
  <c r="O258" i="5"/>
  <c r="P258" i="5"/>
  <c r="Q258" i="5"/>
  <c r="O259" i="5"/>
  <c r="P259" i="5"/>
  <c r="Q259" i="5"/>
  <c r="O260" i="5"/>
  <c r="P260" i="5"/>
  <c r="Q260" i="5"/>
  <c r="O261" i="5"/>
  <c r="P261" i="5"/>
  <c r="Q261" i="5"/>
  <c r="O262" i="5"/>
  <c r="P262" i="5"/>
  <c r="Q262" i="5"/>
  <c r="O263" i="5"/>
  <c r="P263" i="5"/>
  <c r="Q263" i="5"/>
  <c r="O264" i="5"/>
  <c r="P264" i="5"/>
  <c r="Q264" i="5"/>
  <c r="O265" i="5"/>
  <c r="P265" i="5"/>
  <c r="Q265" i="5"/>
  <c r="O266" i="5"/>
  <c r="P266" i="5"/>
  <c r="Q266" i="5"/>
  <c r="O267" i="5"/>
  <c r="P267" i="5"/>
  <c r="Q267" i="5"/>
  <c r="O268" i="5"/>
  <c r="P268" i="5"/>
  <c r="Q268" i="5"/>
  <c r="O269" i="5"/>
  <c r="P269" i="5"/>
  <c r="Q269" i="5"/>
  <c r="O270" i="5"/>
  <c r="P270" i="5"/>
  <c r="Q270" i="5"/>
  <c r="O271" i="5"/>
  <c r="P271" i="5"/>
  <c r="Q271" i="5"/>
  <c r="O272" i="5"/>
  <c r="P272" i="5"/>
  <c r="Q272" i="5"/>
  <c r="O273" i="5"/>
  <c r="P273" i="5"/>
  <c r="Q273" i="5"/>
  <c r="O274" i="5"/>
  <c r="P274" i="5"/>
  <c r="Q274" i="5"/>
  <c r="O275" i="5"/>
  <c r="P275" i="5"/>
  <c r="Q275" i="5"/>
  <c r="O276" i="5"/>
  <c r="P276" i="5"/>
  <c r="Q276" i="5"/>
  <c r="O277" i="5"/>
  <c r="P277" i="5"/>
  <c r="Q277" i="5"/>
  <c r="O278" i="5"/>
  <c r="P278" i="5"/>
  <c r="Q278" i="5"/>
  <c r="O279" i="5"/>
  <c r="P279" i="5"/>
  <c r="Q279" i="5"/>
  <c r="O280" i="5"/>
  <c r="P280" i="5"/>
  <c r="Q280" i="5"/>
  <c r="O281" i="5"/>
  <c r="P281" i="5"/>
  <c r="Q281" i="5"/>
  <c r="O282" i="5"/>
  <c r="P282" i="5"/>
  <c r="Q282" i="5"/>
  <c r="O283" i="5"/>
  <c r="P283" i="5"/>
  <c r="Q283" i="5"/>
  <c r="O284" i="5"/>
  <c r="P284" i="5"/>
  <c r="Q284" i="5"/>
  <c r="O285" i="5"/>
  <c r="P285" i="5"/>
  <c r="Q285" i="5"/>
  <c r="O286" i="5"/>
  <c r="P286" i="5"/>
  <c r="Q286" i="5"/>
  <c r="O287" i="5"/>
  <c r="P287" i="5"/>
  <c r="Q287" i="5"/>
  <c r="O288" i="5"/>
  <c r="P288" i="5"/>
  <c r="Q288" i="5"/>
  <c r="O289" i="5"/>
  <c r="P289" i="5"/>
  <c r="Q289" i="5"/>
  <c r="O290" i="5"/>
  <c r="P290" i="5"/>
  <c r="Q290" i="5"/>
  <c r="O291" i="5"/>
  <c r="P291" i="5"/>
  <c r="Q291" i="5"/>
  <c r="O292" i="5"/>
  <c r="P292" i="5"/>
  <c r="Q292" i="5"/>
  <c r="O293" i="5"/>
  <c r="P293" i="5"/>
  <c r="Q293" i="5"/>
  <c r="O294" i="5"/>
  <c r="P294" i="5"/>
  <c r="Q294" i="5"/>
  <c r="O295" i="5"/>
  <c r="P295" i="5"/>
  <c r="Q295" i="5"/>
  <c r="O296" i="5"/>
  <c r="P296" i="5"/>
  <c r="Q296" i="5"/>
  <c r="O297" i="5"/>
  <c r="P297" i="5"/>
  <c r="Q297" i="5"/>
  <c r="O298" i="5"/>
  <c r="P298" i="5"/>
  <c r="Q298" i="5"/>
  <c r="O299" i="5"/>
  <c r="P299" i="5"/>
  <c r="Q299" i="5"/>
  <c r="O300" i="5"/>
  <c r="P300" i="5"/>
  <c r="Q300" i="5"/>
  <c r="O301" i="5"/>
  <c r="P301" i="5"/>
  <c r="Q301" i="5"/>
  <c r="O302" i="5"/>
  <c r="P302" i="5"/>
  <c r="Q302" i="5"/>
  <c r="O303" i="5"/>
  <c r="P303" i="5"/>
  <c r="Q303" i="5"/>
  <c r="O304" i="5"/>
  <c r="P304" i="5"/>
  <c r="Q304" i="5"/>
  <c r="O305" i="5"/>
  <c r="P305" i="5"/>
  <c r="Q305" i="5"/>
  <c r="O306" i="5"/>
  <c r="P306" i="5"/>
  <c r="Q306" i="5"/>
  <c r="O307" i="5"/>
  <c r="P307" i="5"/>
  <c r="Q307" i="5"/>
  <c r="O308" i="5"/>
  <c r="P308" i="5"/>
  <c r="Q308" i="5"/>
  <c r="O309" i="5"/>
  <c r="P309" i="5"/>
  <c r="Q309" i="5"/>
  <c r="O310" i="5"/>
  <c r="P310" i="5"/>
  <c r="Q310" i="5"/>
  <c r="O311" i="5"/>
  <c r="P311" i="5"/>
  <c r="Q311" i="5"/>
  <c r="O312" i="5"/>
  <c r="P312" i="5"/>
  <c r="Q312" i="5"/>
  <c r="O313" i="5"/>
  <c r="P313" i="5"/>
  <c r="Q313" i="5"/>
  <c r="O314" i="5"/>
  <c r="P314" i="5"/>
  <c r="Q314" i="5"/>
  <c r="O315" i="5"/>
  <c r="P315" i="5"/>
  <c r="Q315" i="5"/>
  <c r="O316" i="5"/>
  <c r="P316" i="5"/>
  <c r="Q316" i="5"/>
  <c r="O317" i="5"/>
  <c r="P317" i="5"/>
  <c r="Q317" i="5"/>
  <c r="O318" i="5"/>
  <c r="P318" i="5"/>
  <c r="Q318" i="5"/>
  <c r="O319" i="5"/>
  <c r="P319" i="5"/>
  <c r="Q319" i="5"/>
  <c r="O320" i="5"/>
  <c r="P320" i="5"/>
  <c r="Q320" i="5"/>
  <c r="O321" i="5"/>
  <c r="P321" i="5"/>
  <c r="Q321" i="5"/>
  <c r="O322" i="5"/>
  <c r="P322" i="5"/>
  <c r="Q322" i="5"/>
  <c r="O323" i="5"/>
  <c r="P323" i="5"/>
  <c r="Q323" i="5"/>
  <c r="O324" i="5"/>
  <c r="P324" i="5"/>
  <c r="Q324" i="5"/>
  <c r="O325" i="5"/>
  <c r="P325" i="5"/>
  <c r="Q325" i="5"/>
  <c r="O326" i="5"/>
  <c r="P326" i="5"/>
  <c r="Q326" i="5"/>
  <c r="O327" i="5"/>
  <c r="P327" i="5"/>
  <c r="Q327" i="5"/>
  <c r="O328" i="5"/>
  <c r="P328" i="5"/>
  <c r="Q328" i="5"/>
  <c r="O329" i="5"/>
  <c r="P329" i="5"/>
  <c r="Q329" i="5"/>
  <c r="O330" i="5"/>
  <c r="P330" i="5"/>
  <c r="Q330" i="5"/>
  <c r="O331" i="5"/>
  <c r="P331" i="5"/>
  <c r="Q331" i="5"/>
  <c r="O332" i="5"/>
  <c r="P332" i="5"/>
  <c r="Q332" i="5"/>
  <c r="O333" i="5"/>
  <c r="P333" i="5"/>
  <c r="Q333" i="5"/>
  <c r="O334" i="5"/>
  <c r="P334" i="5"/>
  <c r="Q334" i="5"/>
  <c r="O335" i="5"/>
  <c r="P335" i="5"/>
  <c r="Q335" i="5"/>
  <c r="O336" i="5"/>
  <c r="P336" i="5"/>
  <c r="Q336" i="5"/>
  <c r="O337" i="5"/>
  <c r="P337" i="5"/>
  <c r="Q337" i="5"/>
  <c r="O338" i="5"/>
  <c r="P338" i="5"/>
  <c r="Q338" i="5"/>
  <c r="O339" i="5"/>
  <c r="P339" i="5"/>
  <c r="Q339" i="5"/>
  <c r="O340" i="5"/>
  <c r="P340" i="5"/>
  <c r="Q340" i="5"/>
  <c r="O341" i="5"/>
  <c r="P341" i="5"/>
  <c r="Q341" i="5"/>
  <c r="O342" i="5"/>
  <c r="P342" i="5"/>
  <c r="Q342" i="5"/>
  <c r="O343" i="5"/>
  <c r="P343" i="5"/>
  <c r="Q343" i="5"/>
  <c r="O344" i="5"/>
  <c r="P344" i="5"/>
  <c r="Q344" i="5"/>
  <c r="O345" i="5"/>
  <c r="P345" i="5"/>
  <c r="Q345" i="5"/>
  <c r="O346" i="5"/>
  <c r="P346" i="5"/>
  <c r="Q346" i="5"/>
  <c r="O347" i="5"/>
  <c r="P347" i="5"/>
  <c r="Q347" i="5"/>
  <c r="O348" i="5"/>
  <c r="P348" i="5"/>
  <c r="Q348" i="5"/>
  <c r="O349" i="5"/>
  <c r="P349" i="5"/>
  <c r="Q349" i="5"/>
  <c r="O350" i="5"/>
  <c r="P350" i="5"/>
  <c r="Q350" i="5"/>
  <c r="O351" i="5"/>
  <c r="P351" i="5"/>
  <c r="Q351" i="5"/>
  <c r="O352" i="5"/>
  <c r="P352" i="5"/>
  <c r="Q352" i="5"/>
  <c r="O353" i="5"/>
  <c r="P353" i="5"/>
  <c r="Q353" i="5"/>
  <c r="O354" i="5"/>
  <c r="P354" i="5"/>
  <c r="Q354" i="5"/>
  <c r="O355" i="5"/>
  <c r="P355" i="5"/>
  <c r="Q355" i="5"/>
  <c r="O356" i="5"/>
  <c r="P356" i="5"/>
  <c r="Q356" i="5"/>
  <c r="O357" i="5"/>
  <c r="P357" i="5"/>
  <c r="Q357" i="5"/>
  <c r="O358" i="5"/>
  <c r="P358" i="5"/>
  <c r="Q358" i="5"/>
  <c r="O359" i="5"/>
  <c r="P359" i="5"/>
  <c r="Q359" i="5"/>
  <c r="O360" i="5"/>
  <c r="P360" i="5"/>
  <c r="Q360" i="5"/>
  <c r="O361" i="5"/>
  <c r="P361" i="5"/>
  <c r="Q361" i="5"/>
  <c r="O362" i="5"/>
  <c r="P362" i="5"/>
  <c r="Q362" i="5"/>
  <c r="O363" i="5"/>
  <c r="P363" i="5"/>
  <c r="Q363" i="5"/>
  <c r="O364" i="5"/>
  <c r="P364" i="5"/>
  <c r="Q364" i="5"/>
  <c r="O365" i="5"/>
  <c r="P365" i="5"/>
  <c r="Q365" i="5"/>
  <c r="O366" i="5"/>
  <c r="P366" i="5"/>
  <c r="Q366" i="5"/>
  <c r="O367" i="5"/>
  <c r="P367" i="5"/>
  <c r="Q367" i="5"/>
  <c r="O368" i="5"/>
  <c r="P368" i="5"/>
  <c r="Q368" i="5"/>
  <c r="O369" i="5"/>
  <c r="P369" i="5"/>
  <c r="Q369" i="5"/>
  <c r="O370" i="5"/>
  <c r="P370" i="5"/>
  <c r="Q370" i="5"/>
  <c r="O371" i="5"/>
  <c r="P371" i="5"/>
  <c r="Q371" i="5"/>
  <c r="O372" i="5"/>
  <c r="P372" i="5"/>
  <c r="Q372" i="5"/>
  <c r="O373" i="5"/>
  <c r="P373" i="5"/>
  <c r="Q373" i="5"/>
  <c r="O374" i="5"/>
  <c r="P374" i="5"/>
  <c r="Q374" i="5"/>
  <c r="O375" i="5"/>
  <c r="P375" i="5"/>
  <c r="Q375" i="5"/>
  <c r="O376" i="5"/>
  <c r="P376" i="5"/>
  <c r="Q376" i="5"/>
  <c r="O377" i="5"/>
  <c r="P377" i="5"/>
  <c r="Q377" i="5"/>
  <c r="O378" i="5"/>
  <c r="P378" i="5"/>
  <c r="Q378" i="5"/>
  <c r="O379" i="5"/>
  <c r="P379" i="5"/>
  <c r="Q379" i="5"/>
  <c r="O380" i="5"/>
  <c r="P380" i="5"/>
  <c r="Q380" i="5"/>
  <c r="O381" i="5"/>
  <c r="P381" i="5"/>
  <c r="Q381" i="5"/>
  <c r="O382" i="5"/>
  <c r="P382" i="5"/>
  <c r="Q382" i="5"/>
  <c r="O383" i="5"/>
  <c r="P383" i="5"/>
  <c r="Q383" i="5"/>
  <c r="O384" i="5"/>
  <c r="P384" i="5"/>
  <c r="Q384" i="5"/>
  <c r="O385" i="5"/>
  <c r="P385" i="5"/>
  <c r="Q385" i="5"/>
  <c r="O386" i="5"/>
  <c r="P386" i="5"/>
  <c r="Q386" i="5"/>
  <c r="O387" i="5"/>
  <c r="P387" i="5"/>
  <c r="Q387" i="5"/>
  <c r="O388" i="5"/>
  <c r="P388" i="5"/>
  <c r="Q388" i="5"/>
  <c r="O389" i="5"/>
  <c r="P389" i="5"/>
  <c r="Q389" i="5"/>
  <c r="O390" i="5"/>
  <c r="P390" i="5"/>
  <c r="Q390" i="5"/>
  <c r="O391" i="5"/>
  <c r="P391" i="5"/>
  <c r="Q391" i="5"/>
  <c r="O392" i="5"/>
  <c r="P392" i="5"/>
  <c r="Q392" i="5"/>
  <c r="O393" i="5"/>
  <c r="P393" i="5"/>
  <c r="Q393" i="5"/>
  <c r="O394" i="5"/>
  <c r="P394" i="5"/>
  <c r="Q394" i="5"/>
  <c r="O395" i="5"/>
  <c r="P395" i="5"/>
  <c r="Q395" i="5"/>
  <c r="O396" i="5"/>
  <c r="P396" i="5"/>
  <c r="Q396" i="5"/>
  <c r="O397" i="5"/>
  <c r="P397" i="5"/>
  <c r="Q397" i="5"/>
  <c r="O398" i="5"/>
  <c r="P398" i="5"/>
  <c r="Q398" i="5"/>
  <c r="O399" i="5"/>
  <c r="P399" i="5"/>
  <c r="Q399" i="5"/>
  <c r="O400" i="5"/>
  <c r="P400" i="5"/>
  <c r="Q400" i="5"/>
  <c r="O401" i="5"/>
  <c r="P401" i="5"/>
  <c r="Q401" i="5"/>
  <c r="O402" i="5"/>
  <c r="P402" i="5"/>
  <c r="Q402" i="5"/>
  <c r="O403" i="5"/>
  <c r="P403" i="5"/>
  <c r="Q403" i="5"/>
  <c r="O404" i="5"/>
  <c r="P404" i="5"/>
  <c r="Q404" i="5"/>
  <c r="O405" i="5"/>
  <c r="P405" i="5"/>
  <c r="Q405" i="5"/>
  <c r="O406" i="5"/>
  <c r="P406" i="5"/>
  <c r="Q406" i="5"/>
  <c r="O407" i="5"/>
  <c r="P407" i="5"/>
  <c r="Q407" i="5"/>
  <c r="O408" i="5"/>
  <c r="P408" i="5"/>
  <c r="Q408" i="5"/>
  <c r="O409" i="5"/>
  <c r="P409" i="5"/>
  <c r="Q409" i="5"/>
  <c r="O410" i="5"/>
  <c r="P410" i="5"/>
  <c r="Q410" i="5"/>
  <c r="O411" i="5"/>
  <c r="P411" i="5"/>
  <c r="Q411" i="5"/>
  <c r="O412" i="5"/>
  <c r="P412" i="5"/>
  <c r="Q412" i="5"/>
  <c r="O413" i="5"/>
  <c r="P413" i="5"/>
  <c r="Q413" i="5"/>
  <c r="O414" i="5"/>
  <c r="P414" i="5"/>
  <c r="Q414" i="5"/>
  <c r="O415" i="5"/>
  <c r="P415" i="5"/>
  <c r="Q415" i="5"/>
  <c r="O416" i="5"/>
  <c r="P416" i="5"/>
  <c r="Q416" i="5"/>
  <c r="O417" i="5"/>
  <c r="P417" i="5"/>
  <c r="Q417" i="5"/>
  <c r="O418" i="5"/>
  <c r="P418" i="5"/>
  <c r="Q418" i="5"/>
  <c r="O419" i="5"/>
  <c r="P419" i="5"/>
  <c r="Q419" i="5"/>
  <c r="O420" i="5"/>
  <c r="P420" i="5"/>
  <c r="Q420" i="5"/>
  <c r="O421" i="5"/>
  <c r="P421" i="5"/>
  <c r="Q421" i="5"/>
  <c r="O422" i="5"/>
  <c r="P422" i="5"/>
  <c r="Q422" i="5"/>
  <c r="O423" i="5"/>
  <c r="P423" i="5"/>
  <c r="Q423" i="5"/>
  <c r="O424" i="5"/>
  <c r="P424" i="5"/>
  <c r="Q424" i="5"/>
  <c r="O425" i="5"/>
  <c r="P425" i="5"/>
  <c r="Q425" i="5"/>
  <c r="O426" i="5"/>
  <c r="P426" i="5"/>
  <c r="Q426" i="5"/>
  <c r="O427" i="5"/>
  <c r="P427" i="5"/>
  <c r="Q427" i="5"/>
  <c r="O428" i="5"/>
  <c r="P428" i="5"/>
  <c r="Q428" i="5"/>
  <c r="O429" i="5"/>
  <c r="P429" i="5"/>
  <c r="Q429" i="5"/>
  <c r="O430" i="5"/>
  <c r="P430" i="5"/>
  <c r="Q430" i="5"/>
  <c r="O431" i="5"/>
  <c r="P431" i="5"/>
  <c r="Q431" i="5"/>
  <c r="O432" i="5"/>
  <c r="P432" i="5"/>
  <c r="Q432" i="5"/>
  <c r="O433" i="5"/>
  <c r="P433" i="5"/>
  <c r="Q433" i="5"/>
  <c r="O434" i="5"/>
  <c r="P434" i="5"/>
  <c r="Q434" i="5"/>
  <c r="O435" i="5"/>
  <c r="P435" i="5"/>
  <c r="Q435" i="5"/>
  <c r="O436" i="5"/>
  <c r="P436" i="5"/>
  <c r="Q436" i="5"/>
  <c r="O437" i="5"/>
  <c r="P437" i="5"/>
  <c r="Q437" i="5"/>
  <c r="O438" i="5"/>
  <c r="P438" i="5"/>
  <c r="Q438" i="5"/>
  <c r="O439" i="5"/>
  <c r="P439" i="5"/>
  <c r="Q439" i="5"/>
  <c r="O440" i="5"/>
  <c r="P440" i="5"/>
  <c r="Q440" i="5"/>
  <c r="O441" i="5"/>
  <c r="P441" i="5"/>
  <c r="Q441" i="5"/>
  <c r="O442" i="5"/>
  <c r="P442" i="5"/>
  <c r="Q442" i="5"/>
  <c r="O443" i="5"/>
  <c r="P443" i="5"/>
  <c r="Q443" i="5"/>
  <c r="O444" i="5"/>
  <c r="P444" i="5"/>
  <c r="Q444" i="5"/>
  <c r="O445" i="5"/>
  <c r="P445" i="5"/>
  <c r="Q445" i="5"/>
  <c r="O446" i="5"/>
  <c r="P446" i="5"/>
  <c r="Q446" i="5"/>
  <c r="O447" i="5"/>
  <c r="P447" i="5"/>
  <c r="Q447" i="5"/>
  <c r="O448" i="5"/>
  <c r="P448" i="5"/>
  <c r="Q448" i="5"/>
  <c r="O449" i="5"/>
  <c r="P449" i="5"/>
  <c r="Q449" i="5"/>
  <c r="O450" i="5"/>
  <c r="P450" i="5"/>
  <c r="Q450" i="5"/>
  <c r="O451" i="5"/>
  <c r="P451" i="5"/>
  <c r="Q451" i="5"/>
  <c r="O452" i="5"/>
  <c r="P452" i="5"/>
  <c r="Q452" i="5"/>
  <c r="O453" i="5"/>
  <c r="P453" i="5"/>
  <c r="Q453" i="5"/>
  <c r="O454" i="5"/>
  <c r="P454" i="5"/>
  <c r="Q454" i="5"/>
  <c r="O455" i="5"/>
  <c r="P455" i="5"/>
  <c r="Q455" i="5"/>
  <c r="O456" i="5"/>
  <c r="P456" i="5"/>
  <c r="Q456" i="5"/>
  <c r="O457" i="5"/>
  <c r="P457" i="5"/>
  <c r="Q457" i="5"/>
  <c r="O458" i="5"/>
  <c r="P458" i="5"/>
  <c r="Q458" i="5"/>
  <c r="O459" i="5"/>
  <c r="P459" i="5"/>
  <c r="Q459" i="5"/>
  <c r="O460" i="5"/>
  <c r="P460" i="5"/>
  <c r="Q460" i="5"/>
  <c r="O461" i="5"/>
  <c r="P461" i="5"/>
  <c r="Q461" i="5"/>
  <c r="O462" i="5"/>
  <c r="P462" i="5"/>
  <c r="Q462" i="5"/>
  <c r="O463" i="5"/>
  <c r="P463" i="5"/>
  <c r="Q463" i="5"/>
  <c r="O464" i="5"/>
  <c r="P464" i="5"/>
  <c r="Q464" i="5"/>
  <c r="O465" i="5"/>
  <c r="P465" i="5"/>
  <c r="Q465" i="5"/>
  <c r="O466" i="5"/>
  <c r="P466" i="5"/>
  <c r="Q466" i="5"/>
  <c r="O467" i="5"/>
  <c r="P467" i="5"/>
  <c r="Q467" i="5"/>
  <c r="O468" i="5"/>
  <c r="P468" i="5"/>
  <c r="Q468" i="5"/>
  <c r="O469" i="5"/>
  <c r="P469" i="5"/>
  <c r="Q469" i="5"/>
  <c r="O470" i="5"/>
  <c r="P470" i="5"/>
  <c r="Q470" i="5"/>
  <c r="O471" i="5"/>
  <c r="P471" i="5"/>
  <c r="Q471" i="5"/>
  <c r="O472" i="5"/>
  <c r="P472" i="5"/>
  <c r="Q472" i="5"/>
  <c r="O473" i="5"/>
  <c r="P473" i="5"/>
  <c r="Q473" i="5"/>
  <c r="O474" i="5"/>
  <c r="P474" i="5"/>
  <c r="Q474" i="5"/>
  <c r="O475" i="5"/>
  <c r="P475" i="5"/>
  <c r="Q475" i="5"/>
  <c r="O476" i="5"/>
  <c r="P476" i="5"/>
  <c r="Q476" i="5"/>
  <c r="O477" i="5"/>
  <c r="P477" i="5"/>
  <c r="Q477" i="5"/>
  <c r="O478" i="5"/>
  <c r="P478" i="5"/>
  <c r="Q478" i="5"/>
  <c r="O479" i="5"/>
  <c r="P479" i="5"/>
  <c r="Q479" i="5"/>
  <c r="O480" i="5"/>
  <c r="P480" i="5"/>
  <c r="Q480" i="5"/>
  <c r="O481" i="5"/>
  <c r="P481" i="5"/>
  <c r="Q481" i="5"/>
  <c r="O482" i="5"/>
  <c r="P482" i="5"/>
  <c r="Q482" i="5"/>
  <c r="O483" i="5"/>
  <c r="P483" i="5"/>
  <c r="Q483" i="5"/>
  <c r="O484" i="5"/>
  <c r="P484" i="5"/>
  <c r="Q484" i="5"/>
  <c r="O485" i="5"/>
  <c r="P485" i="5"/>
  <c r="Q485" i="5"/>
  <c r="O486" i="5"/>
  <c r="P486" i="5"/>
  <c r="Q486" i="5"/>
  <c r="O487" i="5"/>
  <c r="P487" i="5"/>
  <c r="Q487" i="5"/>
  <c r="O488" i="5"/>
  <c r="P488" i="5"/>
  <c r="Q488" i="5"/>
  <c r="O489" i="5"/>
  <c r="P489" i="5"/>
  <c r="Q489" i="5"/>
  <c r="O490" i="5"/>
  <c r="P490" i="5"/>
  <c r="Q490" i="5"/>
  <c r="O491" i="5"/>
  <c r="P491" i="5"/>
  <c r="Q491" i="5"/>
  <c r="O492" i="5"/>
  <c r="P492" i="5"/>
  <c r="Q492" i="5"/>
  <c r="O493" i="5"/>
  <c r="P493" i="5"/>
  <c r="Q493" i="5"/>
  <c r="O494" i="5"/>
  <c r="P494" i="5"/>
  <c r="Q494" i="5"/>
  <c r="O495" i="5"/>
  <c r="P495" i="5"/>
  <c r="Q495" i="5"/>
  <c r="O496" i="5"/>
  <c r="P496" i="5"/>
  <c r="Q496" i="5"/>
  <c r="O497" i="5"/>
  <c r="P497" i="5"/>
  <c r="Q497" i="5"/>
  <c r="O498" i="5"/>
  <c r="P498" i="5"/>
  <c r="Q498" i="5"/>
  <c r="O499" i="5"/>
  <c r="P499" i="5"/>
  <c r="Q499" i="5"/>
  <c r="O500" i="5"/>
  <c r="P500" i="5"/>
  <c r="Q500" i="5"/>
  <c r="O501" i="5"/>
  <c r="P501" i="5"/>
  <c r="Q501" i="5"/>
  <c r="O502" i="5"/>
  <c r="P502" i="5"/>
  <c r="Q502" i="5"/>
  <c r="O503" i="5"/>
  <c r="P503" i="5"/>
  <c r="Q503" i="5"/>
  <c r="O504" i="5"/>
  <c r="P504" i="5"/>
  <c r="Q504" i="5"/>
  <c r="O505" i="5"/>
  <c r="P505" i="5"/>
  <c r="Q505" i="5"/>
  <c r="O506" i="5"/>
  <c r="P506" i="5"/>
  <c r="Q506" i="5"/>
  <c r="O507" i="5"/>
  <c r="P507" i="5"/>
  <c r="Q507" i="5"/>
  <c r="O508" i="5"/>
  <c r="P508" i="5"/>
  <c r="Q508" i="5"/>
  <c r="O509" i="5"/>
  <c r="P509" i="5"/>
  <c r="Q509" i="5"/>
  <c r="O510" i="5"/>
  <c r="P510" i="5"/>
  <c r="Q510" i="5"/>
  <c r="O511" i="5"/>
  <c r="P511" i="5"/>
  <c r="Q511" i="5"/>
  <c r="O512" i="5"/>
  <c r="P512" i="5"/>
  <c r="Q512" i="5"/>
  <c r="O513" i="5"/>
  <c r="P513" i="5"/>
  <c r="Q513" i="5"/>
  <c r="O514" i="5"/>
  <c r="P514" i="5"/>
  <c r="Q514" i="5"/>
  <c r="O515" i="5"/>
  <c r="P515" i="5"/>
  <c r="Q515" i="5"/>
  <c r="O516" i="5"/>
  <c r="P516" i="5"/>
  <c r="Q516" i="5"/>
  <c r="O517" i="5"/>
  <c r="P517" i="5"/>
  <c r="Q517" i="5"/>
  <c r="O518" i="5"/>
  <c r="P518" i="5"/>
  <c r="Q518" i="5"/>
  <c r="O519" i="5"/>
  <c r="P519" i="5"/>
  <c r="Q519" i="5"/>
  <c r="O520" i="5"/>
  <c r="P520" i="5"/>
  <c r="Q520" i="5"/>
  <c r="O521" i="5"/>
  <c r="P521" i="5"/>
  <c r="Q521" i="5"/>
  <c r="O522" i="5"/>
  <c r="P522" i="5"/>
  <c r="Q522" i="5"/>
  <c r="O523" i="5"/>
  <c r="P523" i="5"/>
  <c r="Q523" i="5"/>
  <c r="O524" i="5"/>
  <c r="P524" i="5"/>
  <c r="Q524" i="5"/>
  <c r="O525" i="5"/>
  <c r="P525" i="5"/>
  <c r="Q525" i="5"/>
  <c r="O526" i="5"/>
  <c r="P526" i="5"/>
  <c r="Q526" i="5"/>
  <c r="O527" i="5"/>
  <c r="P527" i="5"/>
  <c r="Q527" i="5"/>
  <c r="O528" i="5"/>
  <c r="P528" i="5"/>
  <c r="Q528" i="5"/>
  <c r="O529" i="5"/>
  <c r="P529" i="5"/>
  <c r="Q529" i="5"/>
  <c r="O530" i="5"/>
  <c r="P530" i="5"/>
  <c r="Q530" i="5"/>
  <c r="O531" i="5"/>
  <c r="P531" i="5"/>
  <c r="Q531" i="5"/>
  <c r="O532" i="5"/>
  <c r="P532" i="5"/>
  <c r="Q532" i="5"/>
  <c r="O533" i="5"/>
  <c r="P533" i="5"/>
  <c r="Q533" i="5"/>
  <c r="O534" i="5"/>
  <c r="P534" i="5"/>
  <c r="Q534" i="5"/>
  <c r="O535" i="5"/>
  <c r="P535" i="5"/>
  <c r="Q535" i="5"/>
  <c r="O536" i="5"/>
  <c r="P536" i="5"/>
  <c r="Q536" i="5"/>
  <c r="O537" i="5"/>
  <c r="P537" i="5"/>
  <c r="Q537" i="5"/>
  <c r="O538" i="5"/>
  <c r="P538" i="5"/>
  <c r="Q538" i="5"/>
  <c r="O539" i="5"/>
  <c r="P539" i="5"/>
  <c r="Q539" i="5"/>
  <c r="O540" i="5"/>
  <c r="P540" i="5"/>
  <c r="Q540" i="5"/>
  <c r="O541" i="5"/>
  <c r="P541" i="5"/>
  <c r="Q541" i="5"/>
  <c r="O542" i="5"/>
  <c r="P542" i="5"/>
  <c r="Q542" i="5"/>
  <c r="O543" i="5"/>
  <c r="P543" i="5"/>
  <c r="Q543" i="5"/>
  <c r="O544" i="5"/>
  <c r="P544" i="5"/>
  <c r="Q544" i="5"/>
  <c r="O545" i="5"/>
  <c r="P545" i="5"/>
  <c r="Q545" i="5"/>
  <c r="O546" i="5"/>
  <c r="P546" i="5"/>
  <c r="Q546" i="5"/>
  <c r="O547" i="5"/>
  <c r="P547" i="5"/>
  <c r="Q547" i="5"/>
  <c r="O548" i="5"/>
  <c r="P548" i="5"/>
  <c r="Q548" i="5"/>
  <c r="O549" i="5"/>
  <c r="P549" i="5"/>
  <c r="Q549" i="5"/>
  <c r="O550" i="5"/>
  <c r="P550" i="5"/>
  <c r="Q550" i="5"/>
  <c r="O551" i="5"/>
  <c r="P551" i="5"/>
  <c r="Q551" i="5"/>
  <c r="O552" i="5"/>
  <c r="P552" i="5"/>
  <c r="Q552" i="5"/>
  <c r="O553" i="5"/>
  <c r="P553" i="5"/>
  <c r="Q553" i="5"/>
  <c r="O554" i="5"/>
  <c r="P554" i="5"/>
  <c r="Q554" i="5"/>
  <c r="O555" i="5"/>
  <c r="P555" i="5"/>
  <c r="Q555" i="5"/>
  <c r="O556" i="5"/>
  <c r="P556" i="5"/>
  <c r="Q556" i="5"/>
  <c r="O557" i="5"/>
  <c r="P557" i="5"/>
  <c r="Q557" i="5"/>
  <c r="O558" i="5"/>
  <c r="P558" i="5"/>
  <c r="Q558" i="5"/>
  <c r="O559" i="5"/>
  <c r="P559" i="5"/>
  <c r="Q559" i="5"/>
  <c r="O560" i="5"/>
  <c r="P560" i="5"/>
  <c r="Q560" i="5"/>
  <c r="O561" i="5"/>
  <c r="P561" i="5"/>
  <c r="Q561" i="5"/>
  <c r="O562" i="5"/>
  <c r="P562" i="5"/>
  <c r="Q562" i="5"/>
  <c r="O563" i="5"/>
  <c r="P563" i="5"/>
  <c r="Q563" i="5"/>
  <c r="O564" i="5"/>
  <c r="P564" i="5"/>
  <c r="Q564" i="5"/>
  <c r="O565" i="5"/>
  <c r="P565" i="5"/>
  <c r="Q565" i="5"/>
  <c r="O566" i="5"/>
  <c r="P566" i="5"/>
  <c r="Q566" i="5"/>
  <c r="O567" i="5"/>
  <c r="P567" i="5"/>
  <c r="Q567" i="5"/>
  <c r="O568" i="5"/>
  <c r="P568" i="5"/>
  <c r="Q568" i="5"/>
  <c r="O569" i="5"/>
  <c r="P569" i="5"/>
  <c r="Q569" i="5"/>
  <c r="O570" i="5"/>
  <c r="P570" i="5"/>
  <c r="Q570" i="5"/>
  <c r="O571" i="5"/>
  <c r="P571" i="5"/>
  <c r="Q571" i="5"/>
  <c r="O572" i="5"/>
  <c r="P572" i="5"/>
  <c r="Q572" i="5"/>
  <c r="O573" i="5"/>
  <c r="P573" i="5"/>
  <c r="Q573" i="5"/>
  <c r="O574" i="5"/>
  <c r="P574" i="5"/>
  <c r="Q574" i="5"/>
  <c r="O575" i="5"/>
  <c r="P575" i="5"/>
  <c r="Q575" i="5"/>
  <c r="O576" i="5"/>
  <c r="P576" i="5"/>
  <c r="Q576" i="5"/>
  <c r="O577" i="5"/>
  <c r="P577" i="5"/>
  <c r="Q577" i="5"/>
  <c r="O578" i="5"/>
  <c r="P578" i="5"/>
  <c r="Q578" i="5"/>
  <c r="O579" i="5"/>
  <c r="P579" i="5"/>
  <c r="Q579" i="5"/>
  <c r="O580" i="5"/>
  <c r="P580" i="5"/>
  <c r="Q580" i="5"/>
  <c r="O581" i="5"/>
  <c r="P581" i="5"/>
  <c r="Q581" i="5"/>
  <c r="O582" i="5"/>
  <c r="P582" i="5"/>
  <c r="Q582" i="5"/>
  <c r="O583" i="5"/>
  <c r="P583" i="5"/>
  <c r="Q583" i="5"/>
  <c r="O584" i="5"/>
  <c r="P584" i="5"/>
  <c r="Q584" i="5"/>
  <c r="O585" i="5"/>
  <c r="P585" i="5"/>
  <c r="Q585" i="5"/>
  <c r="O586" i="5"/>
  <c r="P586" i="5"/>
  <c r="Q586" i="5"/>
  <c r="O587" i="5"/>
  <c r="P587" i="5"/>
  <c r="Q587" i="5"/>
  <c r="O588" i="5"/>
  <c r="P588" i="5"/>
  <c r="Q588" i="5"/>
  <c r="O589" i="5"/>
  <c r="P589" i="5"/>
  <c r="Q589" i="5"/>
  <c r="O590" i="5"/>
  <c r="P590" i="5"/>
  <c r="Q590" i="5"/>
  <c r="O591" i="5"/>
  <c r="P591" i="5"/>
  <c r="Q591" i="5"/>
  <c r="O592" i="5"/>
  <c r="P592" i="5"/>
  <c r="Q592" i="5"/>
  <c r="O593" i="5"/>
  <c r="P593" i="5"/>
  <c r="Q593" i="5"/>
  <c r="O594" i="5"/>
  <c r="P594" i="5"/>
  <c r="Q594" i="5"/>
  <c r="O595" i="5"/>
  <c r="P595" i="5"/>
  <c r="Q595" i="5"/>
  <c r="O596" i="5"/>
  <c r="P596" i="5"/>
  <c r="Q596" i="5"/>
  <c r="O597" i="5"/>
  <c r="P597" i="5"/>
  <c r="Q597" i="5"/>
  <c r="O598" i="5"/>
  <c r="P598" i="5"/>
  <c r="Q598" i="5"/>
  <c r="O599" i="5"/>
  <c r="P599" i="5"/>
  <c r="Q599" i="5"/>
  <c r="O600" i="5"/>
  <c r="P600" i="5"/>
  <c r="Q600" i="5"/>
  <c r="O601" i="5"/>
  <c r="P601" i="5"/>
  <c r="Q601" i="5"/>
  <c r="O602" i="5"/>
  <c r="P602" i="5"/>
  <c r="Q602" i="5"/>
  <c r="O603" i="5"/>
  <c r="P603" i="5"/>
  <c r="Q603" i="5"/>
  <c r="O604" i="5"/>
  <c r="P604" i="5"/>
  <c r="Q604" i="5"/>
  <c r="O605" i="5"/>
  <c r="P605" i="5"/>
  <c r="Q605" i="5"/>
  <c r="O606" i="5"/>
  <c r="P606" i="5"/>
  <c r="Q606" i="5"/>
  <c r="O607" i="5"/>
  <c r="P607" i="5"/>
  <c r="Q607" i="5"/>
  <c r="O608" i="5"/>
  <c r="P608" i="5"/>
  <c r="Q608" i="5"/>
  <c r="O609" i="5"/>
  <c r="P609" i="5"/>
  <c r="Q609" i="5"/>
  <c r="O610" i="5"/>
  <c r="P610" i="5"/>
  <c r="Q610" i="5"/>
  <c r="O611" i="5"/>
  <c r="P611" i="5"/>
  <c r="Q611" i="5"/>
  <c r="O612" i="5"/>
  <c r="P612" i="5"/>
  <c r="Q612" i="5"/>
  <c r="O613" i="5"/>
  <c r="P613" i="5"/>
  <c r="Q613" i="5"/>
  <c r="O614" i="5"/>
  <c r="P614" i="5"/>
  <c r="Q614" i="5"/>
  <c r="O615" i="5"/>
  <c r="P615" i="5"/>
  <c r="Q615" i="5"/>
  <c r="O616" i="5"/>
  <c r="P616" i="5"/>
  <c r="Q616" i="5"/>
  <c r="O617" i="5"/>
  <c r="P617" i="5"/>
  <c r="Q617" i="5"/>
  <c r="O618" i="5"/>
  <c r="P618" i="5"/>
  <c r="Q618" i="5"/>
  <c r="O619" i="5"/>
  <c r="P619" i="5"/>
  <c r="Q619" i="5"/>
  <c r="O620" i="5"/>
  <c r="P620" i="5"/>
  <c r="Q620" i="5"/>
  <c r="O621" i="5"/>
  <c r="P621" i="5"/>
  <c r="Q621" i="5"/>
  <c r="O622" i="5"/>
  <c r="P622" i="5"/>
  <c r="Q622" i="5"/>
  <c r="O623" i="5"/>
  <c r="P623" i="5"/>
  <c r="Q623" i="5"/>
  <c r="O624" i="5"/>
  <c r="P624" i="5"/>
  <c r="Q624" i="5"/>
  <c r="O625" i="5"/>
  <c r="P625" i="5"/>
  <c r="Q625" i="5"/>
  <c r="O626" i="5"/>
  <c r="P626" i="5"/>
  <c r="Q626" i="5"/>
  <c r="O627" i="5"/>
  <c r="P627" i="5"/>
  <c r="Q627" i="5"/>
  <c r="O628" i="5"/>
  <c r="P628" i="5"/>
  <c r="Q628" i="5"/>
  <c r="O629" i="5"/>
  <c r="P629" i="5"/>
  <c r="Q629" i="5"/>
  <c r="O630" i="5"/>
  <c r="P630" i="5"/>
  <c r="Q630" i="5"/>
  <c r="O631" i="5"/>
  <c r="P631" i="5"/>
  <c r="Q631" i="5"/>
  <c r="O632" i="5"/>
  <c r="P632" i="5"/>
  <c r="Q632" i="5"/>
  <c r="O633" i="5"/>
  <c r="P633" i="5"/>
  <c r="Q633" i="5"/>
  <c r="O634" i="5"/>
  <c r="P634" i="5"/>
  <c r="Q634" i="5"/>
  <c r="O635" i="5"/>
  <c r="P635" i="5"/>
  <c r="Q635" i="5"/>
  <c r="O636" i="5"/>
  <c r="P636" i="5"/>
  <c r="Q636" i="5"/>
  <c r="O637" i="5"/>
  <c r="P637" i="5"/>
  <c r="Q637" i="5"/>
  <c r="O638" i="5"/>
  <c r="P638" i="5"/>
  <c r="Q638" i="5"/>
  <c r="O639" i="5"/>
  <c r="P639" i="5"/>
  <c r="Q639" i="5"/>
  <c r="O640" i="5"/>
  <c r="P640" i="5"/>
  <c r="Q640" i="5"/>
  <c r="O641" i="5"/>
  <c r="P641" i="5"/>
  <c r="Q641" i="5"/>
  <c r="O642" i="5"/>
  <c r="P642" i="5"/>
  <c r="Q642" i="5"/>
  <c r="O643" i="5"/>
  <c r="P643" i="5"/>
  <c r="Q643" i="5"/>
  <c r="O644" i="5"/>
  <c r="P644" i="5"/>
  <c r="Q644" i="5"/>
  <c r="O645" i="5"/>
  <c r="P645" i="5"/>
  <c r="Q645" i="5"/>
  <c r="O646" i="5"/>
  <c r="P646" i="5"/>
  <c r="Q646" i="5"/>
  <c r="O647" i="5"/>
  <c r="P647" i="5"/>
  <c r="Q647" i="5"/>
  <c r="O648" i="5"/>
  <c r="P648" i="5"/>
  <c r="Q648" i="5"/>
  <c r="O649" i="5"/>
  <c r="P649" i="5"/>
  <c r="Q649" i="5"/>
  <c r="O650" i="5"/>
  <c r="P650" i="5"/>
  <c r="Q650" i="5"/>
  <c r="O651" i="5"/>
  <c r="P651" i="5"/>
  <c r="Q651" i="5"/>
  <c r="O652" i="5"/>
  <c r="P652" i="5"/>
  <c r="Q652" i="5"/>
  <c r="O653" i="5"/>
  <c r="P653" i="5"/>
  <c r="Q653" i="5"/>
  <c r="O654" i="5"/>
  <c r="P654" i="5"/>
  <c r="Q654" i="5"/>
  <c r="O655" i="5"/>
  <c r="P655" i="5"/>
  <c r="Q655" i="5"/>
  <c r="O656" i="5"/>
  <c r="P656" i="5"/>
  <c r="Q656" i="5"/>
  <c r="O657" i="5"/>
  <c r="P657" i="5"/>
  <c r="Q657" i="5"/>
  <c r="O658" i="5"/>
  <c r="P658" i="5"/>
  <c r="Q658" i="5"/>
  <c r="O659" i="5"/>
  <c r="P659" i="5"/>
  <c r="Q659" i="5"/>
  <c r="O660" i="5"/>
  <c r="P660" i="5"/>
  <c r="Q660" i="5"/>
  <c r="O661" i="5"/>
  <c r="P661" i="5"/>
  <c r="Q661" i="5"/>
  <c r="O662" i="5"/>
  <c r="P662" i="5"/>
  <c r="Q662" i="5"/>
  <c r="O663" i="5"/>
  <c r="P663" i="5"/>
  <c r="Q663" i="5"/>
  <c r="O664" i="5"/>
  <c r="P664" i="5"/>
  <c r="Q664" i="5"/>
  <c r="O665" i="5"/>
  <c r="P665" i="5"/>
  <c r="Q665" i="5"/>
  <c r="O666" i="5"/>
  <c r="P666" i="5"/>
  <c r="Q666" i="5"/>
  <c r="O667" i="5"/>
  <c r="P667" i="5"/>
  <c r="Q667" i="5"/>
  <c r="O668" i="5"/>
  <c r="P668" i="5"/>
  <c r="Q668" i="5"/>
  <c r="O669" i="5"/>
  <c r="P669" i="5"/>
  <c r="Q669" i="5"/>
  <c r="O670" i="5"/>
  <c r="P670" i="5"/>
  <c r="Q670" i="5"/>
  <c r="O671" i="5"/>
  <c r="P671" i="5"/>
  <c r="Q671" i="5"/>
  <c r="O672" i="5"/>
  <c r="P672" i="5"/>
  <c r="Q672" i="5"/>
  <c r="O673" i="5"/>
  <c r="P673" i="5"/>
  <c r="Q673" i="5"/>
  <c r="O674" i="5"/>
  <c r="P674" i="5"/>
  <c r="Q674" i="5"/>
  <c r="O675" i="5"/>
  <c r="P675" i="5"/>
  <c r="Q675" i="5"/>
  <c r="O676" i="5"/>
  <c r="P676" i="5"/>
  <c r="Q676" i="5"/>
  <c r="O677" i="5"/>
  <c r="P677" i="5"/>
  <c r="Q677" i="5"/>
  <c r="O678" i="5"/>
  <c r="P678" i="5"/>
  <c r="Q678" i="5"/>
  <c r="O679" i="5"/>
  <c r="P679" i="5"/>
  <c r="Q679" i="5"/>
  <c r="O680" i="5"/>
  <c r="P680" i="5"/>
  <c r="Q680" i="5"/>
  <c r="O681" i="5"/>
  <c r="P681" i="5"/>
  <c r="Q681" i="5"/>
  <c r="O682" i="5"/>
  <c r="P682" i="5"/>
  <c r="Q682" i="5"/>
  <c r="O683" i="5"/>
  <c r="P683" i="5"/>
  <c r="Q683" i="5"/>
  <c r="O684" i="5"/>
  <c r="P684" i="5"/>
  <c r="Q684" i="5"/>
  <c r="O685" i="5"/>
  <c r="P685" i="5"/>
  <c r="Q685" i="5"/>
  <c r="O686" i="5"/>
  <c r="P686" i="5"/>
  <c r="Q686" i="5"/>
  <c r="O687" i="5"/>
  <c r="P687" i="5"/>
  <c r="Q687" i="5"/>
  <c r="O688" i="5"/>
  <c r="P688" i="5"/>
  <c r="Q688" i="5"/>
  <c r="O689" i="5"/>
  <c r="P689" i="5"/>
  <c r="Q689" i="5"/>
  <c r="O690" i="5"/>
  <c r="P690" i="5"/>
  <c r="Q690" i="5"/>
  <c r="O691" i="5"/>
  <c r="P691" i="5"/>
  <c r="Q691" i="5"/>
  <c r="O692" i="5"/>
  <c r="P692" i="5"/>
  <c r="Q692" i="5"/>
  <c r="O693" i="5"/>
  <c r="P693" i="5"/>
  <c r="Q693" i="5"/>
  <c r="O694" i="5"/>
  <c r="P694" i="5"/>
  <c r="Q694" i="5"/>
  <c r="O695" i="5"/>
  <c r="P695" i="5"/>
  <c r="Q695" i="5"/>
  <c r="O696" i="5"/>
  <c r="P696" i="5"/>
  <c r="Q696" i="5"/>
  <c r="O697" i="5"/>
  <c r="P697" i="5"/>
  <c r="Q697" i="5"/>
  <c r="O698" i="5"/>
  <c r="P698" i="5"/>
  <c r="Q698" i="5"/>
  <c r="O699" i="5"/>
  <c r="P699" i="5"/>
  <c r="Q699" i="5"/>
  <c r="O700" i="5"/>
  <c r="P700" i="5"/>
  <c r="Q700" i="5"/>
  <c r="O701" i="5"/>
  <c r="P701" i="5"/>
  <c r="Q701" i="5"/>
  <c r="O702" i="5"/>
  <c r="P702" i="5"/>
  <c r="Q702" i="5"/>
  <c r="O703" i="5"/>
  <c r="P703" i="5"/>
  <c r="Q703" i="5"/>
  <c r="O704" i="5"/>
  <c r="P704" i="5"/>
  <c r="Q704" i="5"/>
  <c r="O705" i="5"/>
  <c r="P705" i="5"/>
  <c r="Q705" i="5"/>
  <c r="O706" i="5"/>
  <c r="P706" i="5"/>
  <c r="Q706" i="5"/>
  <c r="O707" i="5"/>
  <c r="P707" i="5"/>
  <c r="Q707" i="5"/>
  <c r="O708" i="5"/>
  <c r="P708" i="5"/>
  <c r="Q708" i="5"/>
  <c r="O709" i="5"/>
  <c r="P709" i="5"/>
  <c r="Q709" i="5"/>
  <c r="O710" i="5"/>
  <c r="P710" i="5"/>
  <c r="Q710" i="5"/>
  <c r="O711" i="5"/>
  <c r="P711" i="5"/>
  <c r="Q711" i="5"/>
  <c r="O712" i="5"/>
  <c r="P712" i="5"/>
  <c r="Q712" i="5"/>
  <c r="O713" i="5"/>
  <c r="P713" i="5"/>
  <c r="Q713" i="5"/>
  <c r="O714" i="5"/>
  <c r="P714" i="5"/>
  <c r="Q714" i="5"/>
  <c r="O715" i="5"/>
  <c r="P715" i="5"/>
  <c r="Q715" i="5"/>
  <c r="O716" i="5"/>
  <c r="P716" i="5"/>
  <c r="Q716" i="5"/>
  <c r="O717" i="5"/>
  <c r="P717" i="5"/>
  <c r="Q717" i="5"/>
  <c r="O718" i="5"/>
  <c r="P718" i="5"/>
  <c r="Q718" i="5"/>
  <c r="O719" i="5"/>
  <c r="P719" i="5"/>
  <c r="Q719" i="5"/>
  <c r="O720" i="5"/>
  <c r="P720" i="5"/>
  <c r="Q720" i="5"/>
  <c r="O721" i="5"/>
  <c r="P721" i="5"/>
  <c r="Q721" i="5"/>
  <c r="O722" i="5"/>
  <c r="P722" i="5"/>
  <c r="Q722" i="5"/>
  <c r="O723" i="5"/>
  <c r="P723" i="5"/>
  <c r="Q723" i="5"/>
  <c r="O724" i="5"/>
  <c r="P724" i="5"/>
  <c r="Q724" i="5"/>
  <c r="O725" i="5"/>
  <c r="P725" i="5"/>
  <c r="Q725" i="5"/>
  <c r="O726" i="5"/>
  <c r="P726" i="5"/>
  <c r="Q726" i="5"/>
  <c r="O727" i="5"/>
  <c r="P727" i="5"/>
  <c r="Q727" i="5"/>
  <c r="O728" i="5"/>
  <c r="P728" i="5"/>
  <c r="Q728" i="5"/>
  <c r="O729" i="5"/>
  <c r="P729" i="5"/>
  <c r="Q729" i="5"/>
  <c r="O730" i="5"/>
  <c r="P730" i="5"/>
  <c r="Q730" i="5"/>
  <c r="O731" i="5"/>
  <c r="P731" i="5"/>
  <c r="Q731" i="5"/>
  <c r="O732" i="5"/>
  <c r="P732" i="5"/>
  <c r="Q732" i="5"/>
  <c r="O733" i="5"/>
  <c r="P733" i="5"/>
  <c r="Q733" i="5"/>
  <c r="O734" i="5"/>
  <c r="P734" i="5"/>
  <c r="Q734" i="5"/>
  <c r="O735" i="5"/>
  <c r="P735" i="5"/>
  <c r="Q735" i="5"/>
  <c r="O736" i="5"/>
  <c r="P736" i="5"/>
  <c r="Q736" i="5"/>
  <c r="O737" i="5"/>
  <c r="P737" i="5"/>
  <c r="Q737" i="5"/>
  <c r="O738" i="5"/>
  <c r="P738" i="5"/>
  <c r="Q738" i="5"/>
  <c r="O739" i="5"/>
  <c r="P739" i="5"/>
  <c r="Q739" i="5"/>
  <c r="O740" i="5"/>
  <c r="P740" i="5"/>
  <c r="Q740" i="5"/>
  <c r="O741" i="5"/>
  <c r="P741" i="5"/>
  <c r="Q741" i="5"/>
  <c r="O742" i="5"/>
  <c r="P742" i="5"/>
  <c r="Q742" i="5"/>
  <c r="O743" i="5"/>
  <c r="P743" i="5"/>
  <c r="Q743" i="5"/>
  <c r="O744" i="5"/>
  <c r="P744" i="5"/>
  <c r="Q744" i="5"/>
  <c r="O745" i="5"/>
  <c r="P745" i="5"/>
  <c r="Q745" i="5"/>
  <c r="O746" i="5"/>
  <c r="P746" i="5"/>
  <c r="Q746" i="5"/>
  <c r="O747" i="5"/>
  <c r="P747" i="5"/>
  <c r="Q747" i="5"/>
  <c r="O748" i="5"/>
  <c r="P748" i="5"/>
  <c r="Q748" i="5"/>
  <c r="O749" i="5"/>
  <c r="P749" i="5"/>
  <c r="Q749" i="5"/>
  <c r="O750" i="5"/>
  <c r="P750" i="5"/>
  <c r="Q750" i="5"/>
  <c r="O751" i="5"/>
  <c r="P751" i="5"/>
  <c r="Q751" i="5"/>
  <c r="O752" i="5"/>
  <c r="P752" i="5"/>
  <c r="Q752" i="5"/>
  <c r="O753" i="5"/>
  <c r="P753" i="5"/>
  <c r="Q753" i="5"/>
  <c r="O754" i="5"/>
  <c r="P754" i="5"/>
  <c r="Q754" i="5"/>
  <c r="O755" i="5"/>
  <c r="P755" i="5"/>
  <c r="Q755" i="5"/>
  <c r="O756" i="5"/>
  <c r="P756" i="5"/>
  <c r="Q756" i="5"/>
  <c r="O757" i="5"/>
  <c r="P757" i="5"/>
  <c r="Q757" i="5"/>
  <c r="O758" i="5"/>
  <c r="P758" i="5"/>
  <c r="Q758" i="5"/>
  <c r="O759" i="5"/>
  <c r="P759" i="5"/>
  <c r="Q759" i="5"/>
  <c r="O760" i="5"/>
  <c r="P760" i="5"/>
  <c r="Q760" i="5"/>
  <c r="O761" i="5"/>
  <c r="P761" i="5"/>
  <c r="Q761" i="5"/>
  <c r="O762" i="5"/>
  <c r="P762" i="5"/>
  <c r="Q762" i="5"/>
  <c r="O763" i="5"/>
  <c r="P763" i="5"/>
  <c r="Q763" i="5"/>
  <c r="O764" i="5"/>
  <c r="P764" i="5"/>
  <c r="Q764" i="5"/>
  <c r="O765" i="5"/>
  <c r="P765" i="5"/>
  <c r="Q765" i="5"/>
  <c r="O766" i="5"/>
  <c r="P766" i="5"/>
  <c r="Q766" i="5"/>
  <c r="O767" i="5"/>
  <c r="P767" i="5"/>
  <c r="Q767" i="5"/>
  <c r="O768" i="5"/>
  <c r="P768" i="5"/>
  <c r="Q768" i="5"/>
  <c r="O769" i="5"/>
  <c r="P769" i="5"/>
  <c r="Q769" i="5"/>
  <c r="O770" i="5"/>
  <c r="P770" i="5"/>
  <c r="Q770" i="5"/>
  <c r="O771" i="5"/>
  <c r="P771" i="5"/>
  <c r="Q771" i="5"/>
  <c r="O772" i="5"/>
  <c r="P772" i="5"/>
  <c r="Q772" i="5"/>
  <c r="O773" i="5"/>
  <c r="P773" i="5"/>
  <c r="Q773" i="5"/>
  <c r="O774" i="5"/>
  <c r="P774" i="5"/>
  <c r="Q774" i="5"/>
  <c r="O775" i="5"/>
  <c r="P775" i="5"/>
  <c r="Q775" i="5"/>
  <c r="O776" i="5"/>
  <c r="P776" i="5"/>
  <c r="Q776" i="5"/>
  <c r="O777" i="5"/>
  <c r="P777" i="5"/>
  <c r="Q777" i="5"/>
  <c r="O778" i="5"/>
  <c r="P778" i="5"/>
  <c r="Q778" i="5"/>
  <c r="O779" i="5"/>
  <c r="P779" i="5"/>
  <c r="Q779" i="5"/>
  <c r="O780" i="5"/>
  <c r="P780" i="5"/>
  <c r="Q780" i="5"/>
  <c r="O781" i="5"/>
  <c r="P781" i="5"/>
  <c r="Q781" i="5"/>
  <c r="O782" i="5"/>
  <c r="P782" i="5"/>
  <c r="Q782" i="5"/>
  <c r="O783" i="5"/>
  <c r="P783" i="5"/>
  <c r="Q783" i="5"/>
  <c r="O784" i="5"/>
  <c r="P784" i="5"/>
  <c r="Q784" i="5"/>
  <c r="O785" i="5"/>
  <c r="P785" i="5"/>
  <c r="Q785" i="5"/>
  <c r="O786" i="5"/>
  <c r="P786" i="5"/>
  <c r="Q786" i="5"/>
  <c r="O787" i="5"/>
  <c r="P787" i="5"/>
  <c r="Q787" i="5"/>
  <c r="O788" i="5"/>
  <c r="P788" i="5"/>
  <c r="Q788" i="5"/>
  <c r="O789" i="5"/>
  <c r="P789" i="5"/>
  <c r="Q789" i="5"/>
  <c r="O790" i="5"/>
  <c r="P790" i="5"/>
  <c r="Q790" i="5"/>
  <c r="O791" i="5"/>
  <c r="P791" i="5"/>
  <c r="Q791" i="5"/>
  <c r="O792" i="5"/>
  <c r="P792" i="5"/>
  <c r="Q792" i="5"/>
  <c r="O793" i="5"/>
  <c r="P793" i="5"/>
  <c r="Q793" i="5"/>
  <c r="O794" i="5"/>
  <c r="P794" i="5"/>
  <c r="Q794" i="5"/>
  <c r="O795" i="5"/>
  <c r="P795" i="5"/>
  <c r="Q795" i="5"/>
  <c r="O796" i="5"/>
  <c r="P796" i="5"/>
  <c r="Q796" i="5"/>
  <c r="O797" i="5"/>
  <c r="P797" i="5"/>
  <c r="Q797" i="5"/>
  <c r="O798" i="5"/>
  <c r="P798" i="5"/>
  <c r="Q798" i="5"/>
  <c r="O799" i="5"/>
  <c r="P799" i="5"/>
  <c r="Q799" i="5"/>
  <c r="O800" i="5"/>
  <c r="P800" i="5"/>
  <c r="Q800" i="5"/>
  <c r="O801" i="5"/>
  <c r="P801" i="5"/>
  <c r="Q801" i="5"/>
  <c r="O802" i="5"/>
  <c r="P802" i="5"/>
  <c r="Q802" i="5"/>
  <c r="O803" i="5"/>
  <c r="P803" i="5"/>
  <c r="Q803" i="5"/>
  <c r="O804" i="5"/>
  <c r="P804" i="5"/>
  <c r="Q804" i="5"/>
  <c r="O805" i="5"/>
  <c r="P805" i="5"/>
  <c r="Q805" i="5"/>
  <c r="O806" i="5"/>
  <c r="P806" i="5"/>
  <c r="Q806" i="5"/>
  <c r="O807" i="5"/>
  <c r="P807" i="5"/>
  <c r="Q807" i="5"/>
  <c r="O808" i="5"/>
  <c r="P808" i="5"/>
  <c r="Q808" i="5"/>
  <c r="O809" i="5"/>
  <c r="P809" i="5"/>
  <c r="Q809" i="5"/>
  <c r="O810" i="5"/>
  <c r="P810" i="5"/>
  <c r="Q810" i="5"/>
  <c r="O811" i="5"/>
  <c r="P811" i="5"/>
  <c r="Q811" i="5"/>
  <c r="O812" i="5"/>
  <c r="P812" i="5"/>
  <c r="Q812" i="5"/>
  <c r="O813" i="5"/>
  <c r="P813" i="5"/>
  <c r="Q813" i="5"/>
  <c r="O814" i="5"/>
  <c r="P814" i="5"/>
  <c r="Q814" i="5"/>
  <c r="O815" i="5"/>
  <c r="P815" i="5"/>
  <c r="Q815" i="5"/>
  <c r="O816" i="5"/>
  <c r="P816" i="5"/>
  <c r="Q816" i="5"/>
  <c r="O817" i="5"/>
  <c r="P817" i="5"/>
  <c r="Q817" i="5"/>
  <c r="O818" i="5"/>
  <c r="P818" i="5"/>
  <c r="Q818" i="5"/>
  <c r="O819" i="5"/>
  <c r="P819" i="5"/>
  <c r="Q819" i="5"/>
  <c r="O820" i="5"/>
  <c r="P820" i="5"/>
  <c r="Q820" i="5"/>
  <c r="O821" i="5"/>
  <c r="P821" i="5"/>
  <c r="Q821" i="5"/>
  <c r="O822" i="5"/>
  <c r="P822" i="5"/>
  <c r="Q822" i="5"/>
  <c r="O823" i="5"/>
  <c r="P823" i="5"/>
  <c r="Q823" i="5"/>
  <c r="O824" i="5"/>
  <c r="P824" i="5"/>
  <c r="Q824" i="5"/>
  <c r="O825" i="5"/>
  <c r="P825" i="5"/>
  <c r="Q825" i="5"/>
  <c r="O826" i="5"/>
  <c r="P826" i="5"/>
  <c r="Q826" i="5"/>
  <c r="O827" i="5"/>
  <c r="P827" i="5"/>
  <c r="Q827" i="5"/>
  <c r="O828" i="5"/>
  <c r="P828" i="5"/>
  <c r="Q828" i="5"/>
  <c r="O829" i="5"/>
  <c r="P829" i="5"/>
  <c r="Q829" i="5"/>
  <c r="O830" i="5"/>
  <c r="P830" i="5"/>
  <c r="Q830" i="5"/>
  <c r="O831" i="5"/>
  <c r="P831" i="5"/>
  <c r="Q831" i="5"/>
  <c r="O832" i="5"/>
  <c r="P832" i="5"/>
  <c r="Q832" i="5"/>
  <c r="O833" i="5"/>
  <c r="P833" i="5"/>
  <c r="Q833" i="5"/>
  <c r="O834" i="5"/>
  <c r="P834" i="5"/>
  <c r="Q834" i="5"/>
  <c r="O835" i="5"/>
  <c r="P835" i="5"/>
  <c r="Q835" i="5"/>
  <c r="O836" i="5"/>
  <c r="P836" i="5"/>
  <c r="Q836" i="5"/>
  <c r="O837" i="5"/>
  <c r="P837" i="5"/>
  <c r="Q837" i="5"/>
  <c r="O838" i="5"/>
  <c r="P838" i="5"/>
  <c r="Q838" i="5"/>
  <c r="O839" i="5"/>
  <c r="P839" i="5"/>
  <c r="Q839" i="5"/>
  <c r="O840" i="5"/>
  <c r="P840" i="5"/>
  <c r="Q840" i="5"/>
  <c r="O841" i="5"/>
  <c r="P841" i="5"/>
  <c r="Q841" i="5"/>
  <c r="O842" i="5"/>
  <c r="P842" i="5"/>
  <c r="Q842" i="5"/>
  <c r="O843" i="5"/>
  <c r="P843" i="5"/>
  <c r="Q843" i="5"/>
  <c r="O844" i="5"/>
  <c r="P844" i="5"/>
  <c r="Q844" i="5"/>
  <c r="O845" i="5"/>
  <c r="P845" i="5"/>
  <c r="Q845" i="5"/>
  <c r="O846" i="5"/>
  <c r="P846" i="5"/>
  <c r="Q846" i="5"/>
  <c r="O847" i="5"/>
  <c r="P847" i="5"/>
  <c r="Q847" i="5"/>
  <c r="O848" i="5"/>
  <c r="P848" i="5"/>
  <c r="Q848" i="5"/>
  <c r="O849" i="5"/>
  <c r="P849" i="5"/>
  <c r="Q849" i="5"/>
  <c r="O850" i="5"/>
  <c r="P850" i="5"/>
  <c r="Q850" i="5"/>
  <c r="O851" i="5"/>
  <c r="P851" i="5"/>
  <c r="Q851" i="5"/>
  <c r="O852" i="5"/>
  <c r="P852" i="5"/>
  <c r="Q852" i="5"/>
  <c r="O853" i="5"/>
  <c r="P853" i="5"/>
  <c r="Q853" i="5"/>
  <c r="O854" i="5"/>
  <c r="P854" i="5"/>
  <c r="Q854" i="5"/>
  <c r="O855" i="5"/>
  <c r="P855" i="5"/>
  <c r="Q855" i="5"/>
  <c r="O856" i="5"/>
  <c r="P856" i="5"/>
  <c r="Q856" i="5"/>
  <c r="O857" i="5"/>
  <c r="P857" i="5"/>
  <c r="Q857" i="5"/>
  <c r="O858" i="5"/>
  <c r="P858" i="5"/>
  <c r="Q858" i="5"/>
  <c r="O859" i="5"/>
  <c r="P859" i="5"/>
  <c r="Q859" i="5"/>
  <c r="O860" i="5"/>
  <c r="P860" i="5"/>
  <c r="Q860" i="5"/>
  <c r="O861" i="5"/>
  <c r="P861" i="5"/>
  <c r="Q861" i="5"/>
  <c r="O862" i="5"/>
  <c r="P862" i="5"/>
  <c r="Q862" i="5"/>
  <c r="O863" i="5"/>
  <c r="P863" i="5"/>
  <c r="Q863" i="5"/>
  <c r="O864" i="5"/>
  <c r="P864" i="5"/>
  <c r="Q864" i="5"/>
  <c r="O865" i="5"/>
  <c r="P865" i="5"/>
  <c r="Q865" i="5"/>
  <c r="O866" i="5"/>
  <c r="P866" i="5"/>
  <c r="Q866" i="5"/>
  <c r="O867" i="5"/>
  <c r="P867" i="5"/>
  <c r="Q867" i="5"/>
  <c r="O868" i="5"/>
  <c r="P868" i="5"/>
  <c r="Q868" i="5"/>
  <c r="O869" i="5"/>
  <c r="P869" i="5"/>
  <c r="Q869" i="5"/>
  <c r="O870" i="5"/>
  <c r="P870" i="5"/>
  <c r="Q870" i="5"/>
  <c r="O871" i="5"/>
  <c r="P871" i="5"/>
  <c r="Q871" i="5"/>
  <c r="O872" i="5"/>
  <c r="P872" i="5"/>
  <c r="Q872" i="5"/>
  <c r="O873" i="5"/>
  <c r="P873" i="5"/>
  <c r="Q873" i="5"/>
  <c r="O874" i="5"/>
  <c r="P874" i="5"/>
  <c r="Q874" i="5"/>
  <c r="O875" i="5"/>
  <c r="P875" i="5"/>
  <c r="Q875" i="5"/>
  <c r="O876" i="5"/>
  <c r="P876" i="5"/>
  <c r="Q876" i="5"/>
  <c r="O877" i="5"/>
  <c r="P877" i="5"/>
  <c r="Q877" i="5"/>
  <c r="O878" i="5"/>
  <c r="P878" i="5"/>
  <c r="Q878" i="5"/>
  <c r="O879" i="5"/>
  <c r="P879" i="5"/>
  <c r="Q879" i="5"/>
  <c r="O880" i="5"/>
  <c r="P880" i="5"/>
  <c r="Q880" i="5"/>
  <c r="O881" i="5"/>
  <c r="P881" i="5"/>
  <c r="Q881" i="5"/>
  <c r="O882" i="5"/>
  <c r="P882" i="5"/>
  <c r="Q882" i="5"/>
  <c r="O883" i="5"/>
  <c r="P883" i="5"/>
  <c r="Q883" i="5"/>
  <c r="O884" i="5"/>
  <c r="P884" i="5"/>
  <c r="Q884" i="5"/>
  <c r="O885" i="5"/>
  <c r="P885" i="5"/>
  <c r="Q885" i="5"/>
  <c r="O886" i="5"/>
  <c r="P886" i="5"/>
  <c r="Q886" i="5"/>
  <c r="O887" i="5"/>
  <c r="P887" i="5"/>
  <c r="Q887" i="5"/>
  <c r="O888" i="5"/>
  <c r="P888" i="5"/>
  <c r="Q888" i="5"/>
  <c r="O889" i="5"/>
  <c r="P889" i="5"/>
  <c r="Q889" i="5"/>
  <c r="O890" i="5"/>
  <c r="P890" i="5"/>
  <c r="Q890" i="5"/>
  <c r="O891" i="5"/>
  <c r="P891" i="5"/>
  <c r="Q891" i="5"/>
  <c r="O892" i="5"/>
  <c r="P892" i="5"/>
  <c r="Q892" i="5"/>
  <c r="O893" i="5"/>
  <c r="P893" i="5"/>
  <c r="Q893" i="5"/>
  <c r="O894" i="5"/>
  <c r="P894" i="5"/>
  <c r="Q894" i="5"/>
  <c r="O895" i="5"/>
  <c r="P895" i="5"/>
  <c r="Q895" i="5"/>
  <c r="O896" i="5"/>
  <c r="P896" i="5"/>
  <c r="Q896" i="5"/>
  <c r="O897" i="5"/>
  <c r="P897" i="5"/>
  <c r="Q897" i="5"/>
  <c r="O898" i="5"/>
  <c r="P898" i="5"/>
  <c r="Q898" i="5"/>
  <c r="O899" i="5"/>
  <c r="P899" i="5"/>
  <c r="Q899" i="5"/>
  <c r="O900" i="5"/>
  <c r="P900" i="5"/>
  <c r="Q900" i="5"/>
  <c r="O901" i="5"/>
  <c r="P901" i="5"/>
  <c r="Q901" i="5"/>
  <c r="O902" i="5"/>
  <c r="P902" i="5"/>
  <c r="Q902" i="5"/>
  <c r="O903" i="5"/>
  <c r="P903" i="5"/>
  <c r="Q903" i="5"/>
  <c r="O904" i="5"/>
  <c r="P904" i="5"/>
  <c r="Q904" i="5"/>
  <c r="O905" i="5"/>
  <c r="P905" i="5"/>
  <c r="Q905" i="5"/>
  <c r="O906" i="5"/>
  <c r="P906" i="5"/>
  <c r="Q906" i="5"/>
  <c r="O907" i="5"/>
  <c r="P907" i="5"/>
  <c r="Q907" i="5"/>
  <c r="O908" i="5"/>
  <c r="P908" i="5"/>
  <c r="Q908" i="5"/>
  <c r="O909" i="5"/>
  <c r="P909" i="5"/>
  <c r="Q909" i="5"/>
  <c r="O910" i="5"/>
  <c r="P910" i="5"/>
  <c r="Q910" i="5"/>
  <c r="O911" i="5"/>
  <c r="P911" i="5"/>
  <c r="Q911" i="5"/>
  <c r="O912" i="5"/>
  <c r="P912" i="5"/>
  <c r="Q912" i="5"/>
  <c r="O913" i="5"/>
  <c r="P913" i="5"/>
  <c r="Q913" i="5"/>
  <c r="O914" i="5"/>
  <c r="P914" i="5"/>
  <c r="Q914" i="5"/>
  <c r="O915" i="5"/>
  <c r="P915" i="5"/>
  <c r="Q915" i="5"/>
  <c r="O916" i="5"/>
  <c r="P916" i="5"/>
  <c r="Q916" i="5"/>
  <c r="O917" i="5"/>
  <c r="P917" i="5"/>
  <c r="Q917" i="5"/>
  <c r="O918" i="5"/>
  <c r="P918" i="5"/>
  <c r="Q918" i="5"/>
  <c r="O919" i="5"/>
  <c r="P919" i="5"/>
  <c r="Q919" i="5"/>
  <c r="O920" i="5"/>
  <c r="P920" i="5"/>
  <c r="Q920" i="5"/>
  <c r="O921" i="5"/>
  <c r="P921" i="5"/>
  <c r="Q921" i="5"/>
  <c r="O922" i="5"/>
  <c r="P922" i="5"/>
  <c r="Q922" i="5"/>
  <c r="O923" i="5"/>
  <c r="P923" i="5"/>
  <c r="Q923" i="5"/>
  <c r="O924" i="5"/>
  <c r="P924" i="5"/>
  <c r="Q924" i="5"/>
  <c r="O925" i="5"/>
  <c r="P925" i="5"/>
  <c r="Q925" i="5"/>
  <c r="O926" i="5"/>
  <c r="P926" i="5"/>
  <c r="Q926" i="5"/>
  <c r="O927" i="5"/>
  <c r="P927" i="5"/>
  <c r="Q927" i="5"/>
  <c r="O928" i="5"/>
  <c r="P928" i="5"/>
  <c r="Q928" i="5"/>
  <c r="O929" i="5"/>
  <c r="P929" i="5"/>
  <c r="Q929" i="5"/>
  <c r="O930" i="5"/>
  <c r="P930" i="5"/>
  <c r="Q930" i="5"/>
  <c r="O931" i="5"/>
  <c r="P931" i="5"/>
  <c r="Q931" i="5"/>
  <c r="O932" i="5"/>
  <c r="P932" i="5"/>
  <c r="Q932" i="5"/>
  <c r="O933" i="5"/>
  <c r="P933" i="5"/>
  <c r="Q933" i="5"/>
  <c r="O934" i="5"/>
  <c r="P934" i="5"/>
  <c r="Q934" i="5"/>
  <c r="O935" i="5"/>
  <c r="P935" i="5"/>
  <c r="Q935" i="5"/>
  <c r="O936" i="5"/>
  <c r="P936" i="5"/>
  <c r="Q936" i="5"/>
  <c r="O937" i="5"/>
  <c r="P937" i="5"/>
  <c r="Q937" i="5"/>
  <c r="O938" i="5"/>
  <c r="P938" i="5"/>
  <c r="Q938" i="5"/>
  <c r="O939" i="5"/>
  <c r="P939" i="5"/>
  <c r="Q939" i="5"/>
  <c r="O940" i="5"/>
  <c r="P940" i="5"/>
  <c r="Q940" i="5"/>
  <c r="O941" i="5"/>
  <c r="P941" i="5"/>
  <c r="Q941" i="5"/>
  <c r="O942" i="5"/>
  <c r="P942" i="5"/>
  <c r="Q942" i="5"/>
  <c r="O943" i="5"/>
  <c r="P943" i="5"/>
  <c r="Q943" i="5"/>
  <c r="O944" i="5"/>
  <c r="P944" i="5"/>
  <c r="Q944" i="5"/>
  <c r="O945" i="5"/>
  <c r="P945" i="5"/>
  <c r="Q945" i="5"/>
  <c r="O946" i="5"/>
  <c r="P946" i="5"/>
  <c r="Q946" i="5"/>
  <c r="O947" i="5"/>
  <c r="P947" i="5"/>
  <c r="Q947" i="5"/>
  <c r="O948" i="5"/>
  <c r="P948" i="5"/>
  <c r="Q948" i="5"/>
  <c r="O949" i="5"/>
  <c r="P949" i="5"/>
  <c r="Q949" i="5"/>
  <c r="O950" i="5"/>
  <c r="P950" i="5"/>
  <c r="Q950" i="5"/>
  <c r="O951" i="5"/>
  <c r="P951" i="5"/>
  <c r="Q951" i="5"/>
  <c r="O952" i="5"/>
  <c r="P952" i="5"/>
  <c r="Q952" i="5"/>
  <c r="O953" i="5"/>
  <c r="P953" i="5"/>
  <c r="Q953" i="5"/>
  <c r="O954" i="5"/>
  <c r="P954" i="5"/>
  <c r="Q954" i="5"/>
  <c r="O955" i="5"/>
  <c r="P955" i="5"/>
  <c r="Q955" i="5"/>
  <c r="O956" i="5"/>
  <c r="P956" i="5"/>
  <c r="Q956" i="5"/>
  <c r="O957" i="5"/>
  <c r="P957" i="5"/>
  <c r="Q957" i="5"/>
  <c r="O958" i="5"/>
  <c r="P958" i="5"/>
  <c r="Q958" i="5"/>
  <c r="O959" i="5"/>
  <c r="P959" i="5"/>
  <c r="Q959" i="5"/>
  <c r="O960" i="5"/>
  <c r="P960" i="5"/>
  <c r="Q960" i="5"/>
  <c r="O961" i="5"/>
  <c r="P961" i="5"/>
  <c r="Q961" i="5"/>
  <c r="O962" i="5"/>
  <c r="P962" i="5"/>
  <c r="Q962" i="5"/>
  <c r="O963" i="5"/>
  <c r="P963" i="5"/>
  <c r="Q963" i="5"/>
  <c r="O964" i="5"/>
  <c r="P964" i="5"/>
  <c r="Q964" i="5"/>
  <c r="O965" i="5"/>
  <c r="P965" i="5"/>
  <c r="Q965" i="5"/>
  <c r="O966" i="5"/>
  <c r="P966" i="5"/>
  <c r="Q966" i="5"/>
  <c r="O967" i="5"/>
  <c r="P967" i="5"/>
  <c r="Q967" i="5"/>
  <c r="O968" i="5"/>
  <c r="P968" i="5"/>
  <c r="Q968" i="5"/>
  <c r="O969" i="5"/>
  <c r="P969" i="5"/>
  <c r="Q969" i="5"/>
  <c r="O970" i="5"/>
  <c r="P970" i="5"/>
  <c r="Q970" i="5"/>
  <c r="O971" i="5"/>
  <c r="P971" i="5"/>
  <c r="Q971" i="5"/>
  <c r="O972" i="5"/>
  <c r="P972" i="5"/>
  <c r="Q972" i="5"/>
  <c r="O973" i="5"/>
  <c r="P973" i="5"/>
  <c r="Q973" i="5"/>
  <c r="O974" i="5"/>
  <c r="P974" i="5"/>
  <c r="Q974" i="5"/>
  <c r="O975" i="5"/>
  <c r="P975" i="5"/>
  <c r="Q975" i="5"/>
  <c r="O976" i="5"/>
  <c r="P976" i="5"/>
  <c r="Q976" i="5"/>
  <c r="O977" i="5"/>
  <c r="P977" i="5"/>
  <c r="Q977" i="5"/>
  <c r="O978" i="5"/>
  <c r="P978" i="5"/>
  <c r="Q978" i="5"/>
  <c r="O979" i="5"/>
  <c r="P979" i="5"/>
  <c r="Q979" i="5"/>
  <c r="O980" i="5"/>
  <c r="P980" i="5"/>
  <c r="Q980" i="5"/>
  <c r="O981" i="5"/>
  <c r="P981" i="5"/>
  <c r="Q981" i="5"/>
  <c r="O982" i="5"/>
  <c r="P982" i="5"/>
  <c r="Q982" i="5"/>
  <c r="O983" i="5"/>
  <c r="P983" i="5"/>
  <c r="Q983" i="5"/>
  <c r="O984" i="5"/>
  <c r="P984" i="5"/>
  <c r="Q984" i="5"/>
  <c r="O985" i="5"/>
  <c r="P985" i="5"/>
  <c r="Q985" i="5"/>
  <c r="O986" i="5"/>
  <c r="P986" i="5"/>
  <c r="Q986" i="5"/>
  <c r="O987" i="5"/>
  <c r="P987" i="5"/>
  <c r="Q987" i="5"/>
  <c r="O988" i="5"/>
  <c r="P988" i="5"/>
  <c r="Q988" i="5"/>
  <c r="O989" i="5"/>
  <c r="P989" i="5"/>
  <c r="Q989" i="5"/>
  <c r="O990" i="5"/>
  <c r="P990" i="5"/>
  <c r="Q990" i="5"/>
  <c r="O991" i="5"/>
  <c r="P991" i="5"/>
  <c r="Q991" i="5"/>
  <c r="O992" i="5"/>
  <c r="P992" i="5"/>
  <c r="Q992" i="5"/>
  <c r="O993" i="5"/>
  <c r="P993" i="5"/>
  <c r="Q993" i="5"/>
  <c r="O994" i="5"/>
  <c r="P994" i="5"/>
  <c r="Q994" i="5"/>
  <c r="O995" i="5"/>
  <c r="P995" i="5"/>
  <c r="Q995" i="5"/>
  <c r="O996" i="5"/>
  <c r="P996" i="5"/>
  <c r="Q996" i="5"/>
  <c r="O997" i="5"/>
  <c r="P997" i="5"/>
  <c r="Q997" i="5"/>
  <c r="O998" i="5"/>
  <c r="P998" i="5"/>
  <c r="Q998" i="5"/>
  <c r="O999" i="5"/>
  <c r="P999" i="5"/>
  <c r="Q999" i="5"/>
  <c r="O1000" i="5"/>
  <c r="P1000" i="5"/>
  <c r="Q1000" i="5"/>
  <c r="O1001" i="5"/>
  <c r="P1001" i="5"/>
  <c r="Q1001" i="5"/>
  <c r="O1002" i="5"/>
  <c r="P1002" i="5"/>
  <c r="Q1002" i="5"/>
  <c r="O1003" i="5"/>
  <c r="P1003" i="5"/>
  <c r="Q1003" i="5"/>
  <c r="O1004" i="5"/>
  <c r="P1004" i="5"/>
  <c r="Q1004" i="5"/>
  <c r="O1005" i="5"/>
  <c r="P1005" i="5"/>
  <c r="Q1005" i="5"/>
  <c r="O1006" i="5"/>
  <c r="P1006" i="5"/>
  <c r="Q1006" i="5"/>
  <c r="O1007" i="5"/>
  <c r="P1007" i="5"/>
  <c r="Q1007" i="5"/>
  <c r="O1008" i="5"/>
  <c r="P1008" i="5"/>
  <c r="Q1008" i="5"/>
  <c r="O1009" i="5"/>
  <c r="P1009" i="5"/>
  <c r="Q1009" i="5"/>
  <c r="O1010" i="5"/>
  <c r="P1010" i="5"/>
  <c r="Q1010" i="5"/>
  <c r="O1011" i="5"/>
  <c r="P1011" i="5"/>
  <c r="Q1011" i="5"/>
  <c r="O1012" i="5"/>
  <c r="P1012" i="5"/>
  <c r="Q1012" i="5"/>
  <c r="O1013" i="5"/>
  <c r="P1013" i="5"/>
  <c r="Q1013" i="5"/>
  <c r="O1014" i="5"/>
  <c r="P1014" i="5"/>
  <c r="Q1014" i="5"/>
  <c r="O1015" i="5"/>
  <c r="P1015" i="5"/>
  <c r="Q1015" i="5"/>
  <c r="O1016" i="5"/>
  <c r="P1016" i="5"/>
  <c r="Q1016" i="5"/>
  <c r="O1017" i="5"/>
  <c r="P1017" i="5"/>
  <c r="Q1017" i="5"/>
  <c r="O1018" i="5"/>
  <c r="P1018" i="5"/>
  <c r="Q1018" i="5"/>
  <c r="O1019" i="5"/>
  <c r="P1019" i="5"/>
  <c r="Q1019" i="5"/>
  <c r="O1020" i="5"/>
  <c r="P1020" i="5"/>
  <c r="Q1020" i="5"/>
  <c r="O1021" i="5"/>
  <c r="P1021" i="5"/>
  <c r="Q1021" i="5"/>
  <c r="O1022" i="5"/>
  <c r="P1022" i="5"/>
  <c r="Q1022" i="5"/>
  <c r="O1023" i="5"/>
  <c r="P1023" i="5"/>
  <c r="Q1023" i="5"/>
  <c r="O1024" i="5"/>
  <c r="P1024" i="5"/>
  <c r="Q1024" i="5"/>
  <c r="O1025" i="5"/>
  <c r="P1025" i="5"/>
  <c r="Q1025" i="5"/>
  <c r="O1026" i="5"/>
  <c r="P1026" i="5"/>
  <c r="Q1026" i="5"/>
  <c r="O1027" i="5"/>
  <c r="P1027" i="5"/>
  <c r="Q1027" i="5"/>
  <c r="O1028" i="5"/>
  <c r="P1028" i="5"/>
  <c r="Q1028" i="5"/>
  <c r="O1029" i="5"/>
  <c r="P1029" i="5"/>
  <c r="Q1029" i="5"/>
  <c r="O1030" i="5"/>
  <c r="P1030" i="5"/>
  <c r="Q1030" i="5"/>
  <c r="O1031" i="5"/>
  <c r="P1031" i="5"/>
  <c r="Q1031" i="5"/>
  <c r="O1032" i="5"/>
  <c r="P1032" i="5"/>
  <c r="Q1032" i="5"/>
  <c r="O1033" i="5"/>
  <c r="P1033" i="5"/>
  <c r="Q1033" i="5"/>
  <c r="O1034" i="5"/>
  <c r="P1034" i="5"/>
  <c r="Q1034" i="5"/>
  <c r="O1035" i="5"/>
  <c r="P1035" i="5"/>
  <c r="Q1035" i="5"/>
  <c r="O1036" i="5"/>
  <c r="P1036" i="5"/>
  <c r="Q1036" i="5"/>
  <c r="O1037" i="5"/>
  <c r="P1037" i="5"/>
  <c r="Q1037" i="5"/>
  <c r="O1038" i="5"/>
  <c r="P1038" i="5"/>
  <c r="Q1038" i="5"/>
  <c r="O1039" i="5"/>
  <c r="P1039" i="5"/>
  <c r="Q1039" i="5"/>
  <c r="O1040" i="5"/>
  <c r="P1040" i="5"/>
  <c r="Q1040" i="5"/>
  <c r="O1041" i="5"/>
  <c r="P1041" i="5"/>
  <c r="Q1041" i="5"/>
  <c r="O1042" i="5"/>
  <c r="P1042" i="5"/>
  <c r="Q1042" i="5"/>
  <c r="O1043" i="5"/>
  <c r="P1043" i="5"/>
  <c r="Q1043" i="5"/>
  <c r="O1044" i="5"/>
  <c r="P1044" i="5"/>
  <c r="Q1044" i="5"/>
  <c r="O1045" i="5"/>
  <c r="P1045" i="5"/>
  <c r="Q1045" i="5"/>
  <c r="O1046" i="5"/>
  <c r="P1046" i="5"/>
  <c r="Q1046" i="5"/>
  <c r="O1047" i="5"/>
  <c r="P1047" i="5"/>
  <c r="Q1047" i="5"/>
  <c r="O1048" i="5"/>
  <c r="P1048" i="5"/>
  <c r="Q1048" i="5"/>
  <c r="O1049" i="5"/>
  <c r="P1049" i="5"/>
  <c r="Q1049" i="5"/>
  <c r="O1050" i="5"/>
  <c r="P1050" i="5"/>
  <c r="Q1050" i="5"/>
  <c r="O1051" i="5"/>
  <c r="P1051" i="5"/>
  <c r="Q1051" i="5"/>
  <c r="O1052" i="5"/>
  <c r="P1052" i="5"/>
  <c r="Q1052" i="5"/>
  <c r="O1053" i="5"/>
  <c r="P1053" i="5"/>
  <c r="Q1053" i="5"/>
  <c r="O1054" i="5"/>
  <c r="P1054" i="5"/>
  <c r="Q1054" i="5"/>
  <c r="O1055" i="5"/>
  <c r="P1055" i="5"/>
  <c r="Q1055" i="5"/>
  <c r="O1056" i="5"/>
  <c r="P1056" i="5"/>
  <c r="Q1056" i="5"/>
  <c r="O1057" i="5"/>
  <c r="P1057" i="5"/>
  <c r="Q1057" i="5"/>
  <c r="O1058" i="5"/>
  <c r="P1058" i="5"/>
  <c r="Q1058" i="5"/>
  <c r="O1059" i="5"/>
  <c r="P1059" i="5"/>
  <c r="Q1059" i="5"/>
  <c r="O1060" i="5"/>
  <c r="P1060" i="5"/>
  <c r="Q1060" i="5"/>
  <c r="O1061" i="5"/>
  <c r="P1061" i="5"/>
  <c r="Q1061" i="5"/>
  <c r="O1062" i="5"/>
  <c r="P1062" i="5"/>
  <c r="Q1062" i="5"/>
  <c r="O1063" i="5"/>
  <c r="P1063" i="5"/>
  <c r="Q1063" i="5"/>
  <c r="O1064" i="5"/>
  <c r="P1064" i="5"/>
  <c r="Q1064" i="5"/>
  <c r="O1065" i="5"/>
  <c r="P1065" i="5"/>
  <c r="Q1065" i="5"/>
  <c r="O1066" i="5"/>
  <c r="P1066" i="5"/>
  <c r="Q1066" i="5"/>
  <c r="O1067" i="5"/>
  <c r="P1067" i="5"/>
  <c r="Q1067" i="5"/>
  <c r="O1068" i="5"/>
  <c r="P1068" i="5"/>
  <c r="Q1068" i="5"/>
  <c r="O1069" i="5"/>
  <c r="P1069" i="5"/>
  <c r="Q1069" i="5"/>
  <c r="O1070" i="5"/>
  <c r="P1070" i="5"/>
  <c r="Q1070" i="5"/>
  <c r="O1071" i="5"/>
  <c r="P1071" i="5"/>
  <c r="Q1071" i="5"/>
  <c r="O1072" i="5"/>
  <c r="P1072" i="5"/>
  <c r="Q1072" i="5"/>
  <c r="O1073" i="5"/>
  <c r="P1073" i="5"/>
  <c r="Q1073" i="5"/>
  <c r="O1074" i="5"/>
  <c r="P1074" i="5"/>
  <c r="Q1074" i="5"/>
  <c r="O1075" i="5"/>
  <c r="P1075" i="5"/>
  <c r="Q1075" i="5"/>
  <c r="O1076" i="5"/>
  <c r="P1076" i="5"/>
  <c r="Q1076" i="5"/>
  <c r="O1077" i="5"/>
  <c r="P1077" i="5"/>
  <c r="Q1077" i="5"/>
  <c r="O1078" i="5"/>
  <c r="P1078" i="5"/>
  <c r="Q1078" i="5"/>
  <c r="O1079" i="5"/>
  <c r="P1079" i="5"/>
  <c r="Q1079" i="5"/>
  <c r="O1080" i="5"/>
  <c r="P1080" i="5"/>
  <c r="Q1080" i="5"/>
  <c r="O1081" i="5"/>
  <c r="P1081" i="5"/>
  <c r="Q1081" i="5"/>
  <c r="O1082" i="5"/>
  <c r="P1082" i="5"/>
  <c r="Q1082" i="5"/>
  <c r="O1083" i="5"/>
  <c r="P1083" i="5"/>
  <c r="Q1083" i="5"/>
  <c r="O1084" i="5"/>
  <c r="P1084" i="5"/>
  <c r="Q1084" i="5"/>
  <c r="O1085" i="5"/>
  <c r="P1085" i="5"/>
  <c r="Q1085" i="5"/>
  <c r="O1086" i="5"/>
  <c r="P1086" i="5"/>
  <c r="Q1086" i="5"/>
  <c r="O1087" i="5"/>
  <c r="P1087" i="5"/>
  <c r="Q1087" i="5"/>
  <c r="O1088" i="5"/>
  <c r="P1088" i="5"/>
  <c r="Q1088" i="5"/>
  <c r="O1089" i="5"/>
  <c r="P1089" i="5"/>
  <c r="Q1089" i="5"/>
  <c r="O1090" i="5"/>
  <c r="P1090" i="5"/>
  <c r="Q1090" i="5"/>
  <c r="O1091" i="5"/>
  <c r="P1091" i="5"/>
  <c r="Q1091" i="5"/>
  <c r="O1092" i="5"/>
  <c r="P1092" i="5"/>
  <c r="Q1092" i="5"/>
  <c r="O1093" i="5"/>
  <c r="P1093" i="5"/>
  <c r="Q1093" i="5"/>
  <c r="O1094" i="5"/>
  <c r="P1094" i="5"/>
  <c r="Q1094" i="5"/>
  <c r="O1095" i="5"/>
  <c r="P1095" i="5"/>
  <c r="Q1095" i="5"/>
  <c r="O1096" i="5"/>
  <c r="P1096" i="5"/>
  <c r="Q1096" i="5"/>
  <c r="O1097" i="5"/>
  <c r="P1097" i="5"/>
  <c r="Q1097" i="5"/>
  <c r="O1098" i="5"/>
  <c r="P1098" i="5"/>
  <c r="Q1098" i="5"/>
  <c r="O1099" i="5"/>
  <c r="P1099" i="5"/>
  <c r="Q1099" i="5"/>
  <c r="O1100" i="5"/>
  <c r="P1100" i="5"/>
  <c r="Q1100" i="5"/>
  <c r="O1101" i="5"/>
  <c r="P1101" i="5"/>
  <c r="Q1101" i="5"/>
  <c r="O1102" i="5"/>
  <c r="P1102" i="5"/>
  <c r="Q1102" i="5"/>
  <c r="O1103" i="5"/>
  <c r="P1103" i="5"/>
  <c r="Q1103" i="5"/>
  <c r="O1104" i="5"/>
  <c r="P1104" i="5"/>
  <c r="Q1104" i="5"/>
  <c r="O1105" i="5"/>
  <c r="P1105" i="5"/>
  <c r="Q1105" i="5"/>
  <c r="O1106" i="5"/>
  <c r="P1106" i="5"/>
  <c r="Q1106" i="5"/>
  <c r="O1107" i="5"/>
  <c r="P1107" i="5"/>
  <c r="Q1107" i="5"/>
  <c r="O1108" i="5"/>
  <c r="P1108" i="5"/>
  <c r="Q1108" i="5"/>
  <c r="O1109" i="5"/>
  <c r="P1109" i="5"/>
  <c r="Q1109" i="5"/>
  <c r="O1110" i="5"/>
  <c r="P1110" i="5"/>
  <c r="Q1110" i="5"/>
  <c r="O1111" i="5"/>
  <c r="P1111" i="5"/>
  <c r="Q1111" i="5"/>
  <c r="O1112" i="5"/>
  <c r="P1112" i="5"/>
  <c r="Q1112" i="5"/>
  <c r="O1113" i="5"/>
  <c r="P1113" i="5"/>
  <c r="Q1113" i="5"/>
  <c r="O1114" i="5"/>
  <c r="P1114" i="5"/>
  <c r="Q1114" i="5"/>
  <c r="O1115" i="5"/>
  <c r="P1115" i="5"/>
  <c r="Q1115" i="5"/>
  <c r="O1116" i="5"/>
  <c r="P1116" i="5"/>
  <c r="Q1116" i="5"/>
  <c r="O1117" i="5"/>
  <c r="P1117" i="5"/>
  <c r="Q1117" i="5"/>
  <c r="O1118" i="5"/>
  <c r="P1118" i="5"/>
  <c r="Q1118" i="5"/>
  <c r="O1119" i="5"/>
  <c r="P1119" i="5"/>
  <c r="Q1119" i="5"/>
  <c r="O1120" i="5"/>
  <c r="P1120" i="5"/>
  <c r="Q1120" i="5"/>
  <c r="O1121" i="5"/>
  <c r="P1121" i="5"/>
  <c r="Q1121" i="5"/>
  <c r="O1122" i="5"/>
  <c r="P1122" i="5"/>
  <c r="Q1122" i="5"/>
  <c r="O1123" i="5"/>
  <c r="P1123" i="5"/>
  <c r="Q1123" i="5"/>
  <c r="O1124" i="5"/>
  <c r="P1124" i="5"/>
  <c r="Q1124" i="5"/>
  <c r="P2" i="5"/>
  <c r="Q2" i="5"/>
  <c r="O2" i="5"/>
  <c r="U2" i="5"/>
  <c r="U3" i="5"/>
  <c r="U4" i="5"/>
  <c r="U5" i="5"/>
  <c r="U6" i="5"/>
  <c r="U7" i="5"/>
  <c r="U8" i="5"/>
  <c r="U9" i="5"/>
  <c r="U10" i="5"/>
  <c r="U11" i="5"/>
  <c r="U12" i="5"/>
  <c r="U13" i="5"/>
  <c r="U14" i="5"/>
  <c r="U15" i="5"/>
  <c r="U16" i="5"/>
  <c r="U17" i="5"/>
  <c r="U18" i="5"/>
  <c r="U19" i="5"/>
  <c r="U20" i="5"/>
  <c r="U21" i="5"/>
  <c r="U22" i="5"/>
  <c r="U23" i="5"/>
  <c r="U24" i="5"/>
  <c r="U25" i="5"/>
  <c r="U26" i="5"/>
  <c r="U27" i="5"/>
  <c r="U28" i="5"/>
  <c r="U29" i="5"/>
  <c r="U30" i="5"/>
  <c r="U31" i="5"/>
  <c r="U32" i="5"/>
  <c r="U33" i="5"/>
  <c r="U34" i="5"/>
  <c r="U35" i="5"/>
  <c r="U36" i="5"/>
  <c r="U37" i="5"/>
  <c r="U38" i="5"/>
  <c r="U39" i="5"/>
  <c r="U40" i="5"/>
  <c r="U41" i="5"/>
  <c r="U42" i="5"/>
  <c r="U43" i="5"/>
  <c r="U44" i="5"/>
  <c r="U45" i="5"/>
  <c r="U46" i="5"/>
  <c r="U47" i="5"/>
  <c r="U48" i="5"/>
  <c r="U49" i="5"/>
  <c r="U50" i="5"/>
  <c r="U51" i="5"/>
  <c r="U52" i="5"/>
  <c r="U53" i="5"/>
  <c r="U54" i="5"/>
  <c r="U55" i="5"/>
  <c r="U56" i="5"/>
  <c r="U57" i="5"/>
  <c r="U58" i="5"/>
  <c r="U59" i="5"/>
  <c r="U60" i="5"/>
  <c r="U61" i="5"/>
  <c r="U62" i="5"/>
  <c r="U63" i="5"/>
  <c r="U64" i="5"/>
  <c r="U65" i="5"/>
  <c r="U66" i="5"/>
  <c r="U67" i="5"/>
  <c r="U68" i="5"/>
  <c r="U69" i="5"/>
  <c r="U70" i="5"/>
  <c r="U71" i="5"/>
  <c r="U72" i="5"/>
  <c r="U73" i="5"/>
  <c r="U74" i="5"/>
  <c r="U75" i="5"/>
  <c r="U76" i="5"/>
  <c r="U77" i="5"/>
  <c r="U78" i="5"/>
  <c r="U79" i="5"/>
  <c r="U80" i="5"/>
  <c r="U81" i="5"/>
  <c r="U82" i="5"/>
  <c r="U83" i="5"/>
  <c r="U84" i="5"/>
  <c r="U85" i="5"/>
  <c r="U86" i="5"/>
  <c r="U87" i="5"/>
  <c r="U88" i="5"/>
  <c r="U89" i="5"/>
  <c r="U90" i="5"/>
  <c r="U91" i="5"/>
  <c r="U92" i="5"/>
  <c r="U93" i="5"/>
  <c r="U94" i="5"/>
  <c r="U95" i="5"/>
  <c r="U96" i="5"/>
  <c r="U97" i="5"/>
  <c r="U98" i="5"/>
  <c r="U99" i="5"/>
  <c r="U100" i="5"/>
  <c r="U101" i="5"/>
  <c r="U102" i="5"/>
  <c r="U103" i="5"/>
  <c r="U104" i="5"/>
  <c r="U105" i="5"/>
  <c r="U106" i="5"/>
  <c r="U107" i="5"/>
  <c r="U108" i="5"/>
  <c r="U109" i="5"/>
  <c r="U110" i="5"/>
  <c r="U111" i="5"/>
  <c r="U112" i="5"/>
  <c r="U113" i="5"/>
  <c r="U114" i="5"/>
  <c r="U115" i="5"/>
  <c r="U116" i="5"/>
  <c r="U117" i="5"/>
  <c r="U118" i="5"/>
  <c r="U119" i="5"/>
  <c r="U120" i="5"/>
  <c r="U121" i="5"/>
  <c r="U122" i="5"/>
  <c r="U123" i="5"/>
  <c r="U124" i="5"/>
  <c r="U125" i="5"/>
  <c r="U126" i="5"/>
  <c r="U127" i="5"/>
  <c r="U128" i="5"/>
  <c r="U129" i="5"/>
  <c r="U130" i="5"/>
  <c r="U131" i="5"/>
  <c r="U132" i="5"/>
  <c r="U133" i="5"/>
  <c r="U134" i="5"/>
  <c r="U135" i="5"/>
  <c r="U136" i="5"/>
  <c r="U137" i="5"/>
  <c r="U138" i="5"/>
  <c r="U139" i="5"/>
  <c r="U140" i="5"/>
  <c r="U141" i="5"/>
  <c r="U142" i="5"/>
  <c r="U143" i="5"/>
  <c r="U144" i="5"/>
  <c r="U145" i="5"/>
  <c r="U146" i="5"/>
  <c r="U147" i="5"/>
  <c r="U148" i="5"/>
  <c r="U149" i="5"/>
  <c r="U150" i="5"/>
  <c r="U151" i="5"/>
  <c r="U152" i="5"/>
  <c r="U153" i="5"/>
  <c r="U154" i="5"/>
  <c r="U155" i="5"/>
  <c r="U156" i="5"/>
  <c r="U157" i="5"/>
  <c r="U158" i="5"/>
  <c r="U159" i="5"/>
  <c r="U160" i="5"/>
  <c r="U161" i="5"/>
  <c r="U162" i="5"/>
  <c r="U163" i="5"/>
  <c r="U164" i="5"/>
  <c r="U165" i="5"/>
  <c r="U166" i="5"/>
  <c r="U167" i="5"/>
  <c r="U168" i="5"/>
  <c r="U169" i="5"/>
  <c r="U170" i="5"/>
  <c r="U171" i="5"/>
  <c r="U172" i="5"/>
  <c r="U173" i="5"/>
  <c r="U174" i="5"/>
  <c r="U175" i="5"/>
  <c r="U176" i="5"/>
  <c r="U177" i="5"/>
  <c r="U178" i="5"/>
  <c r="U179" i="5"/>
  <c r="U180" i="5"/>
  <c r="U181" i="5"/>
  <c r="U182" i="5"/>
  <c r="U183" i="5"/>
  <c r="U184" i="5"/>
  <c r="U185" i="5"/>
  <c r="U186" i="5"/>
  <c r="U187" i="5"/>
  <c r="U188" i="5"/>
  <c r="U189" i="5"/>
  <c r="U190" i="5"/>
  <c r="U191" i="5"/>
  <c r="U192" i="5"/>
  <c r="U193" i="5"/>
  <c r="U194" i="5"/>
  <c r="U195" i="5"/>
  <c r="U196" i="5"/>
  <c r="U197" i="5"/>
  <c r="U198" i="5"/>
  <c r="U199" i="5"/>
  <c r="U200" i="5"/>
  <c r="U201" i="5"/>
  <c r="U202" i="5"/>
  <c r="U203" i="5"/>
  <c r="U204" i="5"/>
  <c r="U205" i="5"/>
  <c r="U206" i="5"/>
  <c r="U207" i="5"/>
  <c r="U208" i="5"/>
  <c r="U209" i="5"/>
  <c r="U210" i="5"/>
  <c r="U211" i="5"/>
  <c r="U212" i="5"/>
  <c r="U213" i="5"/>
  <c r="U214" i="5"/>
  <c r="U215" i="5"/>
  <c r="U216" i="5"/>
  <c r="U217" i="5"/>
  <c r="U218" i="5"/>
  <c r="U219" i="5"/>
  <c r="U220" i="5"/>
  <c r="U221" i="5"/>
  <c r="U222" i="5"/>
  <c r="U223" i="5"/>
  <c r="U224" i="5"/>
  <c r="U225" i="5"/>
  <c r="U226" i="5"/>
  <c r="U227" i="5"/>
  <c r="U228" i="5"/>
  <c r="U229" i="5"/>
  <c r="U230" i="5"/>
  <c r="U231" i="5"/>
  <c r="U232" i="5"/>
  <c r="U233" i="5"/>
  <c r="U234" i="5"/>
  <c r="U235" i="5"/>
  <c r="U236" i="5"/>
  <c r="U237" i="5"/>
  <c r="U238" i="5"/>
  <c r="U239" i="5"/>
  <c r="U240" i="5"/>
  <c r="U241" i="5"/>
  <c r="U242" i="5"/>
  <c r="U243" i="5"/>
  <c r="U244" i="5"/>
  <c r="U245" i="5"/>
  <c r="U246" i="5"/>
  <c r="U247" i="5"/>
  <c r="U248" i="5"/>
  <c r="U249" i="5"/>
  <c r="U250" i="5"/>
  <c r="U251" i="5"/>
  <c r="U252" i="5"/>
  <c r="U253" i="5"/>
  <c r="U254" i="5"/>
  <c r="U255" i="5"/>
  <c r="U256" i="5"/>
  <c r="U257" i="5"/>
  <c r="U258" i="5"/>
  <c r="U259" i="5"/>
  <c r="U260" i="5"/>
  <c r="U261" i="5"/>
  <c r="U262" i="5"/>
  <c r="U263" i="5"/>
  <c r="U264" i="5"/>
  <c r="U265" i="5"/>
  <c r="U266" i="5"/>
  <c r="U267" i="5"/>
  <c r="U268" i="5"/>
  <c r="U269" i="5"/>
  <c r="U270" i="5"/>
  <c r="U271" i="5"/>
  <c r="U272" i="5"/>
  <c r="U273" i="5"/>
  <c r="U274" i="5"/>
  <c r="U275" i="5"/>
  <c r="U276" i="5"/>
  <c r="U277" i="5"/>
  <c r="U278" i="5"/>
  <c r="U279" i="5"/>
  <c r="U280" i="5"/>
  <c r="U281" i="5"/>
  <c r="U282" i="5"/>
  <c r="U283" i="5"/>
  <c r="U284" i="5"/>
  <c r="U285" i="5"/>
  <c r="U286" i="5"/>
  <c r="U287" i="5"/>
  <c r="U288" i="5"/>
  <c r="U289" i="5"/>
  <c r="U290" i="5"/>
  <c r="U291" i="5"/>
  <c r="U292" i="5"/>
  <c r="U293" i="5"/>
  <c r="U294" i="5"/>
  <c r="U295" i="5"/>
  <c r="U296" i="5"/>
  <c r="U297" i="5"/>
  <c r="U298" i="5"/>
  <c r="U299" i="5"/>
  <c r="U300" i="5"/>
  <c r="U301" i="5"/>
  <c r="U302" i="5"/>
  <c r="U303" i="5"/>
  <c r="U304" i="5"/>
  <c r="U305" i="5"/>
  <c r="U306" i="5"/>
  <c r="U307" i="5"/>
  <c r="U308" i="5"/>
  <c r="U309" i="5"/>
  <c r="U310" i="5"/>
  <c r="U311" i="5"/>
  <c r="U312" i="5"/>
  <c r="U313" i="5"/>
  <c r="U314" i="5"/>
  <c r="U315" i="5"/>
  <c r="U316" i="5"/>
  <c r="U317" i="5"/>
  <c r="U318" i="5"/>
  <c r="U319" i="5"/>
  <c r="U320" i="5"/>
  <c r="U321" i="5"/>
  <c r="U322" i="5"/>
  <c r="U323" i="5"/>
  <c r="U324" i="5"/>
  <c r="U325" i="5"/>
  <c r="U326" i="5"/>
  <c r="U327" i="5"/>
  <c r="U328" i="5"/>
  <c r="U329" i="5"/>
  <c r="U330" i="5"/>
  <c r="U331" i="5"/>
  <c r="U332" i="5"/>
  <c r="U333" i="5"/>
  <c r="U334" i="5"/>
  <c r="U335" i="5"/>
  <c r="U336" i="5"/>
  <c r="U337" i="5"/>
  <c r="U338" i="5"/>
  <c r="U339" i="5"/>
  <c r="U340" i="5"/>
  <c r="U341" i="5"/>
  <c r="U342" i="5"/>
  <c r="U343" i="5"/>
  <c r="U344" i="5"/>
  <c r="U345" i="5"/>
  <c r="U346" i="5"/>
  <c r="U347" i="5"/>
  <c r="U348" i="5"/>
  <c r="U349" i="5"/>
  <c r="U350" i="5"/>
  <c r="U351" i="5"/>
  <c r="U352" i="5"/>
  <c r="U353" i="5"/>
  <c r="U354" i="5"/>
  <c r="U355" i="5"/>
  <c r="U356" i="5"/>
  <c r="U357" i="5"/>
  <c r="U358" i="5"/>
  <c r="U359" i="5"/>
  <c r="U360" i="5"/>
  <c r="U361" i="5"/>
  <c r="U362" i="5"/>
  <c r="U363" i="5"/>
  <c r="U364" i="5"/>
  <c r="U365" i="5"/>
  <c r="U366" i="5"/>
  <c r="U367" i="5"/>
  <c r="U368" i="5"/>
  <c r="U369" i="5"/>
  <c r="U370" i="5"/>
  <c r="U371" i="5"/>
  <c r="U372" i="5"/>
  <c r="U373" i="5"/>
  <c r="U374" i="5"/>
  <c r="U375" i="5"/>
  <c r="U376" i="5"/>
  <c r="U377" i="5"/>
  <c r="U378" i="5"/>
  <c r="U379" i="5"/>
  <c r="U380" i="5"/>
  <c r="U381" i="5"/>
  <c r="U382" i="5"/>
  <c r="U383" i="5"/>
  <c r="U384" i="5"/>
  <c r="U385" i="5"/>
  <c r="U386" i="5"/>
  <c r="U387" i="5"/>
  <c r="U388" i="5"/>
  <c r="U389" i="5"/>
  <c r="U390" i="5"/>
  <c r="U391" i="5"/>
  <c r="U392" i="5"/>
  <c r="U393" i="5"/>
  <c r="U394" i="5"/>
  <c r="U395" i="5"/>
  <c r="U396" i="5"/>
  <c r="U397" i="5"/>
  <c r="U398" i="5"/>
  <c r="U399" i="5"/>
  <c r="U400" i="5"/>
  <c r="U401" i="5"/>
  <c r="U402" i="5"/>
  <c r="U403" i="5"/>
  <c r="U404" i="5"/>
  <c r="U405" i="5"/>
  <c r="U406" i="5"/>
  <c r="U407" i="5"/>
  <c r="U408" i="5"/>
  <c r="U409" i="5"/>
  <c r="U410" i="5"/>
  <c r="U411" i="5"/>
  <c r="U412" i="5"/>
  <c r="U413" i="5"/>
  <c r="U414" i="5"/>
  <c r="U415" i="5"/>
  <c r="U416" i="5"/>
  <c r="U417" i="5"/>
  <c r="U418" i="5"/>
  <c r="U419" i="5"/>
  <c r="U420" i="5"/>
  <c r="U421" i="5"/>
  <c r="U422" i="5"/>
  <c r="U423" i="5"/>
  <c r="U424" i="5"/>
  <c r="U425" i="5"/>
  <c r="U426" i="5"/>
  <c r="U427" i="5"/>
  <c r="U428" i="5"/>
  <c r="U429" i="5"/>
  <c r="U430" i="5"/>
  <c r="U431" i="5"/>
  <c r="U432" i="5"/>
  <c r="U433" i="5"/>
  <c r="U434" i="5"/>
  <c r="U435" i="5"/>
  <c r="U436" i="5"/>
  <c r="U437" i="5"/>
  <c r="U438" i="5"/>
  <c r="U439" i="5"/>
  <c r="U440" i="5"/>
  <c r="U441" i="5"/>
  <c r="U442" i="5"/>
  <c r="U443" i="5"/>
  <c r="U444" i="5"/>
  <c r="U445" i="5"/>
  <c r="U446" i="5"/>
  <c r="U447" i="5"/>
  <c r="U448" i="5"/>
  <c r="U449" i="5"/>
  <c r="U450" i="5"/>
  <c r="U451" i="5"/>
  <c r="U452" i="5"/>
  <c r="U453" i="5"/>
  <c r="U454" i="5"/>
  <c r="U455" i="5"/>
  <c r="U456" i="5"/>
  <c r="U457" i="5"/>
  <c r="U458" i="5"/>
  <c r="U459" i="5"/>
  <c r="U460" i="5"/>
  <c r="U461" i="5"/>
  <c r="U462" i="5"/>
  <c r="U463" i="5"/>
  <c r="U464" i="5"/>
  <c r="U465" i="5"/>
  <c r="U466" i="5"/>
  <c r="U467" i="5"/>
  <c r="U468" i="5"/>
  <c r="U469" i="5"/>
  <c r="U470" i="5"/>
  <c r="U471" i="5"/>
  <c r="U472" i="5"/>
  <c r="U473" i="5"/>
  <c r="U474" i="5"/>
  <c r="U475" i="5"/>
  <c r="U476" i="5"/>
  <c r="U477" i="5"/>
  <c r="U478" i="5"/>
  <c r="U479" i="5"/>
  <c r="U480" i="5"/>
  <c r="U481" i="5"/>
  <c r="U482" i="5"/>
  <c r="U483" i="5"/>
  <c r="U484" i="5"/>
  <c r="U485" i="5"/>
  <c r="U486" i="5"/>
  <c r="U487" i="5"/>
  <c r="U488" i="5"/>
  <c r="U489" i="5"/>
  <c r="U490" i="5"/>
  <c r="U491" i="5"/>
  <c r="U492" i="5"/>
  <c r="U493" i="5"/>
  <c r="U494" i="5"/>
  <c r="U495" i="5"/>
  <c r="U496" i="5"/>
  <c r="U497" i="5"/>
  <c r="U498" i="5"/>
  <c r="U499" i="5"/>
  <c r="U500" i="5"/>
  <c r="U501" i="5"/>
  <c r="U502" i="5"/>
  <c r="U503" i="5"/>
  <c r="U504" i="5"/>
  <c r="U505" i="5"/>
  <c r="U506" i="5"/>
  <c r="U507" i="5"/>
  <c r="U508" i="5"/>
  <c r="U509" i="5"/>
  <c r="U510" i="5"/>
  <c r="U511" i="5"/>
  <c r="U512" i="5"/>
  <c r="U513" i="5"/>
  <c r="U514" i="5"/>
  <c r="U515" i="5"/>
  <c r="U516" i="5"/>
  <c r="U517" i="5"/>
  <c r="U518" i="5"/>
  <c r="U519" i="5"/>
  <c r="U520" i="5"/>
  <c r="U521" i="5"/>
  <c r="U522" i="5"/>
  <c r="U523" i="5"/>
  <c r="U524" i="5"/>
  <c r="U525" i="5"/>
  <c r="U526" i="5"/>
  <c r="U527" i="5"/>
  <c r="U528" i="5"/>
  <c r="U529" i="5"/>
  <c r="U530" i="5"/>
  <c r="U531" i="5"/>
  <c r="U532" i="5"/>
  <c r="U533" i="5"/>
  <c r="U534" i="5"/>
  <c r="U535" i="5"/>
  <c r="U536" i="5"/>
  <c r="U537" i="5"/>
  <c r="U538" i="5"/>
  <c r="U539" i="5"/>
  <c r="U540" i="5"/>
  <c r="U541" i="5"/>
  <c r="U542" i="5"/>
  <c r="U543" i="5"/>
  <c r="U544" i="5"/>
  <c r="U545" i="5"/>
  <c r="U546" i="5"/>
  <c r="U547" i="5"/>
  <c r="U548" i="5"/>
  <c r="U549" i="5"/>
  <c r="U550" i="5"/>
  <c r="U551" i="5"/>
  <c r="U552" i="5"/>
  <c r="U553" i="5"/>
  <c r="U554" i="5"/>
  <c r="U555" i="5"/>
  <c r="U556" i="5"/>
  <c r="U557" i="5"/>
  <c r="U558" i="5"/>
  <c r="U559" i="5"/>
  <c r="U560" i="5"/>
  <c r="U561" i="5"/>
  <c r="U562" i="5"/>
  <c r="U563" i="5"/>
  <c r="U564" i="5"/>
  <c r="U565" i="5"/>
  <c r="U566" i="5"/>
  <c r="U567" i="5"/>
  <c r="U568" i="5"/>
  <c r="U569" i="5"/>
  <c r="U570" i="5"/>
  <c r="U571" i="5"/>
  <c r="U572" i="5"/>
  <c r="U573" i="5"/>
  <c r="U574" i="5"/>
  <c r="U575" i="5"/>
  <c r="U576" i="5"/>
  <c r="U577" i="5"/>
  <c r="U578" i="5"/>
  <c r="U579" i="5"/>
  <c r="U580" i="5"/>
  <c r="U581" i="5"/>
  <c r="U582" i="5"/>
  <c r="U583" i="5"/>
  <c r="U584" i="5"/>
  <c r="U585" i="5"/>
  <c r="U586" i="5"/>
  <c r="U587" i="5"/>
  <c r="U588" i="5"/>
  <c r="U589" i="5"/>
  <c r="U590" i="5"/>
  <c r="U591" i="5"/>
  <c r="U592" i="5"/>
  <c r="U593" i="5"/>
  <c r="U594" i="5"/>
  <c r="U595" i="5"/>
  <c r="U596" i="5"/>
  <c r="U597" i="5"/>
  <c r="U598" i="5"/>
  <c r="U599" i="5"/>
  <c r="U600" i="5"/>
  <c r="U601" i="5"/>
  <c r="U602" i="5"/>
  <c r="U603" i="5"/>
  <c r="U604" i="5"/>
  <c r="U605" i="5"/>
  <c r="U606" i="5"/>
  <c r="U607" i="5"/>
  <c r="U608" i="5"/>
  <c r="U609" i="5"/>
  <c r="U610" i="5"/>
  <c r="U611" i="5"/>
  <c r="U612" i="5"/>
  <c r="U613" i="5"/>
  <c r="U614" i="5"/>
  <c r="U615" i="5"/>
  <c r="U616" i="5"/>
  <c r="U617" i="5"/>
  <c r="U618" i="5"/>
  <c r="U619" i="5"/>
  <c r="U620" i="5"/>
  <c r="U621" i="5"/>
  <c r="U622" i="5"/>
  <c r="U623" i="5"/>
  <c r="U624" i="5"/>
  <c r="U625" i="5"/>
  <c r="U626" i="5"/>
  <c r="U627" i="5"/>
  <c r="U628" i="5"/>
  <c r="U629" i="5"/>
  <c r="U630" i="5"/>
  <c r="U631" i="5"/>
  <c r="U632" i="5"/>
  <c r="U633" i="5"/>
  <c r="U634" i="5"/>
  <c r="U635" i="5"/>
  <c r="U636" i="5"/>
  <c r="U637" i="5"/>
  <c r="U638" i="5"/>
  <c r="U639" i="5"/>
  <c r="U640" i="5"/>
  <c r="U641" i="5"/>
  <c r="U642" i="5"/>
  <c r="U643" i="5"/>
  <c r="U644" i="5"/>
  <c r="U645" i="5"/>
  <c r="U646" i="5"/>
  <c r="U647" i="5"/>
  <c r="U648" i="5"/>
  <c r="U649" i="5"/>
  <c r="U650" i="5"/>
  <c r="U651" i="5"/>
  <c r="U652" i="5"/>
  <c r="U653" i="5"/>
  <c r="U654" i="5"/>
  <c r="U655" i="5"/>
  <c r="U656" i="5"/>
  <c r="U657" i="5"/>
  <c r="U658" i="5"/>
  <c r="U659" i="5"/>
  <c r="U660" i="5"/>
  <c r="U661" i="5"/>
  <c r="U662" i="5"/>
  <c r="U663" i="5"/>
  <c r="U664" i="5"/>
  <c r="U665" i="5"/>
  <c r="U666" i="5"/>
  <c r="U667" i="5"/>
  <c r="U668" i="5"/>
  <c r="U669" i="5"/>
  <c r="U670" i="5"/>
  <c r="U671" i="5"/>
  <c r="U672" i="5"/>
  <c r="U673" i="5"/>
  <c r="U674" i="5"/>
  <c r="U675" i="5"/>
  <c r="U676" i="5"/>
  <c r="U677" i="5"/>
  <c r="U678" i="5"/>
  <c r="U679" i="5"/>
  <c r="U680" i="5"/>
  <c r="U681" i="5"/>
  <c r="U682" i="5"/>
  <c r="U683" i="5"/>
  <c r="U684" i="5"/>
  <c r="U685" i="5"/>
  <c r="U686" i="5"/>
  <c r="U687" i="5"/>
  <c r="U688" i="5"/>
  <c r="U689" i="5"/>
  <c r="U690" i="5"/>
  <c r="U691" i="5"/>
  <c r="U692" i="5"/>
  <c r="U693" i="5"/>
  <c r="U694" i="5"/>
  <c r="U695" i="5"/>
  <c r="U696" i="5"/>
  <c r="U697" i="5"/>
  <c r="U698" i="5"/>
  <c r="U699" i="5"/>
  <c r="U700" i="5"/>
  <c r="U701" i="5"/>
  <c r="U702" i="5"/>
  <c r="U703" i="5"/>
  <c r="U704" i="5"/>
  <c r="U705" i="5"/>
  <c r="U706" i="5"/>
  <c r="U707" i="5"/>
  <c r="U708" i="5"/>
  <c r="U709" i="5"/>
  <c r="U710" i="5"/>
  <c r="U711" i="5"/>
  <c r="U712" i="5"/>
  <c r="U713" i="5"/>
  <c r="U714" i="5"/>
  <c r="U715" i="5"/>
  <c r="U716" i="5"/>
  <c r="U717" i="5"/>
  <c r="U718" i="5"/>
  <c r="U719" i="5"/>
  <c r="U720" i="5"/>
  <c r="U721" i="5"/>
  <c r="U722" i="5"/>
  <c r="U723" i="5"/>
  <c r="U724" i="5"/>
  <c r="U725" i="5"/>
  <c r="U726" i="5"/>
  <c r="U727" i="5"/>
  <c r="U728" i="5"/>
  <c r="U729" i="5"/>
  <c r="U730" i="5"/>
  <c r="U731" i="5"/>
  <c r="U732" i="5"/>
  <c r="U733" i="5"/>
  <c r="U734" i="5"/>
  <c r="U735" i="5"/>
  <c r="U736" i="5"/>
  <c r="U737" i="5"/>
  <c r="U738" i="5"/>
  <c r="U739" i="5"/>
  <c r="U740" i="5"/>
  <c r="U741" i="5"/>
  <c r="U742" i="5"/>
  <c r="U743" i="5"/>
  <c r="U744" i="5"/>
  <c r="U745" i="5"/>
  <c r="U746" i="5"/>
  <c r="U747" i="5"/>
  <c r="U748" i="5"/>
  <c r="U749" i="5"/>
  <c r="U750" i="5"/>
  <c r="U751" i="5"/>
  <c r="U752" i="5"/>
  <c r="U753" i="5"/>
  <c r="U754" i="5"/>
  <c r="U755" i="5"/>
  <c r="U756" i="5"/>
  <c r="U757" i="5"/>
  <c r="U758" i="5"/>
  <c r="U759" i="5"/>
  <c r="U760" i="5"/>
  <c r="U761" i="5"/>
  <c r="U762" i="5"/>
  <c r="U763" i="5"/>
  <c r="U764" i="5"/>
  <c r="U765" i="5"/>
  <c r="U766" i="5"/>
  <c r="U767" i="5"/>
  <c r="U768" i="5"/>
  <c r="U769" i="5"/>
  <c r="U770" i="5"/>
  <c r="U771" i="5"/>
  <c r="U772" i="5"/>
  <c r="U773" i="5"/>
  <c r="U774" i="5"/>
  <c r="U775" i="5"/>
  <c r="U776" i="5"/>
  <c r="U777" i="5"/>
  <c r="U778" i="5"/>
  <c r="U779" i="5"/>
  <c r="U780" i="5"/>
  <c r="U781" i="5"/>
  <c r="U782" i="5"/>
  <c r="U783" i="5"/>
  <c r="U784" i="5"/>
  <c r="U785" i="5"/>
  <c r="U786" i="5"/>
  <c r="U787" i="5"/>
  <c r="U788" i="5"/>
  <c r="U789" i="5"/>
  <c r="U790" i="5"/>
  <c r="U791" i="5"/>
  <c r="U792" i="5"/>
  <c r="U793" i="5"/>
  <c r="U794" i="5"/>
  <c r="U795" i="5"/>
  <c r="U796" i="5"/>
  <c r="U797" i="5"/>
  <c r="U798" i="5"/>
  <c r="U799" i="5"/>
  <c r="U800" i="5"/>
  <c r="U801" i="5"/>
  <c r="U802" i="5"/>
  <c r="U803" i="5"/>
  <c r="U804" i="5"/>
  <c r="U805" i="5"/>
  <c r="U806" i="5"/>
  <c r="U807" i="5"/>
  <c r="U808" i="5"/>
  <c r="U809" i="5"/>
  <c r="U810" i="5"/>
  <c r="U811" i="5"/>
  <c r="U812" i="5"/>
  <c r="U813" i="5"/>
  <c r="U814" i="5"/>
  <c r="U815" i="5"/>
  <c r="U816" i="5"/>
  <c r="U817" i="5"/>
  <c r="U818" i="5"/>
  <c r="U819" i="5"/>
  <c r="U820" i="5"/>
  <c r="U821" i="5"/>
  <c r="U822" i="5"/>
  <c r="U823" i="5"/>
  <c r="U824" i="5"/>
  <c r="U825" i="5"/>
  <c r="U826" i="5"/>
  <c r="U827" i="5"/>
  <c r="U828" i="5"/>
  <c r="U829" i="5"/>
  <c r="U830" i="5"/>
  <c r="U831" i="5"/>
  <c r="U832" i="5"/>
  <c r="U833" i="5"/>
  <c r="U834" i="5"/>
  <c r="U835" i="5"/>
  <c r="U836" i="5"/>
  <c r="U837" i="5"/>
  <c r="U838" i="5"/>
  <c r="U839" i="5"/>
  <c r="U840" i="5"/>
  <c r="U841" i="5"/>
  <c r="U842" i="5"/>
  <c r="U843" i="5"/>
  <c r="U844" i="5"/>
  <c r="U845" i="5"/>
  <c r="U846" i="5"/>
  <c r="U847" i="5"/>
  <c r="U848" i="5"/>
  <c r="U849" i="5"/>
  <c r="U850" i="5"/>
  <c r="U851" i="5"/>
  <c r="U852" i="5"/>
  <c r="U853" i="5"/>
  <c r="U854" i="5"/>
  <c r="U855" i="5"/>
  <c r="U856" i="5"/>
  <c r="U857" i="5"/>
  <c r="U858" i="5"/>
  <c r="U859" i="5"/>
  <c r="U860" i="5"/>
  <c r="U861" i="5"/>
  <c r="U862" i="5"/>
  <c r="U863" i="5"/>
  <c r="U864" i="5"/>
  <c r="U865" i="5"/>
  <c r="U866" i="5"/>
  <c r="U867" i="5"/>
  <c r="U868" i="5"/>
  <c r="U869" i="5"/>
  <c r="U870" i="5"/>
  <c r="U871" i="5"/>
  <c r="U872" i="5"/>
  <c r="U873" i="5"/>
  <c r="U874" i="5"/>
  <c r="U875" i="5"/>
  <c r="U876" i="5"/>
  <c r="U877" i="5"/>
  <c r="U878" i="5"/>
  <c r="U879" i="5"/>
  <c r="U880" i="5"/>
  <c r="U881" i="5"/>
  <c r="U882" i="5"/>
  <c r="U883" i="5"/>
  <c r="U884" i="5"/>
  <c r="U885" i="5"/>
  <c r="U886" i="5"/>
  <c r="U887" i="5"/>
  <c r="U888" i="5"/>
  <c r="U889" i="5"/>
  <c r="U890" i="5"/>
  <c r="U891" i="5"/>
  <c r="U892" i="5"/>
  <c r="U893" i="5"/>
  <c r="U894" i="5"/>
  <c r="U895" i="5"/>
  <c r="U896" i="5"/>
  <c r="U897" i="5"/>
  <c r="U898" i="5"/>
  <c r="U899" i="5"/>
  <c r="U900" i="5"/>
  <c r="U901" i="5"/>
  <c r="U902" i="5"/>
  <c r="U903" i="5"/>
  <c r="U904" i="5"/>
  <c r="U905" i="5"/>
  <c r="U906" i="5"/>
  <c r="U907" i="5"/>
  <c r="U908" i="5"/>
  <c r="U909" i="5"/>
  <c r="U910" i="5"/>
  <c r="U911" i="5"/>
  <c r="U912" i="5"/>
  <c r="U913" i="5"/>
  <c r="U914" i="5"/>
  <c r="U915" i="5"/>
  <c r="U916" i="5"/>
  <c r="U917" i="5"/>
  <c r="U918" i="5"/>
  <c r="U919" i="5"/>
  <c r="U920" i="5"/>
  <c r="U921" i="5"/>
  <c r="U922" i="5"/>
  <c r="U923" i="5"/>
  <c r="U924" i="5"/>
  <c r="U925" i="5"/>
  <c r="U926" i="5"/>
  <c r="U927" i="5"/>
  <c r="U928" i="5"/>
  <c r="U929" i="5"/>
  <c r="U930" i="5"/>
  <c r="U931" i="5"/>
  <c r="U932" i="5"/>
  <c r="U933" i="5"/>
  <c r="U934" i="5"/>
  <c r="U935" i="5"/>
  <c r="U936" i="5"/>
  <c r="U937" i="5"/>
  <c r="U938" i="5"/>
  <c r="U939" i="5"/>
  <c r="U940" i="5"/>
  <c r="U941" i="5"/>
  <c r="U942" i="5"/>
  <c r="U943" i="5"/>
  <c r="U944" i="5"/>
  <c r="U945" i="5"/>
  <c r="U946" i="5"/>
  <c r="U947" i="5"/>
  <c r="U948" i="5"/>
  <c r="U949" i="5"/>
  <c r="U950" i="5"/>
  <c r="U951" i="5"/>
  <c r="U952" i="5"/>
  <c r="U953" i="5"/>
  <c r="U954" i="5"/>
  <c r="U955" i="5"/>
  <c r="U956" i="5"/>
  <c r="U957" i="5"/>
  <c r="U958" i="5"/>
  <c r="U959" i="5"/>
  <c r="U960" i="5"/>
  <c r="U961" i="5"/>
  <c r="U962" i="5"/>
  <c r="U963" i="5"/>
  <c r="U964" i="5"/>
  <c r="U965" i="5"/>
  <c r="U966" i="5"/>
  <c r="U967" i="5"/>
  <c r="U968" i="5"/>
  <c r="U969" i="5"/>
  <c r="U970" i="5"/>
  <c r="U971" i="5"/>
  <c r="U972" i="5"/>
  <c r="U973" i="5"/>
  <c r="U974" i="5"/>
  <c r="U975" i="5"/>
  <c r="U976" i="5"/>
  <c r="U977" i="5"/>
  <c r="U978" i="5"/>
  <c r="U979" i="5"/>
  <c r="U980" i="5"/>
  <c r="U981" i="5"/>
  <c r="U982" i="5"/>
  <c r="U983" i="5"/>
  <c r="U984" i="5"/>
  <c r="U985" i="5"/>
  <c r="U986" i="5"/>
  <c r="U987" i="5"/>
  <c r="U988" i="5"/>
  <c r="U989" i="5"/>
  <c r="U990" i="5"/>
  <c r="U991" i="5"/>
  <c r="U992" i="5"/>
  <c r="U993" i="5"/>
  <c r="U994" i="5"/>
  <c r="U995" i="5"/>
  <c r="U996" i="5"/>
  <c r="U997" i="5"/>
  <c r="U998" i="5"/>
  <c r="U999" i="5"/>
  <c r="U1000" i="5"/>
  <c r="U1001" i="5"/>
  <c r="U1002" i="5"/>
  <c r="U1003" i="5"/>
  <c r="U1004" i="5"/>
  <c r="U1005" i="5"/>
  <c r="U1006" i="5"/>
  <c r="U1007" i="5"/>
  <c r="U1008" i="5"/>
  <c r="U1009" i="5"/>
  <c r="U1010" i="5"/>
  <c r="U1011" i="5"/>
  <c r="U1012" i="5"/>
  <c r="U1013" i="5"/>
  <c r="U1014" i="5"/>
  <c r="U1015" i="5"/>
  <c r="U1016" i="5"/>
  <c r="U1017" i="5"/>
  <c r="U1018" i="5"/>
  <c r="U1019" i="5"/>
  <c r="U1020" i="5"/>
  <c r="U1021" i="5"/>
  <c r="U1022" i="5"/>
  <c r="U1023" i="5"/>
  <c r="U1024" i="5"/>
  <c r="U1025" i="5"/>
  <c r="U1026" i="5"/>
  <c r="U1027" i="5"/>
  <c r="U1028" i="5"/>
  <c r="U1029" i="5"/>
  <c r="U1030" i="5"/>
  <c r="U1031" i="5"/>
  <c r="U1032" i="5"/>
  <c r="U1033" i="5"/>
  <c r="U1034" i="5"/>
  <c r="U1035" i="5"/>
  <c r="U1036" i="5"/>
  <c r="U1037" i="5"/>
  <c r="U1038" i="5"/>
  <c r="U1039" i="5"/>
  <c r="U1040" i="5"/>
  <c r="U1041" i="5"/>
  <c r="U1042" i="5"/>
  <c r="U1043" i="5"/>
  <c r="U1044" i="5"/>
  <c r="U1045" i="5"/>
  <c r="U1046" i="5"/>
  <c r="U1047" i="5"/>
  <c r="U1048" i="5"/>
  <c r="U1049" i="5"/>
  <c r="U1050" i="5"/>
  <c r="U1051" i="5"/>
  <c r="U1052" i="5"/>
  <c r="U1053" i="5"/>
  <c r="U1054" i="5"/>
  <c r="U1055" i="5"/>
  <c r="U1056" i="5"/>
  <c r="U1057" i="5"/>
  <c r="U1058" i="5"/>
  <c r="U1059" i="5"/>
  <c r="U1060" i="5"/>
  <c r="U1061" i="5"/>
  <c r="U1062" i="5"/>
  <c r="U1063" i="5"/>
  <c r="U1064" i="5"/>
  <c r="U1065" i="5"/>
  <c r="U1066" i="5"/>
  <c r="U1067" i="5"/>
  <c r="U1068" i="5"/>
  <c r="U1069" i="5"/>
  <c r="U1070" i="5"/>
  <c r="U1071" i="5"/>
  <c r="U1072" i="5"/>
  <c r="U1073" i="5"/>
  <c r="U1074" i="5"/>
  <c r="U1075" i="5"/>
  <c r="U1076" i="5"/>
  <c r="U1077" i="5"/>
  <c r="U1078" i="5"/>
  <c r="U1079" i="5"/>
  <c r="U1080" i="5"/>
  <c r="U1081" i="5"/>
  <c r="U1082" i="5"/>
  <c r="U1083" i="5"/>
  <c r="U1084" i="5"/>
  <c r="U1085" i="5"/>
  <c r="U1086" i="5"/>
  <c r="U1087" i="5"/>
  <c r="U1088" i="5"/>
  <c r="U1089" i="5"/>
  <c r="U1090" i="5"/>
  <c r="U1091" i="5"/>
  <c r="U1092" i="5"/>
  <c r="U1093" i="5"/>
  <c r="U1094" i="5"/>
  <c r="U1095" i="5"/>
  <c r="U1096" i="5"/>
  <c r="U1097" i="5"/>
  <c r="U1098" i="5"/>
  <c r="U1099" i="5"/>
  <c r="U1100" i="5"/>
  <c r="U1101" i="5"/>
  <c r="U1102" i="5"/>
  <c r="U1103" i="5"/>
  <c r="U1104" i="5"/>
  <c r="U1105" i="5"/>
  <c r="U1106" i="5"/>
  <c r="U1107" i="5"/>
  <c r="U1108" i="5"/>
  <c r="U1109" i="5"/>
  <c r="U1110" i="5"/>
  <c r="U1111" i="5"/>
  <c r="U1112" i="5"/>
  <c r="U1113" i="5"/>
  <c r="U1114" i="5"/>
  <c r="U1115" i="5"/>
  <c r="U1116" i="5"/>
  <c r="U1117" i="5"/>
  <c r="U1118" i="5"/>
  <c r="U1119" i="5"/>
  <c r="U1120" i="5"/>
  <c r="U1121" i="5"/>
  <c r="U1122" i="5"/>
  <c r="U1123" i="5"/>
  <c r="U1124" i="5"/>
  <c r="M3" i="5"/>
  <c r="M4" i="5"/>
  <c r="M5" i="5"/>
  <c r="B5" i="4" s="1"/>
  <c r="M6" i="5"/>
  <c r="M7" i="5"/>
  <c r="B7" i="4" s="1"/>
  <c r="M8" i="5"/>
  <c r="B8" i="4" s="1"/>
  <c r="M9" i="5"/>
  <c r="B9" i="4" s="1"/>
  <c r="M10" i="5"/>
  <c r="B10" i="4" s="1"/>
  <c r="M11" i="5"/>
  <c r="B11" i="4" s="1"/>
  <c r="M12" i="5"/>
  <c r="M13" i="5"/>
  <c r="B13" i="4" s="1"/>
  <c r="M14" i="5"/>
  <c r="B14" i="4" s="1"/>
  <c r="M15" i="5"/>
  <c r="B15" i="4" s="1"/>
  <c r="M16" i="5"/>
  <c r="B16" i="4" s="1"/>
  <c r="M17" i="5"/>
  <c r="B17" i="4" s="1"/>
  <c r="M18" i="5"/>
  <c r="B18" i="4" s="1"/>
  <c r="M19" i="5"/>
  <c r="M20" i="5"/>
  <c r="M21" i="5"/>
  <c r="B21" i="4" s="1"/>
  <c r="M22" i="5"/>
  <c r="B22" i="4" s="1"/>
  <c r="M23" i="5"/>
  <c r="B23" i="4" s="1"/>
  <c r="M24" i="5"/>
  <c r="B24" i="4" s="1"/>
  <c r="M25" i="5"/>
  <c r="M26" i="5"/>
  <c r="B26" i="4" s="1"/>
  <c r="M27" i="5"/>
  <c r="B27" i="4" s="1"/>
  <c r="M28" i="5"/>
  <c r="M29" i="5"/>
  <c r="B29" i="4" s="1"/>
  <c r="M30" i="5"/>
  <c r="B30" i="4" s="1"/>
  <c r="M31" i="5"/>
  <c r="B31" i="4" s="1"/>
  <c r="M32" i="5"/>
  <c r="B32" i="4" s="1"/>
  <c r="M33" i="5"/>
  <c r="M34" i="5"/>
  <c r="B34" i="4" s="1"/>
  <c r="M35" i="5"/>
  <c r="B35" i="4" s="1"/>
  <c r="M36" i="5"/>
  <c r="M37" i="5"/>
  <c r="B37" i="4" s="1"/>
  <c r="M38" i="5"/>
  <c r="B38" i="4" s="1"/>
  <c r="M39" i="5"/>
  <c r="B39" i="4" s="1"/>
  <c r="M40" i="5"/>
  <c r="B40" i="4" s="1"/>
  <c r="M41" i="5"/>
  <c r="M42" i="5"/>
  <c r="B42" i="4" s="1"/>
  <c r="M43" i="5"/>
  <c r="B43" i="4" s="1"/>
  <c r="M44" i="5"/>
  <c r="M45" i="5"/>
  <c r="B45" i="4" s="1"/>
  <c r="M46" i="5"/>
  <c r="B46" i="4" s="1"/>
  <c r="M47" i="5"/>
  <c r="B47" i="4" s="1"/>
  <c r="M48" i="5"/>
  <c r="B48" i="4" s="1"/>
  <c r="M49" i="5"/>
  <c r="M50" i="5"/>
  <c r="B50" i="4" s="1"/>
  <c r="M51" i="5"/>
  <c r="B51" i="4" s="1"/>
  <c r="M52" i="5"/>
  <c r="M53" i="5"/>
  <c r="B53" i="4" s="1"/>
  <c r="M54" i="5"/>
  <c r="B54" i="4" s="1"/>
  <c r="M55" i="5"/>
  <c r="B55" i="4" s="1"/>
  <c r="M56" i="5"/>
  <c r="B56" i="4" s="1"/>
  <c r="M57" i="5"/>
  <c r="M58" i="5"/>
  <c r="B58" i="4" s="1"/>
  <c r="M59" i="5"/>
  <c r="B59" i="4" s="1"/>
  <c r="M60" i="5"/>
  <c r="M61" i="5"/>
  <c r="B61" i="4" s="1"/>
  <c r="M62" i="5"/>
  <c r="B62" i="4" s="1"/>
  <c r="M63" i="5"/>
  <c r="B63" i="4" s="1"/>
  <c r="M64" i="5"/>
  <c r="B64" i="4" s="1"/>
  <c r="M65" i="5"/>
  <c r="M66" i="5"/>
  <c r="B66" i="4" s="1"/>
  <c r="M67" i="5"/>
  <c r="B67" i="4" s="1"/>
  <c r="M68" i="5"/>
  <c r="M69" i="5"/>
  <c r="B69" i="4" s="1"/>
  <c r="M70" i="5"/>
  <c r="B70" i="4" s="1"/>
  <c r="M71" i="5"/>
  <c r="B71" i="4" s="1"/>
  <c r="M72" i="5"/>
  <c r="B72" i="4" s="1"/>
  <c r="M73" i="5"/>
  <c r="B73" i="4" s="1"/>
  <c r="M74" i="5"/>
  <c r="B74" i="4" s="1"/>
  <c r="M75" i="5"/>
  <c r="B75" i="4" s="1"/>
  <c r="M76" i="5"/>
  <c r="M77" i="5"/>
  <c r="B77" i="4" s="1"/>
  <c r="M78" i="5"/>
  <c r="B78" i="4" s="1"/>
  <c r="M79" i="5"/>
  <c r="B79" i="4" s="1"/>
  <c r="M80" i="5"/>
  <c r="B80" i="4" s="1"/>
  <c r="M81" i="5"/>
  <c r="M82" i="5"/>
  <c r="B82" i="4" s="1"/>
  <c r="M83" i="5"/>
  <c r="B83" i="4" s="1"/>
  <c r="M84" i="5"/>
  <c r="M85" i="5"/>
  <c r="B85" i="4" s="1"/>
  <c r="M86" i="5"/>
  <c r="B86" i="4" s="1"/>
  <c r="M87" i="5"/>
  <c r="B87" i="4" s="1"/>
  <c r="M88" i="5"/>
  <c r="B88" i="4" s="1"/>
  <c r="M89" i="5"/>
  <c r="M90" i="5"/>
  <c r="B90" i="4" s="1"/>
  <c r="M91" i="5"/>
  <c r="B91" i="4" s="1"/>
  <c r="M92" i="5"/>
  <c r="M93" i="5"/>
  <c r="B93" i="4" s="1"/>
  <c r="M94" i="5"/>
  <c r="B94" i="4" s="1"/>
  <c r="M95" i="5"/>
  <c r="B95" i="4" s="1"/>
  <c r="M96" i="5"/>
  <c r="B96" i="4" s="1"/>
  <c r="M97" i="5"/>
  <c r="M98" i="5"/>
  <c r="B98" i="4" s="1"/>
  <c r="M99" i="5"/>
  <c r="B99" i="4" s="1"/>
  <c r="M100" i="5"/>
  <c r="M101" i="5"/>
  <c r="B101" i="4" s="1"/>
  <c r="M102" i="5"/>
  <c r="B102" i="4" s="1"/>
  <c r="M103" i="5"/>
  <c r="B103" i="4" s="1"/>
  <c r="M104" i="5"/>
  <c r="B104" i="4" s="1"/>
  <c r="M105" i="5"/>
  <c r="M106" i="5"/>
  <c r="B106" i="4" s="1"/>
  <c r="M107" i="5"/>
  <c r="B107" i="4" s="1"/>
  <c r="M108" i="5"/>
  <c r="M109" i="5"/>
  <c r="B109" i="4" s="1"/>
  <c r="M110" i="5"/>
  <c r="B110" i="4" s="1"/>
  <c r="M111" i="5"/>
  <c r="B111" i="4" s="1"/>
  <c r="M112" i="5"/>
  <c r="B112" i="4" s="1"/>
  <c r="M113" i="5"/>
  <c r="M114" i="5"/>
  <c r="B114" i="4" s="1"/>
  <c r="M115" i="5"/>
  <c r="B115" i="4" s="1"/>
  <c r="M116" i="5"/>
  <c r="M117" i="5"/>
  <c r="B117" i="4" s="1"/>
  <c r="M118" i="5"/>
  <c r="B118" i="4" s="1"/>
  <c r="M119" i="5"/>
  <c r="B119" i="4" s="1"/>
  <c r="M120" i="5"/>
  <c r="B120" i="4" s="1"/>
  <c r="M121" i="5"/>
  <c r="M122" i="5"/>
  <c r="B122" i="4" s="1"/>
  <c r="M123" i="5"/>
  <c r="B123" i="4" s="1"/>
  <c r="M124" i="5"/>
  <c r="M125" i="5"/>
  <c r="B125" i="4" s="1"/>
  <c r="M126" i="5"/>
  <c r="B126" i="4" s="1"/>
  <c r="M127" i="5"/>
  <c r="B127" i="4" s="1"/>
  <c r="M128" i="5"/>
  <c r="B128" i="4" s="1"/>
  <c r="M129" i="5"/>
  <c r="M130" i="5"/>
  <c r="B130" i="4" s="1"/>
  <c r="M131" i="5"/>
  <c r="M132" i="5"/>
  <c r="M133" i="5"/>
  <c r="B133" i="4" s="1"/>
  <c r="M134" i="5"/>
  <c r="B134" i="4" s="1"/>
  <c r="M135" i="5"/>
  <c r="B135" i="4" s="1"/>
  <c r="M136" i="5"/>
  <c r="B136" i="4" s="1"/>
  <c r="M137" i="5"/>
  <c r="M138" i="5"/>
  <c r="B138" i="4" s="1"/>
  <c r="M139" i="5"/>
  <c r="B139" i="4" s="1"/>
  <c r="M140" i="5"/>
  <c r="M141" i="5"/>
  <c r="B141" i="4" s="1"/>
  <c r="M142" i="5"/>
  <c r="B142" i="4" s="1"/>
  <c r="M143" i="5"/>
  <c r="B143" i="4" s="1"/>
  <c r="M144" i="5"/>
  <c r="B144" i="4" s="1"/>
  <c r="M145" i="5"/>
  <c r="M146" i="5"/>
  <c r="B146" i="4" s="1"/>
  <c r="M147" i="5"/>
  <c r="B147" i="4" s="1"/>
  <c r="M148" i="5"/>
  <c r="M149" i="5"/>
  <c r="B149" i="4" s="1"/>
  <c r="M150" i="5"/>
  <c r="B150" i="4" s="1"/>
  <c r="M151" i="5"/>
  <c r="B151" i="4" s="1"/>
  <c r="M152" i="5"/>
  <c r="B152" i="4" s="1"/>
  <c r="M153" i="5"/>
  <c r="M154" i="5"/>
  <c r="B154" i="4" s="1"/>
  <c r="M155" i="5"/>
  <c r="B155" i="4" s="1"/>
  <c r="M156" i="5"/>
  <c r="M157" i="5"/>
  <c r="B157" i="4" s="1"/>
  <c r="M158" i="5"/>
  <c r="M159" i="5"/>
  <c r="B159" i="4" s="1"/>
  <c r="M160" i="5"/>
  <c r="B160" i="4" s="1"/>
  <c r="M161" i="5"/>
  <c r="M162" i="5"/>
  <c r="B162" i="4" s="1"/>
  <c r="M163" i="5"/>
  <c r="B163" i="4" s="1"/>
  <c r="M164" i="5"/>
  <c r="M165" i="5"/>
  <c r="B165" i="4" s="1"/>
  <c r="M166" i="5"/>
  <c r="B166" i="4" s="1"/>
  <c r="M167" i="5"/>
  <c r="B167" i="4" s="1"/>
  <c r="M168" i="5"/>
  <c r="B168" i="4" s="1"/>
  <c r="M169" i="5"/>
  <c r="M170" i="5"/>
  <c r="B170" i="4" s="1"/>
  <c r="M171" i="5"/>
  <c r="B171" i="4" s="1"/>
  <c r="M172" i="5"/>
  <c r="M173" i="5"/>
  <c r="B173" i="4" s="1"/>
  <c r="M174" i="5"/>
  <c r="B174" i="4" s="1"/>
  <c r="M175" i="5"/>
  <c r="B175" i="4" s="1"/>
  <c r="M176" i="5"/>
  <c r="B176" i="4" s="1"/>
  <c r="M177" i="5"/>
  <c r="M178" i="5"/>
  <c r="B178" i="4" s="1"/>
  <c r="M179" i="5"/>
  <c r="B179" i="4" s="1"/>
  <c r="M180" i="5"/>
  <c r="M181" i="5"/>
  <c r="B181" i="4" s="1"/>
  <c r="M182" i="5"/>
  <c r="B182" i="4" s="1"/>
  <c r="M183" i="5"/>
  <c r="B183" i="4" s="1"/>
  <c r="M184" i="5"/>
  <c r="B184" i="4" s="1"/>
  <c r="M185" i="5"/>
  <c r="M186" i="5"/>
  <c r="B186" i="4" s="1"/>
  <c r="M187" i="5"/>
  <c r="B187" i="4" s="1"/>
  <c r="M188" i="5"/>
  <c r="M189" i="5"/>
  <c r="B189" i="4" s="1"/>
  <c r="M190" i="5"/>
  <c r="B190" i="4" s="1"/>
  <c r="M191" i="5"/>
  <c r="B191" i="4" s="1"/>
  <c r="M192" i="5"/>
  <c r="B192" i="4" s="1"/>
  <c r="M193" i="5"/>
  <c r="M194" i="5"/>
  <c r="B194" i="4" s="1"/>
  <c r="M195" i="5"/>
  <c r="M196" i="5"/>
  <c r="M197" i="5"/>
  <c r="B197" i="4" s="1"/>
  <c r="M198" i="5"/>
  <c r="B198" i="4" s="1"/>
  <c r="M199" i="5"/>
  <c r="B199" i="4" s="1"/>
  <c r="M200" i="5"/>
  <c r="B200" i="4" s="1"/>
  <c r="M201" i="5"/>
  <c r="B201" i="4" s="1"/>
  <c r="M202" i="5"/>
  <c r="B202" i="4" s="1"/>
  <c r="M203" i="5"/>
  <c r="B203" i="4" s="1"/>
  <c r="M204" i="5"/>
  <c r="M205" i="5"/>
  <c r="B205" i="4" s="1"/>
  <c r="M206" i="5"/>
  <c r="B206" i="4" s="1"/>
  <c r="M207" i="5"/>
  <c r="B207" i="4" s="1"/>
  <c r="M208" i="5"/>
  <c r="B208" i="4" s="1"/>
  <c r="M209" i="5"/>
  <c r="M210" i="5"/>
  <c r="B210" i="4" s="1"/>
  <c r="M211" i="5"/>
  <c r="B211" i="4" s="1"/>
  <c r="M212" i="5"/>
  <c r="M213" i="5"/>
  <c r="B213" i="4" s="1"/>
  <c r="M214" i="5"/>
  <c r="B214" i="4" s="1"/>
  <c r="M215" i="5"/>
  <c r="B215" i="4" s="1"/>
  <c r="M216" i="5"/>
  <c r="B216" i="4" s="1"/>
  <c r="M217" i="5"/>
  <c r="M218" i="5"/>
  <c r="B218" i="4" s="1"/>
  <c r="M219" i="5"/>
  <c r="B219" i="4" s="1"/>
  <c r="M220" i="5"/>
  <c r="M221" i="5"/>
  <c r="B221" i="4" s="1"/>
  <c r="M222" i="5"/>
  <c r="B222" i="4" s="1"/>
  <c r="M223" i="5"/>
  <c r="B223" i="4" s="1"/>
  <c r="M224" i="5"/>
  <c r="B224" i="4" s="1"/>
  <c r="M225" i="5"/>
  <c r="M226" i="5"/>
  <c r="B226" i="4" s="1"/>
  <c r="M227" i="5"/>
  <c r="B227" i="4" s="1"/>
  <c r="M228" i="5"/>
  <c r="M229" i="5"/>
  <c r="B229" i="4" s="1"/>
  <c r="M230" i="5"/>
  <c r="B230" i="4" s="1"/>
  <c r="M231" i="5"/>
  <c r="B231" i="4" s="1"/>
  <c r="M232" i="5"/>
  <c r="B232" i="4" s="1"/>
  <c r="M233" i="5"/>
  <c r="M234" i="5"/>
  <c r="B234" i="4" s="1"/>
  <c r="M235" i="5"/>
  <c r="B235" i="4" s="1"/>
  <c r="M236" i="5"/>
  <c r="M237" i="5"/>
  <c r="B237" i="4" s="1"/>
  <c r="M238" i="5"/>
  <c r="B238" i="4" s="1"/>
  <c r="M239" i="5"/>
  <c r="B239" i="4" s="1"/>
  <c r="M240" i="5"/>
  <c r="B240" i="4" s="1"/>
  <c r="M241" i="5"/>
  <c r="M242" i="5"/>
  <c r="B242" i="4" s="1"/>
  <c r="M243" i="5"/>
  <c r="B243" i="4" s="1"/>
  <c r="M244" i="5"/>
  <c r="M245" i="5"/>
  <c r="B245" i="4" s="1"/>
  <c r="M246" i="5"/>
  <c r="B246" i="4" s="1"/>
  <c r="M247" i="5"/>
  <c r="B247" i="4" s="1"/>
  <c r="M248" i="5"/>
  <c r="B248" i="4" s="1"/>
  <c r="M249" i="5"/>
  <c r="M250" i="5"/>
  <c r="B250" i="4" s="1"/>
  <c r="M251" i="5"/>
  <c r="B251" i="4" s="1"/>
  <c r="M252" i="5"/>
  <c r="M253" i="5"/>
  <c r="B253" i="4" s="1"/>
  <c r="M254" i="5"/>
  <c r="B254" i="4" s="1"/>
  <c r="M255" i="5"/>
  <c r="B255" i="4" s="1"/>
  <c r="M256" i="5"/>
  <c r="B256" i="4" s="1"/>
  <c r="M257" i="5"/>
  <c r="M258" i="5"/>
  <c r="B258" i="4" s="1"/>
  <c r="M259" i="5"/>
  <c r="B259" i="4" s="1"/>
  <c r="M260" i="5"/>
  <c r="M261" i="5"/>
  <c r="B261" i="4" s="1"/>
  <c r="M262" i="5"/>
  <c r="B262" i="4" s="1"/>
  <c r="M263" i="5"/>
  <c r="B263" i="4" s="1"/>
  <c r="M264" i="5"/>
  <c r="B264" i="4" s="1"/>
  <c r="M265" i="5"/>
  <c r="M266" i="5"/>
  <c r="B266" i="4" s="1"/>
  <c r="M267" i="5"/>
  <c r="B267" i="4" s="1"/>
  <c r="M268" i="5"/>
  <c r="M269" i="5"/>
  <c r="B269" i="4" s="1"/>
  <c r="M270" i="5"/>
  <c r="B270" i="4" s="1"/>
  <c r="M271" i="5"/>
  <c r="B271" i="4" s="1"/>
  <c r="M272" i="5"/>
  <c r="B272" i="4" s="1"/>
  <c r="M273" i="5"/>
  <c r="M274" i="5"/>
  <c r="B274" i="4" s="1"/>
  <c r="M275" i="5"/>
  <c r="B275" i="4" s="1"/>
  <c r="M276" i="5"/>
  <c r="M277" i="5"/>
  <c r="B277" i="4" s="1"/>
  <c r="M278" i="5"/>
  <c r="B278" i="4" s="1"/>
  <c r="M279" i="5"/>
  <c r="B279" i="4" s="1"/>
  <c r="M280" i="5"/>
  <c r="B280" i="4" s="1"/>
  <c r="M281" i="5"/>
  <c r="M282" i="5"/>
  <c r="B282" i="4" s="1"/>
  <c r="M283" i="5"/>
  <c r="B283" i="4" s="1"/>
  <c r="M284" i="5"/>
  <c r="M285" i="5"/>
  <c r="B285" i="4" s="1"/>
  <c r="M286" i="5"/>
  <c r="B286" i="4" s="1"/>
  <c r="M287" i="5"/>
  <c r="B287" i="4" s="1"/>
  <c r="M288" i="5"/>
  <c r="B288" i="4" s="1"/>
  <c r="M289" i="5"/>
  <c r="M290" i="5"/>
  <c r="B290" i="4" s="1"/>
  <c r="M291" i="5"/>
  <c r="B291" i="4" s="1"/>
  <c r="M292" i="5"/>
  <c r="M293" i="5"/>
  <c r="B293" i="4" s="1"/>
  <c r="M294" i="5"/>
  <c r="B294" i="4" s="1"/>
  <c r="M295" i="5"/>
  <c r="B295" i="4" s="1"/>
  <c r="M296" i="5"/>
  <c r="B296" i="4" s="1"/>
  <c r="M297" i="5"/>
  <c r="M298" i="5"/>
  <c r="B298" i="4" s="1"/>
  <c r="M299" i="5"/>
  <c r="B299" i="4" s="1"/>
  <c r="M300" i="5"/>
  <c r="M301" i="5"/>
  <c r="B301" i="4" s="1"/>
  <c r="M302" i="5"/>
  <c r="B302" i="4" s="1"/>
  <c r="M303" i="5"/>
  <c r="B303" i="4" s="1"/>
  <c r="M304" i="5"/>
  <c r="B304" i="4" s="1"/>
  <c r="M305" i="5"/>
  <c r="M306" i="5"/>
  <c r="B306" i="4" s="1"/>
  <c r="M307" i="5"/>
  <c r="B307" i="4" s="1"/>
  <c r="M308" i="5"/>
  <c r="M309" i="5"/>
  <c r="B309" i="4" s="1"/>
  <c r="M310" i="5"/>
  <c r="B310" i="4" s="1"/>
  <c r="M311" i="5"/>
  <c r="B311" i="4" s="1"/>
  <c r="M312" i="5"/>
  <c r="B312" i="4" s="1"/>
  <c r="M313" i="5"/>
  <c r="M314" i="5"/>
  <c r="B314" i="4" s="1"/>
  <c r="M315" i="5"/>
  <c r="B315" i="4" s="1"/>
  <c r="M316" i="5"/>
  <c r="M317" i="5"/>
  <c r="B317" i="4" s="1"/>
  <c r="M318" i="5"/>
  <c r="B318" i="4" s="1"/>
  <c r="M319" i="5"/>
  <c r="B319" i="4" s="1"/>
  <c r="M320" i="5"/>
  <c r="B320" i="4" s="1"/>
  <c r="M321" i="5"/>
  <c r="M322" i="5"/>
  <c r="B322" i="4" s="1"/>
  <c r="M323" i="5"/>
  <c r="B323" i="4" s="1"/>
  <c r="M324" i="5"/>
  <c r="M325" i="5"/>
  <c r="B325" i="4" s="1"/>
  <c r="M326" i="5"/>
  <c r="B326" i="4" s="1"/>
  <c r="M327" i="5"/>
  <c r="B327" i="4" s="1"/>
  <c r="M328" i="5"/>
  <c r="B328" i="4" s="1"/>
  <c r="M329" i="5"/>
  <c r="B329" i="4" s="1"/>
  <c r="M330" i="5"/>
  <c r="B330" i="4" s="1"/>
  <c r="M331" i="5"/>
  <c r="B331" i="4" s="1"/>
  <c r="M332" i="5"/>
  <c r="M333" i="5"/>
  <c r="B333" i="4" s="1"/>
  <c r="M334" i="5"/>
  <c r="B334" i="4" s="1"/>
  <c r="M335" i="5"/>
  <c r="B335" i="4" s="1"/>
  <c r="M336" i="5"/>
  <c r="B336" i="4" s="1"/>
  <c r="M337" i="5"/>
  <c r="M338" i="5"/>
  <c r="B338" i="4" s="1"/>
  <c r="M339" i="5"/>
  <c r="B339" i="4" s="1"/>
  <c r="M340" i="5"/>
  <c r="M341" i="5"/>
  <c r="B341" i="4" s="1"/>
  <c r="M342" i="5"/>
  <c r="B342" i="4" s="1"/>
  <c r="M343" i="5"/>
  <c r="B343" i="4" s="1"/>
  <c r="M344" i="5"/>
  <c r="B344" i="4" s="1"/>
  <c r="M345" i="5"/>
  <c r="M346" i="5"/>
  <c r="B346" i="4" s="1"/>
  <c r="M347" i="5"/>
  <c r="B347" i="4" s="1"/>
  <c r="M348" i="5"/>
  <c r="M349" i="5"/>
  <c r="B349" i="4" s="1"/>
  <c r="M350" i="5"/>
  <c r="B350" i="4" s="1"/>
  <c r="M351" i="5"/>
  <c r="B351" i="4" s="1"/>
  <c r="M352" i="5"/>
  <c r="B352" i="4" s="1"/>
  <c r="M353" i="5"/>
  <c r="M354" i="5"/>
  <c r="B354" i="4" s="1"/>
  <c r="M355" i="5"/>
  <c r="B355" i="4" s="1"/>
  <c r="M356" i="5"/>
  <c r="M357" i="5"/>
  <c r="B357" i="4" s="1"/>
  <c r="M358" i="5"/>
  <c r="B358" i="4" s="1"/>
  <c r="M359" i="5"/>
  <c r="B359" i="4" s="1"/>
  <c r="M360" i="5"/>
  <c r="B360" i="4" s="1"/>
  <c r="M361" i="5"/>
  <c r="M362" i="5"/>
  <c r="B362" i="4" s="1"/>
  <c r="M363" i="5"/>
  <c r="B363" i="4" s="1"/>
  <c r="M364" i="5"/>
  <c r="M365" i="5"/>
  <c r="B365" i="4" s="1"/>
  <c r="M366" i="5"/>
  <c r="B366" i="4" s="1"/>
  <c r="M367" i="5"/>
  <c r="B367" i="4" s="1"/>
  <c r="M368" i="5"/>
  <c r="B368" i="4" s="1"/>
  <c r="M369" i="5"/>
  <c r="M370" i="5"/>
  <c r="B370" i="4" s="1"/>
  <c r="M371" i="5"/>
  <c r="B371" i="4" s="1"/>
  <c r="M372" i="5"/>
  <c r="M373" i="5"/>
  <c r="B373" i="4" s="1"/>
  <c r="M374" i="5"/>
  <c r="B374" i="4" s="1"/>
  <c r="M375" i="5"/>
  <c r="B375" i="4" s="1"/>
  <c r="M376" i="5"/>
  <c r="B376" i="4" s="1"/>
  <c r="M377" i="5"/>
  <c r="M378" i="5"/>
  <c r="B378" i="4" s="1"/>
  <c r="M379" i="5"/>
  <c r="B379" i="4" s="1"/>
  <c r="M380" i="5"/>
  <c r="M381" i="5"/>
  <c r="B381" i="4" s="1"/>
  <c r="M382" i="5"/>
  <c r="B382" i="4" s="1"/>
  <c r="M383" i="5"/>
  <c r="B383" i="4" s="1"/>
  <c r="M384" i="5"/>
  <c r="B384" i="4" s="1"/>
  <c r="M385" i="5"/>
  <c r="M386" i="5"/>
  <c r="B386" i="4" s="1"/>
  <c r="M387" i="5"/>
  <c r="B387" i="4" s="1"/>
  <c r="M388" i="5"/>
  <c r="M389" i="5"/>
  <c r="B389" i="4" s="1"/>
  <c r="M390" i="5"/>
  <c r="B390" i="4" s="1"/>
  <c r="M391" i="5"/>
  <c r="B391" i="4" s="1"/>
  <c r="M392" i="5"/>
  <c r="B392" i="4" s="1"/>
  <c r="M393" i="5"/>
  <c r="M394" i="5"/>
  <c r="B394" i="4" s="1"/>
  <c r="M395" i="5"/>
  <c r="B395" i="4" s="1"/>
  <c r="M396" i="5"/>
  <c r="M397" i="5"/>
  <c r="B397" i="4" s="1"/>
  <c r="M398" i="5"/>
  <c r="B398" i="4" s="1"/>
  <c r="M399" i="5"/>
  <c r="B399" i="4" s="1"/>
  <c r="M400" i="5"/>
  <c r="B400" i="4" s="1"/>
  <c r="M401" i="5"/>
  <c r="M402" i="5"/>
  <c r="B402" i="4" s="1"/>
  <c r="M403" i="5"/>
  <c r="B403" i="4" s="1"/>
  <c r="M404" i="5"/>
  <c r="M405" i="5"/>
  <c r="B405" i="4" s="1"/>
  <c r="M406" i="5"/>
  <c r="B406" i="4" s="1"/>
  <c r="M407" i="5"/>
  <c r="B407" i="4" s="1"/>
  <c r="M408" i="5"/>
  <c r="B408" i="4" s="1"/>
  <c r="M409" i="5"/>
  <c r="M410" i="5"/>
  <c r="B410" i="4" s="1"/>
  <c r="M411" i="5"/>
  <c r="B411" i="4" s="1"/>
  <c r="M412" i="5"/>
  <c r="M413" i="5"/>
  <c r="B413" i="4" s="1"/>
  <c r="M414" i="5"/>
  <c r="B414" i="4" s="1"/>
  <c r="M415" i="5"/>
  <c r="B415" i="4" s="1"/>
  <c r="M416" i="5"/>
  <c r="B416" i="4" s="1"/>
  <c r="M417" i="5"/>
  <c r="M418" i="5"/>
  <c r="B418" i="4" s="1"/>
  <c r="M419" i="5"/>
  <c r="B419" i="4" s="1"/>
  <c r="M420" i="5"/>
  <c r="M421" i="5"/>
  <c r="B421" i="4" s="1"/>
  <c r="M422" i="5"/>
  <c r="B422" i="4" s="1"/>
  <c r="M423" i="5"/>
  <c r="B423" i="4" s="1"/>
  <c r="M424" i="5"/>
  <c r="B424" i="4" s="1"/>
  <c r="M425" i="5"/>
  <c r="M426" i="5"/>
  <c r="B426" i="4" s="1"/>
  <c r="M427" i="5"/>
  <c r="B427" i="4" s="1"/>
  <c r="M428" i="5"/>
  <c r="M429" i="5"/>
  <c r="B429" i="4" s="1"/>
  <c r="M430" i="5"/>
  <c r="B430" i="4" s="1"/>
  <c r="M431" i="5"/>
  <c r="B431" i="4" s="1"/>
  <c r="M432" i="5"/>
  <c r="B432" i="4" s="1"/>
  <c r="M433" i="5"/>
  <c r="M434" i="5"/>
  <c r="B434" i="4" s="1"/>
  <c r="M435" i="5"/>
  <c r="B435" i="4" s="1"/>
  <c r="M436" i="5"/>
  <c r="M437" i="5"/>
  <c r="B437" i="4" s="1"/>
  <c r="M438" i="5"/>
  <c r="B438" i="4" s="1"/>
  <c r="M439" i="5"/>
  <c r="B439" i="4" s="1"/>
  <c r="M440" i="5"/>
  <c r="B440" i="4" s="1"/>
  <c r="M441" i="5"/>
  <c r="M442" i="5"/>
  <c r="B442" i="4" s="1"/>
  <c r="M443" i="5"/>
  <c r="B443" i="4" s="1"/>
  <c r="M444" i="5"/>
  <c r="M445" i="5"/>
  <c r="B445" i="4" s="1"/>
  <c r="M446" i="5"/>
  <c r="B446" i="4" s="1"/>
  <c r="M447" i="5"/>
  <c r="B447" i="4" s="1"/>
  <c r="M448" i="5"/>
  <c r="B448" i="4" s="1"/>
  <c r="M449" i="5"/>
  <c r="M450" i="5"/>
  <c r="B450" i="4" s="1"/>
  <c r="M451" i="5"/>
  <c r="B451" i="4" s="1"/>
  <c r="M452" i="5"/>
  <c r="M453" i="5"/>
  <c r="B453" i="4" s="1"/>
  <c r="M454" i="5"/>
  <c r="B454" i="4" s="1"/>
  <c r="M455" i="5"/>
  <c r="B455" i="4" s="1"/>
  <c r="M456" i="5"/>
  <c r="B456" i="4" s="1"/>
  <c r="M457" i="5"/>
  <c r="M458" i="5"/>
  <c r="B458" i="4" s="1"/>
  <c r="M459" i="5"/>
  <c r="B459" i="4" s="1"/>
  <c r="M460" i="5"/>
  <c r="M461" i="5"/>
  <c r="B461" i="4" s="1"/>
  <c r="M462" i="5"/>
  <c r="B462" i="4" s="1"/>
  <c r="M463" i="5"/>
  <c r="B463" i="4" s="1"/>
  <c r="M464" i="5"/>
  <c r="B464" i="4" s="1"/>
  <c r="M465" i="5"/>
  <c r="B465" i="4" s="1"/>
  <c r="M466" i="5"/>
  <c r="B466" i="4" s="1"/>
  <c r="M467" i="5"/>
  <c r="B467" i="4" s="1"/>
  <c r="M468" i="5"/>
  <c r="M469" i="5"/>
  <c r="B469" i="4" s="1"/>
  <c r="M470" i="5"/>
  <c r="B470" i="4" s="1"/>
  <c r="M471" i="5"/>
  <c r="B471" i="4" s="1"/>
  <c r="M472" i="5"/>
  <c r="B472" i="4" s="1"/>
  <c r="M473" i="5"/>
  <c r="B473" i="4" s="1"/>
  <c r="M474" i="5"/>
  <c r="B474" i="4" s="1"/>
  <c r="M475" i="5"/>
  <c r="B475" i="4" s="1"/>
  <c r="M476" i="5"/>
  <c r="M477" i="5"/>
  <c r="B477" i="4" s="1"/>
  <c r="M478" i="5"/>
  <c r="B478" i="4" s="1"/>
  <c r="M479" i="5"/>
  <c r="B479" i="4" s="1"/>
  <c r="M480" i="5"/>
  <c r="B480" i="4" s="1"/>
  <c r="M481" i="5"/>
  <c r="B481" i="4" s="1"/>
  <c r="M482" i="5"/>
  <c r="B482" i="4" s="1"/>
  <c r="M483" i="5"/>
  <c r="B483" i="4" s="1"/>
  <c r="M484" i="5"/>
  <c r="M485" i="5"/>
  <c r="B485" i="4" s="1"/>
  <c r="M486" i="5"/>
  <c r="B486" i="4" s="1"/>
  <c r="M487" i="5"/>
  <c r="B487" i="4" s="1"/>
  <c r="M488" i="5"/>
  <c r="B488" i="4" s="1"/>
  <c r="M489" i="5"/>
  <c r="B489" i="4" s="1"/>
  <c r="M490" i="5"/>
  <c r="B490" i="4" s="1"/>
  <c r="M491" i="5"/>
  <c r="B491" i="4" s="1"/>
  <c r="M492" i="5"/>
  <c r="M493" i="5"/>
  <c r="B493" i="4" s="1"/>
  <c r="M494" i="5"/>
  <c r="B494" i="4" s="1"/>
  <c r="M495" i="5"/>
  <c r="B495" i="4" s="1"/>
  <c r="M496" i="5"/>
  <c r="B496" i="4" s="1"/>
  <c r="M497" i="5"/>
  <c r="B497" i="4" s="1"/>
  <c r="M498" i="5"/>
  <c r="B498" i="4" s="1"/>
  <c r="M499" i="5"/>
  <c r="B499" i="4" s="1"/>
  <c r="M500" i="5"/>
  <c r="M501" i="5"/>
  <c r="B501" i="4" s="1"/>
  <c r="M502" i="5"/>
  <c r="B502" i="4" s="1"/>
  <c r="M503" i="5"/>
  <c r="B503" i="4" s="1"/>
  <c r="M504" i="5"/>
  <c r="B504" i="4" s="1"/>
  <c r="M505" i="5"/>
  <c r="B505" i="4" s="1"/>
  <c r="M506" i="5"/>
  <c r="B506" i="4" s="1"/>
  <c r="M507" i="5"/>
  <c r="B507" i="4" s="1"/>
  <c r="M508" i="5"/>
  <c r="M509" i="5"/>
  <c r="B509" i="4" s="1"/>
  <c r="M510" i="5"/>
  <c r="B510" i="4" s="1"/>
  <c r="M511" i="5"/>
  <c r="B511" i="4" s="1"/>
  <c r="M512" i="5"/>
  <c r="B512" i="4" s="1"/>
  <c r="M513" i="5"/>
  <c r="B513" i="4" s="1"/>
  <c r="M514" i="5"/>
  <c r="B514" i="4" s="1"/>
  <c r="M515" i="5"/>
  <c r="B515" i="4" s="1"/>
  <c r="M516" i="5"/>
  <c r="M517" i="5"/>
  <c r="B517" i="4" s="1"/>
  <c r="M518" i="5"/>
  <c r="B518" i="4" s="1"/>
  <c r="M519" i="5"/>
  <c r="B519" i="4" s="1"/>
  <c r="M520" i="5"/>
  <c r="B520" i="4" s="1"/>
  <c r="M521" i="5"/>
  <c r="B521" i="4" s="1"/>
  <c r="M522" i="5"/>
  <c r="B522" i="4" s="1"/>
  <c r="M523" i="5"/>
  <c r="M524" i="5"/>
  <c r="M525" i="5"/>
  <c r="B525" i="4" s="1"/>
  <c r="M526" i="5"/>
  <c r="B526" i="4" s="1"/>
  <c r="M527" i="5"/>
  <c r="B527" i="4" s="1"/>
  <c r="M528" i="5"/>
  <c r="B528" i="4" s="1"/>
  <c r="M529" i="5"/>
  <c r="B529" i="4" s="1"/>
  <c r="M530" i="5"/>
  <c r="B530" i="4" s="1"/>
  <c r="M531" i="5"/>
  <c r="B531" i="4" s="1"/>
  <c r="M532" i="5"/>
  <c r="M533" i="5"/>
  <c r="B533" i="4" s="1"/>
  <c r="M534" i="5"/>
  <c r="B534" i="4" s="1"/>
  <c r="M535" i="5"/>
  <c r="B535" i="4" s="1"/>
  <c r="M536" i="5"/>
  <c r="B536" i="4" s="1"/>
  <c r="M537" i="5"/>
  <c r="B537" i="4" s="1"/>
  <c r="M538" i="5"/>
  <c r="B538" i="4" s="1"/>
  <c r="M539" i="5"/>
  <c r="B539" i="4" s="1"/>
  <c r="M540" i="5"/>
  <c r="M541" i="5"/>
  <c r="B541" i="4" s="1"/>
  <c r="M542" i="5"/>
  <c r="B542" i="4" s="1"/>
  <c r="M543" i="5"/>
  <c r="B543" i="4" s="1"/>
  <c r="M544" i="5"/>
  <c r="B544" i="4" s="1"/>
  <c r="M545" i="5"/>
  <c r="B545" i="4" s="1"/>
  <c r="M546" i="5"/>
  <c r="B546" i="4" s="1"/>
  <c r="M547" i="5"/>
  <c r="B547" i="4" s="1"/>
  <c r="M548" i="5"/>
  <c r="M549" i="5"/>
  <c r="B549" i="4" s="1"/>
  <c r="M550" i="5"/>
  <c r="B550" i="4" s="1"/>
  <c r="M551" i="5"/>
  <c r="B551" i="4" s="1"/>
  <c r="M552" i="5"/>
  <c r="B552" i="4" s="1"/>
  <c r="M553" i="5"/>
  <c r="B553" i="4" s="1"/>
  <c r="M554" i="5"/>
  <c r="B554" i="4" s="1"/>
  <c r="M555" i="5"/>
  <c r="B555" i="4" s="1"/>
  <c r="M556" i="5"/>
  <c r="M557" i="5"/>
  <c r="B557" i="4" s="1"/>
  <c r="M558" i="5"/>
  <c r="B558" i="4" s="1"/>
  <c r="M559" i="5"/>
  <c r="B559" i="4" s="1"/>
  <c r="M560" i="5"/>
  <c r="B560" i="4" s="1"/>
  <c r="M561" i="5"/>
  <c r="B561" i="4" s="1"/>
  <c r="M562" i="5"/>
  <c r="B562" i="4" s="1"/>
  <c r="M563" i="5"/>
  <c r="B563" i="4" s="1"/>
  <c r="M564" i="5"/>
  <c r="M565" i="5"/>
  <c r="B565" i="4" s="1"/>
  <c r="M566" i="5"/>
  <c r="B566" i="4" s="1"/>
  <c r="M567" i="5"/>
  <c r="B567" i="4" s="1"/>
  <c r="M568" i="5"/>
  <c r="B568" i="4" s="1"/>
  <c r="M569" i="5"/>
  <c r="B569" i="4" s="1"/>
  <c r="M570" i="5"/>
  <c r="B570" i="4" s="1"/>
  <c r="M571" i="5"/>
  <c r="B571" i="4" s="1"/>
  <c r="M572" i="5"/>
  <c r="M573" i="5"/>
  <c r="B573" i="4" s="1"/>
  <c r="M574" i="5"/>
  <c r="B574" i="4" s="1"/>
  <c r="M575" i="5"/>
  <c r="B575" i="4" s="1"/>
  <c r="M576" i="5"/>
  <c r="B576" i="4" s="1"/>
  <c r="M577" i="5"/>
  <c r="B577" i="4" s="1"/>
  <c r="M578" i="5"/>
  <c r="B578" i="4" s="1"/>
  <c r="M579" i="5"/>
  <c r="M580" i="5"/>
  <c r="M581" i="5"/>
  <c r="B581" i="4" s="1"/>
  <c r="M582" i="5"/>
  <c r="B582" i="4" s="1"/>
  <c r="M583" i="5"/>
  <c r="B583" i="4" s="1"/>
  <c r="M584" i="5"/>
  <c r="B584" i="4" s="1"/>
  <c r="M585" i="5"/>
  <c r="B585" i="4" s="1"/>
  <c r="M586" i="5"/>
  <c r="B586" i="4" s="1"/>
  <c r="M587" i="5"/>
  <c r="B587" i="4" s="1"/>
  <c r="M588" i="5"/>
  <c r="M589" i="5"/>
  <c r="B589" i="4" s="1"/>
  <c r="M590" i="5"/>
  <c r="B590" i="4" s="1"/>
  <c r="M591" i="5"/>
  <c r="B591" i="4" s="1"/>
  <c r="M592" i="5"/>
  <c r="B592" i="4" s="1"/>
  <c r="M593" i="5"/>
  <c r="B593" i="4" s="1"/>
  <c r="M594" i="5"/>
  <c r="B594" i="4" s="1"/>
  <c r="M595" i="5"/>
  <c r="B595" i="4" s="1"/>
  <c r="M596" i="5"/>
  <c r="M597" i="5"/>
  <c r="B597" i="4" s="1"/>
  <c r="M598" i="5"/>
  <c r="B598" i="4" s="1"/>
  <c r="M599" i="5"/>
  <c r="B599" i="4" s="1"/>
  <c r="M600" i="5"/>
  <c r="B600" i="4" s="1"/>
  <c r="M601" i="5"/>
  <c r="B601" i="4" s="1"/>
  <c r="M602" i="5"/>
  <c r="B602" i="4" s="1"/>
  <c r="M603" i="5"/>
  <c r="B603" i="4" s="1"/>
  <c r="M604" i="5"/>
  <c r="M605" i="5"/>
  <c r="B605" i="4" s="1"/>
  <c r="M606" i="5"/>
  <c r="B606" i="4" s="1"/>
  <c r="M607" i="5"/>
  <c r="B607" i="4" s="1"/>
  <c r="M608" i="5"/>
  <c r="B608" i="4" s="1"/>
  <c r="M609" i="5"/>
  <c r="B609" i="4" s="1"/>
  <c r="M610" i="5"/>
  <c r="B610" i="4" s="1"/>
  <c r="M611" i="5"/>
  <c r="B611" i="4" s="1"/>
  <c r="M612" i="5"/>
  <c r="M613" i="5"/>
  <c r="B613" i="4" s="1"/>
  <c r="M614" i="5"/>
  <c r="B614" i="4" s="1"/>
  <c r="M615" i="5"/>
  <c r="B615" i="4" s="1"/>
  <c r="M616" i="5"/>
  <c r="B616" i="4" s="1"/>
  <c r="M617" i="5"/>
  <c r="B617" i="4" s="1"/>
  <c r="M618" i="5"/>
  <c r="B618" i="4" s="1"/>
  <c r="M619" i="5"/>
  <c r="M620" i="5"/>
  <c r="M621" i="5"/>
  <c r="B621" i="4" s="1"/>
  <c r="M622" i="5"/>
  <c r="B622" i="4" s="1"/>
  <c r="M623" i="5"/>
  <c r="B623" i="4" s="1"/>
  <c r="M624" i="5"/>
  <c r="B624" i="4" s="1"/>
  <c r="M625" i="5"/>
  <c r="B625" i="4" s="1"/>
  <c r="M626" i="5"/>
  <c r="B626" i="4" s="1"/>
  <c r="M627" i="5"/>
  <c r="B627" i="4" s="1"/>
  <c r="M628" i="5"/>
  <c r="M629" i="5"/>
  <c r="B629" i="4" s="1"/>
  <c r="M630" i="5"/>
  <c r="B630" i="4" s="1"/>
  <c r="M631" i="5"/>
  <c r="B631" i="4" s="1"/>
  <c r="M632" i="5"/>
  <c r="B632" i="4" s="1"/>
  <c r="M633" i="5"/>
  <c r="B633" i="4" s="1"/>
  <c r="M634" i="5"/>
  <c r="B634" i="4" s="1"/>
  <c r="M635" i="5"/>
  <c r="B635" i="4" s="1"/>
  <c r="M636" i="5"/>
  <c r="M637" i="5"/>
  <c r="B637" i="4" s="1"/>
  <c r="M638" i="5"/>
  <c r="B638" i="4" s="1"/>
  <c r="M639" i="5"/>
  <c r="B639" i="4" s="1"/>
  <c r="M640" i="5"/>
  <c r="B640" i="4" s="1"/>
  <c r="M641" i="5"/>
  <c r="B641" i="4" s="1"/>
  <c r="M642" i="5"/>
  <c r="B642" i="4" s="1"/>
  <c r="M643" i="5"/>
  <c r="B643" i="4" s="1"/>
  <c r="M644" i="5"/>
  <c r="M645" i="5"/>
  <c r="B645" i="4" s="1"/>
  <c r="M646" i="5"/>
  <c r="B646" i="4" s="1"/>
  <c r="M647" i="5"/>
  <c r="B647" i="4" s="1"/>
  <c r="M648" i="5"/>
  <c r="B648" i="4" s="1"/>
  <c r="M649" i="5"/>
  <c r="B649" i="4" s="1"/>
  <c r="M650" i="5"/>
  <c r="B650" i="4" s="1"/>
  <c r="M651" i="5"/>
  <c r="B651" i="4" s="1"/>
  <c r="M652" i="5"/>
  <c r="M653" i="5"/>
  <c r="B653" i="4" s="1"/>
  <c r="M654" i="5"/>
  <c r="B654" i="4" s="1"/>
  <c r="M655" i="5"/>
  <c r="B655" i="4" s="1"/>
  <c r="M656" i="5"/>
  <c r="B656" i="4" s="1"/>
  <c r="M657" i="5"/>
  <c r="B657" i="4" s="1"/>
  <c r="M658" i="5"/>
  <c r="B658" i="4" s="1"/>
  <c r="M659" i="5"/>
  <c r="B659" i="4" s="1"/>
  <c r="M660" i="5"/>
  <c r="M661" i="5"/>
  <c r="B661" i="4" s="1"/>
  <c r="M662" i="5"/>
  <c r="B662" i="4" s="1"/>
  <c r="M663" i="5"/>
  <c r="B663" i="4" s="1"/>
  <c r="M664" i="5"/>
  <c r="B664" i="4" s="1"/>
  <c r="M665" i="5"/>
  <c r="B665" i="4" s="1"/>
  <c r="M666" i="5"/>
  <c r="B666" i="4" s="1"/>
  <c r="M667" i="5"/>
  <c r="B667" i="4" s="1"/>
  <c r="M668" i="5"/>
  <c r="M669" i="5"/>
  <c r="B669" i="4" s="1"/>
  <c r="M670" i="5"/>
  <c r="M671" i="5"/>
  <c r="B671" i="4" s="1"/>
  <c r="M672" i="5"/>
  <c r="B672" i="4" s="1"/>
  <c r="M673" i="5"/>
  <c r="B673" i="4" s="1"/>
  <c r="M674" i="5"/>
  <c r="B674" i="4" s="1"/>
  <c r="M675" i="5"/>
  <c r="B675" i="4" s="1"/>
  <c r="M676" i="5"/>
  <c r="M677" i="5"/>
  <c r="B677" i="4" s="1"/>
  <c r="M678" i="5"/>
  <c r="B678" i="4" s="1"/>
  <c r="M679" i="5"/>
  <c r="B679" i="4" s="1"/>
  <c r="M680" i="5"/>
  <c r="B680" i="4" s="1"/>
  <c r="M681" i="5"/>
  <c r="B681" i="4" s="1"/>
  <c r="M682" i="5"/>
  <c r="B682" i="4" s="1"/>
  <c r="M683" i="5"/>
  <c r="B683" i="4" s="1"/>
  <c r="M684" i="5"/>
  <c r="M685" i="5"/>
  <c r="B685" i="4" s="1"/>
  <c r="M686" i="5"/>
  <c r="B686" i="4" s="1"/>
  <c r="M687" i="5"/>
  <c r="B687" i="4" s="1"/>
  <c r="M688" i="5"/>
  <c r="B688" i="4" s="1"/>
  <c r="M689" i="5"/>
  <c r="B689" i="4" s="1"/>
  <c r="M690" i="5"/>
  <c r="B690" i="4" s="1"/>
  <c r="M691" i="5"/>
  <c r="B691" i="4" s="1"/>
  <c r="M692" i="5"/>
  <c r="M693" i="5"/>
  <c r="B693" i="4" s="1"/>
  <c r="M694" i="5"/>
  <c r="B694" i="4" s="1"/>
  <c r="M695" i="5"/>
  <c r="B695" i="4" s="1"/>
  <c r="M696" i="5"/>
  <c r="B696" i="4" s="1"/>
  <c r="M697" i="5"/>
  <c r="B697" i="4" s="1"/>
  <c r="M698" i="5"/>
  <c r="B698" i="4" s="1"/>
  <c r="M699" i="5"/>
  <c r="B699" i="4" s="1"/>
  <c r="M700" i="5"/>
  <c r="M701" i="5"/>
  <c r="B701" i="4" s="1"/>
  <c r="M702" i="5"/>
  <c r="B702" i="4" s="1"/>
  <c r="M703" i="5"/>
  <c r="B703" i="4" s="1"/>
  <c r="M704" i="5"/>
  <c r="B704" i="4" s="1"/>
  <c r="M705" i="5"/>
  <c r="B705" i="4" s="1"/>
  <c r="M706" i="5"/>
  <c r="B706" i="4" s="1"/>
  <c r="M707" i="5"/>
  <c r="B707" i="4" s="1"/>
  <c r="M708" i="5"/>
  <c r="M709" i="5"/>
  <c r="B709" i="4" s="1"/>
  <c r="M710" i="5"/>
  <c r="B710" i="4" s="1"/>
  <c r="M711" i="5"/>
  <c r="B711" i="4" s="1"/>
  <c r="M712" i="5"/>
  <c r="B712" i="4" s="1"/>
  <c r="M713" i="5"/>
  <c r="B713" i="4" s="1"/>
  <c r="M714" i="5"/>
  <c r="B714" i="4" s="1"/>
  <c r="M715" i="5"/>
  <c r="B715" i="4" s="1"/>
  <c r="M716" i="5"/>
  <c r="M717" i="5"/>
  <c r="B717" i="4" s="1"/>
  <c r="M718" i="5"/>
  <c r="B718" i="4" s="1"/>
  <c r="M719" i="5"/>
  <c r="B719" i="4" s="1"/>
  <c r="M720" i="5"/>
  <c r="B720" i="4" s="1"/>
  <c r="M721" i="5"/>
  <c r="B721" i="4" s="1"/>
  <c r="M722" i="5"/>
  <c r="B722" i="4" s="1"/>
  <c r="M723" i="5"/>
  <c r="M724" i="5"/>
  <c r="M725" i="5"/>
  <c r="B725" i="4" s="1"/>
  <c r="M726" i="5"/>
  <c r="B726" i="4" s="1"/>
  <c r="M727" i="5"/>
  <c r="B727" i="4" s="1"/>
  <c r="M728" i="5"/>
  <c r="B728" i="4" s="1"/>
  <c r="M729" i="5"/>
  <c r="B729" i="4" s="1"/>
  <c r="M730" i="5"/>
  <c r="B730" i="4" s="1"/>
  <c r="M731" i="5"/>
  <c r="M732" i="5"/>
  <c r="M733" i="5"/>
  <c r="B733" i="4" s="1"/>
  <c r="M734" i="5"/>
  <c r="B734" i="4" s="1"/>
  <c r="M735" i="5"/>
  <c r="B735" i="4" s="1"/>
  <c r="M736" i="5"/>
  <c r="B736" i="4" s="1"/>
  <c r="M737" i="5"/>
  <c r="B737" i="4" s="1"/>
  <c r="M738" i="5"/>
  <c r="B738" i="4" s="1"/>
  <c r="M739" i="5"/>
  <c r="B739" i="4" s="1"/>
  <c r="M740" i="5"/>
  <c r="M741" i="5"/>
  <c r="B741" i="4" s="1"/>
  <c r="M742" i="5"/>
  <c r="B742" i="4" s="1"/>
  <c r="M743" i="5"/>
  <c r="B743" i="4" s="1"/>
  <c r="M744" i="5"/>
  <c r="B744" i="4" s="1"/>
  <c r="M745" i="5"/>
  <c r="B745" i="4" s="1"/>
  <c r="M746" i="5"/>
  <c r="B746" i="4" s="1"/>
  <c r="M747" i="5"/>
  <c r="B747" i="4" s="1"/>
  <c r="M748" i="5"/>
  <c r="M749" i="5"/>
  <c r="B749" i="4" s="1"/>
  <c r="M750" i="5"/>
  <c r="B750" i="4" s="1"/>
  <c r="M751" i="5"/>
  <c r="B751" i="4" s="1"/>
  <c r="M752" i="5"/>
  <c r="B752" i="4" s="1"/>
  <c r="M753" i="5"/>
  <c r="B753" i="4" s="1"/>
  <c r="M754" i="5"/>
  <c r="B754" i="4" s="1"/>
  <c r="M755" i="5"/>
  <c r="B755" i="4" s="1"/>
  <c r="M756" i="5"/>
  <c r="M757" i="5"/>
  <c r="B757" i="4" s="1"/>
  <c r="M758" i="5"/>
  <c r="B758" i="4" s="1"/>
  <c r="M759" i="5"/>
  <c r="B759" i="4" s="1"/>
  <c r="M760" i="5"/>
  <c r="B760" i="4" s="1"/>
  <c r="M761" i="5"/>
  <c r="B761" i="4" s="1"/>
  <c r="M762" i="5"/>
  <c r="B762" i="4" s="1"/>
  <c r="M763" i="5"/>
  <c r="B763" i="4" s="1"/>
  <c r="M764" i="5"/>
  <c r="M765" i="5"/>
  <c r="B765" i="4" s="1"/>
  <c r="M766" i="5"/>
  <c r="B766" i="4" s="1"/>
  <c r="M767" i="5"/>
  <c r="B767" i="4" s="1"/>
  <c r="M768" i="5"/>
  <c r="B768" i="4" s="1"/>
  <c r="M769" i="5"/>
  <c r="B769" i="4" s="1"/>
  <c r="M770" i="5"/>
  <c r="B770" i="4" s="1"/>
  <c r="M771" i="5"/>
  <c r="B771" i="4" s="1"/>
  <c r="M772" i="5"/>
  <c r="M773" i="5"/>
  <c r="B773" i="4" s="1"/>
  <c r="M774" i="5"/>
  <c r="B774" i="4" s="1"/>
  <c r="M775" i="5"/>
  <c r="B775" i="4" s="1"/>
  <c r="M776" i="5"/>
  <c r="B776" i="4" s="1"/>
  <c r="M777" i="5"/>
  <c r="B777" i="4" s="1"/>
  <c r="M778" i="5"/>
  <c r="B778" i="4" s="1"/>
  <c r="M779" i="5"/>
  <c r="B779" i="4" s="1"/>
  <c r="M780" i="5"/>
  <c r="B780" i="4" s="1"/>
  <c r="M781" i="5"/>
  <c r="B781" i="4" s="1"/>
  <c r="M782" i="5"/>
  <c r="B782" i="4" s="1"/>
  <c r="M783" i="5"/>
  <c r="B783" i="4" s="1"/>
  <c r="M784" i="5"/>
  <c r="B784" i="4" s="1"/>
  <c r="M785" i="5"/>
  <c r="B785" i="4" s="1"/>
  <c r="M786" i="5"/>
  <c r="B786" i="4" s="1"/>
  <c r="M787" i="5"/>
  <c r="B787" i="4" s="1"/>
  <c r="M788" i="5"/>
  <c r="M789" i="5"/>
  <c r="B789" i="4" s="1"/>
  <c r="M790" i="5"/>
  <c r="B790" i="4" s="1"/>
  <c r="M791" i="5"/>
  <c r="B791" i="4" s="1"/>
  <c r="M792" i="5"/>
  <c r="B792" i="4" s="1"/>
  <c r="M793" i="5"/>
  <c r="B793" i="4" s="1"/>
  <c r="M794" i="5"/>
  <c r="B794" i="4" s="1"/>
  <c r="M795" i="5"/>
  <c r="B795" i="4" s="1"/>
  <c r="M796" i="5"/>
  <c r="B796" i="4" s="1"/>
  <c r="M797" i="5"/>
  <c r="B797" i="4" s="1"/>
  <c r="M798" i="5"/>
  <c r="B798" i="4" s="1"/>
  <c r="M799" i="5"/>
  <c r="B799" i="4" s="1"/>
  <c r="M800" i="5"/>
  <c r="B800" i="4" s="1"/>
  <c r="M801" i="5"/>
  <c r="B801" i="4" s="1"/>
  <c r="M802" i="5"/>
  <c r="B802" i="4" s="1"/>
  <c r="M803" i="5"/>
  <c r="B803" i="4" s="1"/>
  <c r="M804" i="5"/>
  <c r="M805" i="5"/>
  <c r="B805" i="4" s="1"/>
  <c r="M806" i="5"/>
  <c r="B806" i="4" s="1"/>
  <c r="M807" i="5"/>
  <c r="B807" i="4" s="1"/>
  <c r="M808" i="5"/>
  <c r="B808" i="4" s="1"/>
  <c r="M809" i="5"/>
  <c r="B809" i="4" s="1"/>
  <c r="M810" i="5"/>
  <c r="B810" i="4" s="1"/>
  <c r="M811" i="5"/>
  <c r="B811" i="4" s="1"/>
  <c r="M812" i="5"/>
  <c r="M813" i="5"/>
  <c r="B813" i="4" s="1"/>
  <c r="M814" i="5"/>
  <c r="B814" i="4" s="1"/>
  <c r="M815" i="5"/>
  <c r="B815" i="4" s="1"/>
  <c r="M816" i="5"/>
  <c r="B816" i="4" s="1"/>
  <c r="M817" i="5"/>
  <c r="B817" i="4" s="1"/>
  <c r="M818" i="5"/>
  <c r="B818" i="4" s="1"/>
  <c r="M819" i="5"/>
  <c r="M820" i="5"/>
  <c r="M821" i="5"/>
  <c r="B821" i="4" s="1"/>
  <c r="M822" i="5"/>
  <c r="B822" i="4" s="1"/>
  <c r="M823" i="5"/>
  <c r="B823" i="4" s="1"/>
  <c r="M824" i="5"/>
  <c r="B824" i="4" s="1"/>
  <c r="M825" i="5"/>
  <c r="B825" i="4" s="1"/>
  <c r="M826" i="5"/>
  <c r="B826" i="4" s="1"/>
  <c r="M827" i="5"/>
  <c r="M828" i="5"/>
  <c r="M829" i="5"/>
  <c r="B829" i="4" s="1"/>
  <c r="M830" i="5"/>
  <c r="B830" i="4" s="1"/>
  <c r="M831" i="5"/>
  <c r="B831" i="4" s="1"/>
  <c r="M832" i="5"/>
  <c r="B832" i="4" s="1"/>
  <c r="M833" i="5"/>
  <c r="B833" i="4" s="1"/>
  <c r="M834" i="5"/>
  <c r="B834" i="4" s="1"/>
  <c r="M835" i="5"/>
  <c r="B835" i="4" s="1"/>
  <c r="M836" i="5"/>
  <c r="M837" i="5"/>
  <c r="B837" i="4" s="1"/>
  <c r="M838" i="5"/>
  <c r="B838" i="4" s="1"/>
  <c r="M839" i="5"/>
  <c r="B839" i="4" s="1"/>
  <c r="M840" i="5"/>
  <c r="B840" i="4" s="1"/>
  <c r="M841" i="5"/>
  <c r="B841" i="4" s="1"/>
  <c r="M842" i="5"/>
  <c r="B842" i="4" s="1"/>
  <c r="M843" i="5"/>
  <c r="B843" i="4" s="1"/>
  <c r="M844" i="5"/>
  <c r="M845" i="5"/>
  <c r="B845" i="4" s="1"/>
  <c r="M846" i="5"/>
  <c r="B846" i="4" s="1"/>
  <c r="M847" i="5"/>
  <c r="B847" i="4" s="1"/>
  <c r="M848" i="5"/>
  <c r="B848" i="4" s="1"/>
  <c r="M849" i="5"/>
  <c r="B849" i="4" s="1"/>
  <c r="M850" i="5"/>
  <c r="B850" i="4" s="1"/>
  <c r="M851" i="5"/>
  <c r="B851" i="4" s="1"/>
  <c r="M852" i="5"/>
  <c r="M853" i="5"/>
  <c r="B853" i="4" s="1"/>
  <c r="M854" i="5"/>
  <c r="B854" i="4" s="1"/>
  <c r="M855" i="5"/>
  <c r="B855" i="4" s="1"/>
  <c r="M856" i="5"/>
  <c r="B856" i="4" s="1"/>
  <c r="M857" i="5"/>
  <c r="B857" i="4" s="1"/>
  <c r="M858" i="5"/>
  <c r="B858" i="4" s="1"/>
  <c r="M859" i="5"/>
  <c r="B859" i="4" s="1"/>
  <c r="M860" i="5"/>
  <c r="M861" i="5"/>
  <c r="B861" i="4" s="1"/>
  <c r="M862" i="5"/>
  <c r="B862" i="4" s="1"/>
  <c r="M863" i="5"/>
  <c r="B863" i="4" s="1"/>
  <c r="M864" i="5"/>
  <c r="B864" i="4" s="1"/>
  <c r="M865" i="5"/>
  <c r="B865" i="4" s="1"/>
  <c r="M866" i="5"/>
  <c r="B866" i="4" s="1"/>
  <c r="M867" i="5"/>
  <c r="B867" i="4" s="1"/>
  <c r="M868" i="5"/>
  <c r="M869" i="5"/>
  <c r="B869" i="4" s="1"/>
  <c r="M870" i="5"/>
  <c r="B870" i="4" s="1"/>
  <c r="M871" i="5"/>
  <c r="B871" i="4" s="1"/>
  <c r="M872" i="5"/>
  <c r="B872" i="4" s="1"/>
  <c r="M873" i="5"/>
  <c r="B873" i="4" s="1"/>
  <c r="M874" i="5"/>
  <c r="B874" i="4" s="1"/>
  <c r="M875" i="5"/>
  <c r="B875" i="4" s="1"/>
  <c r="M876" i="5"/>
  <c r="B876" i="4" s="1"/>
  <c r="M877" i="5"/>
  <c r="B877" i="4" s="1"/>
  <c r="M878" i="5"/>
  <c r="B878" i="4" s="1"/>
  <c r="M879" i="5"/>
  <c r="B879" i="4" s="1"/>
  <c r="M880" i="5"/>
  <c r="B880" i="4" s="1"/>
  <c r="M881" i="5"/>
  <c r="B881" i="4" s="1"/>
  <c r="M882" i="5"/>
  <c r="B882" i="4" s="1"/>
  <c r="M883" i="5"/>
  <c r="B883" i="4" s="1"/>
  <c r="M884" i="5"/>
  <c r="M885" i="5"/>
  <c r="B885" i="4" s="1"/>
  <c r="M886" i="5"/>
  <c r="B886" i="4" s="1"/>
  <c r="M887" i="5"/>
  <c r="B887" i="4" s="1"/>
  <c r="M888" i="5"/>
  <c r="B888" i="4" s="1"/>
  <c r="M889" i="5"/>
  <c r="B889" i="4" s="1"/>
  <c r="M890" i="5"/>
  <c r="B890" i="4" s="1"/>
  <c r="M891" i="5"/>
  <c r="B891" i="4" s="1"/>
  <c r="M892" i="5"/>
  <c r="B892" i="4" s="1"/>
  <c r="M893" i="5"/>
  <c r="B893" i="4" s="1"/>
  <c r="M894" i="5"/>
  <c r="B894" i="4" s="1"/>
  <c r="M895" i="5"/>
  <c r="B895" i="4" s="1"/>
  <c r="M896" i="5"/>
  <c r="B896" i="4" s="1"/>
  <c r="M897" i="5"/>
  <c r="B897" i="4" s="1"/>
  <c r="M898" i="5"/>
  <c r="B898" i="4" s="1"/>
  <c r="M899" i="5"/>
  <c r="B899" i="4" s="1"/>
  <c r="M900" i="5"/>
  <c r="M901" i="5"/>
  <c r="B901" i="4" s="1"/>
  <c r="M902" i="5"/>
  <c r="B902" i="4" s="1"/>
  <c r="M903" i="5"/>
  <c r="B903" i="4" s="1"/>
  <c r="M904" i="5"/>
  <c r="B904" i="4" s="1"/>
  <c r="M905" i="5"/>
  <c r="B905" i="4" s="1"/>
  <c r="M906" i="5"/>
  <c r="B906" i="4" s="1"/>
  <c r="M907" i="5"/>
  <c r="B907" i="4" s="1"/>
  <c r="M908" i="5"/>
  <c r="M909" i="5"/>
  <c r="B909" i="4" s="1"/>
  <c r="M910" i="5"/>
  <c r="B910" i="4" s="1"/>
  <c r="M911" i="5"/>
  <c r="B911" i="4" s="1"/>
  <c r="M912" i="5"/>
  <c r="B912" i="4" s="1"/>
  <c r="M913" i="5"/>
  <c r="B913" i="4" s="1"/>
  <c r="M914" i="5"/>
  <c r="B914" i="4" s="1"/>
  <c r="M915" i="5"/>
  <c r="B915" i="4" s="1"/>
  <c r="M916" i="5"/>
  <c r="M917" i="5"/>
  <c r="B917" i="4" s="1"/>
  <c r="M918" i="5"/>
  <c r="B918" i="4" s="1"/>
  <c r="M919" i="5"/>
  <c r="B919" i="4" s="1"/>
  <c r="M920" i="5"/>
  <c r="B920" i="4" s="1"/>
  <c r="M921" i="5"/>
  <c r="B921" i="4" s="1"/>
  <c r="M922" i="5"/>
  <c r="B922" i="4" s="1"/>
  <c r="M923" i="5"/>
  <c r="B923" i="4" s="1"/>
  <c r="M924" i="5"/>
  <c r="B924" i="4" s="1"/>
  <c r="M925" i="5"/>
  <c r="B925" i="4" s="1"/>
  <c r="M926" i="5"/>
  <c r="B926" i="4" s="1"/>
  <c r="M927" i="5"/>
  <c r="B927" i="4" s="1"/>
  <c r="M928" i="5"/>
  <c r="B928" i="4" s="1"/>
  <c r="M929" i="5"/>
  <c r="B929" i="4" s="1"/>
  <c r="M930" i="5"/>
  <c r="B930" i="4" s="1"/>
  <c r="M931" i="5"/>
  <c r="B931" i="4" s="1"/>
  <c r="M932" i="5"/>
  <c r="M933" i="5"/>
  <c r="B933" i="4" s="1"/>
  <c r="M934" i="5"/>
  <c r="B934" i="4" s="1"/>
  <c r="M935" i="5"/>
  <c r="B935" i="4" s="1"/>
  <c r="M936" i="5"/>
  <c r="B936" i="4" s="1"/>
  <c r="M937" i="5"/>
  <c r="B937" i="4" s="1"/>
  <c r="M938" i="5"/>
  <c r="B938" i="4" s="1"/>
  <c r="M939" i="5"/>
  <c r="B939" i="4" s="1"/>
  <c r="M940" i="5"/>
  <c r="B940" i="4" s="1"/>
  <c r="M941" i="5"/>
  <c r="B941" i="4" s="1"/>
  <c r="M942" i="5"/>
  <c r="B942" i="4" s="1"/>
  <c r="M943" i="5"/>
  <c r="B943" i="4" s="1"/>
  <c r="M944" i="5"/>
  <c r="B944" i="4" s="1"/>
  <c r="M945" i="5"/>
  <c r="B945" i="4" s="1"/>
  <c r="M946" i="5"/>
  <c r="B946" i="4" s="1"/>
  <c r="M947" i="5"/>
  <c r="B947" i="4" s="1"/>
  <c r="M948" i="5"/>
  <c r="M949" i="5"/>
  <c r="B949" i="4" s="1"/>
  <c r="M950" i="5"/>
  <c r="B950" i="4" s="1"/>
  <c r="M951" i="5"/>
  <c r="B951" i="4" s="1"/>
  <c r="M952" i="5"/>
  <c r="B952" i="4" s="1"/>
  <c r="M953" i="5"/>
  <c r="B953" i="4" s="1"/>
  <c r="M954" i="5"/>
  <c r="B954" i="4" s="1"/>
  <c r="M955" i="5"/>
  <c r="B955" i="4" s="1"/>
  <c r="M956" i="5"/>
  <c r="M957" i="5"/>
  <c r="B957" i="4" s="1"/>
  <c r="M958" i="5"/>
  <c r="B958" i="4" s="1"/>
  <c r="M959" i="5"/>
  <c r="B959" i="4" s="1"/>
  <c r="M960" i="5"/>
  <c r="B960" i="4" s="1"/>
  <c r="M961" i="5"/>
  <c r="B961" i="4" s="1"/>
  <c r="M962" i="5"/>
  <c r="B962" i="4" s="1"/>
  <c r="M963" i="5"/>
  <c r="B963" i="4" s="1"/>
  <c r="M964" i="5"/>
  <c r="B964" i="4" s="1"/>
  <c r="M965" i="5"/>
  <c r="B965" i="4" s="1"/>
  <c r="M966" i="5"/>
  <c r="B966" i="4" s="1"/>
  <c r="M967" i="5"/>
  <c r="B967" i="4" s="1"/>
  <c r="M968" i="5"/>
  <c r="B968" i="4" s="1"/>
  <c r="M969" i="5"/>
  <c r="B969" i="4" s="1"/>
  <c r="M970" i="5"/>
  <c r="B970" i="4" s="1"/>
  <c r="M971" i="5"/>
  <c r="B971" i="4" s="1"/>
  <c r="M972" i="5"/>
  <c r="M973" i="5"/>
  <c r="B973" i="4" s="1"/>
  <c r="M974" i="5"/>
  <c r="B974" i="4" s="1"/>
  <c r="M975" i="5"/>
  <c r="B975" i="4" s="1"/>
  <c r="M976" i="5"/>
  <c r="B976" i="4" s="1"/>
  <c r="M977" i="5"/>
  <c r="B977" i="4" s="1"/>
  <c r="M978" i="5"/>
  <c r="B978" i="4" s="1"/>
  <c r="M979" i="5"/>
  <c r="B979" i="4" s="1"/>
  <c r="M980" i="5"/>
  <c r="M981" i="5"/>
  <c r="B981" i="4" s="1"/>
  <c r="M982" i="5"/>
  <c r="B982" i="4" s="1"/>
  <c r="M983" i="5"/>
  <c r="B983" i="4" s="1"/>
  <c r="M984" i="5"/>
  <c r="B984" i="4" s="1"/>
  <c r="M985" i="5"/>
  <c r="B985" i="4" s="1"/>
  <c r="M986" i="5"/>
  <c r="B986" i="4" s="1"/>
  <c r="M987" i="5"/>
  <c r="B987" i="4" s="1"/>
  <c r="M988" i="5"/>
  <c r="B988" i="4" s="1"/>
  <c r="M989" i="5"/>
  <c r="B989" i="4" s="1"/>
  <c r="M990" i="5"/>
  <c r="B990" i="4" s="1"/>
  <c r="M991" i="5"/>
  <c r="B991" i="4" s="1"/>
  <c r="M992" i="5"/>
  <c r="B992" i="4" s="1"/>
  <c r="M993" i="5"/>
  <c r="B993" i="4" s="1"/>
  <c r="M994" i="5"/>
  <c r="B994" i="4" s="1"/>
  <c r="M995" i="5"/>
  <c r="B995" i="4" s="1"/>
  <c r="M996" i="5"/>
  <c r="M997" i="5"/>
  <c r="B997" i="4" s="1"/>
  <c r="M998" i="5"/>
  <c r="B998" i="4" s="1"/>
  <c r="M999" i="5"/>
  <c r="B999" i="4" s="1"/>
  <c r="M1000" i="5"/>
  <c r="B1000" i="4" s="1"/>
  <c r="M1001" i="5"/>
  <c r="B1001" i="4" s="1"/>
  <c r="M1002" i="5"/>
  <c r="B1002" i="4" s="1"/>
  <c r="M1003" i="5"/>
  <c r="B1003" i="4" s="1"/>
  <c r="M1004" i="5"/>
  <c r="B1004" i="4" s="1"/>
  <c r="M1005" i="5"/>
  <c r="B1005" i="4" s="1"/>
  <c r="M1006" i="5"/>
  <c r="B1006" i="4" s="1"/>
  <c r="M1007" i="5"/>
  <c r="B1007" i="4" s="1"/>
  <c r="M1008" i="5"/>
  <c r="B1008" i="4" s="1"/>
  <c r="M1009" i="5"/>
  <c r="B1009" i="4" s="1"/>
  <c r="M1010" i="5"/>
  <c r="B1010" i="4" s="1"/>
  <c r="M1011" i="5"/>
  <c r="B1011" i="4" s="1"/>
  <c r="M1012" i="5"/>
  <c r="M1013" i="5"/>
  <c r="B1013" i="4" s="1"/>
  <c r="M1014" i="5"/>
  <c r="B1014" i="4" s="1"/>
  <c r="M1015" i="5"/>
  <c r="B1015" i="4" s="1"/>
  <c r="M1016" i="5"/>
  <c r="B1016" i="4" s="1"/>
  <c r="M1017" i="5"/>
  <c r="B1017" i="4" s="1"/>
  <c r="M1018" i="5"/>
  <c r="B1018" i="4" s="1"/>
  <c r="M1019" i="5"/>
  <c r="B1019" i="4" s="1"/>
  <c r="M1020" i="5"/>
  <c r="M1021" i="5"/>
  <c r="B1021" i="4" s="1"/>
  <c r="M1022" i="5"/>
  <c r="B1022" i="4" s="1"/>
  <c r="M1023" i="5"/>
  <c r="B1023" i="4" s="1"/>
  <c r="M1024" i="5"/>
  <c r="B1024" i="4" s="1"/>
  <c r="M1025" i="5"/>
  <c r="B1025" i="4" s="1"/>
  <c r="M1026" i="5"/>
  <c r="B1026" i="4" s="1"/>
  <c r="M1027" i="5"/>
  <c r="B1027" i="4" s="1"/>
  <c r="M1028" i="5"/>
  <c r="B1028" i="4" s="1"/>
  <c r="M1029" i="5"/>
  <c r="B1029" i="4" s="1"/>
  <c r="M1030" i="5"/>
  <c r="B1030" i="4" s="1"/>
  <c r="M1031" i="5"/>
  <c r="B1031" i="4" s="1"/>
  <c r="M1032" i="5"/>
  <c r="B1032" i="4" s="1"/>
  <c r="M1033" i="5"/>
  <c r="M1034" i="5"/>
  <c r="B1034" i="4" s="1"/>
  <c r="M1035" i="5"/>
  <c r="B1035" i="4" s="1"/>
  <c r="M1036" i="5"/>
  <c r="B1036" i="4" s="1"/>
  <c r="M1037" i="5"/>
  <c r="B1037" i="4" s="1"/>
  <c r="M1038" i="5"/>
  <c r="B1038" i="4" s="1"/>
  <c r="M1039" i="5"/>
  <c r="B1039" i="4" s="1"/>
  <c r="M1040" i="5"/>
  <c r="B1040" i="4" s="1"/>
  <c r="M1041" i="5"/>
  <c r="B1041" i="4" s="1"/>
  <c r="M1042" i="5"/>
  <c r="B1042" i="4" s="1"/>
  <c r="M1043" i="5"/>
  <c r="B1043" i="4" s="1"/>
  <c r="M1044" i="5"/>
  <c r="M1045" i="5"/>
  <c r="B1045" i="4" s="1"/>
  <c r="M1046" i="5"/>
  <c r="B1046" i="4" s="1"/>
  <c r="M1047" i="5"/>
  <c r="B1047" i="4" s="1"/>
  <c r="M1048" i="5"/>
  <c r="B1048" i="4" s="1"/>
  <c r="M1049" i="5"/>
  <c r="B1049" i="4" s="1"/>
  <c r="M1050" i="5"/>
  <c r="B1050" i="4" s="1"/>
  <c r="M1051" i="5"/>
  <c r="B1051" i="4" s="1"/>
  <c r="M1052" i="5"/>
  <c r="B1052" i="4" s="1"/>
  <c r="M1053" i="5"/>
  <c r="B1053" i="4" s="1"/>
  <c r="M1054" i="5"/>
  <c r="B1054" i="4" s="1"/>
  <c r="M1055" i="5"/>
  <c r="B1055" i="4" s="1"/>
  <c r="M1056" i="5"/>
  <c r="B1056" i="4" s="1"/>
  <c r="M1057" i="5"/>
  <c r="B1057" i="4" s="1"/>
  <c r="M1058" i="5"/>
  <c r="B1058" i="4" s="1"/>
  <c r="M1059" i="5"/>
  <c r="M1060" i="5"/>
  <c r="B1060" i="4" s="1"/>
  <c r="M1061" i="5"/>
  <c r="B1061" i="4" s="1"/>
  <c r="M1062" i="5"/>
  <c r="B1062" i="4" s="1"/>
  <c r="M1063" i="5"/>
  <c r="B1063" i="4" s="1"/>
  <c r="M1064" i="5"/>
  <c r="B1064" i="4" s="1"/>
  <c r="M1065" i="5"/>
  <c r="B1065" i="4" s="1"/>
  <c r="M1066" i="5"/>
  <c r="B1066" i="4" s="1"/>
  <c r="M1067" i="5"/>
  <c r="B1067" i="4" s="1"/>
  <c r="M1068" i="5"/>
  <c r="M1069" i="5"/>
  <c r="B1069" i="4" s="1"/>
  <c r="M1070" i="5"/>
  <c r="B1070" i="4" s="1"/>
  <c r="M1071" i="5"/>
  <c r="B1071" i="4" s="1"/>
  <c r="M1072" i="5"/>
  <c r="B1072" i="4" s="1"/>
  <c r="M1073" i="5"/>
  <c r="B1073" i="4" s="1"/>
  <c r="M1074" i="5"/>
  <c r="B1074" i="4" s="1"/>
  <c r="M1075" i="5"/>
  <c r="B1075" i="4" s="1"/>
  <c r="M1076" i="5"/>
  <c r="M1077" i="5"/>
  <c r="B1077" i="4" s="1"/>
  <c r="M1078" i="5"/>
  <c r="B1078" i="4" s="1"/>
  <c r="M1079" i="5"/>
  <c r="B1079" i="4" s="1"/>
  <c r="M1080" i="5"/>
  <c r="B1080" i="4" s="1"/>
  <c r="M1081" i="5"/>
  <c r="B1081" i="4" s="1"/>
  <c r="M1082" i="5"/>
  <c r="B1082" i="4" s="1"/>
  <c r="M1083" i="5"/>
  <c r="B1083" i="4" s="1"/>
  <c r="M1084" i="5"/>
  <c r="B1084" i="4" s="1"/>
  <c r="M1085" i="5"/>
  <c r="B1085" i="4" s="1"/>
  <c r="M1086" i="5"/>
  <c r="B1086" i="4" s="1"/>
  <c r="M1087" i="5"/>
  <c r="B1087" i="4" s="1"/>
  <c r="M1088" i="5"/>
  <c r="B1088" i="4" s="1"/>
  <c r="M1089" i="5"/>
  <c r="B1089" i="4" s="1"/>
  <c r="M1090" i="5"/>
  <c r="B1090" i="4" s="1"/>
  <c r="M1091" i="5"/>
  <c r="B1091" i="4" s="1"/>
  <c r="M1092" i="5"/>
  <c r="B1092" i="4" s="1"/>
  <c r="M1093" i="5"/>
  <c r="B1093" i="4" s="1"/>
  <c r="M1094" i="5"/>
  <c r="B1094" i="4" s="1"/>
  <c r="M1095" i="5"/>
  <c r="B1095" i="4" s="1"/>
  <c r="M1096" i="5"/>
  <c r="B1096" i="4" s="1"/>
  <c r="M1097" i="5"/>
  <c r="B1097" i="4" s="1"/>
  <c r="M1098" i="5"/>
  <c r="B1098" i="4" s="1"/>
  <c r="M1099" i="5"/>
  <c r="B1099" i="4" s="1"/>
  <c r="M1100" i="5"/>
  <c r="M1101" i="5"/>
  <c r="B1101" i="4" s="1"/>
  <c r="M1102" i="5"/>
  <c r="B1102" i="4" s="1"/>
  <c r="M1103" i="5"/>
  <c r="B1103" i="4" s="1"/>
  <c r="M1104" i="5"/>
  <c r="B1104" i="4" s="1"/>
  <c r="M1105" i="5"/>
  <c r="B1105" i="4" s="1"/>
  <c r="M1106" i="5"/>
  <c r="B1106" i="4" s="1"/>
  <c r="M1107" i="5"/>
  <c r="B1107" i="4" s="1"/>
  <c r="M1108" i="5"/>
  <c r="M1109" i="5"/>
  <c r="B1109" i="4" s="1"/>
  <c r="M1110" i="5"/>
  <c r="B1110" i="4" s="1"/>
  <c r="M1111" i="5"/>
  <c r="B1111" i="4" s="1"/>
  <c r="M1112" i="5"/>
  <c r="B1112" i="4" s="1"/>
  <c r="M1113" i="5"/>
  <c r="B1113" i="4" s="1"/>
  <c r="M1114" i="5"/>
  <c r="B1114" i="4" s="1"/>
  <c r="M1115" i="5"/>
  <c r="B1115" i="4" s="1"/>
  <c r="M1116" i="5"/>
  <c r="B1116" i="4" s="1"/>
  <c r="M1117" i="5"/>
  <c r="B1117" i="4" s="1"/>
  <c r="M1118" i="5"/>
  <c r="B1118" i="4" s="1"/>
  <c r="M1119" i="5"/>
  <c r="B1119" i="4" s="1"/>
  <c r="M1120" i="5"/>
  <c r="B1120" i="4" s="1"/>
  <c r="M1121" i="5"/>
  <c r="M1122" i="5"/>
  <c r="M1123" i="5"/>
  <c r="B1123" i="4" s="1"/>
  <c r="M1124" i="5"/>
  <c r="B1124" i="4" s="1"/>
  <c r="B20" i="4"/>
  <c r="B6" i="4"/>
  <c r="B12" i="4"/>
  <c r="M2" i="5"/>
  <c r="B2" i="4" s="1"/>
  <c r="B4" i="4"/>
  <c r="B28" i="4"/>
  <c r="B36" i="4"/>
  <c r="B44" i="4"/>
  <c r="B52" i="4"/>
  <c r="B60" i="4"/>
  <c r="B68" i="4"/>
  <c r="B76" i="4"/>
  <c r="B84" i="4"/>
  <c r="B92" i="4"/>
  <c r="B108" i="4"/>
  <c r="B116" i="4"/>
  <c r="B124" i="4"/>
  <c r="B140" i="4"/>
  <c r="B148" i="4"/>
  <c r="B156" i="4"/>
  <c r="B172" i="4"/>
  <c r="B180" i="4"/>
  <c r="B188" i="4"/>
  <c r="B204" i="4"/>
  <c r="B212" i="4"/>
  <c r="B220" i="4"/>
  <c r="B228" i="4"/>
  <c r="B236" i="4"/>
  <c r="B244" i="4"/>
  <c r="B252" i="4"/>
  <c r="B260" i="4"/>
  <c r="B268" i="4"/>
  <c r="B276" i="4"/>
  <c r="B284" i="4"/>
  <c r="B292" i="4"/>
  <c r="B300" i="4"/>
  <c r="B308" i="4"/>
  <c r="B316" i="4"/>
  <c r="B324" i="4"/>
  <c r="B340" i="4"/>
  <c r="B348" i="4"/>
  <c r="B356" i="4"/>
  <c r="B372" i="4"/>
  <c r="B380" i="4"/>
  <c r="B388" i="4"/>
  <c r="B404" i="4"/>
  <c r="B412" i="4"/>
  <c r="B420" i="4"/>
  <c r="B436" i="4"/>
  <c r="B444" i="4"/>
  <c r="B452" i="4"/>
  <c r="B468" i="4"/>
  <c r="B476" i="4"/>
  <c r="B484" i="4"/>
  <c r="B500" i="4"/>
  <c r="B508" i="4"/>
  <c r="B516" i="4"/>
  <c r="B532" i="4"/>
  <c r="B540" i="4"/>
  <c r="B548" i="4"/>
  <c r="B564" i="4"/>
  <c r="B572" i="4"/>
  <c r="B580" i="4"/>
  <c r="B588" i="4"/>
  <c r="B596" i="4"/>
  <c r="B604" i="4"/>
  <c r="B612" i="4"/>
  <c r="B620" i="4"/>
  <c r="B628" i="4"/>
  <c r="B636" i="4"/>
  <c r="B644" i="4"/>
  <c r="B652" i="4"/>
  <c r="B660" i="4"/>
  <c r="B668" i="4"/>
  <c r="B676" i="4"/>
  <c r="B684" i="4"/>
  <c r="B692" i="4"/>
  <c r="B700" i="4"/>
  <c r="B708" i="4"/>
  <c r="B716" i="4"/>
  <c r="B732" i="4"/>
  <c r="B740" i="4"/>
  <c r="B748" i="4"/>
  <c r="B764" i="4"/>
  <c r="B772" i="4"/>
  <c r="B804" i="4"/>
  <c r="B812" i="4"/>
  <c r="B828" i="4"/>
  <c r="B836" i="4"/>
  <c r="B844" i="4"/>
  <c r="B860" i="4"/>
  <c r="B868" i="4"/>
  <c r="B900" i="4"/>
  <c r="B908" i="4"/>
  <c r="B932" i="4"/>
  <c r="B956" i="4"/>
  <c r="B972" i="4"/>
  <c r="B996" i="4"/>
  <c r="B1020" i="4"/>
  <c r="B1068" i="4"/>
  <c r="B1100" i="4"/>
  <c r="B1108" i="4"/>
  <c r="B158" i="4"/>
  <c r="B670" i="4"/>
  <c r="B3" i="4"/>
  <c r="B19" i="4"/>
  <c r="B100" i="4"/>
  <c r="B131" i="4"/>
  <c r="B132" i="4"/>
  <c r="B164" i="4"/>
  <c r="B195" i="4"/>
  <c r="B196" i="4"/>
  <c r="B332" i="4"/>
  <c r="B364" i="4"/>
  <c r="B396" i="4"/>
  <c r="B428" i="4"/>
  <c r="B460" i="4"/>
  <c r="B492" i="4"/>
  <c r="B523" i="4"/>
  <c r="B524" i="4"/>
  <c r="B556" i="4"/>
  <c r="B579" i="4"/>
  <c r="B619" i="4"/>
  <c r="B723" i="4"/>
  <c r="B724" i="4"/>
  <c r="B731" i="4"/>
  <c r="B756" i="4"/>
  <c r="B788" i="4"/>
  <c r="B819" i="4"/>
  <c r="B820" i="4"/>
  <c r="B827" i="4"/>
  <c r="B852" i="4"/>
  <c r="B884" i="4"/>
  <c r="B916" i="4"/>
  <c r="B948" i="4"/>
  <c r="B980" i="4"/>
  <c r="B1012" i="4"/>
  <c r="B1044" i="4"/>
  <c r="B1059" i="4"/>
  <c r="B1076" i="4"/>
  <c r="B1125" i="4"/>
  <c r="B1126" i="4"/>
  <c r="B1127" i="4"/>
  <c r="B1128" i="4"/>
  <c r="B1129" i="4"/>
  <c r="B1130" i="4"/>
  <c r="B1131" i="4"/>
  <c r="B1132" i="4"/>
  <c r="B1133" i="4"/>
  <c r="B1134" i="4"/>
  <c r="B1135" i="4"/>
  <c r="B1136" i="4"/>
  <c r="B1137" i="4"/>
  <c r="B1138" i="4"/>
  <c r="B1139" i="4"/>
  <c r="B1140" i="4"/>
  <c r="B1141" i="4"/>
  <c r="B1142" i="4"/>
  <c r="B1143" i="4"/>
  <c r="B1144" i="4"/>
  <c r="B1145" i="4"/>
  <c r="B1146" i="4"/>
  <c r="B1147" i="4"/>
  <c r="B1148" i="4"/>
  <c r="B1149" i="4"/>
  <c r="B1150" i="4"/>
  <c r="B1151" i="4"/>
  <c r="B1152" i="4"/>
  <c r="R3" i="5"/>
  <c r="S3" i="5"/>
  <c r="T3" i="5"/>
  <c r="R4" i="5"/>
  <c r="S4" i="5"/>
  <c r="T4" i="5"/>
  <c r="R5" i="5"/>
  <c r="S5" i="5"/>
  <c r="T5" i="5"/>
  <c r="R6" i="5"/>
  <c r="S6" i="5"/>
  <c r="T6" i="5"/>
  <c r="R7" i="5"/>
  <c r="S7" i="5"/>
  <c r="T7" i="5"/>
  <c r="R8" i="5"/>
  <c r="S8" i="5"/>
  <c r="T8" i="5"/>
  <c r="R9" i="5"/>
  <c r="S9" i="5"/>
  <c r="T9" i="5"/>
  <c r="R10" i="5"/>
  <c r="S10" i="5"/>
  <c r="T10" i="5"/>
  <c r="R11" i="5"/>
  <c r="S11" i="5"/>
  <c r="T11" i="5"/>
  <c r="R12" i="5"/>
  <c r="S12" i="5"/>
  <c r="T12" i="5"/>
  <c r="R13" i="5"/>
  <c r="S13" i="5"/>
  <c r="T13" i="5"/>
  <c r="R14" i="5"/>
  <c r="S14" i="5"/>
  <c r="T14" i="5"/>
  <c r="R15" i="5"/>
  <c r="S15" i="5"/>
  <c r="T15" i="5"/>
  <c r="R16" i="5"/>
  <c r="S16" i="5"/>
  <c r="T16" i="5"/>
  <c r="R17" i="5"/>
  <c r="S17" i="5"/>
  <c r="T17" i="5"/>
  <c r="R18" i="5"/>
  <c r="S18" i="5"/>
  <c r="T18" i="5"/>
  <c r="R19" i="5"/>
  <c r="S19" i="5"/>
  <c r="T19" i="5"/>
  <c r="R20" i="5"/>
  <c r="S20" i="5"/>
  <c r="T20" i="5"/>
  <c r="R21" i="5"/>
  <c r="S21" i="5"/>
  <c r="T21" i="5"/>
  <c r="R22" i="5"/>
  <c r="S22" i="5"/>
  <c r="T22" i="5"/>
  <c r="R23" i="5"/>
  <c r="S23" i="5"/>
  <c r="T23" i="5"/>
  <c r="R24" i="5"/>
  <c r="S24" i="5"/>
  <c r="T24" i="5"/>
  <c r="R25" i="5"/>
  <c r="S25" i="5"/>
  <c r="T25" i="5"/>
  <c r="R26" i="5"/>
  <c r="S26" i="5"/>
  <c r="T26" i="5"/>
  <c r="R27" i="5"/>
  <c r="S27" i="5"/>
  <c r="T27" i="5"/>
  <c r="R28" i="5"/>
  <c r="S28" i="5"/>
  <c r="T28" i="5"/>
  <c r="R29" i="5"/>
  <c r="S29" i="5"/>
  <c r="T29" i="5"/>
  <c r="R30" i="5"/>
  <c r="S30" i="5"/>
  <c r="T30" i="5"/>
  <c r="R31" i="5"/>
  <c r="S31" i="5"/>
  <c r="T31" i="5"/>
  <c r="R32" i="5"/>
  <c r="S32" i="5"/>
  <c r="T32" i="5"/>
  <c r="R33" i="5"/>
  <c r="S33" i="5"/>
  <c r="T33" i="5"/>
  <c r="R34" i="5"/>
  <c r="S34" i="5"/>
  <c r="T34" i="5"/>
  <c r="R35" i="5"/>
  <c r="S35" i="5"/>
  <c r="T35" i="5"/>
  <c r="R36" i="5"/>
  <c r="S36" i="5"/>
  <c r="T36" i="5"/>
  <c r="R37" i="5"/>
  <c r="S37" i="5"/>
  <c r="T37" i="5"/>
  <c r="R38" i="5"/>
  <c r="S38" i="5"/>
  <c r="T38" i="5"/>
  <c r="R39" i="5"/>
  <c r="S39" i="5"/>
  <c r="T39" i="5"/>
  <c r="R40" i="5"/>
  <c r="S40" i="5"/>
  <c r="T40" i="5"/>
  <c r="R41" i="5"/>
  <c r="S41" i="5"/>
  <c r="T41" i="5"/>
  <c r="R42" i="5"/>
  <c r="S42" i="5"/>
  <c r="T42" i="5"/>
  <c r="R43" i="5"/>
  <c r="S43" i="5"/>
  <c r="T43" i="5"/>
  <c r="R44" i="5"/>
  <c r="S44" i="5"/>
  <c r="T44" i="5"/>
  <c r="R45" i="5"/>
  <c r="S45" i="5"/>
  <c r="T45" i="5"/>
  <c r="R46" i="5"/>
  <c r="S46" i="5"/>
  <c r="T46" i="5"/>
  <c r="R47" i="5"/>
  <c r="S47" i="5"/>
  <c r="T47" i="5"/>
  <c r="R48" i="5"/>
  <c r="S48" i="5"/>
  <c r="T48" i="5"/>
  <c r="R49" i="5"/>
  <c r="S49" i="5"/>
  <c r="T49" i="5"/>
  <c r="R50" i="5"/>
  <c r="S50" i="5"/>
  <c r="T50" i="5"/>
  <c r="R51" i="5"/>
  <c r="S51" i="5"/>
  <c r="T51" i="5"/>
  <c r="R52" i="5"/>
  <c r="S52" i="5"/>
  <c r="T52" i="5"/>
  <c r="R53" i="5"/>
  <c r="S53" i="5"/>
  <c r="T53" i="5"/>
  <c r="R54" i="5"/>
  <c r="S54" i="5"/>
  <c r="T54" i="5"/>
  <c r="R55" i="5"/>
  <c r="S55" i="5"/>
  <c r="T55" i="5"/>
  <c r="R56" i="5"/>
  <c r="S56" i="5"/>
  <c r="T56" i="5"/>
  <c r="R57" i="5"/>
  <c r="S57" i="5"/>
  <c r="T57" i="5"/>
  <c r="R58" i="5"/>
  <c r="S58" i="5"/>
  <c r="T58" i="5"/>
  <c r="R59" i="5"/>
  <c r="S59" i="5"/>
  <c r="T59" i="5"/>
  <c r="R60" i="5"/>
  <c r="S60" i="5"/>
  <c r="T60" i="5"/>
  <c r="R61" i="5"/>
  <c r="S61" i="5"/>
  <c r="T61" i="5"/>
  <c r="R62" i="5"/>
  <c r="S62" i="5"/>
  <c r="T62" i="5"/>
  <c r="R63" i="5"/>
  <c r="S63" i="5"/>
  <c r="T63" i="5"/>
  <c r="R64" i="5"/>
  <c r="S64" i="5"/>
  <c r="T64" i="5"/>
  <c r="R65" i="5"/>
  <c r="S65" i="5"/>
  <c r="T65" i="5"/>
  <c r="R66" i="5"/>
  <c r="S66" i="5"/>
  <c r="T66" i="5"/>
  <c r="R67" i="5"/>
  <c r="S67" i="5"/>
  <c r="T67" i="5"/>
  <c r="R68" i="5"/>
  <c r="S68" i="5"/>
  <c r="T68" i="5"/>
  <c r="R69" i="5"/>
  <c r="S69" i="5"/>
  <c r="T69" i="5"/>
  <c r="R70" i="5"/>
  <c r="S70" i="5"/>
  <c r="T70" i="5"/>
  <c r="R71" i="5"/>
  <c r="S71" i="5"/>
  <c r="T71" i="5"/>
  <c r="R72" i="5"/>
  <c r="S72" i="5"/>
  <c r="T72" i="5"/>
  <c r="R73" i="5"/>
  <c r="S73" i="5"/>
  <c r="T73" i="5"/>
  <c r="R74" i="5"/>
  <c r="S74" i="5"/>
  <c r="T74" i="5"/>
  <c r="R75" i="5"/>
  <c r="S75" i="5"/>
  <c r="T75" i="5"/>
  <c r="R76" i="5"/>
  <c r="S76" i="5"/>
  <c r="T76" i="5"/>
  <c r="R77" i="5"/>
  <c r="S77" i="5"/>
  <c r="T77" i="5"/>
  <c r="R78" i="5"/>
  <c r="S78" i="5"/>
  <c r="T78" i="5"/>
  <c r="R79" i="5"/>
  <c r="S79" i="5"/>
  <c r="T79" i="5"/>
  <c r="R80" i="5"/>
  <c r="S80" i="5"/>
  <c r="T80" i="5"/>
  <c r="R81" i="5"/>
  <c r="S81" i="5"/>
  <c r="T81" i="5"/>
  <c r="R82" i="5"/>
  <c r="S82" i="5"/>
  <c r="T82" i="5"/>
  <c r="R83" i="5"/>
  <c r="S83" i="5"/>
  <c r="T83" i="5"/>
  <c r="R84" i="5"/>
  <c r="S84" i="5"/>
  <c r="T84" i="5"/>
  <c r="R85" i="5"/>
  <c r="S85" i="5"/>
  <c r="T85" i="5"/>
  <c r="R86" i="5"/>
  <c r="S86" i="5"/>
  <c r="T86" i="5"/>
  <c r="R87" i="5"/>
  <c r="S87" i="5"/>
  <c r="T87" i="5"/>
  <c r="R88" i="5"/>
  <c r="S88" i="5"/>
  <c r="T88" i="5"/>
  <c r="R89" i="5"/>
  <c r="S89" i="5"/>
  <c r="T89" i="5"/>
  <c r="R90" i="5"/>
  <c r="S90" i="5"/>
  <c r="T90" i="5"/>
  <c r="R91" i="5"/>
  <c r="S91" i="5"/>
  <c r="T91" i="5"/>
  <c r="R92" i="5"/>
  <c r="S92" i="5"/>
  <c r="T92" i="5"/>
  <c r="R93" i="5"/>
  <c r="S93" i="5"/>
  <c r="T93" i="5"/>
  <c r="R94" i="5"/>
  <c r="S94" i="5"/>
  <c r="T94" i="5"/>
  <c r="R95" i="5"/>
  <c r="S95" i="5"/>
  <c r="T95" i="5"/>
  <c r="R96" i="5"/>
  <c r="S96" i="5"/>
  <c r="T96" i="5"/>
  <c r="R97" i="5"/>
  <c r="S97" i="5"/>
  <c r="T97" i="5"/>
  <c r="R98" i="5"/>
  <c r="S98" i="5"/>
  <c r="T98" i="5"/>
  <c r="R99" i="5"/>
  <c r="S99" i="5"/>
  <c r="T99" i="5"/>
  <c r="R100" i="5"/>
  <c r="S100" i="5"/>
  <c r="T100" i="5"/>
  <c r="R101" i="5"/>
  <c r="S101" i="5"/>
  <c r="T101" i="5"/>
  <c r="R102" i="5"/>
  <c r="S102" i="5"/>
  <c r="T102" i="5"/>
  <c r="R103" i="5"/>
  <c r="S103" i="5"/>
  <c r="T103" i="5"/>
  <c r="R104" i="5"/>
  <c r="S104" i="5"/>
  <c r="T104" i="5"/>
  <c r="R105" i="5"/>
  <c r="S105" i="5"/>
  <c r="T105" i="5"/>
  <c r="R106" i="5"/>
  <c r="S106" i="5"/>
  <c r="T106" i="5"/>
  <c r="R107" i="5"/>
  <c r="S107" i="5"/>
  <c r="T107" i="5"/>
  <c r="R108" i="5"/>
  <c r="S108" i="5"/>
  <c r="T108" i="5"/>
  <c r="R109" i="5"/>
  <c r="S109" i="5"/>
  <c r="T109" i="5"/>
  <c r="R110" i="5"/>
  <c r="S110" i="5"/>
  <c r="T110" i="5"/>
  <c r="R111" i="5"/>
  <c r="S111" i="5"/>
  <c r="T111" i="5"/>
  <c r="R112" i="5"/>
  <c r="S112" i="5"/>
  <c r="T112" i="5"/>
  <c r="R113" i="5"/>
  <c r="S113" i="5"/>
  <c r="T113" i="5"/>
  <c r="R114" i="5"/>
  <c r="S114" i="5"/>
  <c r="T114" i="5"/>
  <c r="R115" i="5"/>
  <c r="S115" i="5"/>
  <c r="T115" i="5"/>
  <c r="R116" i="5"/>
  <c r="S116" i="5"/>
  <c r="T116" i="5"/>
  <c r="R117" i="5"/>
  <c r="S117" i="5"/>
  <c r="T117" i="5"/>
  <c r="R118" i="5"/>
  <c r="S118" i="5"/>
  <c r="T118" i="5"/>
  <c r="R119" i="5"/>
  <c r="S119" i="5"/>
  <c r="T119" i="5"/>
  <c r="R120" i="5"/>
  <c r="S120" i="5"/>
  <c r="T120" i="5"/>
  <c r="R121" i="5"/>
  <c r="S121" i="5"/>
  <c r="T121" i="5"/>
  <c r="R122" i="5"/>
  <c r="S122" i="5"/>
  <c r="T122" i="5"/>
  <c r="R123" i="5"/>
  <c r="S123" i="5"/>
  <c r="T123" i="5"/>
  <c r="R124" i="5"/>
  <c r="S124" i="5"/>
  <c r="T124" i="5"/>
  <c r="R125" i="5"/>
  <c r="S125" i="5"/>
  <c r="T125" i="5"/>
  <c r="R126" i="5"/>
  <c r="S126" i="5"/>
  <c r="T126" i="5"/>
  <c r="R127" i="5"/>
  <c r="S127" i="5"/>
  <c r="T127" i="5"/>
  <c r="R128" i="5"/>
  <c r="S128" i="5"/>
  <c r="T128" i="5"/>
  <c r="R129" i="5"/>
  <c r="S129" i="5"/>
  <c r="T129" i="5"/>
  <c r="R130" i="5"/>
  <c r="S130" i="5"/>
  <c r="T130" i="5"/>
  <c r="R131" i="5"/>
  <c r="S131" i="5"/>
  <c r="T131" i="5"/>
  <c r="R132" i="5"/>
  <c r="S132" i="5"/>
  <c r="T132" i="5"/>
  <c r="R133" i="5"/>
  <c r="S133" i="5"/>
  <c r="T133" i="5"/>
  <c r="R134" i="5"/>
  <c r="S134" i="5"/>
  <c r="T134" i="5"/>
  <c r="R135" i="5"/>
  <c r="S135" i="5"/>
  <c r="T135" i="5"/>
  <c r="R136" i="5"/>
  <c r="S136" i="5"/>
  <c r="T136" i="5"/>
  <c r="R137" i="5"/>
  <c r="S137" i="5"/>
  <c r="T137" i="5"/>
  <c r="R138" i="5"/>
  <c r="S138" i="5"/>
  <c r="T138" i="5"/>
  <c r="R139" i="5"/>
  <c r="S139" i="5"/>
  <c r="T139" i="5"/>
  <c r="R140" i="5"/>
  <c r="S140" i="5"/>
  <c r="T140" i="5"/>
  <c r="R141" i="5"/>
  <c r="S141" i="5"/>
  <c r="T141" i="5"/>
  <c r="R142" i="5"/>
  <c r="S142" i="5"/>
  <c r="T142" i="5"/>
  <c r="R143" i="5"/>
  <c r="S143" i="5"/>
  <c r="T143" i="5"/>
  <c r="R144" i="5"/>
  <c r="S144" i="5"/>
  <c r="T144" i="5"/>
  <c r="R145" i="5"/>
  <c r="S145" i="5"/>
  <c r="T145" i="5"/>
  <c r="R146" i="5"/>
  <c r="S146" i="5"/>
  <c r="T146" i="5"/>
  <c r="R147" i="5"/>
  <c r="S147" i="5"/>
  <c r="T147" i="5"/>
  <c r="R148" i="5"/>
  <c r="S148" i="5"/>
  <c r="T148" i="5"/>
  <c r="R149" i="5"/>
  <c r="S149" i="5"/>
  <c r="T149" i="5"/>
  <c r="R150" i="5"/>
  <c r="S150" i="5"/>
  <c r="T150" i="5"/>
  <c r="R151" i="5"/>
  <c r="S151" i="5"/>
  <c r="T151" i="5"/>
  <c r="R152" i="5"/>
  <c r="S152" i="5"/>
  <c r="T152" i="5"/>
  <c r="R153" i="5"/>
  <c r="S153" i="5"/>
  <c r="T153" i="5"/>
  <c r="R154" i="5"/>
  <c r="S154" i="5"/>
  <c r="T154" i="5"/>
  <c r="R155" i="5"/>
  <c r="S155" i="5"/>
  <c r="T155" i="5"/>
  <c r="R156" i="5"/>
  <c r="S156" i="5"/>
  <c r="T156" i="5"/>
  <c r="R157" i="5"/>
  <c r="S157" i="5"/>
  <c r="T157" i="5"/>
  <c r="R158" i="5"/>
  <c r="S158" i="5"/>
  <c r="T158" i="5"/>
  <c r="R159" i="5"/>
  <c r="S159" i="5"/>
  <c r="T159" i="5"/>
  <c r="R160" i="5"/>
  <c r="S160" i="5"/>
  <c r="T160" i="5"/>
  <c r="R161" i="5"/>
  <c r="S161" i="5"/>
  <c r="T161" i="5"/>
  <c r="R162" i="5"/>
  <c r="S162" i="5"/>
  <c r="T162" i="5"/>
  <c r="R163" i="5"/>
  <c r="S163" i="5"/>
  <c r="T163" i="5"/>
  <c r="R164" i="5"/>
  <c r="S164" i="5"/>
  <c r="T164" i="5"/>
  <c r="R165" i="5"/>
  <c r="S165" i="5"/>
  <c r="T165" i="5"/>
  <c r="R166" i="5"/>
  <c r="S166" i="5"/>
  <c r="T166" i="5"/>
  <c r="R167" i="5"/>
  <c r="S167" i="5"/>
  <c r="T167" i="5"/>
  <c r="R168" i="5"/>
  <c r="S168" i="5"/>
  <c r="T168" i="5"/>
  <c r="R169" i="5"/>
  <c r="S169" i="5"/>
  <c r="T169" i="5"/>
  <c r="R170" i="5"/>
  <c r="S170" i="5"/>
  <c r="T170" i="5"/>
  <c r="R171" i="5"/>
  <c r="S171" i="5"/>
  <c r="T171" i="5"/>
  <c r="R172" i="5"/>
  <c r="S172" i="5"/>
  <c r="T172" i="5"/>
  <c r="R173" i="5"/>
  <c r="S173" i="5"/>
  <c r="T173" i="5"/>
  <c r="R174" i="5"/>
  <c r="S174" i="5"/>
  <c r="T174" i="5"/>
  <c r="R175" i="5"/>
  <c r="S175" i="5"/>
  <c r="T175" i="5"/>
  <c r="R176" i="5"/>
  <c r="S176" i="5"/>
  <c r="T176" i="5"/>
  <c r="R177" i="5"/>
  <c r="S177" i="5"/>
  <c r="T177" i="5"/>
  <c r="R178" i="5"/>
  <c r="S178" i="5"/>
  <c r="T178" i="5"/>
  <c r="R179" i="5"/>
  <c r="S179" i="5"/>
  <c r="T179" i="5"/>
  <c r="R180" i="5"/>
  <c r="S180" i="5"/>
  <c r="T180" i="5"/>
  <c r="R181" i="5"/>
  <c r="S181" i="5"/>
  <c r="T181" i="5"/>
  <c r="R182" i="5"/>
  <c r="S182" i="5"/>
  <c r="T182" i="5"/>
  <c r="R183" i="5"/>
  <c r="S183" i="5"/>
  <c r="T183" i="5"/>
  <c r="R184" i="5"/>
  <c r="S184" i="5"/>
  <c r="T184" i="5"/>
  <c r="R185" i="5"/>
  <c r="S185" i="5"/>
  <c r="T185" i="5"/>
  <c r="R186" i="5"/>
  <c r="S186" i="5"/>
  <c r="T186" i="5"/>
  <c r="R187" i="5"/>
  <c r="S187" i="5"/>
  <c r="T187" i="5"/>
  <c r="R188" i="5"/>
  <c r="S188" i="5"/>
  <c r="T188" i="5"/>
  <c r="R189" i="5"/>
  <c r="S189" i="5"/>
  <c r="T189" i="5"/>
  <c r="R190" i="5"/>
  <c r="S190" i="5"/>
  <c r="T190" i="5"/>
  <c r="R191" i="5"/>
  <c r="S191" i="5"/>
  <c r="T191" i="5"/>
  <c r="R192" i="5"/>
  <c r="S192" i="5"/>
  <c r="T192" i="5"/>
  <c r="R193" i="5"/>
  <c r="S193" i="5"/>
  <c r="T193" i="5"/>
  <c r="R194" i="5"/>
  <c r="S194" i="5"/>
  <c r="T194" i="5"/>
  <c r="R195" i="5"/>
  <c r="S195" i="5"/>
  <c r="T195" i="5"/>
  <c r="R196" i="5"/>
  <c r="S196" i="5"/>
  <c r="T196" i="5"/>
  <c r="R197" i="5"/>
  <c r="S197" i="5"/>
  <c r="T197" i="5"/>
  <c r="R198" i="5"/>
  <c r="S198" i="5"/>
  <c r="T198" i="5"/>
  <c r="R199" i="5"/>
  <c r="S199" i="5"/>
  <c r="T199" i="5"/>
  <c r="R200" i="5"/>
  <c r="S200" i="5"/>
  <c r="T200" i="5"/>
  <c r="R201" i="5"/>
  <c r="S201" i="5"/>
  <c r="T201" i="5"/>
  <c r="R202" i="5"/>
  <c r="S202" i="5"/>
  <c r="T202" i="5"/>
  <c r="R203" i="5"/>
  <c r="S203" i="5"/>
  <c r="T203" i="5"/>
  <c r="R204" i="5"/>
  <c r="S204" i="5"/>
  <c r="T204" i="5"/>
  <c r="R205" i="5"/>
  <c r="S205" i="5"/>
  <c r="T205" i="5"/>
  <c r="R206" i="5"/>
  <c r="S206" i="5"/>
  <c r="T206" i="5"/>
  <c r="R207" i="5"/>
  <c r="S207" i="5"/>
  <c r="T207" i="5"/>
  <c r="R208" i="5"/>
  <c r="S208" i="5"/>
  <c r="T208" i="5"/>
  <c r="R209" i="5"/>
  <c r="S209" i="5"/>
  <c r="T209" i="5"/>
  <c r="R210" i="5"/>
  <c r="S210" i="5"/>
  <c r="T210" i="5"/>
  <c r="R211" i="5"/>
  <c r="S211" i="5"/>
  <c r="T211" i="5"/>
  <c r="R212" i="5"/>
  <c r="S212" i="5"/>
  <c r="T212" i="5"/>
  <c r="R213" i="5"/>
  <c r="S213" i="5"/>
  <c r="T213" i="5"/>
  <c r="R214" i="5"/>
  <c r="S214" i="5"/>
  <c r="T214" i="5"/>
  <c r="R215" i="5"/>
  <c r="S215" i="5"/>
  <c r="T215" i="5"/>
  <c r="R216" i="5"/>
  <c r="S216" i="5"/>
  <c r="T216" i="5"/>
  <c r="R217" i="5"/>
  <c r="S217" i="5"/>
  <c r="T217" i="5"/>
  <c r="R218" i="5"/>
  <c r="S218" i="5"/>
  <c r="T218" i="5"/>
  <c r="R219" i="5"/>
  <c r="S219" i="5"/>
  <c r="T219" i="5"/>
  <c r="R220" i="5"/>
  <c r="S220" i="5"/>
  <c r="T220" i="5"/>
  <c r="R221" i="5"/>
  <c r="S221" i="5"/>
  <c r="T221" i="5"/>
  <c r="R222" i="5"/>
  <c r="S222" i="5"/>
  <c r="T222" i="5"/>
  <c r="R223" i="5"/>
  <c r="S223" i="5"/>
  <c r="T223" i="5"/>
  <c r="R224" i="5"/>
  <c r="S224" i="5"/>
  <c r="T224" i="5"/>
  <c r="R225" i="5"/>
  <c r="S225" i="5"/>
  <c r="T225" i="5"/>
  <c r="R226" i="5"/>
  <c r="S226" i="5"/>
  <c r="T226" i="5"/>
  <c r="R227" i="5"/>
  <c r="S227" i="5"/>
  <c r="T227" i="5"/>
  <c r="R228" i="5"/>
  <c r="S228" i="5"/>
  <c r="T228" i="5"/>
  <c r="R229" i="5"/>
  <c r="S229" i="5"/>
  <c r="T229" i="5"/>
  <c r="R230" i="5"/>
  <c r="S230" i="5"/>
  <c r="T230" i="5"/>
  <c r="R231" i="5"/>
  <c r="S231" i="5"/>
  <c r="T231" i="5"/>
  <c r="R232" i="5"/>
  <c r="S232" i="5"/>
  <c r="T232" i="5"/>
  <c r="R233" i="5"/>
  <c r="S233" i="5"/>
  <c r="T233" i="5"/>
  <c r="R234" i="5"/>
  <c r="S234" i="5"/>
  <c r="T234" i="5"/>
  <c r="R235" i="5"/>
  <c r="S235" i="5"/>
  <c r="T235" i="5"/>
  <c r="R236" i="5"/>
  <c r="S236" i="5"/>
  <c r="T236" i="5"/>
  <c r="R237" i="5"/>
  <c r="S237" i="5"/>
  <c r="T237" i="5"/>
  <c r="R238" i="5"/>
  <c r="S238" i="5"/>
  <c r="T238" i="5"/>
  <c r="R239" i="5"/>
  <c r="S239" i="5"/>
  <c r="T239" i="5"/>
  <c r="R240" i="5"/>
  <c r="S240" i="5"/>
  <c r="T240" i="5"/>
  <c r="R241" i="5"/>
  <c r="S241" i="5"/>
  <c r="T241" i="5"/>
  <c r="R242" i="5"/>
  <c r="S242" i="5"/>
  <c r="T242" i="5"/>
  <c r="R243" i="5"/>
  <c r="S243" i="5"/>
  <c r="T243" i="5"/>
  <c r="R244" i="5"/>
  <c r="S244" i="5"/>
  <c r="T244" i="5"/>
  <c r="R245" i="5"/>
  <c r="S245" i="5"/>
  <c r="T245" i="5"/>
  <c r="R246" i="5"/>
  <c r="S246" i="5"/>
  <c r="T246" i="5"/>
  <c r="R247" i="5"/>
  <c r="S247" i="5"/>
  <c r="T247" i="5"/>
  <c r="R248" i="5"/>
  <c r="S248" i="5"/>
  <c r="T248" i="5"/>
  <c r="R249" i="5"/>
  <c r="S249" i="5"/>
  <c r="T249" i="5"/>
  <c r="R250" i="5"/>
  <c r="S250" i="5"/>
  <c r="T250" i="5"/>
  <c r="R251" i="5"/>
  <c r="S251" i="5"/>
  <c r="T251" i="5"/>
  <c r="R252" i="5"/>
  <c r="S252" i="5"/>
  <c r="T252" i="5"/>
  <c r="R253" i="5"/>
  <c r="S253" i="5"/>
  <c r="T253" i="5"/>
  <c r="R254" i="5"/>
  <c r="S254" i="5"/>
  <c r="T254" i="5"/>
  <c r="R255" i="5"/>
  <c r="S255" i="5"/>
  <c r="T255" i="5"/>
  <c r="R256" i="5"/>
  <c r="S256" i="5"/>
  <c r="T256" i="5"/>
  <c r="R257" i="5"/>
  <c r="S257" i="5"/>
  <c r="T257" i="5"/>
  <c r="R258" i="5"/>
  <c r="S258" i="5"/>
  <c r="T258" i="5"/>
  <c r="R259" i="5"/>
  <c r="S259" i="5"/>
  <c r="T259" i="5"/>
  <c r="R260" i="5"/>
  <c r="S260" i="5"/>
  <c r="T260" i="5"/>
  <c r="R261" i="5"/>
  <c r="S261" i="5"/>
  <c r="T261" i="5"/>
  <c r="R262" i="5"/>
  <c r="S262" i="5"/>
  <c r="T262" i="5"/>
  <c r="R263" i="5"/>
  <c r="S263" i="5"/>
  <c r="T263" i="5"/>
  <c r="R264" i="5"/>
  <c r="S264" i="5"/>
  <c r="T264" i="5"/>
  <c r="R265" i="5"/>
  <c r="S265" i="5"/>
  <c r="T265" i="5"/>
  <c r="R266" i="5"/>
  <c r="S266" i="5"/>
  <c r="T266" i="5"/>
  <c r="R267" i="5"/>
  <c r="S267" i="5"/>
  <c r="T267" i="5"/>
  <c r="R268" i="5"/>
  <c r="S268" i="5"/>
  <c r="T268" i="5"/>
  <c r="R269" i="5"/>
  <c r="S269" i="5"/>
  <c r="T269" i="5"/>
  <c r="R270" i="5"/>
  <c r="S270" i="5"/>
  <c r="T270" i="5"/>
  <c r="R271" i="5"/>
  <c r="S271" i="5"/>
  <c r="T271" i="5"/>
  <c r="R272" i="5"/>
  <c r="S272" i="5"/>
  <c r="T272" i="5"/>
  <c r="R273" i="5"/>
  <c r="S273" i="5"/>
  <c r="T273" i="5"/>
  <c r="R274" i="5"/>
  <c r="S274" i="5"/>
  <c r="T274" i="5"/>
  <c r="R275" i="5"/>
  <c r="S275" i="5"/>
  <c r="T275" i="5"/>
  <c r="R276" i="5"/>
  <c r="S276" i="5"/>
  <c r="T276" i="5"/>
  <c r="R277" i="5"/>
  <c r="S277" i="5"/>
  <c r="T277" i="5"/>
  <c r="R278" i="5"/>
  <c r="S278" i="5"/>
  <c r="T278" i="5"/>
  <c r="R279" i="5"/>
  <c r="S279" i="5"/>
  <c r="T279" i="5"/>
  <c r="R280" i="5"/>
  <c r="S280" i="5"/>
  <c r="T280" i="5"/>
  <c r="R281" i="5"/>
  <c r="S281" i="5"/>
  <c r="T281" i="5"/>
  <c r="R282" i="5"/>
  <c r="S282" i="5"/>
  <c r="T282" i="5"/>
  <c r="R283" i="5"/>
  <c r="S283" i="5"/>
  <c r="T283" i="5"/>
  <c r="R284" i="5"/>
  <c r="S284" i="5"/>
  <c r="T284" i="5"/>
  <c r="R285" i="5"/>
  <c r="S285" i="5"/>
  <c r="T285" i="5"/>
  <c r="R286" i="5"/>
  <c r="S286" i="5"/>
  <c r="T286" i="5"/>
  <c r="R287" i="5"/>
  <c r="S287" i="5"/>
  <c r="T287" i="5"/>
  <c r="R288" i="5"/>
  <c r="S288" i="5"/>
  <c r="T288" i="5"/>
  <c r="R289" i="5"/>
  <c r="S289" i="5"/>
  <c r="T289" i="5"/>
  <c r="R290" i="5"/>
  <c r="S290" i="5"/>
  <c r="T290" i="5"/>
  <c r="R291" i="5"/>
  <c r="S291" i="5"/>
  <c r="T291" i="5"/>
  <c r="R292" i="5"/>
  <c r="S292" i="5"/>
  <c r="T292" i="5"/>
  <c r="R293" i="5"/>
  <c r="S293" i="5"/>
  <c r="T293" i="5"/>
  <c r="R294" i="5"/>
  <c r="S294" i="5"/>
  <c r="T294" i="5"/>
  <c r="R295" i="5"/>
  <c r="S295" i="5"/>
  <c r="T295" i="5"/>
  <c r="R296" i="5"/>
  <c r="S296" i="5"/>
  <c r="T296" i="5"/>
  <c r="R297" i="5"/>
  <c r="S297" i="5"/>
  <c r="T297" i="5"/>
  <c r="R298" i="5"/>
  <c r="S298" i="5"/>
  <c r="T298" i="5"/>
  <c r="R299" i="5"/>
  <c r="S299" i="5"/>
  <c r="T299" i="5"/>
  <c r="R300" i="5"/>
  <c r="S300" i="5"/>
  <c r="T300" i="5"/>
  <c r="R301" i="5"/>
  <c r="S301" i="5"/>
  <c r="T301" i="5"/>
  <c r="R302" i="5"/>
  <c r="S302" i="5"/>
  <c r="T302" i="5"/>
  <c r="R303" i="5"/>
  <c r="S303" i="5"/>
  <c r="T303" i="5"/>
  <c r="R304" i="5"/>
  <c r="S304" i="5"/>
  <c r="T304" i="5"/>
  <c r="R305" i="5"/>
  <c r="S305" i="5"/>
  <c r="T305" i="5"/>
  <c r="R306" i="5"/>
  <c r="S306" i="5"/>
  <c r="T306" i="5"/>
  <c r="R307" i="5"/>
  <c r="S307" i="5"/>
  <c r="T307" i="5"/>
  <c r="R308" i="5"/>
  <c r="S308" i="5"/>
  <c r="T308" i="5"/>
  <c r="R309" i="5"/>
  <c r="S309" i="5"/>
  <c r="T309" i="5"/>
  <c r="R310" i="5"/>
  <c r="S310" i="5"/>
  <c r="T310" i="5"/>
  <c r="R311" i="5"/>
  <c r="S311" i="5"/>
  <c r="T311" i="5"/>
  <c r="R312" i="5"/>
  <c r="S312" i="5"/>
  <c r="T312" i="5"/>
  <c r="R313" i="5"/>
  <c r="S313" i="5"/>
  <c r="T313" i="5"/>
  <c r="R314" i="5"/>
  <c r="S314" i="5"/>
  <c r="T314" i="5"/>
  <c r="R315" i="5"/>
  <c r="S315" i="5"/>
  <c r="T315" i="5"/>
  <c r="R316" i="5"/>
  <c r="S316" i="5"/>
  <c r="T316" i="5"/>
  <c r="R317" i="5"/>
  <c r="S317" i="5"/>
  <c r="T317" i="5"/>
  <c r="R318" i="5"/>
  <c r="S318" i="5"/>
  <c r="T318" i="5"/>
  <c r="R319" i="5"/>
  <c r="S319" i="5"/>
  <c r="T319" i="5"/>
  <c r="R320" i="5"/>
  <c r="S320" i="5"/>
  <c r="T320" i="5"/>
  <c r="R321" i="5"/>
  <c r="S321" i="5"/>
  <c r="T321" i="5"/>
  <c r="R322" i="5"/>
  <c r="S322" i="5"/>
  <c r="T322" i="5"/>
  <c r="R323" i="5"/>
  <c r="S323" i="5"/>
  <c r="T323" i="5"/>
  <c r="R324" i="5"/>
  <c r="S324" i="5"/>
  <c r="T324" i="5"/>
  <c r="R325" i="5"/>
  <c r="S325" i="5"/>
  <c r="T325" i="5"/>
  <c r="R326" i="5"/>
  <c r="S326" i="5"/>
  <c r="T326" i="5"/>
  <c r="R327" i="5"/>
  <c r="S327" i="5"/>
  <c r="T327" i="5"/>
  <c r="R328" i="5"/>
  <c r="S328" i="5"/>
  <c r="T328" i="5"/>
  <c r="R329" i="5"/>
  <c r="S329" i="5"/>
  <c r="T329" i="5"/>
  <c r="R330" i="5"/>
  <c r="S330" i="5"/>
  <c r="T330" i="5"/>
  <c r="R331" i="5"/>
  <c r="S331" i="5"/>
  <c r="T331" i="5"/>
  <c r="R332" i="5"/>
  <c r="S332" i="5"/>
  <c r="T332" i="5"/>
  <c r="R333" i="5"/>
  <c r="S333" i="5"/>
  <c r="T333" i="5"/>
  <c r="R334" i="5"/>
  <c r="S334" i="5"/>
  <c r="T334" i="5"/>
  <c r="R335" i="5"/>
  <c r="S335" i="5"/>
  <c r="T335" i="5"/>
  <c r="R336" i="5"/>
  <c r="S336" i="5"/>
  <c r="T336" i="5"/>
  <c r="R337" i="5"/>
  <c r="S337" i="5"/>
  <c r="T337" i="5"/>
  <c r="R338" i="5"/>
  <c r="S338" i="5"/>
  <c r="T338" i="5"/>
  <c r="R339" i="5"/>
  <c r="S339" i="5"/>
  <c r="T339" i="5"/>
  <c r="R340" i="5"/>
  <c r="S340" i="5"/>
  <c r="T340" i="5"/>
  <c r="R341" i="5"/>
  <c r="S341" i="5"/>
  <c r="T341" i="5"/>
  <c r="R342" i="5"/>
  <c r="S342" i="5"/>
  <c r="T342" i="5"/>
  <c r="R343" i="5"/>
  <c r="S343" i="5"/>
  <c r="T343" i="5"/>
  <c r="R344" i="5"/>
  <c r="S344" i="5"/>
  <c r="T344" i="5"/>
  <c r="R345" i="5"/>
  <c r="S345" i="5"/>
  <c r="T345" i="5"/>
  <c r="R346" i="5"/>
  <c r="S346" i="5"/>
  <c r="T346" i="5"/>
  <c r="R347" i="5"/>
  <c r="S347" i="5"/>
  <c r="T347" i="5"/>
  <c r="R348" i="5"/>
  <c r="S348" i="5"/>
  <c r="T348" i="5"/>
  <c r="R349" i="5"/>
  <c r="S349" i="5"/>
  <c r="T349" i="5"/>
  <c r="R350" i="5"/>
  <c r="S350" i="5"/>
  <c r="T350" i="5"/>
  <c r="R351" i="5"/>
  <c r="S351" i="5"/>
  <c r="T351" i="5"/>
  <c r="R352" i="5"/>
  <c r="S352" i="5"/>
  <c r="T352" i="5"/>
  <c r="R353" i="5"/>
  <c r="S353" i="5"/>
  <c r="T353" i="5"/>
  <c r="R354" i="5"/>
  <c r="S354" i="5"/>
  <c r="T354" i="5"/>
  <c r="R355" i="5"/>
  <c r="S355" i="5"/>
  <c r="T355" i="5"/>
  <c r="R356" i="5"/>
  <c r="S356" i="5"/>
  <c r="T356" i="5"/>
  <c r="R357" i="5"/>
  <c r="S357" i="5"/>
  <c r="T357" i="5"/>
  <c r="R358" i="5"/>
  <c r="S358" i="5"/>
  <c r="T358" i="5"/>
  <c r="R359" i="5"/>
  <c r="S359" i="5"/>
  <c r="T359" i="5"/>
  <c r="R360" i="5"/>
  <c r="S360" i="5"/>
  <c r="T360" i="5"/>
  <c r="R361" i="5"/>
  <c r="S361" i="5"/>
  <c r="T361" i="5"/>
  <c r="R362" i="5"/>
  <c r="S362" i="5"/>
  <c r="T362" i="5"/>
  <c r="R363" i="5"/>
  <c r="S363" i="5"/>
  <c r="T363" i="5"/>
  <c r="R364" i="5"/>
  <c r="S364" i="5"/>
  <c r="T364" i="5"/>
  <c r="R365" i="5"/>
  <c r="S365" i="5"/>
  <c r="T365" i="5"/>
  <c r="R366" i="5"/>
  <c r="S366" i="5"/>
  <c r="T366" i="5"/>
  <c r="R367" i="5"/>
  <c r="S367" i="5"/>
  <c r="T367" i="5"/>
  <c r="R368" i="5"/>
  <c r="S368" i="5"/>
  <c r="T368" i="5"/>
  <c r="R369" i="5"/>
  <c r="S369" i="5"/>
  <c r="T369" i="5"/>
  <c r="R370" i="5"/>
  <c r="S370" i="5"/>
  <c r="T370" i="5"/>
  <c r="R371" i="5"/>
  <c r="S371" i="5"/>
  <c r="T371" i="5"/>
  <c r="R372" i="5"/>
  <c r="S372" i="5"/>
  <c r="T372" i="5"/>
  <c r="R373" i="5"/>
  <c r="S373" i="5"/>
  <c r="T373" i="5"/>
  <c r="R374" i="5"/>
  <c r="S374" i="5"/>
  <c r="T374" i="5"/>
  <c r="R375" i="5"/>
  <c r="S375" i="5"/>
  <c r="T375" i="5"/>
  <c r="R376" i="5"/>
  <c r="S376" i="5"/>
  <c r="T376" i="5"/>
  <c r="R377" i="5"/>
  <c r="S377" i="5"/>
  <c r="T377" i="5"/>
  <c r="R378" i="5"/>
  <c r="S378" i="5"/>
  <c r="T378" i="5"/>
  <c r="R379" i="5"/>
  <c r="S379" i="5"/>
  <c r="T379" i="5"/>
  <c r="R380" i="5"/>
  <c r="S380" i="5"/>
  <c r="T380" i="5"/>
  <c r="R381" i="5"/>
  <c r="S381" i="5"/>
  <c r="T381" i="5"/>
  <c r="R382" i="5"/>
  <c r="S382" i="5"/>
  <c r="T382" i="5"/>
  <c r="R383" i="5"/>
  <c r="S383" i="5"/>
  <c r="T383" i="5"/>
  <c r="R384" i="5"/>
  <c r="S384" i="5"/>
  <c r="T384" i="5"/>
  <c r="R385" i="5"/>
  <c r="S385" i="5"/>
  <c r="T385" i="5"/>
  <c r="R386" i="5"/>
  <c r="S386" i="5"/>
  <c r="T386" i="5"/>
  <c r="R387" i="5"/>
  <c r="S387" i="5"/>
  <c r="T387" i="5"/>
  <c r="R388" i="5"/>
  <c r="S388" i="5"/>
  <c r="T388" i="5"/>
  <c r="R389" i="5"/>
  <c r="S389" i="5"/>
  <c r="T389" i="5"/>
  <c r="R390" i="5"/>
  <c r="S390" i="5"/>
  <c r="T390" i="5"/>
  <c r="R391" i="5"/>
  <c r="S391" i="5"/>
  <c r="T391" i="5"/>
  <c r="R392" i="5"/>
  <c r="S392" i="5"/>
  <c r="T392" i="5"/>
  <c r="R393" i="5"/>
  <c r="S393" i="5"/>
  <c r="T393" i="5"/>
  <c r="R394" i="5"/>
  <c r="S394" i="5"/>
  <c r="T394" i="5"/>
  <c r="R395" i="5"/>
  <c r="S395" i="5"/>
  <c r="T395" i="5"/>
  <c r="R396" i="5"/>
  <c r="S396" i="5"/>
  <c r="T396" i="5"/>
  <c r="R397" i="5"/>
  <c r="S397" i="5"/>
  <c r="T397" i="5"/>
  <c r="R398" i="5"/>
  <c r="S398" i="5"/>
  <c r="T398" i="5"/>
  <c r="R399" i="5"/>
  <c r="S399" i="5"/>
  <c r="T399" i="5"/>
  <c r="R400" i="5"/>
  <c r="S400" i="5"/>
  <c r="T400" i="5"/>
  <c r="R401" i="5"/>
  <c r="S401" i="5"/>
  <c r="T401" i="5"/>
  <c r="R402" i="5"/>
  <c r="S402" i="5"/>
  <c r="T402" i="5"/>
  <c r="R403" i="5"/>
  <c r="S403" i="5"/>
  <c r="T403" i="5"/>
  <c r="R404" i="5"/>
  <c r="S404" i="5"/>
  <c r="T404" i="5"/>
  <c r="R405" i="5"/>
  <c r="S405" i="5"/>
  <c r="T405" i="5"/>
  <c r="R406" i="5"/>
  <c r="S406" i="5"/>
  <c r="T406" i="5"/>
  <c r="R407" i="5"/>
  <c r="S407" i="5"/>
  <c r="T407" i="5"/>
  <c r="R408" i="5"/>
  <c r="S408" i="5"/>
  <c r="T408" i="5"/>
  <c r="R409" i="5"/>
  <c r="S409" i="5"/>
  <c r="T409" i="5"/>
  <c r="R410" i="5"/>
  <c r="S410" i="5"/>
  <c r="T410" i="5"/>
  <c r="R411" i="5"/>
  <c r="S411" i="5"/>
  <c r="T411" i="5"/>
  <c r="R412" i="5"/>
  <c r="S412" i="5"/>
  <c r="T412" i="5"/>
  <c r="R413" i="5"/>
  <c r="S413" i="5"/>
  <c r="T413" i="5"/>
  <c r="R414" i="5"/>
  <c r="S414" i="5"/>
  <c r="T414" i="5"/>
  <c r="R415" i="5"/>
  <c r="S415" i="5"/>
  <c r="T415" i="5"/>
  <c r="R416" i="5"/>
  <c r="S416" i="5"/>
  <c r="T416" i="5"/>
  <c r="R417" i="5"/>
  <c r="S417" i="5"/>
  <c r="T417" i="5"/>
  <c r="R418" i="5"/>
  <c r="S418" i="5"/>
  <c r="T418" i="5"/>
  <c r="R419" i="5"/>
  <c r="S419" i="5"/>
  <c r="T419" i="5"/>
  <c r="R420" i="5"/>
  <c r="S420" i="5"/>
  <c r="T420" i="5"/>
  <c r="R421" i="5"/>
  <c r="S421" i="5"/>
  <c r="T421" i="5"/>
  <c r="R422" i="5"/>
  <c r="S422" i="5"/>
  <c r="T422" i="5"/>
  <c r="R423" i="5"/>
  <c r="S423" i="5"/>
  <c r="T423" i="5"/>
  <c r="R424" i="5"/>
  <c r="S424" i="5"/>
  <c r="T424" i="5"/>
  <c r="R425" i="5"/>
  <c r="S425" i="5"/>
  <c r="T425" i="5"/>
  <c r="R426" i="5"/>
  <c r="S426" i="5"/>
  <c r="T426" i="5"/>
  <c r="R427" i="5"/>
  <c r="S427" i="5"/>
  <c r="T427" i="5"/>
  <c r="R428" i="5"/>
  <c r="S428" i="5"/>
  <c r="T428" i="5"/>
  <c r="R429" i="5"/>
  <c r="S429" i="5"/>
  <c r="T429" i="5"/>
  <c r="R430" i="5"/>
  <c r="S430" i="5"/>
  <c r="T430" i="5"/>
  <c r="R431" i="5"/>
  <c r="S431" i="5"/>
  <c r="T431" i="5"/>
  <c r="R432" i="5"/>
  <c r="S432" i="5"/>
  <c r="T432" i="5"/>
  <c r="R433" i="5"/>
  <c r="S433" i="5"/>
  <c r="T433" i="5"/>
  <c r="R434" i="5"/>
  <c r="S434" i="5"/>
  <c r="T434" i="5"/>
  <c r="R435" i="5"/>
  <c r="S435" i="5"/>
  <c r="T435" i="5"/>
  <c r="R436" i="5"/>
  <c r="S436" i="5"/>
  <c r="T436" i="5"/>
  <c r="R437" i="5"/>
  <c r="S437" i="5"/>
  <c r="T437" i="5"/>
  <c r="R438" i="5"/>
  <c r="S438" i="5"/>
  <c r="T438" i="5"/>
  <c r="R439" i="5"/>
  <c r="S439" i="5"/>
  <c r="T439" i="5"/>
  <c r="R440" i="5"/>
  <c r="S440" i="5"/>
  <c r="T440" i="5"/>
  <c r="R441" i="5"/>
  <c r="S441" i="5"/>
  <c r="T441" i="5"/>
  <c r="R442" i="5"/>
  <c r="S442" i="5"/>
  <c r="T442" i="5"/>
  <c r="R443" i="5"/>
  <c r="S443" i="5"/>
  <c r="T443" i="5"/>
  <c r="R444" i="5"/>
  <c r="S444" i="5"/>
  <c r="T444" i="5"/>
  <c r="R445" i="5"/>
  <c r="S445" i="5"/>
  <c r="T445" i="5"/>
  <c r="R446" i="5"/>
  <c r="S446" i="5"/>
  <c r="T446" i="5"/>
  <c r="R447" i="5"/>
  <c r="S447" i="5"/>
  <c r="T447" i="5"/>
  <c r="R448" i="5"/>
  <c r="S448" i="5"/>
  <c r="T448" i="5"/>
  <c r="R449" i="5"/>
  <c r="S449" i="5"/>
  <c r="T449" i="5"/>
  <c r="R450" i="5"/>
  <c r="S450" i="5"/>
  <c r="T450" i="5"/>
  <c r="R451" i="5"/>
  <c r="S451" i="5"/>
  <c r="T451" i="5"/>
  <c r="R452" i="5"/>
  <c r="S452" i="5"/>
  <c r="T452" i="5"/>
  <c r="R453" i="5"/>
  <c r="S453" i="5"/>
  <c r="T453" i="5"/>
  <c r="R454" i="5"/>
  <c r="S454" i="5"/>
  <c r="T454" i="5"/>
  <c r="R455" i="5"/>
  <c r="S455" i="5"/>
  <c r="T455" i="5"/>
  <c r="R456" i="5"/>
  <c r="S456" i="5"/>
  <c r="T456" i="5"/>
  <c r="R457" i="5"/>
  <c r="S457" i="5"/>
  <c r="T457" i="5"/>
  <c r="R458" i="5"/>
  <c r="S458" i="5"/>
  <c r="T458" i="5"/>
  <c r="R459" i="5"/>
  <c r="S459" i="5"/>
  <c r="T459" i="5"/>
  <c r="R460" i="5"/>
  <c r="S460" i="5"/>
  <c r="T460" i="5"/>
  <c r="R461" i="5"/>
  <c r="S461" i="5"/>
  <c r="T461" i="5"/>
  <c r="R462" i="5"/>
  <c r="S462" i="5"/>
  <c r="T462" i="5"/>
  <c r="R463" i="5"/>
  <c r="S463" i="5"/>
  <c r="T463" i="5"/>
  <c r="R464" i="5"/>
  <c r="S464" i="5"/>
  <c r="T464" i="5"/>
  <c r="R465" i="5"/>
  <c r="S465" i="5"/>
  <c r="T465" i="5"/>
  <c r="R466" i="5"/>
  <c r="S466" i="5"/>
  <c r="T466" i="5"/>
  <c r="R467" i="5"/>
  <c r="S467" i="5"/>
  <c r="T467" i="5"/>
  <c r="R468" i="5"/>
  <c r="S468" i="5"/>
  <c r="T468" i="5"/>
  <c r="R469" i="5"/>
  <c r="S469" i="5"/>
  <c r="T469" i="5"/>
  <c r="R470" i="5"/>
  <c r="S470" i="5"/>
  <c r="T470" i="5"/>
  <c r="R471" i="5"/>
  <c r="S471" i="5"/>
  <c r="T471" i="5"/>
  <c r="R472" i="5"/>
  <c r="S472" i="5"/>
  <c r="T472" i="5"/>
  <c r="R473" i="5"/>
  <c r="S473" i="5"/>
  <c r="T473" i="5"/>
  <c r="R474" i="5"/>
  <c r="S474" i="5"/>
  <c r="T474" i="5"/>
  <c r="R475" i="5"/>
  <c r="S475" i="5"/>
  <c r="T475" i="5"/>
  <c r="R476" i="5"/>
  <c r="S476" i="5"/>
  <c r="T476" i="5"/>
  <c r="R477" i="5"/>
  <c r="S477" i="5"/>
  <c r="T477" i="5"/>
  <c r="R478" i="5"/>
  <c r="S478" i="5"/>
  <c r="T478" i="5"/>
  <c r="R479" i="5"/>
  <c r="S479" i="5"/>
  <c r="T479" i="5"/>
  <c r="R480" i="5"/>
  <c r="S480" i="5"/>
  <c r="T480" i="5"/>
  <c r="R481" i="5"/>
  <c r="S481" i="5"/>
  <c r="T481" i="5"/>
  <c r="R482" i="5"/>
  <c r="S482" i="5"/>
  <c r="T482" i="5"/>
  <c r="R483" i="5"/>
  <c r="S483" i="5"/>
  <c r="T483" i="5"/>
  <c r="R484" i="5"/>
  <c r="S484" i="5"/>
  <c r="T484" i="5"/>
  <c r="R485" i="5"/>
  <c r="S485" i="5"/>
  <c r="T485" i="5"/>
  <c r="R486" i="5"/>
  <c r="S486" i="5"/>
  <c r="T486" i="5"/>
  <c r="R487" i="5"/>
  <c r="S487" i="5"/>
  <c r="T487" i="5"/>
  <c r="R488" i="5"/>
  <c r="S488" i="5"/>
  <c r="T488" i="5"/>
  <c r="R489" i="5"/>
  <c r="S489" i="5"/>
  <c r="T489" i="5"/>
  <c r="R490" i="5"/>
  <c r="S490" i="5"/>
  <c r="T490" i="5"/>
  <c r="R491" i="5"/>
  <c r="S491" i="5"/>
  <c r="T491" i="5"/>
  <c r="R492" i="5"/>
  <c r="S492" i="5"/>
  <c r="T492" i="5"/>
  <c r="R493" i="5"/>
  <c r="S493" i="5"/>
  <c r="T493" i="5"/>
  <c r="R494" i="5"/>
  <c r="S494" i="5"/>
  <c r="T494" i="5"/>
  <c r="R495" i="5"/>
  <c r="S495" i="5"/>
  <c r="T495" i="5"/>
  <c r="R496" i="5"/>
  <c r="S496" i="5"/>
  <c r="T496" i="5"/>
  <c r="R497" i="5"/>
  <c r="S497" i="5"/>
  <c r="T497" i="5"/>
  <c r="R498" i="5"/>
  <c r="S498" i="5"/>
  <c r="T498" i="5"/>
  <c r="R499" i="5"/>
  <c r="S499" i="5"/>
  <c r="T499" i="5"/>
  <c r="R500" i="5"/>
  <c r="S500" i="5"/>
  <c r="T500" i="5"/>
  <c r="R501" i="5"/>
  <c r="S501" i="5"/>
  <c r="T501" i="5"/>
  <c r="R502" i="5"/>
  <c r="S502" i="5"/>
  <c r="T502" i="5"/>
  <c r="R503" i="5"/>
  <c r="S503" i="5"/>
  <c r="T503" i="5"/>
  <c r="R504" i="5"/>
  <c r="S504" i="5"/>
  <c r="T504" i="5"/>
  <c r="R505" i="5"/>
  <c r="S505" i="5"/>
  <c r="T505" i="5"/>
  <c r="R506" i="5"/>
  <c r="S506" i="5"/>
  <c r="T506" i="5"/>
  <c r="R507" i="5"/>
  <c r="S507" i="5"/>
  <c r="T507" i="5"/>
  <c r="R508" i="5"/>
  <c r="S508" i="5"/>
  <c r="T508" i="5"/>
  <c r="R509" i="5"/>
  <c r="S509" i="5"/>
  <c r="T509" i="5"/>
  <c r="R510" i="5"/>
  <c r="S510" i="5"/>
  <c r="T510" i="5"/>
  <c r="R511" i="5"/>
  <c r="S511" i="5"/>
  <c r="T511" i="5"/>
  <c r="R512" i="5"/>
  <c r="S512" i="5"/>
  <c r="T512" i="5"/>
  <c r="R513" i="5"/>
  <c r="S513" i="5"/>
  <c r="T513" i="5"/>
  <c r="R514" i="5"/>
  <c r="S514" i="5"/>
  <c r="T514" i="5"/>
  <c r="R515" i="5"/>
  <c r="S515" i="5"/>
  <c r="T515" i="5"/>
  <c r="R516" i="5"/>
  <c r="S516" i="5"/>
  <c r="T516" i="5"/>
  <c r="R517" i="5"/>
  <c r="S517" i="5"/>
  <c r="T517" i="5"/>
  <c r="R518" i="5"/>
  <c r="S518" i="5"/>
  <c r="T518" i="5"/>
  <c r="R519" i="5"/>
  <c r="S519" i="5"/>
  <c r="T519" i="5"/>
  <c r="R520" i="5"/>
  <c r="S520" i="5"/>
  <c r="T520" i="5"/>
  <c r="R521" i="5"/>
  <c r="S521" i="5"/>
  <c r="T521" i="5"/>
  <c r="R522" i="5"/>
  <c r="S522" i="5"/>
  <c r="T522" i="5"/>
  <c r="R523" i="5"/>
  <c r="S523" i="5"/>
  <c r="T523" i="5"/>
  <c r="R524" i="5"/>
  <c r="S524" i="5"/>
  <c r="T524" i="5"/>
  <c r="R525" i="5"/>
  <c r="S525" i="5"/>
  <c r="T525" i="5"/>
  <c r="R526" i="5"/>
  <c r="S526" i="5"/>
  <c r="T526" i="5"/>
  <c r="R527" i="5"/>
  <c r="S527" i="5"/>
  <c r="T527" i="5"/>
  <c r="R528" i="5"/>
  <c r="S528" i="5"/>
  <c r="T528" i="5"/>
  <c r="R529" i="5"/>
  <c r="S529" i="5"/>
  <c r="T529" i="5"/>
  <c r="R530" i="5"/>
  <c r="S530" i="5"/>
  <c r="T530" i="5"/>
  <c r="R531" i="5"/>
  <c r="S531" i="5"/>
  <c r="T531" i="5"/>
  <c r="R532" i="5"/>
  <c r="S532" i="5"/>
  <c r="T532" i="5"/>
  <c r="R533" i="5"/>
  <c r="S533" i="5"/>
  <c r="T533" i="5"/>
  <c r="R534" i="5"/>
  <c r="S534" i="5"/>
  <c r="T534" i="5"/>
  <c r="R535" i="5"/>
  <c r="S535" i="5"/>
  <c r="T535" i="5"/>
  <c r="R536" i="5"/>
  <c r="S536" i="5"/>
  <c r="T536" i="5"/>
  <c r="R537" i="5"/>
  <c r="S537" i="5"/>
  <c r="T537" i="5"/>
  <c r="R538" i="5"/>
  <c r="S538" i="5"/>
  <c r="T538" i="5"/>
  <c r="R539" i="5"/>
  <c r="S539" i="5"/>
  <c r="T539" i="5"/>
  <c r="R540" i="5"/>
  <c r="S540" i="5"/>
  <c r="T540" i="5"/>
  <c r="R541" i="5"/>
  <c r="S541" i="5"/>
  <c r="T541" i="5"/>
  <c r="R542" i="5"/>
  <c r="S542" i="5"/>
  <c r="T542" i="5"/>
  <c r="R543" i="5"/>
  <c r="S543" i="5"/>
  <c r="T543" i="5"/>
  <c r="R544" i="5"/>
  <c r="S544" i="5"/>
  <c r="T544" i="5"/>
  <c r="R545" i="5"/>
  <c r="S545" i="5"/>
  <c r="T545" i="5"/>
  <c r="R546" i="5"/>
  <c r="S546" i="5"/>
  <c r="T546" i="5"/>
  <c r="R547" i="5"/>
  <c r="S547" i="5"/>
  <c r="T547" i="5"/>
  <c r="R548" i="5"/>
  <c r="S548" i="5"/>
  <c r="T548" i="5"/>
  <c r="R549" i="5"/>
  <c r="S549" i="5"/>
  <c r="T549" i="5"/>
  <c r="R550" i="5"/>
  <c r="S550" i="5"/>
  <c r="T550" i="5"/>
  <c r="R551" i="5"/>
  <c r="S551" i="5"/>
  <c r="T551" i="5"/>
  <c r="R552" i="5"/>
  <c r="S552" i="5"/>
  <c r="T552" i="5"/>
  <c r="R553" i="5"/>
  <c r="S553" i="5"/>
  <c r="T553" i="5"/>
  <c r="R554" i="5"/>
  <c r="S554" i="5"/>
  <c r="T554" i="5"/>
  <c r="R555" i="5"/>
  <c r="S555" i="5"/>
  <c r="T555" i="5"/>
  <c r="R556" i="5"/>
  <c r="S556" i="5"/>
  <c r="T556" i="5"/>
  <c r="R557" i="5"/>
  <c r="S557" i="5"/>
  <c r="T557" i="5"/>
  <c r="R558" i="5"/>
  <c r="S558" i="5"/>
  <c r="T558" i="5"/>
  <c r="R559" i="5"/>
  <c r="S559" i="5"/>
  <c r="T559" i="5"/>
  <c r="R560" i="5"/>
  <c r="S560" i="5"/>
  <c r="T560" i="5"/>
  <c r="R561" i="5"/>
  <c r="S561" i="5"/>
  <c r="T561" i="5"/>
  <c r="R562" i="5"/>
  <c r="S562" i="5"/>
  <c r="T562" i="5"/>
  <c r="R563" i="5"/>
  <c r="S563" i="5"/>
  <c r="T563" i="5"/>
  <c r="R564" i="5"/>
  <c r="S564" i="5"/>
  <c r="T564" i="5"/>
  <c r="R565" i="5"/>
  <c r="S565" i="5"/>
  <c r="T565" i="5"/>
  <c r="R566" i="5"/>
  <c r="S566" i="5"/>
  <c r="T566" i="5"/>
  <c r="R567" i="5"/>
  <c r="S567" i="5"/>
  <c r="T567" i="5"/>
  <c r="R568" i="5"/>
  <c r="S568" i="5"/>
  <c r="T568" i="5"/>
  <c r="R569" i="5"/>
  <c r="S569" i="5"/>
  <c r="T569" i="5"/>
  <c r="R570" i="5"/>
  <c r="S570" i="5"/>
  <c r="T570" i="5"/>
  <c r="R571" i="5"/>
  <c r="S571" i="5"/>
  <c r="T571" i="5"/>
  <c r="R572" i="5"/>
  <c r="S572" i="5"/>
  <c r="T572" i="5"/>
  <c r="R573" i="5"/>
  <c r="S573" i="5"/>
  <c r="T573" i="5"/>
  <c r="R574" i="5"/>
  <c r="S574" i="5"/>
  <c r="T574" i="5"/>
  <c r="R575" i="5"/>
  <c r="S575" i="5"/>
  <c r="T575" i="5"/>
  <c r="R576" i="5"/>
  <c r="S576" i="5"/>
  <c r="T576" i="5"/>
  <c r="R577" i="5"/>
  <c r="S577" i="5"/>
  <c r="T577" i="5"/>
  <c r="R578" i="5"/>
  <c r="S578" i="5"/>
  <c r="T578" i="5"/>
  <c r="R579" i="5"/>
  <c r="S579" i="5"/>
  <c r="T579" i="5"/>
  <c r="R580" i="5"/>
  <c r="S580" i="5"/>
  <c r="T580" i="5"/>
  <c r="R581" i="5"/>
  <c r="S581" i="5"/>
  <c r="T581" i="5"/>
  <c r="R582" i="5"/>
  <c r="S582" i="5"/>
  <c r="T582" i="5"/>
  <c r="R583" i="5"/>
  <c r="S583" i="5"/>
  <c r="T583" i="5"/>
  <c r="R584" i="5"/>
  <c r="S584" i="5"/>
  <c r="T584" i="5"/>
  <c r="R585" i="5"/>
  <c r="S585" i="5"/>
  <c r="T585" i="5"/>
  <c r="R586" i="5"/>
  <c r="S586" i="5"/>
  <c r="T586" i="5"/>
  <c r="R587" i="5"/>
  <c r="S587" i="5"/>
  <c r="T587" i="5"/>
  <c r="R588" i="5"/>
  <c r="S588" i="5"/>
  <c r="T588" i="5"/>
  <c r="R589" i="5"/>
  <c r="S589" i="5"/>
  <c r="T589" i="5"/>
  <c r="R590" i="5"/>
  <c r="S590" i="5"/>
  <c r="T590" i="5"/>
  <c r="R591" i="5"/>
  <c r="S591" i="5"/>
  <c r="T591" i="5"/>
  <c r="R592" i="5"/>
  <c r="S592" i="5"/>
  <c r="T592" i="5"/>
  <c r="R593" i="5"/>
  <c r="S593" i="5"/>
  <c r="T593" i="5"/>
  <c r="R594" i="5"/>
  <c r="S594" i="5"/>
  <c r="T594" i="5"/>
  <c r="R595" i="5"/>
  <c r="S595" i="5"/>
  <c r="T595" i="5"/>
  <c r="R596" i="5"/>
  <c r="S596" i="5"/>
  <c r="T596" i="5"/>
  <c r="R597" i="5"/>
  <c r="S597" i="5"/>
  <c r="T597" i="5"/>
  <c r="R598" i="5"/>
  <c r="S598" i="5"/>
  <c r="T598" i="5"/>
  <c r="R599" i="5"/>
  <c r="S599" i="5"/>
  <c r="T599" i="5"/>
  <c r="R600" i="5"/>
  <c r="S600" i="5"/>
  <c r="T600" i="5"/>
  <c r="R601" i="5"/>
  <c r="S601" i="5"/>
  <c r="T601" i="5"/>
  <c r="R602" i="5"/>
  <c r="S602" i="5"/>
  <c r="T602" i="5"/>
  <c r="R603" i="5"/>
  <c r="S603" i="5"/>
  <c r="T603" i="5"/>
  <c r="R604" i="5"/>
  <c r="S604" i="5"/>
  <c r="T604" i="5"/>
  <c r="R605" i="5"/>
  <c r="S605" i="5"/>
  <c r="T605" i="5"/>
  <c r="R606" i="5"/>
  <c r="S606" i="5"/>
  <c r="T606" i="5"/>
  <c r="R607" i="5"/>
  <c r="S607" i="5"/>
  <c r="T607" i="5"/>
  <c r="R608" i="5"/>
  <c r="S608" i="5"/>
  <c r="T608" i="5"/>
  <c r="R609" i="5"/>
  <c r="S609" i="5"/>
  <c r="T609" i="5"/>
  <c r="R610" i="5"/>
  <c r="S610" i="5"/>
  <c r="T610" i="5"/>
  <c r="R611" i="5"/>
  <c r="S611" i="5"/>
  <c r="T611" i="5"/>
  <c r="R612" i="5"/>
  <c r="S612" i="5"/>
  <c r="T612" i="5"/>
  <c r="R613" i="5"/>
  <c r="S613" i="5"/>
  <c r="T613" i="5"/>
  <c r="R614" i="5"/>
  <c r="S614" i="5"/>
  <c r="T614" i="5"/>
  <c r="R615" i="5"/>
  <c r="S615" i="5"/>
  <c r="T615" i="5"/>
  <c r="R616" i="5"/>
  <c r="S616" i="5"/>
  <c r="T616" i="5"/>
  <c r="R617" i="5"/>
  <c r="S617" i="5"/>
  <c r="T617" i="5"/>
  <c r="R618" i="5"/>
  <c r="S618" i="5"/>
  <c r="T618" i="5"/>
  <c r="R619" i="5"/>
  <c r="S619" i="5"/>
  <c r="T619" i="5"/>
  <c r="R620" i="5"/>
  <c r="S620" i="5"/>
  <c r="T620" i="5"/>
  <c r="R621" i="5"/>
  <c r="S621" i="5"/>
  <c r="T621" i="5"/>
  <c r="R622" i="5"/>
  <c r="S622" i="5"/>
  <c r="T622" i="5"/>
  <c r="R623" i="5"/>
  <c r="S623" i="5"/>
  <c r="T623" i="5"/>
  <c r="R624" i="5"/>
  <c r="S624" i="5"/>
  <c r="T624" i="5"/>
  <c r="R625" i="5"/>
  <c r="S625" i="5"/>
  <c r="T625" i="5"/>
  <c r="R626" i="5"/>
  <c r="S626" i="5"/>
  <c r="T626" i="5"/>
  <c r="R627" i="5"/>
  <c r="S627" i="5"/>
  <c r="T627" i="5"/>
  <c r="R628" i="5"/>
  <c r="S628" i="5"/>
  <c r="T628" i="5"/>
  <c r="R629" i="5"/>
  <c r="S629" i="5"/>
  <c r="T629" i="5"/>
  <c r="R630" i="5"/>
  <c r="S630" i="5"/>
  <c r="T630" i="5"/>
  <c r="R631" i="5"/>
  <c r="S631" i="5"/>
  <c r="T631" i="5"/>
  <c r="R632" i="5"/>
  <c r="S632" i="5"/>
  <c r="T632" i="5"/>
  <c r="R633" i="5"/>
  <c r="S633" i="5"/>
  <c r="T633" i="5"/>
  <c r="R634" i="5"/>
  <c r="S634" i="5"/>
  <c r="T634" i="5"/>
  <c r="R635" i="5"/>
  <c r="S635" i="5"/>
  <c r="T635" i="5"/>
  <c r="R636" i="5"/>
  <c r="S636" i="5"/>
  <c r="T636" i="5"/>
  <c r="R637" i="5"/>
  <c r="S637" i="5"/>
  <c r="T637" i="5"/>
  <c r="R638" i="5"/>
  <c r="S638" i="5"/>
  <c r="T638" i="5"/>
  <c r="R639" i="5"/>
  <c r="S639" i="5"/>
  <c r="T639" i="5"/>
  <c r="R640" i="5"/>
  <c r="S640" i="5"/>
  <c r="T640" i="5"/>
  <c r="R641" i="5"/>
  <c r="S641" i="5"/>
  <c r="T641" i="5"/>
  <c r="R642" i="5"/>
  <c r="S642" i="5"/>
  <c r="T642" i="5"/>
  <c r="R643" i="5"/>
  <c r="S643" i="5"/>
  <c r="T643" i="5"/>
  <c r="R644" i="5"/>
  <c r="S644" i="5"/>
  <c r="T644" i="5"/>
  <c r="R645" i="5"/>
  <c r="S645" i="5"/>
  <c r="T645" i="5"/>
  <c r="R646" i="5"/>
  <c r="S646" i="5"/>
  <c r="T646" i="5"/>
  <c r="R647" i="5"/>
  <c r="S647" i="5"/>
  <c r="T647" i="5"/>
  <c r="R648" i="5"/>
  <c r="S648" i="5"/>
  <c r="T648" i="5"/>
  <c r="R649" i="5"/>
  <c r="S649" i="5"/>
  <c r="T649" i="5"/>
  <c r="R650" i="5"/>
  <c r="S650" i="5"/>
  <c r="T650" i="5"/>
  <c r="R651" i="5"/>
  <c r="S651" i="5"/>
  <c r="T651" i="5"/>
  <c r="R652" i="5"/>
  <c r="S652" i="5"/>
  <c r="T652" i="5"/>
  <c r="R653" i="5"/>
  <c r="S653" i="5"/>
  <c r="T653" i="5"/>
  <c r="R654" i="5"/>
  <c r="S654" i="5"/>
  <c r="T654" i="5"/>
  <c r="R655" i="5"/>
  <c r="S655" i="5"/>
  <c r="T655" i="5"/>
  <c r="R656" i="5"/>
  <c r="S656" i="5"/>
  <c r="T656" i="5"/>
  <c r="R657" i="5"/>
  <c r="S657" i="5"/>
  <c r="T657" i="5"/>
  <c r="R658" i="5"/>
  <c r="S658" i="5"/>
  <c r="T658" i="5"/>
  <c r="R659" i="5"/>
  <c r="S659" i="5"/>
  <c r="T659" i="5"/>
  <c r="R660" i="5"/>
  <c r="S660" i="5"/>
  <c r="T660" i="5"/>
  <c r="R661" i="5"/>
  <c r="S661" i="5"/>
  <c r="T661" i="5"/>
  <c r="R662" i="5"/>
  <c r="S662" i="5"/>
  <c r="T662" i="5"/>
  <c r="R663" i="5"/>
  <c r="S663" i="5"/>
  <c r="T663" i="5"/>
  <c r="R664" i="5"/>
  <c r="S664" i="5"/>
  <c r="T664" i="5"/>
  <c r="R665" i="5"/>
  <c r="S665" i="5"/>
  <c r="T665" i="5"/>
  <c r="R666" i="5"/>
  <c r="S666" i="5"/>
  <c r="T666" i="5"/>
  <c r="R667" i="5"/>
  <c r="S667" i="5"/>
  <c r="T667" i="5"/>
  <c r="R668" i="5"/>
  <c r="S668" i="5"/>
  <c r="T668" i="5"/>
  <c r="R669" i="5"/>
  <c r="S669" i="5"/>
  <c r="T669" i="5"/>
  <c r="R670" i="5"/>
  <c r="S670" i="5"/>
  <c r="T670" i="5"/>
  <c r="R671" i="5"/>
  <c r="S671" i="5"/>
  <c r="T671" i="5"/>
  <c r="R672" i="5"/>
  <c r="S672" i="5"/>
  <c r="T672" i="5"/>
  <c r="R673" i="5"/>
  <c r="S673" i="5"/>
  <c r="T673" i="5"/>
  <c r="R674" i="5"/>
  <c r="S674" i="5"/>
  <c r="T674" i="5"/>
  <c r="R675" i="5"/>
  <c r="S675" i="5"/>
  <c r="T675" i="5"/>
  <c r="R676" i="5"/>
  <c r="S676" i="5"/>
  <c r="T676" i="5"/>
  <c r="R677" i="5"/>
  <c r="S677" i="5"/>
  <c r="T677" i="5"/>
  <c r="R678" i="5"/>
  <c r="S678" i="5"/>
  <c r="T678" i="5"/>
  <c r="R679" i="5"/>
  <c r="S679" i="5"/>
  <c r="T679" i="5"/>
  <c r="R680" i="5"/>
  <c r="S680" i="5"/>
  <c r="T680" i="5"/>
  <c r="R681" i="5"/>
  <c r="S681" i="5"/>
  <c r="T681" i="5"/>
  <c r="R682" i="5"/>
  <c r="S682" i="5"/>
  <c r="T682" i="5"/>
  <c r="R683" i="5"/>
  <c r="S683" i="5"/>
  <c r="T683" i="5"/>
  <c r="R684" i="5"/>
  <c r="S684" i="5"/>
  <c r="T684" i="5"/>
  <c r="R685" i="5"/>
  <c r="S685" i="5"/>
  <c r="T685" i="5"/>
  <c r="R686" i="5"/>
  <c r="S686" i="5"/>
  <c r="T686" i="5"/>
  <c r="R687" i="5"/>
  <c r="S687" i="5"/>
  <c r="T687" i="5"/>
  <c r="R688" i="5"/>
  <c r="S688" i="5"/>
  <c r="T688" i="5"/>
  <c r="R689" i="5"/>
  <c r="S689" i="5"/>
  <c r="T689" i="5"/>
  <c r="R690" i="5"/>
  <c r="S690" i="5"/>
  <c r="T690" i="5"/>
  <c r="R691" i="5"/>
  <c r="S691" i="5"/>
  <c r="T691" i="5"/>
  <c r="R692" i="5"/>
  <c r="S692" i="5"/>
  <c r="T692" i="5"/>
  <c r="R693" i="5"/>
  <c r="S693" i="5"/>
  <c r="T693" i="5"/>
  <c r="R694" i="5"/>
  <c r="S694" i="5"/>
  <c r="T694" i="5"/>
  <c r="R695" i="5"/>
  <c r="S695" i="5"/>
  <c r="T695" i="5"/>
  <c r="R696" i="5"/>
  <c r="S696" i="5"/>
  <c r="T696" i="5"/>
  <c r="R697" i="5"/>
  <c r="S697" i="5"/>
  <c r="T697" i="5"/>
  <c r="R698" i="5"/>
  <c r="S698" i="5"/>
  <c r="T698" i="5"/>
  <c r="R699" i="5"/>
  <c r="S699" i="5"/>
  <c r="T699" i="5"/>
  <c r="R700" i="5"/>
  <c r="S700" i="5"/>
  <c r="T700" i="5"/>
  <c r="R701" i="5"/>
  <c r="S701" i="5"/>
  <c r="T701" i="5"/>
  <c r="R702" i="5"/>
  <c r="S702" i="5"/>
  <c r="T702" i="5"/>
  <c r="R703" i="5"/>
  <c r="S703" i="5"/>
  <c r="T703" i="5"/>
  <c r="R704" i="5"/>
  <c r="S704" i="5"/>
  <c r="T704" i="5"/>
  <c r="R705" i="5"/>
  <c r="S705" i="5"/>
  <c r="T705" i="5"/>
  <c r="R706" i="5"/>
  <c r="S706" i="5"/>
  <c r="T706" i="5"/>
  <c r="R707" i="5"/>
  <c r="S707" i="5"/>
  <c r="T707" i="5"/>
  <c r="R708" i="5"/>
  <c r="S708" i="5"/>
  <c r="T708" i="5"/>
  <c r="R709" i="5"/>
  <c r="S709" i="5"/>
  <c r="T709" i="5"/>
  <c r="R710" i="5"/>
  <c r="S710" i="5"/>
  <c r="T710" i="5"/>
  <c r="R711" i="5"/>
  <c r="S711" i="5"/>
  <c r="T711" i="5"/>
  <c r="R712" i="5"/>
  <c r="S712" i="5"/>
  <c r="T712" i="5"/>
  <c r="R713" i="5"/>
  <c r="S713" i="5"/>
  <c r="T713" i="5"/>
  <c r="R714" i="5"/>
  <c r="S714" i="5"/>
  <c r="T714" i="5"/>
  <c r="R715" i="5"/>
  <c r="S715" i="5"/>
  <c r="T715" i="5"/>
  <c r="R716" i="5"/>
  <c r="S716" i="5"/>
  <c r="T716" i="5"/>
  <c r="R717" i="5"/>
  <c r="S717" i="5"/>
  <c r="T717" i="5"/>
  <c r="R718" i="5"/>
  <c r="S718" i="5"/>
  <c r="T718" i="5"/>
  <c r="R719" i="5"/>
  <c r="S719" i="5"/>
  <c r="T719" i="5"/>
  <c r="R720" i="5"/>
  <c r="S720" i="5"/>
  <c r="T720" i="5"/>
  <c r="R721" i="5"/>
  <c r="S721" i="5"/>
  <c r="T721" i="5"/>
  <c r="R722" i="5"/>
  <c r="S722" i="5"/>
  <c r="T722" i="5"/>
  <c r="R723" i="5"/>
  <c r="S723" i="5"/>
  <c r="T723" i="5"/>
  <c r="R724" i="5"/>
  <c r="S724" i="5"/>
  <c r="T724" i="5"/>
  <c r="R725" i="5"/>
  <c r="S725" i="5"/>
  <c r="T725" i="5"/>
  <c r="R726" i="5"/>
  <c r="S726" i="5"/>
  <c r="T726" i="5"/>
  <c r="R727" i="5"/>
  <c r="S727" i="5"/>
  <c r="T727" i="5"/>
  <c r="R728" i="5"/>
  <c r="S728" i="5"/>
  <c r="T728" i="5"/>
  <c r="R729" i="5"/>
  <c r="S729" i="5"/>
  <c r="T729" i="5"/>
  <c r="R730" i="5"/>
  <c r="S730" i="5"/>
  <c r="T730" i="5"/>
  <c r="R731" i="5"/>
  <c r="S731" i="5"/>
  <c r="T731" i="5"/>
  <c r="R732" i="5"/>
  <c r="S732" i="5"/>
  <c r="T732" i="5"/>
  <c r="R733" i="5"/>
  <c r="S733" i="5"/>
  <c r="T733" i="5"/>
  <c r="R734" i="5"/>
  <c r="S734" i="5"/>
  <c r="T734" i="5"/>
  <c r="R735" i="5"/>
  <c r="S735" i="5"/>
  <c r="T735" i="5"/>
  <c r="R736" i="5"/>
  <c r="S736" i="5"/>
  <c r="T736" i="5"/>
  <c r="R737" i="5"/>
  <c r="S737" i="5"/>
  <c r="T737" i="5"/>
  <c r="R738" i="5"/>
  <c r="S738" i="5"/>
  <c r="T738" i="5"/>
  <c r="R739" i="5"/>
  <c r="S739" i="5"/>
  <c r="T739" i="5"/>
  <c r="R740" i="5"/>
  <c r="S740" i="5"/>
  <c r="T740" i="5"/>
  <c r="R741" i="5"/>
  <c r="S741" i="5"/>
  <c r="T741" i="5"/>
  <c r="R742" i="5"/>
  <c r="S742" i="5"/>
  <c r="T742" i="5"/>
  <c r="R743" i="5"/>
  <c r="S743" i="5"/>
  <c r="T743" i="5"/>
  <c r="R744" i="5"/>
  <c r="S744" i="5"/>
  <c r="T744" i="5"/>
  <c r="R745" i="5"/>
  <c r="S745" i="5"/>
  <c r="T745" i="5"/>
  <c r="R746" i="5"/>
  <c r="S746" i="5"/>
  <c r="T746" i="5"/>
  <c r="R747" i="5"/>
  <c r="S747" i="5"/>
  <c r="T747" i="5"/>
  <c r="R748" i="5"/>
  <c r="S748" i="5"/>
  <c r="T748" i="5"/>
  <c r="R749" i="5"/>
  <c r="S749" i="5"/>
  <c r="T749" i="5"/>
  <c r="R750" i="5"/>
  <c r="S750" i="5"/>
  <c r="T750" i="5"/>
  <c r="R751" i="5"/>
  <c r="S751" i="5"/>
  <c r="T751" i="5"/>
  <c r="R752" i="5"/>
  <c r="S752" i="5"/>
  <c r="T752" i="5"/>
  <c r="R753" i="5"/>
  <c r="S753" i="5"/>
  <c r="T753" i="5"/>
  <c r="R754" i="5"/>
  <c r="S754" i="5"/>
  <c r="T754" i="5"/>
  <c r="R755" i="5"/>
  <c r="S755" i="5"/>
  <c r="T755" i="5"/>
  <c r="R756" i="5"/>
  <c r="S756" i="5"/>
  <c r="T756" i="5"/>
  <c r="R757" i="5"/>
  <c r="S757" i="5"/>
  <c r="T757" i="5"/>
  <c r="R758" i="5"/>
  <c r="S758" i="5"/>
  <c r="T758" i="5"/>
  <c r="R759" i="5"/>
  <c r="S759" i="5"/>
  <c r="T759" i="5"/>
  <c r="R760" i="5"/>
  <c r="S760" i="5"/>
  <c r="T760" i="5"/>
  <c r="R761" i="5"/>
  <c r="S761" i="5"/>
  <c r="T761" i="5"/>
  <c r="R762" i="5"/>
  <c r="S762" i="5"/>
  <c r="T762" i="5"/>
  <c r="R763" i="5"/>
  <c r="S763" i="5"/>
  <c r="T763" i="5"/>
  <c r="R764" i="5"/>
  <c r="S764" i="5"/>
  <c r="T764" i="5"/>
  <c r="R765" i="5"/>
  <c r="S765" i="5"/>
  <c r="T765" i="5"/>
  <c r="R766" i="5"/>
  <c r="S766" i="5"/>
  <c r="T766" i="5"/>
  <c r="R767" i="5"/>
  <c r="S767" i="5"/>
  <c r="T767" i="5"/>
  <c r="R768" i="5"/>
  <c r="S768" i="5"/>
  <c r="T768" i="5"/>
  <c r="R769" i="5"/>
  <c r="S769" i="5"/>
  <c r="T769" i="5"/>
  <c r="R770" i="5"/>
  <c r="S770" i="5"/>
  <c r="T770" i="5"/>
  <c r="R771" i="5"/>
  <c r="S771" i="5"/>
  <c r="T771" i="5"/>
  <c r="R772" i="5"/>
  <c r="S772" i="5"/>
  <c r="T772" i="5"/>
  <c r="R773" i="5"/>
  <c r="S773" i="5"/>
  <c r="T773" i="5"/>
  <c r="R774" i="5"/>
  <c r="S774" i="5"/>
  <c r="T774" i="5"/>
  <c r="R775" i="5"/>
  <c r="S775" i="5"/>
  <c r="T775" i="5"/>
  <c r="R776" i="5"/>
  <c r="S776" i="5"/>
  <c r="T776" i="5"/>
  <c r="R777" i="5"/>
  <c r="S777" i="5"/>
  <c r="T777" i="5"/>
  <c r="R778" i="5"/>
  <c r="S778" i="5"/>
  <c r="T778" i="5"/>
  <c r="R779" i="5"/>
  <c r="S779" i="5"/>
  <c r="T779" i="5"/>
  <c r="R780" i="5"/>
  <c r="S780" i="5"/>
  <c r="T780" i="5"/>
  <c r="R781" i="5"/>
  <c r="S781" i="5"/>
  <c r="T781" i="5"/>
  <c r="R782" i="5"/>
  <c r="S782" i="5"/>
  <c r="T782" i="5"/>
  <c r="R783" i="5"/>
  <c r="S783" i="5"/>
  <c r="T783" i="5"/>
  <c r="R784" i="5"/>
  <c r="S784" i="5"/>
  <c r="T784" i="5"/>
  <c r="R785" i="5"/>
  <c r="S785" i="5"/>
  <c r="T785" i="5"/>
  <c r="R786" i="5"/>
  <c r="S786" i="5"/>
  <c r="T786" i="5"/>
  <c r="R787" i="5"/>
  <c r="S787" i="5"/>
  <c r="T787" i="5"/>
  <c r="R788" i="5"/>
  <c r="S788" i="5"/>
  <c r="T788" i="5"/>
  <c r="R789" i="5"/>
  <c r="S789" i="5"/>
  <c r="T789" i="5"/>
  <c r="R790" i="5"/>
  <c r="S790" i="5"/>
  <c r="T790" i="5"/>
  <c r="R791" i="5"/>
  <c r="S791" i="5"/>
  <c r="T791" i="5"/>
  <c r="R792" i="5"/>
  <c r="S792" i="5"/>
  <c r="T792" i="5"/>
  <c r="R793" i="5"/>
  <c r="S793" i="5"/>
  <c r="T793" i="5"/>
  <c r="R794" i="5"/>
  <c r="S794" i="5"/>
  <c r="T794" i="5"/>
  <c r="R795" i="5"/>
  <c r="S795" i="5"/>
  <c r="T795" i="5"/>
  <c r="R796" i="5"/>
  <c r="S796" i="5"/>
  <c r="T796" i="5"/>
  <c r="R797" i="5"/>
  <c r="S797" i="5"/>
  <c r="T797" i="5"/>
  <c r="R798" i="5"/>
  <c r="S798" i="5"/>
  <c r="T798" i="5"/>
  <c r="R799" i="5"/>
  <c r="S799" i="5"/>
  <c r="T799" i="5"/>
  <c r="R800" i="5"/>
  <c r="S800" i="5"/>
  <c r="T800" i="5"/>
  <c r="R801" i="5"/>
  <c r="S801" i="5"/>
  <c r="T801" i="5"/>
  <c r="R802" i="5"/>
  <c r="S802" i="5"/>
  <c r="T802" i="5"/>
  <c r="R803" i="5"/>
  <c r="S803" i="5"/>
  <c r="T803" i="5"/>
  <c r="R804" i="5"/>
  <c r="S804" i="5"/>
  <c r="T804" i="5"/>
  <c r="R805" i="5"/>
  <c r="S805" i="5"/>
  <c r="T805" i="5"/>
  <c r="R806" i="5"/>
  <c r="S806" i="5"/>
  <c r="T806" i="5"/>
  <c r="R807" i="5"/>
  <c r="S807" i="5"/>
  <c r="T807" i="5"/>
  <c r="R808" i="5"/>
  <c r="S808" i="5"/>
  <c r="T808" i="5"/>
  <c r="R809" i="5"/>
  <c r="S809" i="5"/>
  <c r="T809" i="5"/>
  <c r="R810" i="5"/>
  <c r="S810" i="5"/>
  <c r="T810" i="5"/>
  <c r="R811" i="5"/>
  <c r="S811" i="5"/>
  <c r="T811" i="5"/>
  <c r="R812" i="5"/>
  <c r="S812" i="5"/>
  <c r="T812" i="5"/>
  <c r="R813" i="5"/>
  <c r="S813" i="5"/>
  <c r="T813" i="5"/>
  <c r="R814" i="5"/>
  <c r="S814" i="5"/>
  <c r="T814" i="5"/>
  <c r="R815" i="5"/>
  <c r="S815" i="5"/>
  <c r="T815" i="5"/>
  <c r="R816" i="5"/>
  <c r="S816" i="5"/>
  <c r="T816" i="5"/>
  <c r="R817" i="5"/>
  <c r="S817" i="5"/>
  <c r="T817" i="5"/>
  <c r="R818" i="5"/>
  <c r="S818" i="5"/>
  <c r="T818" i="5"/>
  <c r="R819" i="5"/>
  <c r="S819" i="5"/>
  <c r="T819" i="5"/>
  <c r="R820" i="5"/>
  <c r="S820" i="5"/>
  <c r="T820" i="5"/>
  <c r="R821" i="5"/>
  <c r="S821" i="5"/>
  <c r="T821" i="5"/>
  <c r="R822" i="5"/>
  <c r="S822" i="5"/>
  <c r="T822" i="5"/>
  <c r="R823" i="5"/>
  <c r="S823" i="5"/>
  <c r="T823" i="5"/>
  <c r="R824" i="5"/>
  <c r="S824" i="5"/>
  <c r="T824" i="5"/>
  <c r="R825" i="5"/>
  <c r="S825" i="5"/>
  <c r="T825" i="5"/>
  <c r="R826" i="5"/>
  <c r="S826" i="5"/>
  <c r="T826" i="5"/>
  <c r="R827" i="5"/>
  <c r="S827" i="5"/>
  <c r="T827" i="5"/>
  <c r="R828" i="5"/>
  <c r="S828" i="5"/>
  <c r="T828" i="5"/>
  <c r="R829" i="5"/>
  <c r="S829" i="5"/>
  <c r="T829" i="5"/>
  <c r="R830" i="5"/>
  <c r="S830" i="5"/>
  <c r="T830" i="5"/>
  <c r="R831" i="5"/>
  <c r="S831" i="5"/>
  <c r="T831" i="5"/>
  <c r="R832" i="5"/>
  <c r="S832" i="5"/>
  <c r="T832" i="5"/>
  <c r="R833" i="5"/>
  <c r="S833" i="5"/>
  <c r="T833" i="5"/>
  <c r="R834" i="5"/>
  <c r="S834" i="5"/>
  <c r="T834" i="5"/>
  <c r="R835" i="5"/>
  <c r="S835" i="5"/>
  <c r="T835" i="5"/>
  <c r="R836" i="5"/>
  <c r="S836" i="5"/>
  <c r="T836" i="5"/>
  <c r="R837" i="5"/>
  <c r="S837" i="5"/>
  <c r="T837" i="5"/>
  <c r="R838" i="5"/>
  <c r="S838" i="5"/>
  <c r="T838" i="5"/>
  <c r="R839" i="5"/>
  <c r="S839" i="5"/>
  <c r="T839" i="5"/>
  <c r="R840" i="5"/>
  <c r="S840" i="5"/>
  <c r="T840" i="5"/>
  <c r="R841" i="5"/>
  <c r="S841" i="5"/>
  <c r="T841" i="5"/>
  <c r="R842" i="5"/>
  <c r="S842" i="5"/>
  <c r="T842" i="5"/>
  <c r="R843" i="5"/>
  <c r="S843" i="5"/>
  <c r="T843" i="5"/>
  <c r="R844" i="5"/>
  <c r="S844" i="5"/>
  <c r="T844" i="5"/>
  <c r="R845" i="5"/>
  <c r="S845" i="5"/>
  <c r="T845" i="5"/>
  <c r="R846" i="5"/>
  <c r="S846" i="5"/>
  <c r="T846" i="5"/>
  <c r="R847" i="5"/>
  <c r="S847" i="5"/>
  <c r="T847" i="5"/>
  <c r="R848" i="5"/>
  <c r="S848" i="5"/>
  <c r="T848" i="5"/>
  <c r="R849" i="5"/>
  <c r="S849" i="5"/>
  <c r="T849" i="5"/>
  <c r="R850" i="5"/>
  <c r="S850" i="5"/>
  <c r="T850" i="5"/>
  <c r="R851" i="5"/>
  <c r="S851" i="5"/>
  <c r="T851" i="5"/>
  <c r="R852" i="5"/>
  <c r="S852" i="5"/>
  <c r="T852" i="5"/>
  <c r="R853" i="5"/>
  <c r="S853" i="5"/>
  <c r="T853" i="5"/>
  <c r="R854" i="5"/>
  <c r="S854" i="5"/>
  <c r="T854" i="5"/>
  <c r="R855" i="5"/>
  <c r="S855" i="5"/>
  <c r="T855" i="5"/>
  <c r="R856" i="5"/>
  <c r="S856" i="5"/>
  <c r="T856" i="5"/>
  <c r="R857" i="5"/>
  <c r="S857" i="5"/>
  <c r="T857" i="5"/>
  <c r="R858" i="5"/>
  <c r="S858" i="5"/>
  <c r="T858" i="5"/>
  <c r="R859" i="5"/>
  <c r="S859" i="5"/>
  <c r="T859" i="5"/>
  <c r="R860" i="5"/>
  <c r="S860" i="5"/>
  <c r="T860" i="5"/>
  <c r="R861" i="5"/>
  <c r="S861" i="5"/>
  <c r="T861" i="5"/>
  <c r="R862" i="5"/>
  <c r="S862" i="5"/>
  <c r="T862" i="5"/>
  <c r="R863" i="5"/>
  <c r="S863" i="5"/>
  <c r="T863" i="5"/>
  <c r="R864" i="5"/>
  <c r="S864" i="5"/>
  <c r="T864" i="5"/>
  <c r="R865" i="5"/>
  <c r="S865" i="5"/>
  <c r="T865" i="5"/>
  <c r="R866" i="5"/>
  <c r="S866" i="5"/>
  <c r="T866" i="5"/>
  <c r="R867" i="5"/>
  <c r="S867" i="5"/>
  <c r="T867" i="5"/>
  <c r="R868" i="5"/>
  <c r="S868" i="5"/>
  <c r="T868" i="5"/>
  <c r="R869" i="5"/>
  <c r="S869" i="5"/>
  <c r="T869" i="5"/>
  <c r="R870" i="5"/>
  <c r="S870" i="5"/>
  <c r="T870" i="5"/>
  <c r="R871" i="5"/>
  <c r="S871" i="5"/>
  <c r="T871" i="5"/>
  <c r="R872" i="5"/>
  <c r="S872" i="5"/>
  <c r="T872" i="5"/>
  <c r="R873" i="5"/>
  <c r="S873" i="5"/>
  <c r="T873" i="5"/>
  <c r="R874" i="5"/>
  <c r="S874" i="5"/>
  <c r="T874" i="5"/>
  <c r="R875" i="5"/>
  <c r="S875" i="5"/>
  <c r="T875" i="5"/>
  <c r="R876" i="5"/>
  <c r="S876" i="5"/>
  <c r="T876" i="5"/>
  <c r="R877" i="5"/>
  <c r="S877" i="5"/>
  <c r="T877" i="5"/>
  <c r="R878" i="5"/>
  <c r="S878" i="5"/>
  <c r="T878" i="5"/>
  <c r="R879" i="5"/>
  <c r="S879" i="5"/>
  <c r="T879" i="5"/>
  <c r="R880" i="5"/>
  <c r="S880" i="5"/>
  <c r="T880" i="5"/>
  <c r="R881" i="5"/>
  <c r="S881" i="5"/>
  <c r="T881" i="5"/>
  <c r="R882" i="5"/>
  <c r="S882" i="5"/>
  <c r="T882" i="5"/>
  <c r="R883" i="5"/>
  <c r="S883" i="5"/>
  <c r="T883" i="5"/>
  <c r="R884" i="5"/>
  <c r="S884" i="5"/>
  <c r="T884" i="5"/>
  <c r="R885" i="5"/>
  <c r="S885" i="5"/>
  <c r="T885" i="5"/>
  <c r="R886" i="5"/>
  <c r="S886" i="5"/>
  <c r="T886" i="5"/>
  <c r="R887" i="5"/>
  <c r="S887" i="5"/>
  <c r="T887" i="5"/>
  <c r="R888" i="5"/>
  <c r="S888" i="5"/>
  <c r="T888" i="5"/>
  <c r="R889" i="5"/>
  <c r="S889" i="5"/>
  <c r="T889" i="5"/>
  <c r="R890" i="5"/>
  <c r="S890" i="5"/>
  <c r="T890" i="5"/>
  <c r="R891" i="5"/>
  <c r="S891" i="5"/>
  <c r="T891" i="5"/>
  <c r="R892" i="5"/>
  <c r="S892" i="5"/>
  <c r="T892" i="5"/>
  <c r="R893" i="5"/>
  <c r="S893" i="5"/>
  <c r="T893" i="5"/>
  <c r="R894" i="5"/>
  <c r="S894" i="5"/>
  <c r="T894" i="5"/>
  <c r="R895" i="5"/>
  <c r="S895" i="5"/>
  <c r="T895" i="5"/>
  <c r="R896" i="5"/>
  <c r="S896" i="5"/>
  <c r="T896" i="5"/>
  <c r="R897" i="5"/>
  <c r="S897" i="5"/>
  <c r="T897" i="5"/>
  <c r="R898" i="5"/>
  <c r="S898" i="5"/>
  <c r="T898" i="5"/>
  <c r="R899" i="5"/>
  <c r="S899" i="5"/>
  <c r="T899" i="5"/>
  <c r="R900" i="5"/>
  <c r="S900" i="5"/>
  <c r="T900" i="5"/>
  <c r="R901" i="5"/>
  <c r="S901" i="5"/>
  <c r="T901" i="5"/>
  <c r="R902" i="5"/>
  <c r="S902" i="5"/>
  <c r="T902" i="5"/>
  <c r="R903" i="5"/>
  <c r="S903" i="5"/>
  <c r="T903" i="5"/>
  <c r="R904" i="5"/>
  <c r="S904" i="5"/>
  <c r="T904" i="5"/>
  <c r="R905" i="5"/>
  <c r="S905" i="5"/>
  <c r="T905" i="5"/>
  <c r="R906" i="5"/>
  <c r="S906" i="5"/>
  <c r="T906" i="5"/>
  <c r="R907" i="5"/>
  <c r="S907" i="5"/>
  <c r="T907" i="5"/>
  <c r="R908" i="5"/>
  <c r="S908" i="5"/>
  <c r="T908" i="5"/>
  <c r="R909" i="5"/>
  <c r="S909" i="5"/>
  <c r="T909" i="5"/>
  <c r="R910" i="5"/>
  <c r="S910" i="5"/>
  <c r="T910" i="5"/>
  <c r="R911" i="5"/>
  <c r="S911" i="5"/>
  <c r="T911" i="5"/>
  <c r="R912" i="5"/>
  <c r="S912" i="5"/>
  <c r="T912" i="5"/>
  <c r="R913" i="5"/>
  <c r="S913" i="5"/>
  <c r="T913" i="5"/>
  <c r="R914" i="5"/>
  <c r="S914" i="5"/>
  <c r="T914" i="5"/>
  <c r="R915" i="5"/>
  <c r="S915" i="5"/>
  <c r="T915" i="5"/>
  <c r="R916" i="5"/>
  <c r="S916" i="5"/>
  <c r="T916" i="5"/>
  <c r="R917" i="5"/>
  <c r="S917" i="5"/>
  <c r="T917" i="5"/>
  <c r="R918" i="5"/>
  <c r="S918" i="5"/>
  <c r="T918" i="5"/>
  <c r="R919" i="5"/>
  <c r="S919" i="5"/>
  <c r="T919" i="5"/>
  <c r="R920" i="5"/>
  <c r="S920" i="5"/>
  <c r="T920" i="5"/>
  <c r="R921" i="5"/>
  <c r="S921" i="5"/>
  <c r="T921" i="5"/>
  <c r="R922" i="5"/>
  <c r="S922" i="5"/>
  <c r="T922" i="5"/>
  <c r="R923" i="5"/>
  <c r="S923" i="5"/>
  <c r="T923" i="5"/>
  <c r="R924" i="5"/>
  <c r="S924" i="5"/>
  <c r="T924" i="5"/>
  <c r="R925" i="5"/>
  <c r="S925" i="5"/>
  <c r="T925" i="5"/>
  <c r="R926" i="5"/>
  <c r="S926" i="5"/>
  <c r="T926" i="5"/>
  <c r="R927" i="5"/>
  <c r="S927" i="5"/>
  <c r="T927" i="5"/>
  <c r="R928" i="5"/>
  <c r="S928" i="5"/>
  <c r="T928" i="5"/>
  <c r="R929" i="5"/>
  <c r="S929" i="5"/>
  <c r="T929" i="5"/>
  <c r="R930" i="5"/>
  <c r="S930" i="5"/>
  <c r="T930" i="5"/>
  <c r="R931" i="5"/>
  <c r="S931" i="5"/>
  <c r="T931" i="5"/>
  <c r="R932" i="5"/>
  <c r="S932" i="5"/>
  <c r="T932" i="5"/>
  <c r="R933" i="5"/>
  <c r="S933" i="5"/>
  <c r="T933" i="5"/>
  <c r="R934" i="5"/>
  <c r="S934" i="5"/>
  <c r="T934" i="5"/>
  <c r="R935" i="5"/>
  <c r="S935" i="5"/>
  <c r="T935" i="5"/>
  <c r="R936" i="5"/>
  <c r="S936" i="5"/>
  <c r="T936" i="5"/>
  <c r="R937" i="5"/>
  <c r="S937" i="5"/>
  <c r="T937" i="5"/>
  <c r="R938" i="5"/>
  <c r="S938" i="5"/>
  <c r="T938" i="5"/>
  <c r="R939" i="5"/>
  <c r="S939" i="5"/>
  <c r="T939" i="5"/>
  <c r="R940" i="5"/>
  <c r="S940" i="5"/>
  <c r="T940" i="5"/>
  <c r="R941" i="5"/>
  <c r="S941" i="5"/>
  <c r="T941" i="5"/>
  <c r="R942" i="5"/>
  <c r="S942" i="5"/>
  <c r="T942" i="5"/>
  <c r="R943" i="5"/>
  <c r="S943" i="5"/>
  <c r="T943" i="5"/>
  <c r="R944" i="5"/>
  <c r="S944" i="5"/>
  <c r="T944" i="5"/>
  <c r="R945" i="5"/>
  <c r="S945" i="5"/>
  <c r="T945" i="5"/>
  <c r="R946" i="5"/>
  <c r="S946" i="5"/>
  <c r="T946" i="5"/>
  <c r="R947" i="5"/>
  <c r="S947" i="5"/>
  <c r="T947" i="5"/>
  <c r="R948" i="5"/>
  <c r="S948" i="5"/>
  <c r="T948" i="5"/>
  <c r="R949" i="5"/>
  <c r="S949" i="5"/>
  <c r="T949" i="5"/>
  <c r="R950" i="5"/>
  <c r="S950" i="5"/>
  <c r="T950" i="5"/>
  <c r="R951" i="5"/>
  <c r="S951" i="5"/>
  <c r="T951" i="5"/>
  <c r="R952" i="5"/>
  <c r="S952" i="5"/>
  <c r="T952" i="5"/>
  <c r="R953" i="5"/>
  <c r="S953" i="5"/>
  <c r="T953" i="5"/>
  <c r="R954" i="5"/>
  <c r="S954" i="5"/>
  <c r="T954" i="5"/>
  <c r="R955" i="5"/>
  <c r="S955" i="5"/>
  <c r="T955" i="5"/>
  <c r="R956" i="5"/>
  <c r="S956" i="5"/>
  <c r="T956" i="5"/>
  <c r="R957" i="5"/>
  <c r="S957" i="5"/>
  <c r="T957" i="5"/>
  <c r="R958" i="5"/>
  <c r="S958" i="5"/>
  <c r="T958" i="5"/>
  <c r="R959" i="5"/>
  <c r="S959" i="5"/>
  <c r="T959" i="5"/>
  <c r="R960" i="5"/>
  <c r="S960" i="5"/>
  <c r="T960" i="5"/>
  <c r="R961" i="5"/>
  <c r="S961" i="5"/>
  <c r="T961" i="5"/>
  <c r="R962" i="5"/>
  <c r="S962" i="5"/>
  <c r="T962" i="5"/>
  <c r="R963" i="5"/>
  <c r="S963" i="5"/>
  <c r="T963" i="5"/>
  <c r="R964" i="5"/>
  <c r="S964" i="5"/>
  <c r="T964" i="5"/>
  <c r="R965" i="5"/>
  <c r="S965" i="5"/>
  <c r="T965" i="5"/>
  <c r="R966" i="5"/>
  <c r="S966" i="5"/>
  <c r="T966" i="5"/>
  <c r="R967" i="5"/>
  <c r="S967" i="5"/>
  <c r="T967" i="5"/>
  <c r="R968" i="5"/>
  <c r="S968" i="5"/>
  <c r="T968" i="5"/>
  <c r="R969" i="5"/>
  <c r="S969" i="5"/>
  <c r="T969" i="5"/>
  <c r="R970" i="5"/>
  <c r="S970" i="5"/>
  <c r="T970" i="5"/>
  <c r="R971" i="5"/>
  <c r="S971" i="5"/>
  <c r="T971" i="5"/>
  <c r="R972" i="5"/>
  <c r="S972" i="5"/>
  <c r="T972" i="5"/>
  <c r="R973" i="5"/>
  <c r="S973" i="5"/>
  <c r="T973" i="5"/>
  <c r="R974" i="5"/>
  <c r="S974" i="5"/>
  <c r="T974" i="5"/>
  <c r="R975" i="5"/>
  <c r="S975" i="5"/>
  <c r="T975" i="5"/>
  <c r="R976" i="5"/>
  <c r="S976" i="5"/>
  <c r="T976" i="5"/>
  <c r="R977" i="5"/>
  <c r="S977" i="5"/>
  <c r="T977" i="5"/>
  <c r="R978" i="5"/>
  <c r="S978" i="5"/>
  <c r="T978" i="5"/>
  <c r="R979" i="5"/>
  <c r="S979" i="5"/>
  <c r="T979" i="5"/>
  <c r="R980" i="5"/>
  <c r="S980" i="5"/>
  <c r="T980" i="5"/>
  <c r="R981" i="5"/>
  <c r="S981" i="5"/>
  <c r="T981" i="5"/>
  <c r="R982" i="5"/>
  <c r="S982" i="5"/>
  <c r="T982" i="5"/>
  <c r="R983" i="5"/>
  <c r="S983" i="5"/>
  <c r="T983" i="5"/>
  <c r="R984" i="5"/>
  <c r="S984" i="5"/>
  <c r="T984" i="5"/>
  <c r="R985" i="5"/>
  <c r="S985" i="5"/>
  <c r="T985" i="5"/>
  <c r="R986" i="5"/>
  <c r="S986" i="5"/>
  <c r="T986" i="5"/>
  <c r="R987" i="5"/>
  <c r="S987" i="5"/>
  <c r="T987" i="5"/>
  <c r="R988" i="5"/>
  <c r="S988" i="5"/>
  <c r="T988" i="5"/>
  <c r="R989" i="5"/>
  <c r="S989" i="5"/>
  <c r="T989" i="5"/>
  <c r="R990" i="5"/>
  <c r="S990" i="5"/>
  <c r="T990" i="5"/>
  <c r="R991" i="5"/>
  <c r="S991" i="5"/>
  <c r="T991" i="5"/>
  <c r="R992" i="5"/>
  <c r="S992" i="5"/>
  <c r="T992" i="5"/>
  <c r="R993" i="5"/>
  <c r="S993" i="5"/>
  <c r="T993" i="5"/>
  <c r="R994" i="5"/>
  <c r="S994" i="5"/>
  <c r="T994" i="5"/>
  <c r="R995" i="5"/>
  <c r="S995" i="5"/>
  <c r="T995" i="5"/>
  <c r="R996" i="5"/>
  <c r="S996" i="5"/>
  <c r="T996" i="5"/>
  <c r="R997" i="5"/>
  <c r="S997" i="5"/>
  <c r="T997" i="5"/>
  <c r="R998" i="5"/>
  <c r="S998" i="5"/>
  <c r="T998" i="5"/>
  <c r="R999" i="5"/>
  <c r="S999" i="5"/>
  <c r="T999" i="5"/>
  <c r="R1000" i="5"/>
  <c r="S1000" i="5"/>
  <c r="T1000" i="5"/>
  <c r="R1001" i="5"/>
  <c r="S1001" i="5"/>
  <c r="T1001" i="5"/>
  <c r="R1002" i="5"/>
  <c r="S1002" i="5"/>
  <c r="T1002" i="5"/>
  <c r="R1003" i="5"/>
  <c r="S1003" i="5"/>
  <c r="T1003" i="5"/>
  <c r="R1004" i="5"/>
  <c r="S1004" i="5"/>
  <c r="T1004" i="5"/>
  <c r="R1005" i="5"/>
  <c r="S1005" i="5"/>
  <c r="T1005" i="5"/>
  <c r="R1006" i="5"/>
  <c r="S1006" i="5"/>
  <c r="T1006" i="5"/>
  <c r="R1007" i="5"/>
  <c r="S1007" i="5"/>
  <c r="T1007" i="5"/>
  <c r="R1008" i="5"/>
  <c r="S1008" i="5"/>
  <c r="T1008" i="5"/>
  <c r="R1009" i="5"/>
  <c r="S1009" i="5"/>
  <c r="T1009" i="5"/>
  <c r="R1010" i="5"/>
  <c r="S1010" i="5"/>
  <c r="T1010" i="5"/>
  <c r="R1011" i="5"/>
  <c r="S1011" i="5"/>
  <c r="T1011" i="5"/>
  <c r="R1012" i="5"/>
  <c r="S1012" i="5"/>
  <c r="T1012" i="5"/>
  <c r="R1013" i="5"/>
  <c r="S1013" i="5"/>
  <c r="T1013" i="5"/>
  <c r="R1014" i="5"/>
  <c r="S1014" i="5"/>
  <c r="T1014" i="5"/>
  <c r="R1015" i="5"/>
  <c r="S1015" i="5"/>
  <c r="T1015" i="5"/>
  <c r="R1016" i="5"/>
  <c r="S1016" i="5"/>
  <c r="T1016" i="5"/>
  <c r="R1017" i="5"/>
  <c r="S1017" i="5"/>
  <c r="T1017" i="5"/>
  <c r="R1018" i="5"/>
  <c r="S1018" i="5"/>
  <c r="T1018" i="5"/>
  <c r="R1019" i="5"/>
  <c r="S1019" i="5"/>
  <c r="T1019" i="5"/>
  <c r="R1020" i="5"/>
  <c r="S1020" i="5"/>
  <c r="T1020" i="5"/>
  <c r="R1021" i="5"/>
  <c r="S1021" i="5"/>
  <c r="T1021" i="5"/>
  <c r="R1022" i="5"/>
  <c r="S1022" i="5"/>
  <c r="T1022" i="5"/>
  <c r="R1023" i="5"/>
  <c r="S1023" i="5"/>
  <c r="T1023" i="5"/>
  <c r="R1024" i="5"/>
  <c r="S1024" i="5"/>
  <c r="T1024" i="5"/>
  <c r="R1025" i="5"/>
  <c r="S1025" i="5"/>
  <c r="T1025" i="5"/>
  <c r="R1026" i="5"/>
  <c r="S1026" i="5"/>
  <c r="T1026" i="5"/>
  <c r="R1027" i="5"/>
  <c r="S1027" i="5"/>
  <c r="T1027" i="5"/>
  <c r="R1028" i="5"/>
  <c r="S1028" i="5"/>
  <c r="T1028" i="5"/>
  <c r="R1029" i="5"/>
  <c r="S1029" i="5"/>
  <c r="T1029" i="5"/>
  <c r="R1030" i="5"/>
  <c r="S1030" i="5"/>
  <c r="T1030" i="5"/>
  <c r="R1031" i="5"/>
  <c r="S1031" i="5"/>
  <c r="T1031" i="5"/>
  <c r="R1032" i="5"/>
  <c r="S1032" i="5"/>
  <c r="T1032" i="5"/>
  <c r="R1033" i="5"/>
  <c r="S1033" i="5"/>
  <c r="T1033" i="5"/>
  <c r="R1034" i="5"/>
  <c r="S1034" i="5"/>
  <c r="T1034" i="5"/>
  <c r="R1035" i="5"/>
  <c r="S1035" i="5"/>
  <c r="T1035" i="5"/>
  <c r="R1036" i="5"/>
  <c r="S1036" i="5"/>
  <c r="T1036" i="5"/>
  <c r="R1037" i="5"/>
  <c r="S1037" i="5"/>
  <c r="T1037" i="5"/>
  <c r="R1038" i="5"/>
  <c r="S1038" i="5"/>
  <c r="T1038" i="5"/>
  <c r="R1039" i="5"/>
  <c r="S1039" i="5"/>
  <c r="T1039" i="5"/>
  <c r="R1040" i="5"/>
  <c r="S1040" i="5"/>
  <c r="T1040" i="5"/>
  <c r="R1041" i="5"/>
  <c r="S1041" i="5"/>
  <c r="T1041" i="5"/>
  <c r="R1042" i="5"/>
  <c r="S1042" i="5"/>
  <c r="T1042" i="5"/>
  <c r="R1043" i="5"/>
  <c r="S1043" i="5"/>
  <c r="T1043" i="5"/>
  <c r="R1044" i="5"/>
  <c r="S1044" i="5"/>
  <c r="T1044" i="5"/>
  <c r="R1045" i="5"/>
  <c r="S1045" i="5"/>
  <c r="T1045" i="5"/>
  <c r="R1046" i="5"/>
  <c r="S1046" i="5"/>
  <c r="T1046" i="5"/>
  <c r="R1047" i="5"/>
  <c r="S1047" i="5"/>
  <c r="T1047" i="5"/>
  <c r="R1048" i="5"/>
  <c r="S1048" i="5"/>
  <c r="T1048" i="5"/>
  <c r="R1049" i="5"/>
  <c r="S1049" i="5"/>
  <c r="T1049" i="5"/>
  <c r="R1050" i="5"/>
  <c r="S1050" i="5"/>
  <c r="T1050" i="5"/>
  <c r="R1051" i="5"/>
  <c r="S1051" i="5"/>
  <c r="T1051" i="5"/>
  <c r="R1052" i="5"/>
  <c r="S1052" i="5"/>
  <c r="T1052" i="5"/>
  <c r="R1053" i="5"/>
  <c r="S1053" i="5"/>
  <c r="T1053" i="5"/>
  <c r="R1054" i="5"/>
  <c r="S1054" i="5"/>
  <c r="T1054" i="5"/>
  <c r="R1055" i="5"/>
  <c r="S1055" i="5"/>
  <c r="T1055" i="5"/>
  <c r="R1056" i="5"/>
  <c r="S1056" i="5"/>
  <c r="T1056" i="5"/>
  <c r="R1057" i="5"/>
  <c r="S1057" i="5"/>
  <c r="T1057" i="5"/>
  <c r="R1058" i="5"/>
  <c r="S1058" i="5"/>
  <c r="T1058" i="5"/>
  <c r="R1059" i="5"/>
  <c r="S1059" i="5"/>
  <c r="T1059" i="5"/>
  <c r="R1060" i="5"/>
  <c r="S1060" i="5"/>
  <c r="T1060" i="5"/>
  <c r="R1061" i="5"/>
  <c r="S1061" i="5"/>
  <c r="T1061" i="5"/>
  <c r="R1062" i="5"/>
  <c r="S1062" i="5"/>
  <c r="T1062" i="5"/>
  <c r="R1063" i="5"/>
  <c r="S1063" i="5"/>
  <c r="T1063" i="5"/>
  <c r="R1064" i="5"/>
  <c r="S1064" i="5"/>
  <c r="T1064" i="5"/>
  <c r="R1065" i="5"/>
  <c r="S1065" i="5"/>
  <c r="T1065" i="5"/>
  <c r="R1066" i="5"/>
  <c r="S1066" i="5"/>
  <c r="T1066" i="5"/>
  <c r="R1067" i="5"/>
  <c r="S1067" i="5"/>
  <c r="T1067" i="5"/>
  <c r="R1068" i="5"/>
  <c r="S1068" i="5"/>
  <c r="T1068" i="5"/>
  <c r="R1069" i="5"/>
  <c r="S1069" i="5"/>
  <c r="T1069" i="5"/>
  <c r="R1070" i="5"/>
  <c r="S1070" i="5"/>
  <c r="T1070" i="5"/>
  <c r="R1071" i="5"/>
  <c r="S1071" i="5"/>
  <c r="T1071" i="5"/>
  <c r="R1072" i="5"/>
  <c r="S1072" i="5"/>
  <c r="T1072" i="5"/>
  <c r="R1073" i="5"/>
  <c r="S1073" i="5"/>
  <c r="T1073" i="5"/>
  <c r="R1074" i="5"/>
  <c r="S1074" i="5"/>
  <c r="T1074" i="5"/>
  <c r="R1075" i="5"/>
  <c r="S1075" i="5"/>
  <c r="T1075" i="5"/>
  <c r="R1076" i="5"/>
  <c r="S1076" i="5"/>
  <c r="T1076" i="5"/>
  <c r="R1077" i="5"/>
  <c r="S1077" i="5"/>
  <c r="T1077" i="5"/>
  <c r="R1078" i="5"/>
  <c r="S1078" i="5"/>
  <c r="T1078" i="5"/>
  <c r="R1079" i="5"/>
  <c r="S1079" i="5"/>
  <c r="T1079" i="5"/>
  <c r="R1080" i="5"/>
  <c r="S1080" i="5"/>
  <c r="T1080" i="5"/>
  <c r="R1081" i="5"/>
  <c r="S1081" i="5"/>
  <c r="T1081" i="5"/>
  <c r="R1082" i="5"/>
  <c r="S1082" i="5"/>
  <c r="T1082" i="5"/>
  <c r="R1083" i="5"/>
  <c r="S1083" i="5"/>
  <c r="T1083" i="5"/>
  <c r="R1084" i="5"/>
  <c r="S1084" i="5"/>
  <c r="T1084" i="5"/>
  <c r="R1085" i="5"/>
  <c r="S1085" i="5"/>
  <c r="T1085" i="5"/>
  <c r="R1086" i="5"/>
  <c r="S1086" i="5"/>
  <c r="T1086" i="5"/>
  <c r="R1087" i="5"/>
  <c r="S1087" i="5"/>
  <c r="T1087" i="5"/>
  <c r="R1088" i="5"/>
  <c r="S1088" i="5"/>
  <c r="T1088" i="5"/>
  <c r="R1089" i="5"/>
  <c r="S1089" i="5"/>
  <c r="T1089" i="5"/>
  <c r="R1090" i="5"/>
  <c r="S1090" i="5"/>
  <c r="T1090" i="5"/>
  <c r="R1091" i="5"/>
  <c r="S1091" i="5"/>
  <c r="T1091" i="5"/>
  <c r="R1092" i="5"/>
  <c r="S1092" i="5"/>
  <c r="T1092" i="5"/>
  <c r="R1093" i="5"/>
  <c r="S1093" i="5"/>
  <c r="T1093" i="5"/>
  <c r="R1094" i="5"/>
  <c r="S1094" i="5"/>
  <c r="T1094" i="5"/>
  <c r="R1095" i="5"/>
  <c r="S1095" i="5"/>
  <c r="T1095" i="5"/>
  <c r="R1096" i="5"/>
  <c r="S1096" i="5"/>
  <c r="T1096" i="5"/>
  <c r="R1097" i="5"/>
  <c r="S1097" i="5"/>
  <c r="T1097" i="5"/>
  <c r="R1098" i="5"/>
  <c r="S1098" i="5"/>
  <c r="T1098" i="5"/>
  <c r="R1099" i="5"/>
  <c r="S1099" i="5"/>
  <c r="T1099" i="5"/>
  <c r="R1100" i="5"/>
  <c r="S1100" i="5"/>
  <c r="T1100" i="5"/>
  <c r="R1101" i="5"/>
  <c r="S1101" i="5"/>
  <c r="T1101" i="5"/>
  <c r="R1102" i="5"/>
  <c r="S1102" i="5"/>
  <c r="T1102" i="5"/>
  <c r="R1103" i="5"/>
  <c r="S1103" i="5"/>
  <c r="T1103" i="5"/>
  <c r="R1104" i="5"/>
  <c r="S1104" i="5"/>
  <c r="T1104" i="5"/>
  <c r="R1105" i="5"/>
  <c r="S1105" i="5"/>
  <c r="T1105" i="5"/>
  <c r="R1106" i="5"/>
  <c r="S1106" i="5"/>
  <c r="T1106" i="5"/>
  <c r="R1107" i="5"/>
  <c r="S1107" i="5"/>
  <c r="T1107" i="5"/>
  <c r="R1108" i="5"/>
  <c r="S1108" i="5"/>
  <c r="T1108" i="5"/>
  <c r="R1109" i="5"/>
  <c r="S1109" i="5"/>
  <c r="T1109" i="5"/>
  <c r="R1110" i="5"/>
  <c r="S1110" i="5"/>
  <c r="T1110" i="5"/>
  <c r="R1111" i="5"/>
  <c r="S1111" i="5"/>
  <c r="T1111" i="5"/>
  <c r="R1112" i="5"/>
  <c r="S1112" i="5"/>
  <c r="T1112" i="5"/>
  <c r="R1113" i="5"/>
  <c r="S1113" i="5"/>
  <c r="T1113" i="5"/>
  <c r="R1114" i="5"/>
  <c r="S1114" i="5"/>
  <c r="T1114" i="5"/>
  <c r="R1115" i="5"/>
  <c r="S1115" i="5"/>
  <c r="T1115" i="5"/>
  <c r="R1116" i="5"/>
  <c r="S1116" i="5"/>
  <c r="T1116" i="5"/>
  <c r="R1117" i="5"/>
  <c r="S1117" i="5"/>
  <c r="T1117" i="5"/>
  <c r="R1118" i="5"/>
  <c r="S1118" i="5"/>
  <c r="T1118" i="5"/>
  <c r="R1119" i="5"/>
  <c r="S1119" i="5"/>
  <c r="T1119" i="5"/>
  <c r="R1120" i="5"/>
  <c r="S1120" i="5"/>
  <c r="T1120" i="5"/>
  <c r="R1121" i="5"/>
  <c r="S1121" i="5"/>
  <c r="T1121" i="5"/>
  <c r="R1122" i="5"/>
  <c r="S1122" i="5"/>
  <c r="T1122" i="5"/>
  <c r="R1123" i="5"/>
  <c r="S1123" i="5"/>
  <c r="T1123" i="5"/>
  <c r="R1124" i="5"/>
  <c r="S1124" i="5"/>
  <c r="T1124" i="5"/>
  <c r="R2" i="5"/>
  <c r="S2" i="5"/>
  <c r="T2" i="5"/>
  <c r="L3" i="5"/>
  <c r="N3" i="5"/>
  <c r="L4" i="5"/>
  <c r="N4" i="5"/>
  <c r="L5" i="5"/>
  <c r="N5" i="5"/>
  <c r="L6" i="5"/>
  <c r="N6" i="5"/>
  <c r="L7" i="5"/>
  <c r="N7" i="5"/>
  <c r="L8" i="5"/>
  <c r="N8" i="5"/>
  <c r="L9" i="5"/>
  <c r="N9" i="5"/>
  <c r="L10" i="5"/>
  <c r="N10" i="5"/>
  <c r="L11" i="5"/>
  <c r="N11" i="5"/>
  <c r="L12" i="5"/>
  <c r="N12" i="5"/>
  <c r="L13" i="5"/>
  <c r="N13" i="5"/>
  <c r="L14" i="5"/>
  <c r="N14" i="5"/>
  <c r="L15" i="5"/>
  <c r="N15" i="5"/>
  <c r="L16" i="5"/>
  <c r="N16" i="5"/>
  <c r="L17" i="5"/>
  <c r="N17" i="5"/>
  <c r="L18" i="5"/>
  <c r="N18" i="5"/>
  <c r="L19" i="5"/>
  <c r="N19" i="5"/>
  <c r="L20" i="5"/>
  <c r="N20" i="5"/>
  <c r="L21" i="5"/>
  <c r="N21" i="5"/>
  <c r="L22" i="5"/>
  <c r="N22" i="5"/>
  <c r="L23" i="5"/>
  <c r="N23" i="5"/>
  <c r="L24" i="5"/>
  <c r="N24" i="5"/>
  <c r="L25" i="5"/>
  <c r="N25" i="5"/>
  <c r="L26" i="5"/>
  <c r="N26" i="5"/>
  <c r="L27" i="5"/>
  <c r="N27" i="5"/>
  <c r="L28" i="5"/>
  <c r="N28" i="5"/>
  <c r="L29" i="5"/>
  <c r="N29" i="5"/>
  <c r="L30" i="5"/>
  <c r="N30" i="5"/>
  <c r="L31" i="5"/>
  <c r="N31" i="5"/>
  <c r="L32" i="5"/>
  <c r="N32" i="5"/>
  <c r="L33" i="5"/>
  <c r="N33" i="5"/>
  <c r="L34" i="5"/>
  <c r="N34" i="5"/>
  <c r="L35" i="5"/>
  <c r="N35" i="5"/>
  <c r="L36" i="5"/>
  <c r="N36" i="5"/>
  <c r="L37" i="5"/>
  <c r="N37" i="5"/>
  <c r="L38" i="5"/>
  <c r="N38" i="5"/>
  <c r="L39" i="5"/>
  <c r="N39" i="5"/>
  <c r="L40" i="5"/>
  <c r="N40" i="5"/>
  <c r="L41" i="5"/>
  <c r="N41" i="5"/>
  <c r="L42" i="5"/>
  <c r="N42" i="5"/>
  <c r="L43" i="5"/>
  <c r="N43" i="5"/>
  <c r="L44" i="5"/>
  <c r="N44" i="5"/>
  <c r="L45" i="5"/>
  <c r="N45" i="5"/>
  <c r="L46" i="5"/>
  <c r="N46" i="5"/>
  <c r="L47" i="5"/>
  <c r="N47" i="5"/>
  <c r="L48" i="5"/>
  <c r="N48" i="5"/>
  <c r="L49" i="5"/>
  <c r="N49" i="5"/>
  <c r="L50" i="5"/>
  <c r="N50" i="5"/>
  <c r="L51" i="5"/>
  <c r="N51" i="5"/>
  <c r="L52" i="5"/>
  <c r="N52" i="5"/>
  <c r="L53" i="5"/>
  <c r="N53" i="5"/>
  <c r="L54" i="5"/>
  <c r="N54" i="5"/>
  <c r="L55" i="5"/>
  <c r="N55" i="5"/>
  <c r="L56" i="5"/>
  <c r="N56" i="5"/>
  <c r="L57" i="5"/>
  <c r="N57" i="5"/>
  <c r="L58" i="5"/>
  <c r="N58" i="5"/>
  <c r="L59" i="5"/>
  <c r="N59" i="5"/>
  <c r="L60" i="5"/>
  <c r="N60" i="5"/>
  <c r="L61" i="5"/>
  <c r="N61" i="5"/>
  <c r="L62" i="5"/>
  <c r="N62" i="5"/>
  <c r="L63" i="5"/>
  <c r="N63" i="5"/>
  <c r="L64" i="5"/>
  <c r="N64" i="5"/>
  <c r="L65" i="5"/>
  <c r="N65" i="5"/>
  <c r="L66" i="5"/>
  <c r="N66" i="5"/>
  <c r="L67" i="5"/>
  <c r="N67" i="5"/>
  <c r="L68" i="5"/>
  <c r="N68" i="5"/>
  <c r="L69" i="5"/>
  <c r="N69" i="5"/>
  <c r="L70" i="5"/>
  <c r="N70" i="5"/>
  <c r="L71" i="5"/>
  <c r="N71" i="5"/>
  <c r="L72" i="5"/>
  <c r="N72" i="5"/>
  <c r="L73" i="5"/>
  <c r="N73" i="5"/>
  <c r="L74" i="5"/>
  <c r="N74" i="5"/>
  <c r="L75" i="5"/>
  <c r="N75" i="5"/>
  <c r="L76" i="5"/>
  <c r="N76" i="5"/>
  <c r="L77" i="5"/>
  <c r="N77" i="5"/>
  <c r="L78" i="5"/>
  <c r="N78" i="5"/>
  <c r="L79" i="5"/>
  <c r="N79" i="5"/>
  <c r="L80" i="5"/>
  <c r="N80" i="5"/>
  <c r="L81" i="5"/>
  <c r="N81" i="5"/>
  <c r="L82" i="5"/>
  <c r="N82" i="5"/>
  <c r="L83" i="5"/>
  <c r="N83" i="5"/>
  <c r="L84" i="5"/>
  <c r="N84" i="5"/>
  <c r="L85" i="5"/>
  <c r="N85" i="5"/>
  <c r="L86" i="5"/>
  <c r="N86" i="5"/>
  <c r="L87" i="5"/>
  <c r="N87" i="5"/>
  <c r="L88" i="5"/>
  <c r="N88" i="5"/>
  <c r="L89" i="5"/>
  <c r="N89" i="5"/>
  <c r="L90" i="5"/>
  <c r="N90" i="5"/>
  <c r="L91" i="5"/>
  <c r="N91" i="5"/>
  <c r="L92" i="5"/>
  <c r="N92" i="5"/>
  <c r="L93" i="5"/>
  <c r="N93" i="5"/>
  <c r="L94" i="5"/>
  <c r="N94" i="5"/>
  <c r="L95" i="5"/>
  <c r="N95" i="5"/>
  <c r="L96" i="5"/>
  <c r="N96" i="5"/>
  <c r="L97" i="5"/>
  <c r="N97" i="5"/>
  <c r="L98" i="5"/>
  <c r="N98" i="5"/>
  <c r="L99" i="5"/>
  <c r="N99" i="5"/>
  <c r="L100" i="5"/>
  <c r="N100" i="5"/>
  <c r="L101" i="5"/>
  <c r="N101" i="5"/>
  <c r="L102" i="5"/>
  <c r="N102" i="5"/>
  <c r="L103" i="5"/>
  <c r="N103" i="5"/>
  <c r="L104" i="5"/>
  <c r="N104" i="5"/>
  <c r="L105" i="5"/>
  <c r="N105" i="5"/>
  <c r="L106" i="5"/>
  <c r="N106" i="5"/>
  <c r="L107" i="5"/>
  <c r="N107" i="5"/>
  <c r="L108" i="5"/>
  <c r="N108" i="5"/>
  <c r="L109" i="5"/>
  <c r="N109" i="5"/>
  <c r="L110" i="5"/>
  <c r="N110" i="5"/>
  <c r="L111" i="5"/>
  <c r="N111" i="5"/>
  <c r="L112" i="5"/>
  <c r="N112" i="5"/>
  <c r="L113" i="5"/>
  <c r="N113" i="5"/>
  <c r="L114" i="5"/>
  <c r="N114" i="5"/>
  <c r="L115" i="5"/>
  <c r="N115" i="5"/>
  <c r="L116" i="5"/>
  <c r="N116" i="5"/>
  <c r="L117" i="5"/>
  <c r="N117" i="5"/>
  <c r="L118" i="5"/>
  <c r="N118" i="5"/>
  <c r="L119" i="5"/>
  <c r="N119" i="5"/>
  <c r="L120" i="5"/>
  <c r="N120" i="5"/>
  <c r="L121" i="5"/>
  <c r="N121" i="5"/>
  <c r="L122" i="5"/>
  <c r="N122" i="5"/>
  <c r="L123" i="5"/>
  <c r="N123" i="5"/>
  <c r="L124" i="5"/>
  <c r="N124" i="5"/>
  <c r="L125" i="5"/>
  <c r="N125" i="5"/>
  <c r="L126" i="5"/>
  <c r="N126" i="5"/>
  <c r="L127" i="5"/>
  <c r="N127" i="5"/>
  <c r="L128" i="5"/>
  <c r="N128" i="5"/>
  <c r="L129" i="5"/>
  <c r="N129" i="5"/>
  <c r="L130" i="5"/>
  <c r="N130" i="5"/>
  <c r="L131" i="5"/>
  <c r="N131" i="5"/>
  <c r="L132" i="5"/>
  <c r="N132" i="5"/>
  <c r="L133" i="5"/>
  <c r="N133" i="5"/>
  <c r="L134" i="5"/>
  <c r="N134" i="5"/>
  <c r="L135" i="5"/>
  <c r="N135" i="5"/>
  <c r="L136" i="5"/>
  <c r="N136" i="5"/>
  <c r="L137" i="5"/>
  <c r="N137" i="5"/>
  <c r="L138" i="5"/>
  <c r="N138" i="5"/>
  <c r="L139" i="5"/>
  <c r="N139" i="5"/>
  <c r="L140" i="5"/>
  <c r="N140" i="5"/>
  <c r="L141" i="5"/>
  <c r="N141" i="5"/>
  <c r="L142" i="5"/>
  <c r="N142" i="5"/>
  <c r="L143" i="5"/>
  <c r="N143" i="5"/>
  <c r="L144" i="5"/>
  <c r="N144" i="5"/>
  <c r="L145" i="5"/>
  <c r="N145" i="5"/>
  <c r="L146" i="5"/>
  <c r="N146" i="5"/>
  <c r="L147" i="5"/>
  <c r="N147" i="5"/>
  <c r="L148" i="5"/>
  <c r="N148" i="5"/>
  <c r="L149" i="5"/>
  <c r="N149" i="5"/>
  <c r="L150" i="5"/>
  <c r="N150" i="5"/>
  <c r="L151" i="5"/>
  <c r="N151" i="5"/>
  <c r="L152" i="5"/>
  <c r="N152" i="5"/>
  <c r="L153" i="5"/>
  <c r="N153" i="5"/>
  <c r="L154" i="5"/>
  <c r="N154" i="5"/>
  <c r="L155" i="5"/>
  <c r="N155" i="5"/>
  <c r="L156" i="5"/>
  <c r="N156" i="5"/>
  <c r="L157" i="5"/>
  <c r="N157" i="5"/>
  <c r="L158" i="5"/>
  <c r="N158" i="5"/>
  <c r="L159" i="5"/>
  <c r="N159" i="5"/>
  <c r="L160" i="5"/>
  <c r="N160" i="5"/>
  <c r="L161" i="5"/>
  <c r="N161" i="5"/>
  <c r="L162" i="5"/>
  <c r="N162" i="5"/>
  <c r="L163" i="5"/>
  <c r="N163" i="5"/>
  <c r="L164" i="5"/>
  <c r="N164" i="5"/>
  <c r="L165" i="5"/>
  <c r="N165" i="5"/>
  <c r="L166" i="5"/>
  <c r="N166" i="5"/>
  <c r="L167" i="5"/>
  <c r="N167" i="5"/>
  <c r="L168" i="5"/>
  <c r="N168" i="5"/>
  <c r="L169" i="5"/>
  <c r="N169" i="5"/>
  <c r="L170" i="5"/>
  <c r="N170" i="5"/>
  <c r="L171" i="5"/>
  <c r="N171" i="5"/>
  <c r="L172" i="5"/>
  <c r="N172" i="5"/>
  <c r="L173" i="5"/>
  <c r="N173" i="5"/>
  <c r="L174" i="5"/>
  <c r="N174" i="5"/>
  <c r="L175" i="5"/>
  <c r="N175" i="5"/>
  <c r="L176" i="5"/>
  <c r="N176" i="5"/>
  <c r="L177" i="5"/>
  <c r="N177" i="5"/>
  <c r="L178" i="5"/>
  <c r="N178" i="5"/>
  <c r="L179" i="5"/>
  <c r="N179" i="5"/>
  <c r="L180" i="5"/>
  <c r="N180" i="5"/>
  <c r="L181" i="5"/>
  <c r="N181" i="5"/>
  <c r="L182" i="5"/>
  <c r="N182" i="5"/>
  <c r="L183" i="5"/>
  <c r="N183" i="5"/>
  <c r="L184" i="5"/>
  <c r="N184" i="5"/>
  <c r="L185" i="5"/>
  <c r="N185" i="5"/>
  <c r="L186" i="5"/>
  <c r="N186" i="5"/>
  <c r="L187" i="5"/>
  <c r="N187" i="5"/>
  <c r="L188" i="5"/>
  <c r="N188" i="5"/>
  <c r="L189" i="5"/>
  <c r="N189" i="5"/>
  <c r="L190" i="5"/>
  <c r="N190" i="5"/>
  <c r="L191" i="5"/>
  <c r="N191" i="5"/>
  <c r="L192" i="5"/>
  <c r="N192" i="5"/>
  <c r="L193" i="5"/>
  <c r="N193" i="5"/>
  <c r="L194" i="5"/>
  <c r="N194" i="5"/>
  <c r="L195" i="5"/>
  <c r="N195" i="5"/>
  <c r="L196" i="5"/>
  <c r="N196" i="5"/>
  <c r="L197" i="5"/>
  <c r="N197" i="5"/>
  <c r="L198" i="5"/>
  <c r="N198" i="5"/>
  <c r="L199" i="5"/>
  <c r="N199" i="5"/>
  <c r="L200" i="5"/>
  <c r="N200" i="5"/>
  <c r="L201" i="5"/>
  <c r="N201" i="5"/>
  <c r="L202" i="5"/>
  <c r="N202" i="5"/>
  <c r="L203" i="5"/>
  <c r="N203" i="5"/>
  <c r="L204" i="5"/>
  <c r="N204" i="5"/>
  <c r="L205" i="5"/>
  <c r="N205" i="5"/>
  <c r="L206" i="5"/>
  <c r="N206" i="5"/>
  <c r="L207" i="5"/>
  <c r="N207" i="5"/>
  <c r="L208" i="5"/>
  <c r="N208" i="5"/>
  <c r="L209" i="5"/>
  <c r="N209" i="5"/>
  <c r="L210" i="5"/>
  <c r="N210" i="5"/>
  <c r="L211" i="5"/>
  <c r="N211" i="5"/>
  <c r="L212" i="5"/>
  <c r="N212" i="5"/>
  <c r="L213" i="5"/>
  <c r="N213" i="5"/>
  <c r="L214" i="5"/>
  <c r="N214" i="5"/>
  <c r="L215" i="5"/>
  <c r="N215" i="5"/>
  <c r="L216" i="5"/>
  <c r="N216" i="5"/>
  <c r="L217" i="5"/>
  <c r="N217" i="5"/>
  <c r="L218" i="5"/>
  <c r="N218" i="5"/>
  <c r="L219" i="5"/>
  <c r="N219" i="5"/>
  <c r="L220" i="5"/>
  <c r="N220" i="5"/>
  <c r="L221" i="5"/>
  <c r="N221" i="5"/>
  <c r="L222" i="5"/>
  <c r="N222" i="5"/>
  <c r="L223" i="5"/>
  <c r="N223" i="5"/>
  <c r="L224" i="5"/>
  <c r="N224" i="5"/>
  <c r="L225" i="5"/>
  <c r="N225" i="5"/>
  <c r="L226" i="5"/>
  <c r="N226" i="5"/>
  <c r="L227" i="5"/>
  <c r="N227" i="5"/>
  <c r="L228" i="5"/>
  <c r="N228" i="5"/>
  <c r="L229" i="5"/>
  <c r="N229" i="5"/>
  <c r="L230" i="5"/>
  <c r="N230" i="5"/>
  <c r="L231" i="5"/>
  <c r="N231" i="5"/>
  <c r="L232" i="5"/>
  <c r="N232" i="5"/>
  <c r="L233" i="5"/>
  <c r="N233" i="5"/>
  <c r="L234" i="5"/>
  <c r="N234" i="5"/>
  <c r="L235" i="5"/>
  <c r="N235" i="5"/>
  <c r="L236" i="5"/>
  <c r="N236" i="5"/>
  <c r="L237" i="5"/>
  <c r="N237" i="5"/>
  <c r="L238" i="5"/>
  <c r="N238" i="5"/>
  <c r="L239" i="5"/>
  <c r="N239" i="5"/>
  <c r="L240" i="5"/>
  <c r="N240" i="5"/>
  <c r="L241" i="5"/>
  <c r="N241" i="5"/>
  <c r="L242" i="5"/>
  <c r="N242" i="5"/>
  <c r="L243" i="5"/>
  <c r="N243" i="5"/>
  <c r="L244" i="5"/>
  <c r="N244" i="5"/>
  <c r="L245" i="5"/>
  <c r="N245" i="5"/>
  <c r="L246" i="5"/>
  <c r="N246" i="5"/>
  <c r="L247" i="5"/>
  <c r="N247" i="5"/>
  <c r="L248" i="5"/>
  <c r="N248" i="5"/>
  <c r="L249" i="5"/>
  <c r="N249" i="5"/>
  <c r="L250" i="5"/>
  <c r="N250" i="5"/>
  <c r="L251" i="5"/>
  <c r="N251" i="5"/>
  <c r="L252" i="5"/>
  <c r="N252" i="5"/>
  <c r="L253" i="5"/>
  <c r="N253" i="5"/>
  <c r="L254" i="5"/>
  <c r="N254" i="5"/>
  <c r="L255" i="5"/>
  <c r="N255" i="5"/>
  <c r="L256" i="5"/>
  <c r="N256" i="5"/>
  <c r="L257" i="5"/>
  <c r="N257" i="5"/>
  <c r="L258" i="5"/>
  <c r="N258" i="5"/>
  <c r="L259" i="5"/>
  <c r="N259" i="5"/>
  <c r="L260" i="5"/>
  <c r="N260" i="5"/>
  <c r="L261" i="5"/>
  <c r="N261" i="5"/>
  <c r="L262" i="5"/>
  <c r="N262" i="5"/>
  <c r="L263" i="5"/>
  <c r="N263" i="5"/>
  <c r="L264" i="5"/>
  <c r="N264" i="5"/>
  <c r="L265" i="5"/>
  <c r="N265" i="5"/>
  <c r="L266" i="5"/>
  <c r="N266" i="5"/>
  <c r="L267" i="5"/>
  <c r="N267" i="5"/>
  <c r="L268" i="5"/>
  <c r="N268" i="5"/>
  <c r="L269" i="5"/>
  <c r="N269" i="5"/>
  <c r="L270" i="5"/>
  <c r="N270" i="5"/>
  <c r="L271" i="5"/>
  <c r="N271" i="5"/>
  <c r="L272" i="5"/>
  <c r="N272" i="5"/>
  <c r="L273" i="5"/>
  <c r="N273" i="5"/>
  <c r="L274" i="5"/>
  <c r="N274" i="5"/>
  <c r="L275" i="5"/>
  <c r="N275" i="5"/>
  <c r="L276" i="5"/>
  <c r="N276" i="5"/>
  <c r="L277" i="5"/>
  <c r="N277" i="5"/>
  <c r="L278" i="5"/>
  <c r="N278" i="5"/>
  <c r="L279" i="5"/>
  <c r="N279" i="5"/>
  <c r="L280" i="5"/>
  <c r="N280" i="5"/>
  <c r="L281" i="5"/>
  <c r="N281" i="5"/>
  <c r="L282" i="5"/>
  <c r="N282" i="5"/>
  <c r="L283" i="5"/>
  <c r="N283" i="5"/>
  <c r="L284" i="5"/>
  <c r="N284" i="5"/>
  <c r="L285" i="5"/>
  <c r="N285" i="5"/>
  <c r="L286" i="5"/>
  <c r="N286" i="5"/>
  <c r="L287" i="5"/>
  <c r="N287" i="5"/>
  <c r="L288" i="5"/>
  <c r="N288" i="5"/>
  <c r="L289" i="5"/>
  <c r="N289" i="5"/>
  <c r="L290" i="5"/>
  <c r="N290" i="5"/>
  <c r="L291" i="5"/>
  <c r="N291" i="5"/>
  <c r="L292" i="5"/>
  <c r="N292" i="5"/>
  <c r="L293" i="5"/>
  <c r="N293" i="5"/>
  <c r="L294" i="5"/>
  <c r="N294" i="5"/>
  <c r="L295" i="5"/>
  <c r="N295" i="5"/>
  <c r="L296" i="5"/>
  <c r="N296" i="5"/>
  <c r="L297" i="5"/>
  <c r="N297" i="5"/>
  <c r="L298" i="5"/>
  <c r="N298" i="5"/>
  <c r="L299" i="5"/>
  <c r="N299" i="5"/>
  <c r="L300" i="5"/>
  <c r="N300" i="5"/>
  <c r="L301" i="5"/>
  <c r="N301" i="5"/>
  <c r="L302" i="5"/>
  <c r="N302" i="5"/>
  <c r="L303" i="5"/>
  <c r="N303" i="5"/>
  <c r="L304" i="5"/>
  <c r="N304" i="5"/>
  <c r="L305" i="5"/>
  <c r="N305" i="5"/>
  <c r="L306" i="5"/>
  <c r="N306" i="5"/>
  <c r="L307" i="5"/>
  <c r="N307" i="5"/>
  <c r="L308" i="5"/>
  <c r="N308" i="5"/>
  <c r="L309" i="5"/>
  <c r="N309" i="5"/>
  <c r="L310" i="5"/>
  <c r="N310" i="5"/>
  <c r="L311" i="5"/>
  <c r="N311" i="5"/>
  <c r="L312" i="5"/>
  <c r="N312" i="5"/>
  <c r="L313" i="5"/>
  <c r="N313" i="5"/>
  <c r="L314" i="5"/>
  <c r="N314" i="5"/>
  <c r="L315" i="5"/>
  <c r="N315" i="5"/>
  <c r="L316" i="5"/>
  <c r="N316" i="5"/>
  <c r="L317" i="5"/>
  <c r="N317" i="5"/>
  <c r="L318" i="5"/>
  <c r="N318" i="5"/>
  <c r="L319" i="5"/>
  <c r="N319" i="5"/>
  <c r="L320" i="5"/>
  <c r="N320" i="5"/>
  <c r="L321" i="5"/>
  <c r="N321" i="5"/>
  <c r="L322" i="5"/>
  <c r="N322" i="5"/>
  <c r="L323" i="5"/>
  <c r="N323" i="5"/>
  <c r="L324" i="5"/>
  <c r="N324" i="5"/>
  <c r="L325" i="5"/>
  <c r="N325" i="5"/>
  <c r="L326" i="5"/>
  <c r="N326" i="5"/>
  <c r="L327" i="5"/>
  <c r="N327" i="5"/>
  <c r="L328" i="5"/>
  <c r="N328" i="5"/>
  <c r="L329" i="5"/>
  <c r="N329" i="5"/>
  <c r="L330" i="5"/>
  <c r="N330" i="5"/>
  <c r="L331" i="5"/>
  <c r="N331" i="5"/>
  <c r="L332" i="5"/>
  <c r="N332" i="5"/>
  <c r="L333" i="5"/>
  <c r="N333" i="5"/>
  <c r="L334" i="5"/>
  <c r="N334" i="5"/>
  <c r="L335" i="5"/>
  <c r="N335" i="5"/>
  <c r="L336" i="5"/>
  <c r="N336" i="5"/>
  <c r="L337" i="5"/>
  <c r="N337" i="5"/>
  <c r="L338" i="5"/>
  <c r="N338" i="5"/>
  <c r="L339" i="5"/>
  <c r="N339" i="5"/>
  <c r="L340" i="5"/>
  <c r="N340" i="5"/>
  <c r="L341" i="5"/>
  <c r="N341" i="5"/>
  <c r="L342" i="5"/>
  <c r="N342" i="5"/>
  <c r="L343" i="5"/>
  <c r="N343" i="5"/>
  <c r="L344" i="5"/>
  <c r="N344" i="5"/>
  <c r="L345" i="5"/>
  <c r="N345" i="5"/>
  <c r="L346" i="5"/>
  <c r="N346" i="5"/>
  <c r="L347" i="5"/>
  <c r="N347" i="5"/>
  <c r="L348" i="5"/>
  <c r="N348" i="5"/>
  <c r="L349" i="5"/>
  <c r="N349" i="5"/>
  <c r="L350" i="5"/>
  <c r="N350" i="5"/>
  <c r="L351" i="5"/>
  <c r="N351" i="5"/>
  <c r="L352" i="5"/>
  <c r="N352" i="5"/>
  <c r="L353" i="5"/>
  <c r="N353" i="5"/>
  <c r="L354" i="5"/>
  <c r="N354" i="5"/>
  <c r="L355" i="5"/>
  <c r="N355" i="5"/>
  <c r="L356" i="5"/>
  <c r="N356" i="5"/>
  <c r="L357" i="5"/>
  <c r="N357" i="5"/>
  <c r="L358" i="5"/>
  <c r="N358" i="5"/>
  <c r="L359" i="5"/>
  <c r="N359" i="5"/>
  <c r="L360" i="5"/>
  <c r="N360" i="5"/>
  <c r="L361" i="5"/>
  <c r="N361" i="5"/>
  <c r="L362" i="5"/>
  <c r="N362" i="5"/>
  <c r="L363" i="5"/>
  <c r="N363" i="5"/>
  <c r="L364" i="5"/>
  <c r="N364" i="5"/>
  <c r="L365" i="5"/>
  <c r="N365" i="5"/>
  <c r="L366" i="5"/>
  <c r="N366" i="5"/>
  <c r="L367" i="5"/>
  <c r="N367" i="5"/>
  <c r="L368" i="5"/>
  <c r="N368" i="5"/>
  <c r="L369" i="5"/>
  <c r="N369" i="5"/>
  <c r="L370" i="5"/>
  <c r="N370" i="5"/>
  <c r="L371" i="5"/>
  <c r="N371" i="5"/>
  <c r="L372" i="5"/>
  <c r="N372" i="5"/>
  <c r="L373" i="5"/>
  <c r="N373" i="5"/>
  <c r="L374" i="5"/>
  <c r="N374" i="5"/>
  <c r="L375" i="5"/>
  <c r="N375" i="5"/>
  <c r="L376" i="5"/>
  <c r="N376" i="5"/>
  <c r="L377" i="5"/>
  <c r="N377" i="5"/>
  <c r="L378" i="5"/>
  <c r="N378" i="5"/>
  <c r="L379" i="5"/>
  <c r="N379" i="5"/>
  <c r="L380" i="5"/>
  <c r="N380" i="5"/>
  <c r="L381" i="5"/>
  <c r="N381" i="5"/>
  <c r="L382" i="5"/>
  <c r="N382" i="5"/>
  <c r="L383" i="5"/>
  <c r="N383" i="5"/>
  <c r="L384" i="5"/>
  <c r="N384" i="5"/>
  <c r="L385" i="5"/>
  <c r="N385" i="5"/>
  <c r="L386" i="5"/>
  <c r="N386" i="5"/>
  <c r="L387" i="5"/>
  <c r="N387" i="5"/>
  <c r="L388" i="5"/>
  <c r="N388" i="5"/>
  <c r="L389" i="5"/>
  <c r="N389" i="5"/>
  <c r="L390" i="5"/>
  <c r="N390" i="5"/>
  <c r="L391" i="5"/>
  <c r="N391" i="5"/>
  <c r="L392" i="5"/>
  <c r="N392" i="5"/>
  <c r="L393" i="5"/>
  <c r="N393" i="5"/>
  <c r="L394" i="5"/>
  <c r="N394" i="5"/>
  <c r="L395" i="5"/>
  <c r="N395" i="5"/>
  <c r="L396" i="5"/>
  <c r="N396" i="5"/>
  <c r="L397" i="5"/>
  <c r="N397" i="5"/>
  <c r="L398" i="5"/>
  <c r="N398" i="5"/>
  <c r="L399" i="5"/>
  <c r="N399" i="5"/>
  <c r="L400" i="5"/>
  <c r="N400" i="5"/>
  <c r="L401" i="5"/>
  <c r="N401" i="5"/>
  <c r="L402" i="5"/>
  <c r="N402" i="5"/>
  <c r="L403" i="5"/>
  <c r="N403" i="5"/>
  <c r="L404" i="5"/>
  <c r="N404" i="5"/>
  <c r="L405" i="5"/>
  <c r="N405" i="5"/>
  <c r="L406" i="5"/>
  <c r="N406" i="5"/>
  <c r="L407" i="5"/>
  <c r="N407" i="5"/>
  <c r="L408" i="5"/>
  <c r="N408" i="5"/>
  <c r="L409" i="5"/>
  <c r="N409" i="5"/>
  <c r="L410" i="5"/>
  <c r="N410" i="5"/>
  <c r="L411" i="5"/>
  <c r="N411" i="5"/>
  <c r="L412" i="5"/>
  <c r="N412" i="5"/>
  <c r="L413" i="5"/>
  <c r="N413" i="5"/>
  <c r="L414" i="5"/>
  <c r="N414" i="5"/>
  <c r="L415" i="5"/>
  <c r="N415" i="5"/>
  <c r="L416" i="5"/>
  <c r="N416" i="5"/>
  <c r="L417" i="5"/>
  <c r="N417" i="5"/>
  <c r="L418" i="5"/>
  <c r="N418" i="5"/>
  <c r="L419" i="5"/>
  <c r="N419" i="5"/>
  <c r="L420" i="5"/>
  <c r="N420" i="5"/>
  <c r="L421" i="5"/>
  <c r="N421" i="5"/>
  <c r="L422" i="5"/>
  <c r="N422" i="5"/>
  <c r="L423" i="5"/>
  <c r="N423" i="5"/>
  <c r="L424" i="5"/>
  <c r="N424" i="5"/>
  <c r="L425" i="5"/>
  <c r="N425" i="5"/>
  <c r="L426" i="5"/>
  <c r="N426" i="5"/>
  <c r="L427" i="5"/>
  <c r="N427" i="5"/>
  <c r="L428" i="5"/>
  <c r="N428" i="5"/>
  <c r="L429" i="5"/>
  <c r="N429" i="5"/>
  <c r="L430" i="5"/>
  <c r="N430" i="5"/>
  <c r="L431" i="5"/>
  <c r="N431" i="5"/>
  <c r="L432" i="5"/>
  <c r="N432" i="5"/>
  <c r="L433" i="5"/>
  <c r="N433" i="5"/>
  <c r="L434" i="5"/>
  <c r="N434" i="5"/>
  <c r="L435" i="5"/>
  <c r="N435" i="5"/>
  <c r="L436" i="5"/>
  <c r="N436" i="5"/>
  <c r="L437" i="5"/>
  <c r="N437" i="5"/>
  <c r="L438" i="5"/>
  <c r="N438" i="5"/>
  <c r="L439" i="5"/>
  <c r="N439" i="5"/>
  <c r="L440" i="5"/>
  <c r="N440" i="5"/>
  <c r="L441" i="5"/>
  <c r="N441" i="5"/>
  <c r="L442" i="5"/>
  <c r="N442" i="5"/>
  <c r="L443" i="5"/>
  <c r="N443" i="5"/>
  <c r="L444" i="5"/>
  <c r="N444" i="5"/>
  <c r="L445" i="5"/>
  <c r="N445" i="5"/>
  <c r="L446" i="5"/>
  <c r="N446" i="5"/>
  <c r="L447" i="5"/>
  <c r="N447" i="5"/>
  <c r="L448" i="5"/>
  <c r="N448" i="5"/>
  <c r="L449" i="5"/>
  <c r="N449" i="5"/>
  <c r="L450" i="5"/>
  <c r="N450" i="5"/>
  <c r="L451" i="5"/>
  <c r="N451" i="5"/>
  <c r="L452" i="5"/>
  <c r="N452" i="5"/>
  <c r="L453" i="5"/>
  <c r="N453" i="5"/>
  <c r="L454" i="5"/>
  <c r="N454" i="5"/>
  <c r="L455" i="5"/>
  <c r="N455" i="5"/>
  <c r="L456" i="5"/>
  <c r="N456" i="5"/>
  <c r="L457" i="5"/>
  <c r="N457" i="5"/>
  <c r="L458" i="5"/>
  <c r="N458" i="5"/>
  <c r="L459" i="5"/>
  <c r="N459" i="5"/>
  <c r="L460" i="5"/>
  <c r="N460" i="5"/>
  <c r="L461" i="5"/>
  <c r="N461" i="5"/>
  <c r="L462" i="5"/>
  <c r="N462" i="5"/>
  <c r="L463" i="5"/>
  <c r="N463" i="5"/>
  <c r="L464" i="5"/>
  <c r="N464" i="5"/>
  <c r="L465" i="5"/>
  <c r="N465" i="5"/>
  <c r="L466" i="5"/>
  <c r="N466" i="5"/>
  <c r="L467" i="5"/>
  <c r="N467" i="5"/>
  <c r="L468" i="5"/>
  <c r="N468" i="5"/>
  <c r="L469" i="5"/>
  <c r="N469" i="5"/>
  <c r="L470" i="5"/>
  <c r="N470" i="5"/>
  <c r="L471" i="5"/>
  <c r="N471" i="5"/>
  <c r="L472" i="5"/>
  <c r="N472" i="5"/>
  <c r="L473" i="5"/>
  <c r="N473" i="5"/>
  <c r="L474" i="5"/>
  <c r="N474" i="5"/>
  <c r="L475" i="5"/>
  <c r="N475" i="5"/>
  <c r="L476" i="5"/>
  <c r="N476" i="5"/>
  <c r="L477" i="5"/>
  <c r="N477" i="5"/>
  <c r="L478" i="5"/>
  <c r="N478" i="5"/>
  <c r="L479" i="5"/>
  <c r="N479" i="5"/>
  <c r="L480" i="5"/>
  <c r="N480" i="5"/>
  <c r="L481" i="5"/>
  <c r="N481" i="5"/>
  <c r="L482" i="5"/>
  <c r="N482" i="5"/>
  <c r="L483" i="5"/>
  <c r="N483" i="5"/>
  <c r="L484" i="5"/>
  <c r="N484" i="5"/>
  <c r="L485" i="5"/>
  <c r="N485" i="5"/>
  <c r="L486" i="5"/>
  <c r="N486" i="5"/>
  <c r="L487" i="5"/>
  <c r="N487" i="5"/>
  <c r="L488" i="5"/>
  <c r="N488" i="5"/>
  <c r="L489" i="5"/>
  <c r="N489" i="5"/>
  <c r="L490" i="5"/>
  <c r="N490" i="5"/>
  <c r="L491" i="5"/>
  <c r="N491" i="5"/>
  <c r="L492" i="5"/>
  <c r="N492" i="5"/>
  <c r="L493" i="5"/>
  <c r="N493" i="5"/>
  <c r="L494" i="5"/>
  <c r="N494" i="5"/>
  <c r="L495" i="5"/>
  <c r="N495" i="5"/>
  <c r="L496" i="5"/>
  <c r="N496" i="5"/>
  <c r="L497" i="5"/>
  <c r="N497" i="5"/>
  <c r="L498" i="5"/>
  <c r="N498" i="5"/>
  <c r="L499" i="5"/>
  <c r="N499" i="5"/>
  <c r="L500" i="5"/>
  <c r="N500" i="5"/>
  <c r="L501" i="5"/>
  <c r="N501" i="5"/>
  <c r="L502" i="5"/>
  <c r="N502" i="5"/>
  <c r="L503" i="5"/>
  <c r="N503" i="5"/>
  <c r="L504" i="5"/>
  <c r="N504" i="5"/>
  <c r="L505" i="5"/>
  <c r="N505" i="5"/>
  <c r="L506" i="5"/>
  <c r="N506" i="5"/>
  <c r="L507" i="5"/>
  <c r="N507" i="5"/>
  <c r="L508" i="5"/>
  <c r="N508" i="5"/>
  <c r="L509" i="5"/>
  <c r="N509" i="5"/>
  <c r="L510" i="5"/>
  <c r="N510" i="5"/>
  <c r="L511" i="5"/>
  <c r="N511" i="5"/>
  <c r="L512" i="5"/>
  <c r="N512" i="5"/>
  <c r="L513" i="5"/>
  <c r="N513" i="5"/>
  <c r="L514" i="5"/>
  <c r="N514" i="5"/>
  <c r="L515" i="5"/>
  <c r="N515" i="5"/>
  <c r="L516" i="5"/>
  <c r="N516" i="5"/>
  <c r="L517" i="5"/>
  <c r="N517" i="5"/>
  <c r="L518" i="5"/>
  <c r="N518" i="5"/>
  <c r="L519" i="5"/>
  <c r="N519" i="5"/>
  <c r="L520" i="5"/>
  <c r="N520" i="5"/>
  <c r="L521" i="5"/>
  <c r="N521" i="5"/>
  <c r="L522" i="5"/>
  <c r="N522" i="5"/>
  <c r="L523" i="5"/>
  <c r="N523" i="5"/>
  <c r="L524" i="5"/>
  <c r="N524" i="5"/>
  <c r="L525" i="5"/>
  <c r="N525" i="5"/>
  <c r="L526" i="5"/>
  <c r="N526" i="5"/>
  <c r="L527" i="5"/>
  <c r="N527" i="5"/>
  <c r="L528" i="5"/>
  <c r="N528" i="5"/>
  <c r="L529" i="5"/>
  <c r="N529" i="5"/>
  <c r="L530" i="5"/>
  <c r="N530" i="5"/>
  <c r="L531" i="5"/>
  <c r="N531" i="5"/>
  <c r="L532" i="5"/>
  <c r="N532" i="5"/>
  <c r="L533" i="5"/>
  <c r="N533" i="5"/>
  <c r="L534" i="5"/>
  <c r="N534" i="5"/>
  <c r="L535" i="5"/>
  <c r="N535" i="5"/>
  <c r="L536" i="5"/>
  <c r="N536" i="5"/>
  <c r="L537" i="5"/>
  <c r="N537" i="5"/>
  <c r="L538" i="5"/>
  <c r="N538" i="5"/>
  <c r="L539" i="5"/>
  <c r="N539" i="5"/>
  <c r="L540" i="5"/>
  <c r="N540" i="5"/>
  <c r="L541" i="5"/>
  <c r="N541" i="5"/>
  <c r="L542" i="5"/>
  <c r="N542" i="5"/>
  <c r="L543" i="5"/>
  <c r="N543" i="5"/>
  <c r="L544" i="5"/>
  <c r="N544" i="5"/>
  <c r="L545" i="5"/>
  <c r="N545" i="5"/>
  <c r="L546" i="5"/>
  <c r="N546" i="5"/>
  <c r="L547" i="5"/>
  <c r="N547" i="5"/>
  <c r="L548" i="5"/>
  <c r="N548" i="5"/>
  <c r="L549" i="5"/>
  <c r="N549" i="5"/>
  <c r="L550" i="5"/>
  <c r="N550" i="5"/>
  <c r="L551" i="5"/>
  <c r="N551" i="5"/>
  <c r="L552" i="5"/>
  <c r="N552" i="5"/>
  <c r="L553" i="5"/>
  <c r="N553" i="5"/>
  <c r="L554" i="5"/>
  <c r="N554" i="5"/>
  <c r="L555" i="5"/>
  <c r="N555" i="5"/>
  <c r="L556" i="5"/>
  <c r="N556" i="5"/>
  <c r="L557" i="5"/>
  <c r="N557" i="5"/>
  <c r="L558" i="5"/>
  <c r="N558" i="5"/>
  <c r="L559" i="5"/>
  <c r="N559" i="5"/>
  <c r="L560" i="5"/>
  <c r="N560" i="5"/>
  <c r="L561" i="5"/>
  <c r="N561" i="5"/>
  <c r="L562" i="5"/>
  <c r="N562" i="5"/>
  <c r="L563" i="5"/>
  <c r="N563" i="5"/>
  <c r="L564" i="5"/>
  <c r="N564" i="5"/>
  <c r="L565" i="5"/>
  <c r="N565" i="5"/>
  <c r="L566" i="5"/>
  <c r="N566" i="5"/>
  <c r="L567" i="5"/>
  <c r="N567" i="5"/>
  <c r="L568" i="5"/>
  <c r="N568" i="5"/>
  <c r="L569" i="5"/>
  <c r="N569" i="5"/>
  <c r="L570" i="5"/>
  <c r="N570" i="5"/>
  <c r="L571" i="5"/>
  <c r="N571" i="5"/>
  <c r="L572" i="5"/>
  <c r="N572" i="5"/>
  <c r="L573" i="5"/>
  <c r="N573" i="5"/>
  <c r="L574" i="5"/>
  <c r="N574" i="5"/>
  <c r="L575" i="5"/>
  <c r="N575" i="5"/>
  <c r="L576" i="5"/>
  <c r="N576" i="5"/>
  <c r="L577" i="5"/>
  <c r="N577" i="5"/>
  <c r="L578" i="5"/>
  <c r="N578" i="5"/>
  <c r="L579" i="5"/>
  <c r="N579" i="5"/>
  <c r="L580" i="5"/>
  <c r="N580" i="5"/>
  <c r="L581" i="5"/>
  <c r="N581" i="5"/>
  <c r="L582" i="5"/>
  <c r="N582" i="5"/>
  <c r="L583" i="5"/>
  <c r="N583" i="5"/>
  <c r="L584" i="5"/>
  <c r="N584" i="5"/>
  <c r="L585" i="5"/>
  <c r="N585" i="5"/>
  <c r="L586" i="5"/>
  <c r="N586" i="5"/>
  <c r="L587" i="5"/>
  <c r="N587" i="5"/>
  <c r="L588" i="5"/>
  <c r="N588" i="5"/>
  <c r="L589" i="5"/>
  <c r="N589" i="5"/>
  <c r="L590" i="5"/>
  <c r="N590" i="5"/>
  <c r="L591" i="5"/>
  <c r="N591" i="5"/>
  <c r="L592" i="5"/>
  <c r="N592" i="5"/>
  <c r="L593" i="5"/>
  <c r="N593" i="5"/>
  <c r="L594" i="5"/>
  <c r="N594" i="5"/>
  <c r="L595" i="5"/>
  <c r="N595" i="5"/>
  <c r="L596" i="5"/>
  <c r="N596" i="5"/>
  <c r="L597" i="5"/>
  <c r="N597" i="5"/>
  <c r="L598" i="5"/>
  <c r="N598" i="5"/>
  <c r="L599" i="5"/>
  <c r="N599" i="5"/>
  <c r="L600" i="5"/>
  <c r="N600" i="5"/>
  <c r="L601" i="5"/>
  <c r="N601" i="5"/>
  <c r="L602" i="5"/>
  <c r="N602" i="5"/>
  <c r="L603" i="5"/>
  <c r="N603" i="5"/>
  <c r="L604" i="5"/>
  <c r="N604" i="5"/>
  <c r="L605" i="5"/>
  <c r="N605" i="5"/>
  <c r="L606" i="5"/>
  <c r="N606" i="5"/>
  <c r="L607" i="5"/>
  <c r="N607" i="5"/>
  <c r="L608" i="5"/>
  <c r="N608" i="5"/>
  <c r="L609" i="5"/>
  <c r="N609" i="5"/>
  <c r="L610" i="5"/>
  <c r="N610" i="5"/>
  <c r="L611" i="5"/>
  <c r="N611" i="5"/>
  <c r="L612" i="5"/>
  <c r="N612" i="5"/>
  <c r="L613" i="5"/>
  <c r="N613" i="5"/>
  <c r="L614" i="5"/>
  <c r="N614" i="5"/>
  <c r="L615" i="5"/>
  <c r="N615" i="5"/>
  <c r="L616" i="5"/>
  <c r="N616" i="5"/>
  <c r="L617" i="5"/>
  <c r="N617" i="5"/>
  <c r="L618" i="5"/>
  <c r="N618" i="5"/>
  <c r="L619" i="5"/>
  <c r="N619" i="5"/>
  <c r="L620" i="5"/>
  <c r="N620" i="5"/>
  <c r="L621" i="5"/>
  <c r="N621" i="5"/>
  <c r="L622" i="5"/>
  <c r="N622" i="5"/>
  <c r="L623" i="5"/>
  <c r="N623" i="5"/>
  <c r="L624" i="5"/>
  <c r="N624" i="5"/>
  <c r="L625" i="5"/>
  <c r="N625" i="5"/>
  <c r="L626" i="5"/>
  <c r="N626" i="5"/>
  <c r="L627" i="5"/>
  <c r="N627" i="5"/>
  <c r="L628" i="5"/>
  <c r="N628" i="5"/>
  <c r="L629" i="5"/>
  <c r="N629" i="5"/>
  <c r="L630" i="5"/>
  <c r="N630" i="5"/>
  <c r="L631" i="5"/>
  <c r="N631" i="5"/>
  <c r="L632" i="5"/>
  <c r="N632" i="5"/>
  <c r="L633" i="5"/>
  <c r="N633" i="5"/>
  <c r="L634" i="5"/>
  <c r="N634" i="5"/>
  <c r="L635" i="5"/>
  <c r="N635" i="5"/>
  <c r="L636" i="5"/>
  <c r="N636" i="5"/>
  <c r="L637" i="5"/>
  <c r="N637" i="5"/>
  <c r="L638" i="5"/>
  <c r="N638" i="5"/>
  <c r="L639" i="5"/>
  <c r="N639" i="5"/>
  <c r="L640" i="5"/>
  <c r="N640" i="5"/>
  <c r="L641" i="5"/>
  <c r="N641" i="5"/>
  <c r="L642" i="5"/>
  <c r="N642" i="5"/>
  <c r="L643" i="5"/>
  <c r="N643" i="5"/>
  <c r="L644" i="5"/>
  <c r="N644" i="5"/>
  <c r="L645" i="5"/>
  <c r="N645" i="5"/>
  <c r="L646" i="5"/>
  <c r="N646" i="5"/>
  <c r="L647" i="5"/>
  <c r="N647" i="5"/>
  <c r="L648" i="5"/>
  <c r="N648" i="5"/>
  <c r="L649" i="5"/>
  <c r="N649" i="5"/>
  <c r="L650" i="5"/>
  <c r="N650" i="5"/>
  <c r="L651" i="5"/>
  <c r="N651" i="5"/>
  <c r="L652" i="5"/>
  <c r="N652" i="5"/>
  <c r="L653" i="5"/>
  <c r="N653" i="5"/>
  <c r="L654" i="5"/>
  <c r="N654" i="5"/>
  <c r="L655" i="5"/>
  <c r="N655" i="5"/>
  <c r="L656" i="5"/>
  <c r="N656" i="5"/>
  <c r="L657" i="5"/>
  <c r="N657" i="5"/>
  <c r="L658" i="5"/>
  <c r="N658" i="5"/>
  <c r="L659" i="5"/>
  <c r="N659" i="5"/>
  <c r="L660" i="5"/>
  <c r="N660" i="5"/>
  <c r="L661" i="5"/>
  <c r="N661" i="5"/>
  <c r="L662" i="5"/>
  <c r="N662" i="5"/>
  <c r="L663" i="5"/>
  <c r="N663" i="5"/>
  <c r="L664" i="5"/>
  <c r="N664" i="5"/>
  <c r="L665" i="5"/>
  <c r="N665" i="5"/>
  <c r="L666" i="5"/>
  <c r="N666" i="5"/>
  <c r="L667" i="5"/>
  <c r="N667" i="5"/>
  <c r="L668" i="5"/>
  <c r="N668" i="5"/>
  <c r="L669" i="5"/>
  <c r="N669" i="5"/>
  <c r="L670" i="5"/>
  <c r="N670" i="5"/>
  <c r="L671" i="5"/>
  <c r="N671" i="5"/>
  <c r="L672" i="5"/>
  <c r="N672" i="5"/>
  <c r="L673" i="5"/>
  <c r="N673" i="5"/>
  <c r="L674" i="5"/>
  <c r="N674" i="5"/>
  <c r="L675" i="5"/>
  <c r="N675" i="5"/>
  <c r="L676" i="5"/>
  <c r="N676" i="5"/>
  <c r="L677" i="5"/>
  <c r="N677" i="5"/>
  <c r="L678" i="5"/>
  <c r="N678" i="5"/>
  <c r="L679" i="5"/>
  <c r="N679" i="5"/>
  <c r="L680" i="5"/>
  <c r="N680" i="5"/>
  <c r="L681" i="5"/>
  <c r="N681" i="5"/>
  <c r="L682" i="5"/>
  <c r="N682" i="5"/>
  <c r="L683" i="5"/>
  <c r="N683" i="5"/>
  <c r="L684" i="5"/>
  <c r="N684" i="5"/>
  <c r="L685" i="5"/>
  <c r="N685" i="5"/>
  <c r="L686" i="5"/>
  <c r="N686" i="5"/>
  <c r="L687" i="5"/>
  <c r="N687" i="5"/>
  <c r="L688" i="5"/>
  <c r="N688" i="5"/>
  <c r="L689" i="5"/>
  <c r="N689" i="5"/>
  <c r="L690" i="5"/>
  <c r="N690" i="5"/>
  <c r="L691" i="5"/>
  <c r="N691" i="5"/>
  <c r="L692" i="5"/>
  <c r="N692" i="5"/>
  <c r="L693" i="5"/>
  <c r="N693" i="5"/>
  <c r="L694" i="5"/>
  <c r="N694" i="5"/>
  <c r="L695" i="5"/>
  <c r="N695" i="5"/>
  <c r="L696" i="5"/>
  <c r="N696" i="5"/>
  <c r="L697" i="5"/>
  <c r="N697" i="5"/>
  <c r="L698" i="5"/>
  <c r="N698" i="5"/>
  <c r="L699" i="5"/>
  <c r="N699" i="5"/>
  <c r="L700" i="5"/>
  <c r="N700" i="5"/>
  <c r="L701" i="5"/>
  <c r="N701" i="5"/>
  <c r="L702" i="5"/>
  <c r="N702" i="5"/>
  <c r="L703" i="5"/>
  <c r="N703" i="5"/>
  <c r="L704" i="5"/>
  <c r="N704" i="5"/>
  <c r="L705" i="5"/>
  <c r="N705" i="5"/>
  <c r="L706" i="5"/>
  <c r="N706" i="5"/>
  <c r="L707" i="5"/>
  <c r="N707" i="5"/>
  <c r="L708" i="5"/>
  <c r="N708" i="5"/>
  <c r="L709" i="5"/>
  <c r="N709" i="5"/>
  <c r="L710" i="5"/>
  <c r="N710" i="5"/>
  <c r="L711" i="5"/>
  <c r="N711" i="5"/>
  <c r="L712" i="5"/>
  <c r="N712" i="5"/>
  <c r="L713" i="5"/>
  <c r="N713" i="5"/>
  <c r="L714" i="5"/>
  <c r="N714" i="5"/>
  <c r="L715" i="5"/>
  <c r="N715" i="5"/>
  <c r="L716" i="5"/>
  <c r="N716" i="5"/>
  <c r="L717" i="5"/>
  <c r="N717" i="5"/>
  <c r="L718" i="5"/>
  <c r="N718" i="5"/>
  <c r="L719" i="5"/>
  <c r="N719" i="5"/>
  <c r="L720" i="5"/>
  <c r="N720" i="5"/>
  <c r="L721" i="5"/>
  <c r="N721" i="5"/>
  <c r="L722" i="5"/>
  <c r="N722" i="5"/>
  <c r="L723" i="5"/>
  <c r="N723" i="5"/>
  <c r="L724" i="5"/>
  <c r="N724" i="5"/>
  <c r="L725" i="5"/>
  <c r="N725" i="5"/>
  <c r="L726" i="5"/>
  <c r="N726" i="5"/>
  <c r="L727" i="5"/>
  <c r="N727" i="5"/>
  <c r="L728" i="5"/>
  <c r="N728" i="5"/>
  <c r="L729" i="5"/>
  <c r="N729" i="5"/>
  <c r="L730" i="5"/>
  <c r="N730" i="5"/>
  <c r="L731" i="5"/>
  <c r="N731" i="5"/>
  <c r="L732" i="5"/>
  <c r="N732" i="5"/>
  <c r="L733" i="5"/>
  <c r="N733" i="5"/>
  <c r="L734" i="5"/>
  <c r="N734" i="5"/>
  <c r="L735" i="5"/>
  <c r="N735" i="5"/>
  <c r="L736" i="5"/>
  <c r="N736" i="5"/>
  <c r="L737" i="5"/>
  <c r="N737" i="5"/>
  <c r="L738" i="5"/>
  <c r="N738" i="5"/>
  <c r="L739" i="5"/>
  <c r="N739" i="5"/>
  <c r="L740" i="5"/>
  <c r="N740" i="5"/>
  <c r="L741" i="5"/>
  <c r="N741" i="5"/>
  <c r="L742" i="5"/>
  <c r="N742" i="5"/>
  <c r="L743" i="5"/>
  <c r="N743" i="5"/>
  <c r="L744" i="5"/>
  <c r="N744" i="5"/>
  <c r="L745" i="5"/>
  <c r="N745" i="5"/>
  <c r="L746" i="5"/>
  <c r="N746" i="5"/>
  <c r="L747" i="5"/>
  <c r="N747" i="5"/>
  <c r="L748" i="5"/>
  <c r="N748" i="5"/>
  <c r="L749" i="5"/>
  <c r="N749" i="5"/>
  <c r="L750" i="5"/>
  <c r="N750" i="5"/>
  <c r="L751" i="5"/>
  <c r="N751" i="5"/>
  <c r="L752" i="5"/>
  <c r="N752" i="5"/>
  <c r="L753" i="5"/>
  <c r="N753" i="5"/>
  <c r="L754" i="5"/>
  <c r="N754" i="5"/>
  <c r="L755" i="5"/>
  <c r="N755" i="5"/>
  <c r="L756" i="5"/>
  <c r="N756" i="5"/>
  <c r="L757" i="5"/>
  <c r="N757" i="5"/>
  <c r="L758" i="5"/>
  <c r="N758" i="5"/>
  <c r="L759" i="5"/>
  <c r="N759" i="5"/>
  <c r="L760" i="5"/>
  <c r="N760" i="5"/>
  <c r="L761" i="5"/>
  <c r="N761" i="5"/>
  <c r="L762" i="5"/>
  <c r="N762" i="5"/>
  <c r="L763" i="5"/>
  <c r="N763" i="5"/>
  <c r="L764" i="5"/>
  <c r="N764" i="5"/>
  <c r="L765" i="5"/>
  <c r="N765" i="5"/>
  <c r="L766" i="5"/>
  <c r="N766" i="5"/>
  <c r="L767" i="5"/>
  <c r="N767" i="5"/>
  <c r="L768" i="5"/>
  <c r="N768" i="5"/>
  <c r="L769" i="5"/>
  <c r="N769" i="5"/>
  <c r="L770" i="5"/>
  <c r="N770" i="5"/>
  <c r="L771" i="5"/>
  <c r="N771" i="5"/>
  <c r="L772" i="5"/>
  <c r="N772" i="5"/>
  <c r="L773" i="5"/>
  <c r="N773" i="5"/>
  <c r="L774" i="5"/>
  <c r="N774" i="5"/>
  <c r="L775" i="5"/>
  <c r="N775" i="5"/>
  <c r="L776" i="5"/>
  <c r="N776" i="5"/>
  <c r="L777" i="5"/>
  <c r="N777" i="5"/>
  <c r="L778" i="5"/>
  <c r="N778" i="5"/>
  <c r="L779" i="5"/>
  <c r="N779" i="5"/>
  <c r="L780" i="5"/>
  <c r="N780" i="5"/>
  <c r="L781" i="5"/>
  <c r="N781" i="5"/>
  <c r="L782" i="5"/>
  <c r="N782" i="5"/>
  <c r="L783" i="5"/>
  <c r="N783" i="5"/>
  <c r="L784" i="5"/>
  <c r="N784" i="5"/>
  <c r="L785" i="5"/>
  <c r="N785" i="5"/>
  <c r="L786" i="5"/>
  <c r="N786" i="5"/>
  <c r="L787" i="5"/>
  <c r="N787" i="5"/>
  <c r="L788" i="5"/>
  <c r="N788" i="5"/>
  <c r="L789" i="5"/>
  <c r="N789" i="5"/>
  <c r="L790" i="5"/>
  <c r="N790" i="5"/>
  <c r="L791" i="5"/>
  <c r="N791" i="5"/>
  <c r="L792" i="5"/>
  <c r="N792" i="5"/>
  <c r="L793" i="5"/>
  <c r="N793" i="5"/>
  <c r="L794" i="5"/>
  <c r="N794" i="5"/>
  <c r="L795" i="5"/>
  <c r="N795" i="5"/>
  <c r="L796" i="5"/>
  <c r="N796" i="5"/>
  <c r="L797" i="5"/>
  <c r="N797" i="5"/>
  <c r="L798" i="5"/>
  <c r="N798" i="5"/>
  <c r="L799" i="5"/>
  <c r="N799" i="5"/>
  <c r="L800" i="5"/>
  <c r="N800" i="5"/>
  <c r="L801" i="5"/>
  <c r="N801" i="5"/>
  <c r="L802" i="5"/>
  <c r="N802" i="5"/>
  <c r="L803" i="5"/>
  <c r="N803" i="5"/>
  <c r="L804" i="5"/>
  <c r="N804" i="5"/>
  <c r="L805" i="5"/>
  <c r="N805" i="5"/>
  <c r="L806" i="5"/>
  <c r="N806" i="5"/>
  <c r="L807" i="5"/>
  <c r="N807" i="5"/>
  <c r="L808" i="5"/>
  <c r="N808" i="5"/>
  <c r="L809" i="5"/>
  <c r="N809" i="5"/>
  <c r="L810" i="5"/>
  <c r="N810" i="5"/>
  <c r="L811" i="5"/>
  <c r="N811" i="5"/>
  <c r="L812" i="5"/>
  <c r="N812" i="5"/>
  <c r="L813" i="5"/>
  <c r="N813" i="5"/>
  <c r="L814" i="5"/>
  <c r="N814" i="5"/>
  <c r="L815" i="5"/>
  <c r="N815" i="5"/>
  <c r="L816" i="5"/>
  <c r="N816" i="5"/>
  <c r="L817" i="5"/>
  <c r="N817" i="5"/>
  <c r="L818" i="5"/>
  <c r="N818" i="5"/>
  <c r="L819" i="5"/>
  <c r="N819" i="5"/>
  <c r="L820" i="5"/>
  <c r="N820" i="5"/>
  <c r="L821" i="5"/>
  <c r="N821" i="5"/>
  <c r="L822" i="5"/>
  <c r="N822" i="5"/>
  <c r="L823" i="5"/>
  <c r="N823" i="5"/>
  <c r="L824" i="5"/>
  <c r="N824" i="5"/>
  <c r="L825" i="5"/>
  <c r="N825" i="5"/>
  <c r="L826" i="5"/>
  <c r="N826" i="5"/>
  <c r="L827" i="5"/>
  <c r="N827" i="5"/>
  <c r="L828" i="5"/>
  <c r="N828" i="5"/>
  <c r="L829" i="5"/>
  <c r="N829" i="5"/>
  <c r="L830" i="5"/>
  <c r="N830" i="5"/>
  <c r="L831" i="5"/>
  <c r="N831" i="5"/>
  <c r="L832" i="5"/>
  <c r="N832" i="5"/>
  <c r="L833" i="5"/>
  <c r="N833" i="5"/>
  <c r="L834" i="5"/>
  <c r="N834" i="5"/>
  <c r="L835" i="5"/>
  <c r="N835" i="5"/>
  <c r="L836" i="5"/>
  <c r="N836" i="5"/>
  <c r="L837" i="5"/>
  <c r="N837" i="5"/>
  <c r="L838" i="5"/>
  <c r="N838" i="5"/>
  <c r="L839" i="5"/>
  <c r="N839" i="5"/>
  <c r="L840" i="5"/>
  <c r="N840" i="5"/>
  <c r="L841" i="5"/>
  <c r="N841" i="5"/>
  <c r="L842" i="5"/>
  <c r="N842" i="5"/>
  <c r="L843" i="5"/>
  <c r="N843" i="5"/>
  <c r="L844" i="5"/>
  <c r="N844" i="5"/>
  <c r="L845" i="5"/>
  <c r="N845" i="5"/>
  <c r="L846" i="5"/>
  <c r="N846" i="5"/>
  <c r="L847" i="5"/>
  <c r="N847" i="5"/>
  <c r="L848" i="5"/>
  <c r="N848" i="5"/>
  <c r="L849" i="5"/>
  <c r="N849" i="5"/>
  <c r="L850" i="5"/>
  <c r="N850" i="5"/>
  <c r="L851" i="5"/>
  <c r="N851" i="5"/>
  <c r="L852" i="5"/>
  <c r="N852" i="5"/>
  <c r="L853" i="5"/>
  <c r="N853" i="5"/>
  <c r="L854" i="5"/>
  <c r="N854" i="5"/>
  <c r="L855" i="5"/>
  <c r="N855" i="5"/>
  <c r="L856" i="5"/>
  <c r="N856" i="5"/>
  <c r="L857" i="5"/>
  <c r="N857" i="5"/>
  <c r="L858" i="5"/>
  <c r="N858" i="5"/>
  <c r="L859" i="5"/>
  <c r="N859" i="5"/>
  <c r="L860" i="5"/>
  <c r="N860" i="5"/>
  <c r="L861" i="5"/>
  <c r="N861" i="5"/>
  <c r="L862" i="5"/>
  <c r="N862" i="5"/>
  <c r="L863" i="5"/>
  <c r="N863" i="5"/>
  <c r="L864" i="5"/>
  <c r="N864" i="5"/>
  <c r="L865" i="5"/>
  <c r="N865" i="5"/>
  <c r="L866" i="5"/>
  <c r="N866" i="5"/>
  <c r="L867" i="5"/>
  <c r="N867" i="5"/>
  <c r="L868" i="5"/>
  <c r="N868" i="5"/>
  <c r="L869" i="5"/>
  <c r="N869" i="5"/>
  <c r="L870" i="5"/>
  <c r="N870" i="5"/>
  <c r="L871" i="5"/>
  <c r="N871" i="5"/>
  <c r="L872" i="5"/>
  <c r="N872" i="5"/>
  <c r="L873" i="5"/>
  <c r="N873" i="5"/>
  <c r="L874" i="5"/>
  <c r="N874" i="5"/>
  <c r="L875" i="5"/>
  <c r="N875" i="5"/>
  <c r="L876" i="5"/>
  <c r="N876" i="5"/>
  <c r="L877" i="5"/>
  <c r="N877" i="5"/>
  <c r="L878" i="5"/>
  <c r="N878" i="5"/>
  <c r="L879" i="5"/>
  <c r="N879" i="5"/>
  <c r="L880" i="5"/>
  <c r="N880" i="5"/>
  <c r="L881" i="5"/>
  <c r="N881" i="5"/>
  <c r="L882" i="5"/>
  <c r="N882" i="5"/>
  <c r="L883" i="5"/>
  <c r="N883" i="5"/>
  <c r="L884" i="5"/>
  <c r="N884" i="5"/>
  <c r="L885" i="5"/>
  <c r="N885" i="5"/>
  <c r="L886" i="5"/>
  <c r="N886" i="5"/>
  <c r="L887" i="5"/>
  <c r="N887" i="5"/>
  <c r="L888" i="5"/>
  <c r="N888" i="5"/>
  <c r="L889" i="5"/>
  <c r="N889" i="5"/>
  <c r="L890" i="5"/>
  <c r="N890" i="5"/>
  <c r="L891" i="5"/>
  <c r="N891" i="5"/>
  <c r="L892" i="5"/>
  <c r="N892" i="5"/>
  <c r="L893" i="5"/>
  <c r="N893" i="5"/>
  <c r="L894" i="5"/>
  <c r="N894" i="5"/>
  <c r="L895" i="5"/>
  <c r="N895" i="5"/>
  <c r="L896" i="5"/>
  <c r="N896" i="5"/>
  <c r="L897" i="5"/>
  <c r="N897" i="5"/>
  <c r="L898" i="5"/>
  <c r="N898" i="5"/>
  <c r="L899" i="5"/>
  <c r="N899" i="5"/>
  <c r="L900" i="5"/>
  <c r="N900" i="5"/>
  <c r="L901" i="5"/>
  <c r="N901" i="5"/>
  <c r="L902" i="5"/>
  <c r="N902" i="5"/>
  <c r="L903" i="5"/>
  <c r="N903" i="5"/>
  <c r="L904" i="5"/>
  <c r="N904" i="5"/>
  <c r="L905" i="5"/>
  <c r="N905" i="5"/>
  <c r="L906" i="5"/>
  <c r="N906" i="5"/>
  <c r="L907" i="5"/>
  <c r="N907" i="5"/>
  <c r="L908" i="5"/>
  <c r="N908" i="5"/>
  <c r="L909" i="5"/>
  <c r="N909" i="5"/>
  <c r="L910" i="5"/>
  <c r="N910" i="5"/>
  <c r="L911" i="5"/>
  <c r="N911" i="5"/>
  <c r="L912" i="5"/>
  <c r="N912" i="5"/>
  <c r="L913" i="5"/>
  <c r="N913" i="5"/>
  <c r="L914" i="5"/>
  <c r="N914" i="5"/>
  <c r="L915" i="5"/>
  <c r="N915" i="5"/>
  <c r="L916" i="5"/>
  <c r="N916" i="5"/>
  <c r="L917" i="5"/>
  <c r="N917" i="5"/>
  <c r="L918" i="5"/>
  <c r="N918" i="5"/>
  <c r="L919" i="5"/>
  <c r="N919" i="5"/>
  <c r="L920" i="5"/>
  <c r="N920" i="5"/>
  <c r="L921" i="5"/>
  <c r="N921" i="5"/>
  <c r="L922" i="5"/>
  <c r="N922" i="5"/>
  <c r="L923" i="5"/>
  <c r="N923" i="5"/>
  <c r="L924" i="5"/>
  <c r="N924" i="5"/>
  <c r="L925" i="5"/>
  <c r="N925" i="5"/>
  <c r="L926" i="5"/>
  <c r="N926" i="5"/>
  <c r="L927" i="5"/>
  <c r="N927" i="5"/>
  <c r="L928" i="5"/>
  <c r="N928" i="5"/>
  <c r="L929" i="5"/>
  <c r="N929" i="5"/>
  <c r="L930" i="5"/>
  <c r="N930" i="5"/>
  <c r="L931" i="5"/>
  <c r="N931" i="5"/>
  <c r="L932" i="5"/>
  <c r="N932" i="5"/>
  <c r="L933" i="5"/>
  <c r="N933" i="5"/>
  <c r="L934" i="5"/>
  <c r="N934" i="5"/>
  <c r="L935" i="5"/>
  <c r="N935" i="5"/>
  <c r="L936" i="5"/>
  <c r="N936" i="5"/>
  <c r="L937" i="5"/>
  <c r="N937" i="5"/>
  <c r="L938" i="5"/>
  <c r="N938" i="5"/>
  <c r="L939" i="5"/>
  <c r="N939" i="5"/>
  <c r="L940" i="5"/>
  <c r="N940" i="5"/>
  <c r="L941" i="5"/>
  <c r="N941" i="5"/>
  <c r="L942" i="5"/>
  <c r="N942" i="5"/>
  <c r="L943" i="5"/>
  <c r="N943" i="5"/>
  <c r="L944" i="5"/>
  <c r="N944" i="5"/>
  <c r="L945" i="5"/>
  <c r="N945" i="5"/>
  <c r="L946" i="5"/>
  <c r="N946" i="5"/>
  <c r="L947" i="5"/>
  <c r="N947" i="5"/>
  <c r="L948" i="5"/>
  <c r="N948" i="5"/>
  <c r="L949" i="5"/>
  <c r="N949" i="5"/>
  <c r="L950" i="5"/>
  <c r="N950" i="5"/>
  <c r="L951" i="5"/>
  <c r="N951" i="5"/>
  <c r="L952" i="5"/>
  <c r="N952" i="5"/>
  <c r="L953" i="5"/>
  <c r="N953" i="5"/>
  <c r="L954" i="5"/>
  <c r="N954" i="5"/>
  <c r="L955" i="5"/>
  <c r="N955" i="5"/>
  <c r="L956" i="5"/>
  <c r="N956" i="5"/>
  <c r="L957" i="5"/>
  <c r="N957" i="5"/>
  <c r="L958" i="5"/>
  <c r="N958" i="5"/>
  <c r="L959" i="5"/>
  <c r="N959" i="5"/>
  <c r="L960" i="5"/>
  <c r="N960" i="5"/>
  <c r="L961" i="5"/>
  <c r="N961" i="5"/>
  <c r="L962" i="5"/>
  <c r="N962" i="5"/>
  <c r="L963" i="5"/>
  <c r="N963" i="5"/>
  <c r="L964" i="5"/>
  <c r="N964" i="5"/>
  <c r="L965" i="5"/>
  <c r="N965" i="5"/>
  <c r="L966" i="5"/>
  <c r="N966" i="5"/>
  <c r="L967" i="5"/>
  <c r="N967" i="5"/>
  <c r="L968" i="5"/>
  <c r="N968" i="5"/>
  <c r="L969" i="5"/>
  <c r="N969" i="5"/>
  <c r="L970" i="5"/>
  <c r="N970" i="5"/>
  <c r="L971" i="5"/>
  <c r="N971" i="5"/>
  <c r="L972" i="5"/>
  <c r="N972" i="5"/>
  <c r="L973" i="5"/>
  <c r="N973" i="5"/>
  <c r="L974" i="5"/>
  <c r="N974" i="5"/>
  <c r="L975" i="5"/>
  <c r="N975" i="5"/>
  <c r="L976" i="5"/>
  <c r="N976" i="5"/>
  <c r="L977" i="5"/>
  <c r="N977" i="5"/>
  <c r="L978" i="5"/>
  <c r="N978" i="5"/>
  <c r="L979" i="5"/>
  <c r="N979" i="5"/>
  <c r="L980" i="5"/>
  <c r="N980" i="5"/>
  <c r="L981" i="5"/>
  <c r="N981" i="5"/>
  <c r="L982" i="5"/>
  <c r="N982" i="5"/>
  <c r="L983" i="5"/>
  <c r="N983" i="5"/>
  <c r="L984" i="5"/>
  <c r="N984" i="5"/>
  <c r="L985" i="5"/>
  <c r="N985" i="5"/>
  <c r="L986" i="5"/>
  <c r="N986" i="5"/>
  <c r="L987" i="5"/>
  <c r="N987" i="5"/>
  <c r="L988" i="5"/>
  <c r="N988" i="5"/>
  <c r="L989" i="5"/>
  <c r="N989" i="5"/>
  <c r="L990" i="5"/>
  <c r="N990" i="5"/>
  <c r="L991" i="5"/>
  <c r="N991" i="5"/>
  <c r="L992" i="5"/>
  <c r="N992" i="5"/>
  <c r="L993" i="5"/>
  <c r="N993" i="5"/>
  <c r="L994" i="5"/>
  <c r="N994" i="5"/>
  <c r="L995" i="5"/>
  <c r="N995" i="5"/>
  <c r="L996" i="5"/>
  <c r="N996" i="5"/>
  <c r="L997" i="5"/>
  <c r="N997" i="5"/>
  <c r="L998" i="5"/>
  <c r="N998" i="5"/>
  <c r="L999" i="5"/>
  <c r="N999" i="5"/>
  <c r="L1000" i="5"/>
  <c r="N1000" i="5"/>
  <c r="L1001" i="5"/>
  <c r="N1001" i="5"/>
  <c r="L1002" i="5"/>
  <c r="N1002" i="5"/>
  <c r="L1003" i="5"/>
  <c r="N1003" i="5"/>
  <c r="L1004" i="5"/>
  <c r="N1004" i="5"/>
  <c r="L1005" i="5"/>
  <c r="N1005" i="5"/>
  <c r="L1006" i="5"/>
  <c r="N1006" i="5"/>
  <c r="L1007" i="5"/>
  <c r="N1007" i="5"/>
  <c r="L1008" i="5"/>
  <c r="N1008" i="5"/>
  <c r="L1009" i="5"/>
  <c r="N1009" i="5"/>
  <c r="L1010" i="5"/>
  <c r="N1010" i="5"/>
  <c r="L1011" i="5"/>
  <c r="N1011" i="5"/>
  <c r="L1012" i="5"/>
  <c r="N1012" i="5"/>
  <c r="L1013" i="5"/>
  <c r="N1013" i="5"/>
  <c r="L1014" i="5"/>
  <c r="N1014" i="5"/>
  <c r="L1015" i="5"/>
  <c r="N1015" i="5"/>
  <c r="L1016" i="5"/>
  <c r="N1016" i="5"/>
  <c r="L1017" i="5"/>
  <c r="N1017" i="5"/>
  <c r="L1018" i="5"/>
  <c r="N1018" i="5"/>
  <c r="L1019" i="5"/>
  <c r="N1019" i="5"/>
  <c r="L1020" i="5"/>
  <c r="N1020" i="5"/>
  <c r="L1021" i="5"/>
  <c r="N1021" i="5"/>
  <c r="L1022" i="5"/>
  <c r="N1022" i="5"/>
  <c r="L1023" i="5"/>
  <c r="N1023" i="5"/>
  <c r="L1024" i="5"/>
  <c r="N1024" i="5"/>
  <c r="L1025" i="5"/>
  <c r="N1025" i="5"/>
  <c r="L1026" i="5"/>
  <c r="N1026" i="5"/>
  <c r="L1027" i="5"/>
  <c r="N1027" i="5"/>
  <c r="L1028" i="5"/>
  <c r="N1028" i="5"/>
  <c r="L1029" i="5"/>
  <c r="N1029" i="5"/>
  <c r="L1030" i="5"/>
  <c r="N1030" i="5"/>
  <c r="L1031" i="5"/>
  <c r="N1031" i="5"/>
  <c r="L1032" i="5"/>
  <c r="N1032" i="5"/>
  <c r="L1033" i="5"/>
  <c r="N1033" i="5"/>
  <c r="L1034" i="5"/>
  <c r="N1034" i="5"/>
  <c r="L1035" i="5"/>
  <c r="N1035" i="5"/>
  <c r="L1036" i="5"/>
  <c r="N1036" i="5"/>
  <c r="L1037" i="5"/>
  <c r="N1037" i="5"/>
  <c r="L1038" i="5"/>
  <c r="N1038" i="5"/>
  <c r="L1039" i="5"/>
  <c r="N1039" i="5"/>
  <c r="L1040" i="5"/>
  <c r="N1040" i="5"/>
  <c r="L1041" i="5"/>
  <c r="N1041" i="5"/>
  <c r="L1042" i="5"/>
  <c r="N1042" i="5"/>
  <c r="L1043" i="5"/>
  <c r="N1043" i="5"/>
  <c r="L1044" i="5"/>
  <c r="N1044" i="5"/>
  <c r="L1045" i="5"/>
  <c r="N1045" i="5"/>
  <c r="L1046" i="5"/>
  <c r="N1046" i="5"/>
  <c r="L1047" i="5"/>
  <c r="N1047" i="5"/>
  <c r="L1048" i="5"/>
  <c r="N1048" i="5"/>
  <c r="L1049" i="5"/>
  <c r="N1049" i="5"/>
  <c r="L1050" i="5"/>
  <c r="N1050" i="5"/>
  <c r="L1051" i="5"/>
  <c r="N1051" i="5"/>
  <c r="L1052" i="5"/>
  <c r="N1052" i="5"/>
  <c r="L1053" i="5"/>
  <c r="N1053" i="5"/>
  <c r="L1054" i="5"/>
  <c r="N1054" i="5"/>
  <c r="L1055" i="5"/>
  <c r="N1055" i="5"/>
  <c r="L1056" i="5"/>
  <c r="N1056" i="5"/>
  <c r="L1057" i="5"/>
  <c r="N1057" i="5"/>
  <c r="L1058" i="5"/>
  <c r="N1058" i="5"/>
  <c r="L1059" i="5"/>
  <c r="N1059" i="5"/>
  <c r="L1060" i="5"/>
  <c r="N1060" i="5"/>
  <c r="L1061" i="5"/>
  <c r="N1061" i="5"/>
  <c r="L1062" i="5"/>
  <c r="N1062" i="5"/>
  <c r="L1063" i="5"/>
  <c r="N1063" i="5"/>
  <c r="L1064" i="5"/>
  <c r="N1064" i="5"/>
  <c r="L1065" i="5"/>
  <c r="N1065" i="5"/>
  <c r="L1066" i="5"/>
  <c r="N1066" i="5"/>
  <c r="L1067" i="5"/>
  <c r="N1067" i="5"/>
  <c r="L1068" i="5"/>
  <c r="N1068" i="5"/>
  <c r="L1069" i="5"/>
  <c r="N1069" i="5"/>
  <c r="L1070" i="5"/>
  <c r="N1070" i="5"/>
  <c r="L1071" i="5"/>
  <c r="N1071" i="5"/>
  <c r="L1072" i="5"/>
  <c r="N1072" i="5"/>
  <c r="L1073" i="5"/>
  <c r="N1073" i="5"/>
  <c r="L1074" i="5"/>
  <c r="N1074" i="5"/>
  <c r="L1075" i="5"/>
  <c r="N1075" i="5"/>
  <c r="L1076" i="5"/>
  <c r="N1076" i="5"/>
  <c r="L1077" i="5"/>
  <c r="N1077" i="5"/>
  <c r="L1078" i="5"/>
  <c r="N1078" i="5"/>
  <c r="L1079" i="5"/>
  <c r="N1079" i="5"/>
  <c r="L1080" i="5"/>
  <c r="N1080" i="5"/>
  <c r="L1081" i="5"/>
  <c r="N1081" i="5"/>
  <c r="L1082" i="5"/>
  <c r="N1082" i="5"/>
  <c r="L1083" i="5"/>
  <c r="N1083" i="5"/>
  <c r="L1084" i="5"/>
  <c r="N1084" i="5"/>
  <c r="L1085" i="5"/>
  <c r="N1085" i="5"/>
  <c r="L1086" i="5"/>
  <c r="N1086" i="5"/>
  <c r="L1087" i="5"/>
  <c r="N1087" i="5"/>
  <c r="L1088" i="5"/>
  <c r="N1088" i="5"/>
  <c r="L1089" i="5"/>
  <c r="N1089" i="5"/>
  <c r="L1090" i="5"/>
  <c r="N1090" i="5"/>
  <c r="L1091" i="5"/>
  <c r="N1091" i="5"/>
  <c r="L1092" i="5"/>
  <c r="N1092" i="5"/>
  <c r="L1093" i="5"/>
  <c r="N1093" i="5"/>
  <c r="L1094" i="5"/>
  <c r="N1094" i="5"/>
  <c r="L1095" i="5"/>
  <c r="N1095" i="5"/>
  <c r="L1096" i="5"/>
  <c r="N1096" i="5"/>
  <c r="L1097" i="5"/>
  <c r="N1097" i="5"/>
  <c r="L1098" i="5"/>
  <c r="N1098" i="5"/>
  <c r="L1099" i="5"/>
  <c r="N1099" i="5"/>
  <c r="L1100" i="5"/>
  <c r="N1100" i="5"/>
  <c r="L1101" i="5"/>
  <c r="N1101" i="5"/>
  <c r="L1102" i="5"/>
  <c r="N1102" i="5"/>
  <c r="L1103" i="5"/>
  <c r="N1103" i="5"/>
  <c r="L1104" i="5"/>
  <c r="N1104" i="5"/>
  <c r="L1105" i="5"/>
  <c r="N1105" i="5"/>
  <c r="L1106" i="5"/>
  <c r="N1106" i="5"/>
  <c r="L1107" i="5"/>
  <c r="N1107" i="5"/>
  <c r="L1108" i="5"/>
  <c r="N1108" i="5"/>
  <c r="L1109" i="5"/>
  <c r="N1109" i="5"/>
  <c r="L1110" i="5"/>
  <c r="N1110" i="5"/>
  <c r="L1111" i="5"/>
  <c r="N1111" i="5"/>
  <c r="L1112" i="5"/>
  <c r="N1112" i="5"/>
  <c r="L1113" i="5"/>
  <c r="N1113" i="5"/>
  <c r="L1114" i="5"/>
  <c r="N1114" i="5"/>
  <c r="L1115" i="5"/>
  <c r="N1115" i="5"/>
  <c r="L1116" i="5"/>
  <c r="N1116" i="5"/>
  <c r="L1117" i="5"/>
  <c r="N1117" i="5"/>
  <c r="L1118" i="5"/>
  <c r="N1118" i="5"/>
  <c r="L1119" i="5"/>
  <c r="N1119" i="5"/>
  <c r="L1120" i="5"/>
  <c r="N1120" i="5"/>
  <c r="L1121" i="5"/>
  <c r="N1121" i="5"/>
  <c r="L1122" i="5"/>
  <c r="N1122" i="5"/>
  <c r="L1123" i="5"/>
  <c r="N1123" i="5"/>
  <c r="L1124" i="5"/>
  <c r="N1124" i="5"/>
  <c r="N2" i="5"/>
  <c r="L2" i="5"/>
  <c r="D1126" i="4"/>
  <c r="D1127" i="4"/>
  <c r="D1132" i="4"/>
  <c r="D1133" i="4"/>
  <c r="D1134" i="4"/>
  <c r="D1135" i="4"/>
  <c r="D1140" i="4"/>
  <c r="D1141" i="4"/>
  <c r="D1142" i="4"/>
  <c r="D1143" i="4"/>
  <c r="D1145" i="4"/>
  <c r="D1148" i="4"/>
  <c r="D1149" i="4"/>
  <c r="D1150" i="4"/>
  <c r="D1151" i="4"/>
  <c r="B11" i="6"/>
  <c r="B12" i="6"/>
  <c r="B31" i="6" l="1"/>
  <c r="B34" i="6"/>
  <c r="D461" i="4"/>
  <c r="D1030" i="4"/>
  <c r="D429" i="4"/>
  <c r="D926" i="4"/>
  <c r="D910" i="4"/>
  <c r="D830" i="4"/>
  <c r="D814" i="4"/>
  <c r="D806" i="4"/>
  <c r="D702" i="4"/>
  <c r="D534" i="4"/>
  <c r="D510" i="4"/>
  <c r="D318" i="4"/>
  <c r="D110" i="4"/>
  <c r="D46" i="4"/>
  <c r="D165" i="4"/>
  <c r="D982" i="4"/>
  <c r="D1144" i="4"/>
  <c r="D1152" i="4"/>
  <c r="D1129" i="4"/>
  <c r="D526" i="4"/>
  <c r="D334" i="4"/>
  <c r="D1128" i="4"/>
  <c r="D1137" i="4"/>
  <c r="D62" i="4"/>
  <c r="D1136" i="4"/>
  <c r="D1014" i="4"/>
  <c r="D822" i="4"/>
  <c r="D566" i="4"/>
  <c r="D502" i="4"/>
  <c r="D310" i="4"/>
  <c r="D118" i="4"/>
  <c r="D1130" i="4"/>
  <c r="D1131" i="4"/>
  <c r="D1138" i="4"/>
  <c r="D1146" i="4"/>
  <c r="D1147" i="4"/>
  <c r="D1125" i="4"/>
  <c r="D1022" i="4"/>
  <c r="D918" i="4"/>
  <c r="D86" i="4"/>
  <c r="D196" i="4"/>
  <c r="D622" i="4"/>
  <c r="D558" i="4"/>
  <c r="D518" i="4"/>
  <c r="D37" i="4"/>
  <c r="D798" i="4"/>
  <c r="D478" i="4"/>
  <c r="D94" i="4"/>
  <c r="D1113" i="4"/>
  <c r="D1089" i="4"/>
  <c r="D1065" i="4"/>
  <c r="D1041" i="4"/>
  <c r="D929" i="4"/>
  <c r="D865" i="4"/>
  <c r="D857" i="4"/>
  <c r="D825" i="4"/>
  <c r="D801" i="4"/>
  <c r="D793" i="4"/>
  <c r="D761" i="4"/>
  <c r="D737" i="4"/>
  <c r="D729" i="4"/>
  <c r="D705" i="4"/>
  <c r="D553" i="4"/>
  <c r="D529" i="4"/>
  <c r="D489" i="4"/>
  <c r="D465" i="4"/>
  <c r="D456" i="4"/>
  <c r="D96" i="4"/>
  <c r="D326" i="4"/>
  <c r="D689" i="4"/>
  <c r="D542" i="4"/>
  <c r="D133" i="4"/>
  <c r="D1057" i="4"/>
  <c r="D767" i="4"/>
  <c r="D921" i="4"/>
  <c r="D1017" i="4"/>
  <c r="D527" i="4"/>
  <c r="D726" i="4"/>
  <c r="D342" i="4"/>
  <c r="D574" i="4"/>
  <c r="D1083" i="4"/>
  <c r="D1019" i="4"/>
  <c r="D994" i="4"/>
  <c r="D755" i="4"/>
  <c r="D531" i="4"/>
  <c r="D507" i="4"/>
  <c r="D443" i="4"/>
  <c r="D179" i="4"/>
  <c r="D147" i="4"/>
  <c r="D782" i="4"/>
  <c r="D833" i="4"/>
  <c r="D697" i="4"/>
  <c r="D561" i="4"/>
  <c r="D784" i="4"/>
  <c r="D543" i="4"/>
  <c r="D332" i="4"/>
  <c r="D497" i="4"/>
  <c r="D15" i="4"/>
  <c r="D1097" i="4"/>
  <c r="D132" i="4"/>
  <c r="D1073" i="4"/>
  <c r="D1001" i="4"/>
  <c r="D745" i="4"/>
  <c r="D673" i="4"/>
  <c r="D537" i="4"/>
  <c r="D1039" i="4"/>
  <c r="D824" i="4"/>
  <c r="D719" i="4"/>
  <c r="D607" i="4"/>
  <c r="D511" i="4"/>
  <c r="D176" i="4"/>
  <c r="D152" i="4"/>
  <c r="D79" i="4"/>
  <c r="D30" i="4"/>
  <c r="D499" i="4"/>
  <c r="D78" i="4"/>
  <c r="D635" i="4"/>
  <c r="D603" i="4"/>
  <c r="D1044" i="4"/>
  <c r="D718" i="4"/>
  <c r="D73" i="4"/>
  <c r="D695" i="4"/>
  <c r="D55" i="4"/>
  <c r="D336" i="4"/>
  <c r="D200" i="4"/>
  <c r="D671" i="4"/>
  <c r="D535" i="4"/>
  <c r="D431" i="4"/>
  <c r="D407" i="4"/>
  <c r="D383" i="4"/>
  <c r="D288" i="4"/>
  <c r="D104" i="4"/>
  <c r="D937" i="4"/>
  <c r="D571" i="4"/>
  <c r="D460" i="4"/>
  <c r="D352" i="4"/>
  <c r="D864" i="4"/>
  <c r="D840" i="4"/>
  <c r="D647" i="4"/>
  <c r="D559" i="4"/>
  <c r="D95" i="4"/>
  <c r="D71" i="4"/>
  <c r="D47" i="4"/>
  <c r="D1049" i="4"/>
  <c r="D849" i="4"/>
  <c r="D785" i="4"/>
  <c r="D721" i="4"/>
  <c r="D513" i="4"/>
  <c r="D959" i="4"/>
  <c r="D911" i="4"/>
  <c r="D792" i="4"/>
  <c r="D215" i="4"/>
  <c r="D120" i="4"/>
  <c r="D59" i="4"/>
  <c r="D663" i="4"/>
  <c r="D575" i="4"/>
  <c r="D399" i="4"/>
  <c r="D375" i="4"/>
  <c r="D279" i="4"/>
  <c r="D311" i="4"/>
  <c r="D512" i="4"/>
  <c r="D832" i="4"/>
  <c r="D808" i="4"/>
  <c r="D703" i="4"/>
  <c r="D639" i="4"/>
  <c r="D616" i="4"/>
  <c r="D232" i="4"/>
  <c r="D183" i="4"/>
  <c r="D87" i="4"/>
  <c r="D63" i="4"/>
  <c r="D631" i="4"/>
  <c r="D873" i="4"/>
  <c r="D774" i="4"/>
  <c r="D951" i="4"/>
  <c r="D751" i="4"/>
  <c r="D727" i="4"/>
  <c r="D440" i="4"/>
  <c r="D415" i="4"/>
  <c r="D343" i="4"/>
  <c r="D296" i="4"/>
  <c r="D136" i="4"/>
  <c r="D54" i="4"/>
  <c r="D848" i="4"/>
  <c r="D776" i="4"/>
  <c r="D656" i="4"/>
  <c r="D567" i="4"/>
  <c r="D488" i="4"/>
  <c r="D247" i="4"/>
  <c r="D205" i="4"/>
  <c r="D31" i="4"/>
  <c r="D23" i="4"/>
  <c r="D983" i="4"/>
  <c r="D984" i="4"/>
  <c r="D927" i="4"/>
  <c r="D928" i="4"/>
  <c r="D920" i="4"/>
  <c r="D919" i="4"/>
  <c r="D760" i="4"/>
  <c r="D759" i="4"/>
  <c r="D688" i="4"/>
  <c r="D687" i="4"/>
  <c r="D624" i="4"/>
  <c r="D623" i="4"/>
  <c r="D599" i="4"/>
  <c r="D600" i="4"/>
  <c r="D592" i="4"/>
  <c r="D591" i="4"/>
  <c r="D584" i="4"/>
  <c r="D583" i="4"/>
  <c r="D519" i="4"/>
  <c r="D520" i="4"/>
  <c r="D503" i="4"/>
  <c r="D504" i="4"/>
  <c r="D480" i="4"/>
  <c r="D479" i="4"/>
  <c r="D464" i="4"/>
  <c r="D463" i="4"/>
  <c r="D448" i="4"/>
  <c r="D447" i="4"/>
  <c r="D368" i="4"/>
  <c r="D367" i="4"/>
  <c r="D328" i="4"/>
  <c r="D327" i="4"/>
  <c r="D320" i="4"/>
  <c r="D319" i="4"/>
  <c r="D303" i="4"/>
  <c r="D304" i="4"/>
  <c r="D272" i="4"/>
  <c r="D271" i="4"/>
  <c r="D264" i="4"/>
  <c r="D263" i="4"/>
  <c r="D255" i="4"/>
  <c r="D256" i="4"/>
  <c r="D240" i="4"/>
  <c r="D239" i="4"/>
  <c r="D224" i="4"/>
  <c r="D223" i="4"/>
  <c r="D208" i="4"/>
  <c r="D207" i="4"/>
  <c r="D192" i="4"/>
  <c r="D191" i="4"/>
  <c r="D160" i="4"/>
  <c r="D159" i="4"/>
  <c r="D664" i="4"/>
  <c r="D168" i="4"/>
  <c r="D680" i="4"/>
  <c r="D184" i="4"/>
  <c r="D696" i="4"/>
  <c r="D632" i="4"/>
  <c r="D712" i="4"/>
  <c r="D648" i="4"/>
  <c r="D335" i="4"/>
  <c r="D496" i="4"/>
  <c r="D967" i="4"/>
  <c r="D903" i="4"/>
  <c r="D711" i="4"/>
  <c r="D455" i="4"/>
  <c r="D391" i="4"/>
  <c r="D1105" i="4"/>
  <c r="D790" i="4"/>
  <c r="D694" i="4"/>
  <c r="D856" i="4"/>
  <c r="D360" i="4"/>
  <c r="D195" i="4"/>
  <c r="D672" i="4"/>
  <c r="D640" i="4"/>
  <c r="D403" i="4"/>
  <c r="D1012" i="4"/>
  <c r="D608" i="4"/>
  <c r="D312" i="4"/>
  <c r="D280" i="4"/>
  <c r="D22" i="4"/>
  <c r="D651" i="4"/>
  <c r="D248" i="4"/>
  <c r="D216" i="4"/>
  <c r="D201" i="4"/>
  <c r="D587" i="4"/>
  <c r="D199" i="4"/>
  <c r="D1025" i="4"/>
  <c r="D1026" i="4"/>
  <c r="D70" i="4"/>
  <c r="D902" i="4"/>
  <c r="D287" i="4"/>
  <c r="D655" i="4"/>
  <c r="D151" i="4"/>
  <c r="D397" i="4"/>
  <c r="D339" i="4"/>
  <c r="D5" i="4"/>
  <c r="D1107" i="4"/>
  <c r="D1000" i="4"/>
  <c r="D853" i="4"/>
  <c r="D557" i="4"/>
  <c r="D472" i="4"/>
  <c r="D387" i="4"/>
  <c r="D164" i="4"/>
  <c r="D936" i="4"/>
  <c r="D789" i="4"/>
  <c r="D579" i="4"/>
  <c r="D187" i="4"/>
  <c r="D101" i="4"/>
  <c r="D1116" i="4"/>
  <c r="D1004" i="4"/>
  <c r="D996" i="4"/>
  <c r="D988" i="4"/>
  <c r="D861" i="4"/>
  <c r="D716" i="4"/>
  <c r="D709" i="4"/>
  <c r="D692" i="4"/>
  <c r="D668" i="4"/>
  <c r="D660" i="4"/>
  <c r="D652" i="4"/>
  <c r="D644" i="4"/>
  <c r="D636" i="4"/>
  <c r="D628" i="4"/>
  <c r="D620" i="4"/>
  <c r="D612" i="4"/>
  <c r="D604" i="4"/>
  <c r="D596" i="4"/>
  <c r="D588" i="4"/>
  <c r="D580" i="4"/>
  <c r="D573" i="4"/>
  <c r="D565" i="4"/>
  <c r="D549" i="4"/>
  <c r="D541" i="4"/>
  <c r="D533" i="4"/>
  <c r="D468" i="4"/>
  <c r="D421" i="4"/>
  <c r="D413" i="4"/>
  <c r="D405" i="4"/>
  <c r="D389" i="4"/>
  <c r="D381" i="4"/>
  <c r="D373" i="4"/>
  <c r="D349" i="4"/>
  <c r="D340" i="4"/>
  <c r="D324" i="4"/>
  <c r="D316" i="4"/>
  <c r="D308" i="4"/>
  <c r="D300" i="4"/>
  <c r="D292" i="4"/>
  <c r="D284" i="4"/>
  <c r="D276" i="4"/>
  <c r="D268" i="4"/>
  <c r="D260" i="4"/>
  <c r="D252" i="4"/>
  <c r="D244" i="4"/>
  <c r="D236" i="4"/>
  <c r="D228" i="4"/>
  <c r="D220" i="4"/>
  <c r="D212" i="4"/>
  <c r="D204" i="4"/>
  <c r="D124" i="4"/>
  <c r="D116" i="4"/>
  <c r="D108" i="4"/>
  <c r="D93" i="4"/>
  <c r="D85" i="4"/>
  <c r="D77" i="4"/>
  <c r="D61" i="4"/>
  <c r="D53" i="4"/>
  <c r="D45" i="4"/>
  <c r="D29" i="4"/>
  <c r="D1056" i="4"/>
  <c r="D800" i="4"/>
  <c r="D419" i="4"/>
  <c r="D197" i="4"/>
  <c r="D112" i="4"/>
  <c r="D1081" i="4"/>
  <c r="D1009" i="4"/>
  <c r="D753" i="4"/>
  <c r="D681" i="4"/>
  <c r="D545" i="4"/>
  <c r="D481" i="4"/>
  <c r="D6" i="4"/>
  <c r="D980" i="4"/>
  <c r="D872" i="4"/>
  <c r="D725" i="4"/>
  <c r="D1076" i="4"/>
  <c r="D820" i="4"/>
  <c r="D525" i="4"/>
  <c r="D999" i="4"/>
  <c r="D934" i="4"/>
  <c r="D743" i="4"/>
  <c r="D679" i="4"/>
  <c r="D615" i="4"/>
  <c r="D551" i="4"/>
  <c r="D487" i="4"/>
  <c r="D423" i="4"/>
  <c r="D295" i="4"/>
  <c r="D231" i="4"/>
  <c r="D167" i="4"/>
  <c r="D103" i="4"/>
  <c r="D39" i="4"/>
  <c r="D451" i="4"/>
  <c r="D365" i="4"/>
  <c r="D144" i="4"/>
  <c r="D83" i="4"/>
  <c r="D21" i="4"/>
  <c r="D1117" i="4"/>
  <c r="D1109" i="4"/>
  <c r="D1108" i="4"/>
  <c r="D1100" i="4"/>
  <c r="D1101" i="4"/>
  <c r="D1092" i="4"/>
  <c r="D1093" i="4"/>
  <c r="D1085" i="4"/>
  <c r="D1084" i="4"/>
  <c r="D1068" i="4"/>
  <c r="D1069" i="4"/>
  <c r="D1060" i="4"/>
  <c r="D1061" i="4"/>
  <c r="D1053" i="4"/>
  <c r="D1052" i="4"/>
  <c r="D1036" i="4"/>
  <c r="D1037" i="4"/>
  <c r="D1029" i="4"/>
  <c r="D1028" i="4"/>
  <c r="D1020" i="4"/>
  <c r="D1021" i="4"/>
  <c r="D877" i="4"/>
  <c r="D876" i="4"/>
  <c r="D868" i="4"/>
  <c r="D869" i="4"/>
  <c r="D845" i="4"/>
  <c r="D844" i="4"/>
  <c r="D837" i="4"/>
  <c r="D836" i="4"/>
  <c r="D812" i="4"/>
  <c r="D813" i="4"/>
  <c r="D805" i="4"/>
  <c r="D804" i="4"/>
  <c r="D749" i="4"/>
  <c r="D748" i="4"/>
  <c r="D741" i="4"/>
  <c r="D740" i="4"/>
  <c r="D732" i="4"/>
  <c r="D733" i="4"/>
  <c r="D701" i="4"/>
  <c r="D700" i="4"/>
  <c r="D685" i="4"/>
  <c r="D684" i="4"/>
  <c r="D676" i="4"/>
  <c r="D677" i="4"/>
  <c r="D517" i="4"/>
  <c r="D516" i="4"/>
  <c r="D509" i="4"/>
  <c r="D508" i="4"/>
  <c r="D501" i="4"/>
  <c r="D500" i="4"/>
  <c r="D485" i="4"/>
  <c r="D484" i="4"/>
  <c r="D477" i="4"/>
  <c r="D476" i="4"/>
  <c r="D453" i="4"/>
  <c r="D452" i="4"/>
  <c r="D444" i="4"/>
  <c r="D445" i="4"/>
  <c r="D437" i="4"/>
  <c r="D436" i="4"/>
  <c r="D357" i="4"/>
  <c r="D356" i="4"/>
  <c r="D189" i="4"/>
  <c r="D188" i="4"/>
  <c r="D181" i="4"/>
  <c r="D180" i="4"/>
  <c r="D173" i="4"/>
  <c r="D172" i="4"/>
  <c r="D157" i="4"/>
  <c r="D156" i="4"/>
  <c r="D148" i="4"/>
  <c r="D149" i="4"/>
  <c r="D141" i="4"/>
  <c r="D140" i="4"/>
  <c r="D38" i="4"/>
  <c r="D852" i="4"/>
  <c r="D1045" i="4"/>
  <c r="D100" i="4"/>
  <c r="D550" i="4"/>
  <c r="D1118" i="4"/>
  <c r="D1013" i="4"/>
  <c r="D860" i="4"/>
  <c r="D659" i="4"/>
  <c r="D595" i="4"/>
  <c r="D128" i="4"/>
  <c r="D67" i="4"/>
  <c r="D521" i="4"/>
  <c r="D17" i="4"/>
  <c r="D143" i="4"/>
  <c r="D439" i="4"/>
  <c r="D704" i="4"/>
  <c r="D1094" i="4"/>
  <c r="D966" i="4"/>
  <c r="D9" i="4"/>
  <c r="D69" i="4"/>
  <c r="D102" i="4"/>
  <c r="D175" i="4"/>
  <c r="D364" i="4"/>
  <c r="D524" i="4"/>
  <c r="D1077" i="4"/>
  <c r="D1005" i="4"/>
  <c r="D348" i="4"/>
  <c r="D275" i="4"/>
  <c r="D211" i="4"/>
  <c r="D841" i="4"/>
  <c r="D777" i="4"/>
  <c r="D569" i="4"/>
  <c r="D505" i="4"/>
  <c r="D344" i="4"/>
  <c r="D788" i="4"/>
  <c r="D643" i="4"/>
  <c r="D493" i="4"/>
  <c r="D323" i="4"/>
  <c r="D259" i="4"/>
  <c r="D13" i="4"/>
  <c r="D3" i="4"/>
  <c r="B137" i="4"/>
  <c r="B449" i="4"/>
  <c r="B441" i="4"/>
  <c r="B433" i="4"/>
  <c r="B425" i="4"/>
  <c r="B417" i="4"/>
  <c r="B409" i="4"/>
  <c r="B401" i="4"/>
  <c r="B385" i="4"/>
  <c r="B377" i="4"/>
  <c r="B369" i="4"/>
  <c r="B361" i="4"/>
  <c r="B353" i="4"/>
  <c r="B345" i="4"/>
  <c r="B337" i="4"/>
  <c r="B321" i="4"/>
  <c r="B313" i="4"/>
  <c r="B305" i="4"/>
  <c r="B297" i="4"/>
  <c r="B289" i="4"/>
  <c r="B281" i="4"/>
  <c r="B273" i="4"/>
  <c r="B257" i="4"/>
  <c r="B249" i="4"/>
  <c r="B241" i="4"/>
  <c r="B233" i="4"/>
  <c r="B225" i="4"/>
  <c r="B217" i="4"/>
  <c r="B209" i="4"/>
  <c r="B193" i="4"/>
  <c r="B185" i="4"/>
  <c r="B177" i="4"/>
  <c r="B169" i="4"/>
  <c r="B161" i="4"/>
  <c r="B153" i="4"/>
  <c r="B145" i="4"/>
  <c r="B129" i="4"/>
  <c r="B121" i="4"/>
  <c r="B113" i="4"/>
  <c r="B105" i="4"/>
  <c r="B97" i="4"/>
  <c r="B89" i="4"/>
  <c r="B81" i="4"/>
  <c r="B65" i="4"/>
  <c r="B57" i="4"/>
  <c r="B49" i="4"/>
  <c r="B41" i="4"/>
  <c r="B33" i="4"/>
  <c r="B25" i="4"/>
  <c r="B1033" i="4"/>
  <c r="B457" i="4"/>
  <c r="D466" i="4"/>
  <c r="B393" i="4"/>
  <c r="B265" i="4"/>
  <c r="D514" i="4"/>
  <c r="D1110" i="4"/>
  <c r="D1046" i="4"/>
  <c r="D523" i="4"/>
  <c r="D459" i="4"/>
  <c r="D395" i="4"/>
  <c r="D331" i="4"/>
  <c r="D267" i="4"/>
  <c r="D203" i="4"/>
  <c r="D139" i="4"/>
  <c r="D75" i="4"/>
  <c r="D1102" i="4"/>
  <c r="D1038" i="4"/>
  <c r="D974" i="4"/>
  <c r="D19" i="4"/>
  <c r="D667" i="4"/>
  <c r="D539" i="4"/>
  <c r="D411" i="4"/>
  <c r="D283" i="4"/>
  <c r="D219" i="4"/>
  <c r="D155" i="4"/>
  <c r="D91" i="4"/>
  <c r="D27" i="4"/>
  <c r="D1086" i="4"/>
  <c r="D958" i="4"/>
  <c r="D11" i="4"/>
  <c r="D611" i="4"/>
  <c r="D547" i="4"/>
  <c r="D483" i="4"/>
  <c r="D291" i="4"/>
  <c r="D227" i="4"/>
  <c r="D163" i="4"/>
  <c r="D99" i="4"/>
  <c r="D35" i="4"/>
  <c r="D1078" i="4"/>
  <c r="D950" i="4"/>
  <c r="D1124" i="4"/>
  <c r="D1040" i="4"/>
  <c r="D555" i="4"/>
  <c r="D491" i="4"/>
  <c r="D427" i="4"/>
  <c r="D299" i="4"/>
  <c r="D235" i="4"/>
  <c r="D171" i="4"/>
  <c r="D107" i="4"/>
  <c r="D43" i="4"/>
  <c r="D1070" i="4"/>
  <c r="D1006" i="4"/>
  <c r="D627" i="4"/>
  <c r="D563" i="4"/>
  <c r="D498" i="4"/>
  <c r="D435" i="4"/>
  <c r="D371" i="4"/>
  <c r="D307" i="4"/>
  <c r="D243" i="4"/>
  <c r="D51" i="4"/>
  <c r="D1062" i="4"/>
  <c r="D998" i="4"/>
  <c r="D379" i="4"/>
  <c r="D315" i="4"/>
  <c r="D251" i="4"/>
  <c r="D1054" i="4"/>
  <c r="D990" i="4"/>
  <c r="D14" i="4"/>
  <c r="D7" i="4"/>
  <c r="D515" i="4"/>
  <c r="D1071" i="4"/>
  <c r="D1072" i="4"/>
  <c r="D1007" i="4"/>
  <c r="D1008" i="4"/>
  <c r="D944" i="4"/>
  <c r="D943" i="4"/>
  <c r="D935" i="4"/>
  <c r="D1079" i="4"/>
  <c r="D1080" i="4"/>
  <c r="D1015" i="4"/>
  <c r="D1016" i="4"/>
  <c r="D1087" i="4"/>
  <c r="D1088" i="4"/>
  <c r="D1023" i="4"/>
  <c r="D1024" i="4"/>
  <c r="D1095" i="4"/>
  <c r="D1096" i="4"/>
  <c r="D1031" i="4"/>
  <c r="D1032" i="4"/>
  <c r="D1103" i="4"/>
  <c r="D1104" i="4"/>
  <c r="D976" i="4"/>
  <c r="D975" i="4"/>
  <c r="D1063" i="4"/>
  <c r="D1064" i="4"/>
  <c r="D1111" i="4"/>
  <c r="D1112" i="4"/>
  <c r="D1048" i="4"/>
  <c r="D1047" i="4"/>
  <c r="D1119" i="4"/>
  <c r="D1120" i="4"/>
  <c r="D1055" i="4"/>
  <c r="D992" i="4"/>
  <c r="D991" i="4"/>
  <c r="D474" i="4"/>
  <c r="D1114" i="4"/>
  <c r="D1106" i="4"/>
  <c r="D1098" i="4"/>
  <c r="D1090" i="4"/>
  <c r="D1082" i="4"/>
  <c r="D1074" i="4"/>
  <c r="D1066" i="4"/>
  <c r="D1058" i="4"/>
  <c r="D1050" i="4"/>
  <c r="D1042" i="4"/>
  <c r="D1027" i="4"/>
  <c r="D1018" i="4"/>
  <c r="D1010" i="4"/>
  <c r="D1002" i="4"/>
  <c r="D995" i="4"/>
  <c r="D987" i="4"/>
  <c r="D979" i="4"/>
  <c r="D971" i="4"/>
  <c r="D963" i="4"/>
  <c r="D955" i="4"/>
  <c r="D947" i="4"/>
  <c r="D939" i="4"/>
  <c r="D930" i="4"/>
  <c r="D923" i="4"/>
  <c r="D915" i="4"/>
  <c r="D907" i="4"/>
  <c r="D826" i="4"/>
  <c r="D818" i="4"/>
  <c r="D810" i="4"/>
  <c r="D802" i="4"/>
  <c r="D794" i="4"/>
  <c r="D786" i="4"/>
  <c r="D779" i="4"/>
  <c r="D763" i="4"/>
  <c r="D747" i="4"/>
  <c r="D739" i="4"/>
  <c r="D731" i="4"/>
  <c r="D723" i="4"/>
  <c r="D715" i="4"/>
  <c r="D699" i="4"/>
  <c r="D691" i="4"/>
  <c r="D570" i="4"/>
  <c r="D506" i="4"/>
  <c r="B1122" i="4"/>
  <c r="B1121" i="4"/>
  <c r="D562" i="4"/>
  <c r="D730" i="4"/>
  <c r="D922" i="4"/>
  <c r="D1075" i="4"/>
  <c r="D1011" i="4"/>
  <c r="D554" i="4"/>
  <c r="D690" i="4"/>
  <c r="D698" i="4"/>
  <c r="D778" i="4"/>
  <c r="D946" i="4"/>
  <c r="D962" i="4"/>
  <c r="D986" i="4"/>
  <c r="D1067" i="4"/>
  <c r="D1003" i="4"/>
  <c r="D18" i="4"/>
  <c r="D546" i="4"/>
  <c r="D722" i="4"/>
  <c r="D914" i="4"/>
  <c r="D978" i="4"/>
  <c r="D1099" i="4"/>
  <c r="D1059" i="4"/>
  <c r="D74" i="4"/>
  <c r="D330" i="4"/>
  <c r="D482" i="4"/>
  <c r="D538" i="4"/>
  <c r="D762" i="4"/>
  <c r="D938" i="4"/>
  <c r="D1139" i="4"/>
  <c r="D1051" i="4"/>
  <c r="D10" i="4"/>
  <c r="D714" i="4"/>
  <c r="D1043" i="4"/>
  <c r="D530" i="4"/>
  <c r="D906" i="4"/>
  <c r="D954" i="4"/>
  <c r="D970" i="4"/>
  <c r="D1115" i="4"/>
  <c r="D1091" i="4"/>
  <c r="D1035" i="4"/>
  <c r="D109" i="4"/>
  <c r="D117" i="4"/>
  <c r="D214" i="4"/>
  <c r="D213" i="4"/>
  <c r="D127" i="4"/>
  <c r="D126" i="4"/>
  <c r="D131" i="4"/>
  <c r="D135" i="4"/>
  <c r="D134" i="4"/>
  <c r="D111" i="4"/>
  <c r="D115" i="4"/>
  <c r="D119" i="4"/>
  <c r="D123" i="4"/>
  <c r="D4" i="4"/>
  <c r="D8" i="4"/>
  <c r="D12" i="4"/>
  <c r="D16" i="4"/>
  <c r="D20" i="4"/>
  <c r="D24" i="4"/>
  <c r="D28" i="4"/>
  <c r="D32" i="4"/>
  <c r="D36" i="4"/>
  <c r="D40" i="4"/>
  <c r="D44" i="4"/>
  <c r="D48" i="4"/>
  <c r="D52" i="4"/>
  <c r="D56" i="4"/>
  <c r="D60" i="4"/>
  <c r="D64" i="4"/>
  <c r="D68" i="4"/>
  <c r="D72" i="4"/>
  <c r="D76" i="4"/>
  <c r="D80" i="4"/>
  <c r="D84" i="4"/>
  <c r="D88" i="4"/>
  <c r="D92" i="4"/>
  <c r="D125" i="4"/>
  <c r="D142" i="4"/>
  <c r="D150" i="4"/>
  <c r="D158" i="4"/>
  <c r="D166" i="4"/>
  <c r="D174" i="4"/>
  <c r="D182" i="4"/>
  <c r="D190" i="4"/>
  <c r="D198" i="4"/>
  <c r="D202" i="4"/>
  <c r="D206" i="4"/>
  <c r="D230" i="4"/>
  <c r="D229" i="4"/>
  <c r="D238" i="4"/>
  <c r="D237" i="4"/>
  <c r="D246" i="4"/>
  <c r="D245" i="4"/>
  <c r="D254" i="4"/>
  <c r="D253" i="4"/>
  <c r="D262" i="4"/>
  <c r="D261" i="4"/>
  <c r="D270" i="4"/>
  <c r="D269" i="4"/>
  <c r="D278" i="4"/>
  <c r="D277" i="4"/>
  <c r="D286" i="4"/>
  <c r="D285" i="4"/>
  <c r="D294" i="4"/>
  <c r="D293" i="4"/>
  <c r="D302" i="4"/>
  <c r="D301" i="4"/>
  <c r="D222" i="4"/>
  <c r="D221" i="4"/>
  <c r="D309" i="4"/>
  <c r="D317" i="4"/>
  <c r="D325" i="4"/>
  <c r="D329" i="4"/>
  <c r="D333" i="4"/>
  <c r="D341" i="4"/>
  <c r="D350" i="4"/>
  <c r="D358" i="4"/>
  <c r="D366" i="4"/>
  <c r="D374" i="4"/>
  <c r="D382" i="4"/>
  <c r="D390" i="4"/>
  <c r="D398" i="4"/>
  <c r="D406" i="4"/>
  <c r="D414" i="4"/>
  <c r="D422" i="4"/>
  <c r="D430" i="4"/>
  <c r="D438" i="4"/>
  <c r="D446" i="4"/>
  <c r="D454" i="4"/>
  <c r="D462" i="4"/>
  <c r="D486" i="4"/>
  <c r="D467" i="4"/>
  <c r="D469" i="4"/>
  <c r="D475" i="4"/>
  <c r="D492" i="4"/>
  <c r="D528" i="4"/>
  <c r="D536" i="4"/>
  <c r="D544" i="4"/>
  <c r="D552" i="4"/>
  <c r="D560" i="4"/>
  <c r="D568" i="4"/>
  <c r="D576" i="4"/>
  <c r="D347" i="4"/>
  <c r="D351" i="4"/>
  <c r="D355" i="4"/>
  <c r="D359" i="4"/>
  <c r="D363" i="4"/>
  <c r="D578" i="4"/>
  <c r="D577" i="4"/>
  <c r="D372" i="4"/>
  <c r="D376" i="4"/>
  <c r="D380" i="4"/>
  <c r="D384" i="4"/>
  <c r="D388" i="4"/>
  <c r="D392" i="4"/>
  <c r="D396" i="4"/>
  <c r="D400" i="4"/>
  <c r="D404" i="4"/>
  <c r="D408" i="4"/>
  <c r="D412" i="4"/>
  <c r="D416" i="4"/>
  <c r="D420" i="4"/>
  <c r="D424" i="4"/>
  <c r="D428" i="4"/>
  <c r="D432" i="4"/>
  <c r="D470" i="4"/>
  <c r="D490" i="4"/>
  <c r="D471" i="4"/>
  <c r="D473" i="4"/>
  <c r="D494" i="4"/>
  <c r="D532" i="4"/>
  <c r="D540" i="4"/>
  <c r="D548" i="4"/>
  <c r="D556" i="4"/>
  <c r="D564" i="4"/>
  <c r="D572" i="4"/>
  <c r="D495" i="4"/>
  <c r="D522" i="4"/>
  <c r="D625" i="4"/>
  <c r="D626" i="4"/>
  <c r="D629" i="4"/>
  <c r="D630" i="4"/>
  <c r="D633" i="4"/>
  <c r="D634" i="4"/>
  <c r="D637" i="4"/>
  <c r="D638" i="4"/>
  <c r="D641" i="4"/>
  <c r="D642" i="4"/>
  <c r="D646" i="4"/>
  <c r="D645" i="4"/>
  <c r="D765" i="4"/>
  <c r="D766" i="4"/>
  <c r="D682" i="4"/>
  <c r="D683" i="4"/>
  <c r="D582" i="4"/>
  <c r="D581" i="4"/>
  <c r="D586" i="4"/>
  <c r="D585" i="4"/>
  <c r="D590" i="4"/>
  <c r="D589" i="4"/>
  <c r="D594" i="4"/>
  <c r="D593" i="4"/>
  <c r="D598" i="4"/>
  <c r="D597" i="4"/>
  <c r="D602" i="4"/>
  <c r="D601" i="4"/>
  <c r="D606" i="4"/>
  <c r="D605" i="4"/>
  <c r="D610" i="4"/>
  <c r="D609" i="4"/>
  <c r="D614" i="4"/>
  <c r="D613" i="4"/>
  <c r="D618" i="4"/>
  <c r="D617" i="4"/>
  <c r="D662" i="4"/>
  <c r="D661" i="4"/>
  <c r="D650" i="4"/>
  <c r="D649" i="4"/>
  <c r="D670" i="4"/>
  <c r="D669" i="4"/>
  <c r="D674" i="4"/>
  <c r="D675" i="4"/>
  <c r="D654" i="4"/>
  <c r="D653" i="4"/>
  <c r="D658" i="4"/>
  <c r="D657" i="4"/>
  <c r="D735" i="4"/>
  <c r="D736" i="4"/>
  <c r="D619" i="4"/>
  <c r="D621" i="4"/>
  <c r="D666" i="4"/>
  <c r="D665" i="4"/>
  <c r="D757" i="4"/>
  <c r="D758" i="4"/>
  <c r="D772" i="4"/>
  <c r="D773" i="4"/>
  <c r="D686" i="4"/>
  <c r="D724" i="4"/>
  <c r="D744" i="4"/>
  <c r="D752" i="4"/>
  <c r="D678" i="4"/>
  <c r="D708" i="4"/>
  <c r="D707" i="4"/>
  <c r="D796" i="4"/>
  <c r="D797" i="4"/>
  <c r="D816" i="4"/>
  <c r="D817" i="4"/>
  <c r="D828" i="4"/>
  <c r="D829" i="4"/>
  <c r="D693" i="4"/>
  <c r="D780" i="4"/>
  <c r="D781" i="4"/>
  <c r="D706" i="4"/>
  <c r="D770" i="4"/>
  <c r="D771" i="4"/>
  <c r="D821" i="4"/>
  <c r="D754" i="4"/>
  <c r="D809" i="4"/>
  <c r="D734" i="4"/>
  <c r="D738" i="4"/>
  <c r="D742" i="4"/>
  <c r="D746" i="4"/>
  <c r="D750" i="4"/>
  <c r="D768" i="4"/>
  <c r="D769" i="4"/>
  <c r="D720" i="4"/>
  <c r="D728" i="4"/>
  <c r="D756" i="4"/>
  <c r="D764" i="4"/>
  <c r="D710" i="4"/>
  <c r="D713" i="4"/>
  <c r="D717" i="4"/>
  <c r="D835" i="4"/>
  <c r="D834" i="4"/>
  <c r="D783" i="4"/>
  <c r="D787" i="4"/>
  <c r="D791" i="4"/>
  <c r="D795" i="4"/>
  <c r="D799" i="4"/>
  <c r="D803" i="4"/>
  <c r="D807" i="4"/>
  <c r="D811" i="4"/>
  <c r="D815" i="4"/>
  <c r="D819" i="4"/>
  <c r="D823" i="4"/>
  <c r="D827" i="4"/>
  <c r="D831" i="4"/>
  <c r="D839" i="4"/>
  <c r="D838" i="4"/>
  <c r="D775" i="4"/>
  <c r="D909" i="4"/>
  <c r="D908" i="4"/>
  <c r="D880" i="4"/>
  <c r="D881" i="4"/>
  <c r="D884" i="4"/>
  <c r="D885" i="4"/>
  <c r="D888" i="4"/>
  <c r="D889" i="4"/>
  <c r="D892" i="4"/>
  <c r="D893" i="4"/>
  <c r="D896" i="4"/>
  <c r="D897" i="4"/>
  <c r="D901" i="4"/>
  <c r="D900" i="4"/>
  <c r="D843" i="4"/>
  <c r="D842" i="4"/>
  <c r="D847" i="4"/>
  <c r="D846" i="4"/>
  <c r="D878" i="4"/>
  <c r="D879" i="4"/>
  <c r="D882" i="4"/>
  <c r="D883" i="4"/>
  <c r="D886" i="4"/>
  <c r="D887" i="4"/>
  <c r="D890" i="4"/>
  <c r="D891" i="4"/>
  <c r="D894" i="4"/>
  <c r="D895" i="4"/>
  <c r="D898" i="4"/>
  <c r="D899" i="4"/>
  <c r="D851" i="4"/>
  <c r="D850" i="4"/>
  <c r="D855" i="4"/>
  <c r="D854" i="4"/>
  <c r="D859" i="4"/>
  <c r="D858" i="4"/>
  <c r="D863" i="4"/>
  <c r="D862" i="4"/>
  <c r="D867" i="4"/>
  <c r="D866" i="4"/>
  <c r="D871" i="4"/>
  <c r="D870" i="4"/>
  <c r="D875" i="4"/>
  <c r="D874" i="4"/>
  <c r="D905" i="4"/>
  <c r="D904" i="4"/>
  <c r="D931" i="4"/>
  <c r="D913" i="4"/>
  <c r="D912" i="4"/>
  <c r="D917" i="4"/>
  <c r="D916" i="4"/>
  <c r="D924" i="4"/>
  <c r="D932" i="4"/>
  <c r="D940" i="4"/>
  <c r="D956" i="4"/>
  <c r="D957" i="4"/>
  <c r="D964" i="4"/>
  <c r="D965" i="4"/>
  <c r="D972" i="4"/>
  <c r="D973" i="4"/>
  <c r="D948" i="4"/>
  <c r="D949" i="4"/>
  <c r="D925" i="4"/>
  <c r="D933" i="4"/>
  <c r="D941" i="4"/>
  <c r="D952" i="4"/>
  <c r="D953" i="4"/>
  <c r="D942" i="4"/>
  <c r="D960" i="4"/>
  <c r="D961" i="4"/>
  <c r="D968" i="4"/>
  <c r="D969" i="4"/>
  <c r="D945" i="4"/>
  <c r="D977" i="4"/>
  <c r="D981" i="4"/>
  <c r="D985" i="4"/>
  <c r="D989" i="4"/>
  <c r="D993" i="4"/>
  <c r="D997" i="4"/>
  <c r="L934" i="4" l="1"/>
  <c r="L938" i="4"/>
  <c r="L942" i="4"/>
  <c r="L946" i="4"/>
  <c r="P946" i="4" s="1"/>
  <c r="L950" i="4"/>
  <c r="P950" i="4" s="1"/>
  <c r="L954" i="4"/>
  <c r="P954" i="4" s="1"/>
  <c r="L958" i="4"/>
  <c r="P958" i="4" s="1"/>
  <c r="L962" i="4"/>
  <c r="P962" i="4" s="1"/>
  <c r="L966" i="4"/>
  <c r="P966" i="4" s="1"/>
  <c r="L970" i="4"/>
  <c r="P970" i="4" s="1"/>
  <c r="L974" i="4"/>
  <c r="P974" i="4" s="1"/>
  <c r="L978" i="4"/>
  <c r="P978" i="4" s="1"/>
  <c r="L982" i="4"/>
  <c r="P982" i="4" s="1"/>
  <c r="L986" i="4"/>
  <c r="P986" i="4" s="1"/>
  <c r="L990" i="4"/>
  <c r="P990" i="4" s="1"/>
  <c r="L994" i="4"/>
  <c r="P994" i="4" s="1"/>
  <c r="L998" i="4"/>
  <c r="P998" i="4" s="1"/>
  <c r="L1002" i="4"/>
  <c r="P1002" i="4" s="1"/>
  <c r="L1006" i="4"/>
  <c r="P1006" i="4" s="1"/>
  <c r="L1010" i="4"/>
  <c r="P1010" i="4" s="1"/>
  <c r="L1014" i="4"/>
  <c r="P1014" i="4" s="1"/>
  <c r="L1018" i="4"/>
  <c r="P1018" i="4" s="1"/>
  <c r="L1022" i="4"/>
  <c r="P1022" i="4" s="1"/>
  <c r="L1026" i="4"/>
  <c r="P1026" i="4" s="1"/>
  <c r="L1030" i="4"/>
  <c r="P1030" i="4" s="1"/>
  <c r="L1034" i="4"/>
  <c r="P1034" i="4" s="1"/>
  <c r="L1038" i="4"/>
  <c r="P1038" i="4" s="1"/>
  <c r="L1042" i="4"/>
  <c r="P1042" i="4" s="1"/>
  <c r="L1046" i="4"/>
  <c r="P1046" i="4" s="1"/>
  <c r="L1050" i="4"/>
  <c r="P1050" i="4" s="1"/>
  <c r="L1054" i="4"/>
  <c r="P1054" i="4" s="1"/>
  <c r="L1058" i="4"/>
  <c r="P1058" i="4" s="1"/>
  <c r="L931" i="4"/>
  <c r="L935" i="4"/>
  <c r="L939" i="4"/>
  <c r="L943" i="4"/>
  <c r="P943" i="4" s="1"/>
  <c r="L947" i="4"/>
  <c r="P947" i="4" s="1"/>
  <c r="L951" i="4"/>
  <c r="P951" i="4" s="1"/>
  <c r="L955" i="4"/>
  <c r="P955" i="4" s="1"/>
  <c r="L959" i="4"/>
  <c r="P959" i="4" s="1"/>
  <c r="L963" i="4"/>
  <c r="P963" i="4" s="1"/>
  <c r="L967" i="4"/>
  <c r="P967" i="4" s="1"/>
  <c r="L971" i="4"/>
  <c r="P971" i="4" s="1"/>
  <c r="L975" i="4"/>
  <c r="P975" i="4" s="1"/>
  <c r="L979" i="4"/>
  <c r="P979" i="4" s="1"/>
  <c r="L983" i="4"/>
  <c r="P983" i="4" s="1"/>
  <c r="L987" i="4"/>
  <c r="P987" i="4" s="1"/>
  <c r="L991" i="4"/>
  <c r="P991" i="4" s="1"/>
  <c r="L995" i="4"/>
  <c r="P995" i="4" s="1"/>
  <c r="L999" i="4"/>
  <c r="P999" i="4" s="1"/>
  <c r="L1003" i="4"/>
  <c r="P1003" i="4" s="1"/>
  <c r="L1007" i="4"/>
  <c r="P1007" i="4" s="1"/>
  <c r="L1011" i="4"/>
  <c r="P1011" i="4" s="1"/>
  <c r="L1015" i="4"/>
  <c r="P1015" i="4" s="1"/>
  <c r="L932" i="4"/>
  <c r="L936" i="4"/>
  <c r="L940" i="4"/>
  <c r="L944" i="4"/>
  <c r="P944" i="4" s="1"/>
  <c r="L948" i="4"/>
  <c r="P948" i="4" s="1"/>
  <c r="L952" i="4"/>
  <c r="P952" i="4" s="1"/>
  <c r="L956" i="4"/>
  <c r="P956" i="4" s="1"/>
  <c r="L960" i="4"/>
  <c r="P960" i="4" s="1"/>
  <c r="L964" i="4"/>
  <c r="P964" i="4" s="1"/>
  <c r="L968" i="4"/>
  <c r="P968" i="4" s="1"/>
  <c r="L972" i="4"/>
  <c r="P972" i="4" s="1"/>
  <c r="L976" i="4"/>
  <c r="P976" i="4" s="1"/>
  <c r="L980" i="4"/>
  <c r="P980" i="4" s="1"/>
  <c r="L984" i="4"/>
  <c r="P984" i="4" s="1"/>
  <c r="L988" i="4"/>
  <c r="P988" i="4" s="1"/>
  <c r="L992" i="4"/>
  <c r="P992" i="4" s="1"/>
  <c r="L996" i="4"/>
  <c r="P996" i="4" s="1"/>
  <c r="L1000" i="4"/>
  <c r="P1000" i="4" s="1"/>
  <c r="L1004" i="4"/>
  <c r="P1004" i="4" s="1"/>
  <c r="L1008" i="4"/>
  <c r="P1008" i="4" s="1"/>
  <c r="L1012" i="4"/>
  <c r="P1012" i="4" s="1"/>
  <c r="L1016" i="4"/>
  <c r="P1016" i="4" s="1"/>
  <c r="L1020" i="4"/>
  <c r="P1020" i="4" s="1"/>
  <c r="L933" i="4"/>
  <c r="L965" i="4"/>
  <c r="P965" i="4" s="1"/>
  <c r="L997" i="4"/>
  <c r="P997" i="4" s="1"/>
  <c r="L1021" i="4"/>
  <c r="P1021" i="4" s="1"/>
  <c r="L1029" i="4"/>
  <c r="P1029" i="4" s="1"/>
  <c r="L1037" i="4"/>
  <c r="P1037" i="4" s="1"/>
  <c r="L1045" i="4"/>
  <c r="P1045" i="4" s="1"/>
  <c r="L1053" i="4"/>
  <c r="P1053" i="4" s="1"/>
  <c r="L1061" i="4"/>
  <c r="P1061" i="4" s="1"/>
  <c r="L1067" i="4"/>
  <c r="P1067" i="4" s="1"/>
  <c r="L1074" i="4"/>
  <c r="P1074" i="4" s="1"/>
  <c r="L1080" i="4"/>
  <c r="P1080" i="4" s="1"/>
  <c r="L1093" i="4"/>
  <c r="P1093" i="4" s="1"/>
  <c r="L1099" i="4"/>
  <c r="P1099" i="4" s="1"/>
  <c r="L1106" i="4"/>
  <c r="P1106" i="4" s="1"/>
  <c r="L1117" i="4"/>
  <c r="P1117" i="4" s="1"/>
  <c r="L1126" i="4"/>
  <c r="P1126" i="4" s="1"/>
  <c r="L1135" i="4"/>
  <c r="P1135" i="4" s="1"/>
  <c r="L1144" i="4"/>
  <c r="P1144" i="4" s="1"/>
  <c r="L1149" i="4"/>
  <c r="P1149" i="4" s="1"/>
  <c r="L937" i="4"/>
  <c r="L969" i="4"/>
  <c r="P969" i="4" s="1"/>
  <c r="L1001" i="4"/>
  <c r="P1001" i="4" s="1"/>
  <c r="L1062" i="4"/>
  <c r="P1062" i="4" s="1"/>
  <c r="L1068" i="4"/>
  <c r="P1068" i="4" s="1"/>
  <c r="L1081" i="4"/>
  <c r="P1081" i="4" s="1"/>
  <c r="L1087" i="4"/>
  <c r="P1087" i="4" s="1"/>
  <c r="L1094" i="4"/>
  <c r="P1094" i="4" s="1"/>
  <c r="L1100" i="4"/>
  <c r="P1100" i="4" s="1"/>
  <c r="L1112" i="4"/>
  <c r="P1112" i="4" s="1"/>
  <c r="L1122" i="4"/>
  <c r="P1122" i="4" s="1"/>
  <c r="L1131" i="4"/>
  <c r="P1131" i="4" s="1"/>
  <c r="L1140" i="4"/>
  <c r="P1140" i="4" s="1"/>
  <c r="L1145" i="4"/>
  <c r="P1145" i="4" s="1"/>
  <c r="L941" i="4"/>
  <c r="L973" i="4"/>
  <c r="P973" i="4" s="1"/>
  <c r="L1005" i="4"/>
  <c r="P1005" i="4" s="1"/>
  <c r="L1023" i="4"/>
  <c r="P1023" i="4" s="1"/>
  <c r="L1031" i="4"/>
  <c r="P1031" i="4" s="1"/>
  <c r="L1039" i="4"/>
  <c r="P1039" i="4" s="1"/>
  <c r="L1047" i="4"/>
  <c r="P1047" i="4" s="1"/>
  <c r="L1055" i="4"/>
  <c r="P1055" i="4" s="1"/>
  <c r="L1069" i="4"/>
  <c r="P1069" i="4" s="1"/>
  <c r="L1075" i="4"/>
  <c r="P1075" i="4" s="1"/>
  <c r="L1082" i="4"/>
  <c r="P1082" i="4" s="1"/>
  <c r="L1088" i="4"/>
  <c r="P1088" i="4" s="1"/>
  <c r="L1101" i="4"/>
  <c r="P1101" i="4" s="1"/>
  <c r="L1107" i="4"/>
  <c r="P1107" i="4" s="1"/>
  <c r="L1113" i="4"/>
  <c r="P1113" i="4" s="1"/>
  <c r="L1118" i="4"/>
  <c r="P1118" i="4" s="1"/>
  <c r="L1127" i="4"/>
  <c r="P1127" i="4" s="1"/>
  <c r="L1136" i="4"/>
  <c r="P1136" i="4" s="1"/>
  <c r="L1141" i="4"/>
  <c r="P1141" i="4" s="1"/>
  <c r="L945" i="4"/>
  <c r="P945" i="4" s="1"/>
  <c r="L977" i="4"/>
  <c r="P977" i="4" s="1"/>
  <c r="L1009" i="4"/>
  <c r="P1009" i="4" s="1"/>
  <c r="L1024" i="4"/>
  <c r="P1024" i="4" s="1"/>
  <c r="L1032" i="4"/>
  <c r="P1032" i="4" s="1"/>
  <c r="L1040" i="4"/>
  <c r="P1040" i="4" s="1"/>
  <c r="L1048" i="4"/>
  <c r="P1048" i="4" s="1"/>
  <c r="L1056" i="4"/>
  <c r="P1056" i="4" s="1"/>
  <c r="L1063" i="4"/>
  <c r="P1063" i="4" s="1"/>
  <c r="L1070" i="4"/>
  <c r="P1070" i="4" s="1"/>
  <c r="L1076" i="4"/>
  <c r="P1076" i="4" s="1"/>
  <c r="L1089" i="4"/>
  <c r="P1089" i="4" s="1"/>
  <c r="L1095" i="4"/>
  <c r="P1095" i="4" s="1"/>
  <c r="L1102" i="4"/>
  <c r="P1102" i="4" s="1"/>
  <c r="L1108" i="4"/>
  <c r="P1108" i="4" s="1"/>
  <c r="L1114" i="4"/>
  <c r="P1114" i="4" s="1"/>
  <c r="L1123" i="4"/>
  <c r="P1123" i="4" s="1"/>
  <c r="L1132" i="4"/>
  <c r="P1132" i="4" s="1"/>
  <c r="L1137" i="4"/>
  <c r="P1137" i="4" s="1"/>
  <c r="L1146" i="4"/>
  <c r="P1146" i="4" s="1"/>
  <c r="L949" i="4"/>
  <c r="P949" i="4" s="1"/>
  <c r="L981" i="4"/>
  <c r="P981" i="4" s="1"/>
  <c r="L1013" i="4"/>
  <c r="P1013" i="4" s="1"/>
  <c r="L1025" i="4"/>
  <c r="P1025" i="4" s="1"/>
  <c r="L1033" i="4"/>
  <c r="P1033" i="4" s="1"/>
  <c r="L1041" i="4"/>
  <c r="P1041" i="4" s="1"/>
  <c r="L1049" i="4"/>
  <c r="P1049" i="4" s="1"/>
  <c r="L1057" i="4"/>
  <c r="P1057" i="4" s="1"/>
  <c r="L1064" i="4"/>
  <c r="P1064" i="4" s="1"/>
  <c r="L1077" i="4"/>
  <c r="P1077" i="4" s="1"/>
  <c r="L1083" i="4"/>
  <c r="P1083" i="4" s="1"/>
  <c r="L1090" i="4"/>
  <c r="P1090" i="4" s="1"/>
  <c r="L1096" i="4"/>
  <c r="P1096" i="4" s="1"/>
  <c r="L1109" i="4"/>
  <c r="P1109" i="4" s="1"/>
  <c r="L1119" i="4"/>
  <c r="P1119" i="4" s="1"/>
  <c r="L1128" i="4"/>
  <c r="P1128" i="4" s="1"/>
  <c r="L1133" i="4"/>
  <c r="P1133" i="4" s="1"/>
  <c r="L1142" i="4"/>
  <c r="P1142" i="4" s="1"/>
  <c r="L1151" i="4"/>
  <c r="P1151" i="4" s="1"/>
  <c r="L1073" i="4"/>
  <c r="P1073" i="4" s="1"/>
  <c r="L1092" i="4"/>
  <c r="P1092" i="4" s="1"/>
  <c r="L1105" i="4"/>
  <c r="P1105" i="4" s="1"/>
  <c r="L1116" i="4"/>
  <c r="P1116" i="4" s="1"/>
  <c r="L953" i="4"/>
  <c r="P953" i="4" s="1"/>
  <c r="L985" i="4"/>
  <c r="P985" i="4" s="1"/>
  <c r="L1017" i="4"/>
  <c r="P1017" i="4" s="1"/>
  <c r="L1065" i="4"/>
  <c r="P1065" i="4" s="1"/>
  <c r="L1071" i="4"/>
  <c r="P1071" i="4" s="1"/>
  <c r="L1078" i="4"/>
  <c r="P1078" i="4" s="1"/>
  <c r="L1084" i="4"/>
  <c r="P1084" i="4" s="1"/>
  <c r="L1097" i="4"/>
  <c r="P1097" i="4" s="1"/>
  <c r="L1103" i="4"/>
  <c r="P1103" i="4" s="1"/>
  <c r="L1110" i="4"/>
  <c r="P1110" i="4" s="1"/>
  <c r="L1115" i="4"/>
  <c r="P1115" i="4" s="1"/>
  <c r="L1124" i="4"/>
  <c r="P1124" i="4" s="1"/>
  <c r="L1129" i="4"/>
  <c r="P1129" i="4" s="1"/>
  <c r="L1138" i="4"/>
  <c r="P1138" i="4" s="1"/>
  <c r="L1147" i="4"/>
  <c r="P1147" i="4" s="1"/>
  <c r="L957" i="4"/>
  <c r="P957" i="4" s="1"/>
  <c r="L989" i="4"/>
  <c r="P989" i="4" s="1"/>
  <c r="L1027" i="4"/>
  <c r="P1027" i="4" s="1"/>
  <c r="L1035" i="4"/>
  <c r="P1035" i="4" s="1"/>
  <c r="L1043" i="4"/>
  <c r="P1043" i="4" s="1"/>
  <c r="L1051" i="4"/>
  <c r="P1051" i="4" s="1"/>
  <c r="L1059" i="4"/>
  <c r="P1059" i="4" s="1"/>
  <c r="L1066" i="4"/>
  <c r="P1066" i="4" s="1"/>
  <c r="L1072" i="4"/>
  <c r="P1072" i="4" s="1"/>
  <c r="L1085" i="4"/>
  <c r="P1085" i="4" s="1"/>
  <c r="L1091" i="4"/>
  <c r="P1091" i="4" s="1"/>
  <c r="L1098" i="4"/>
  <c r="P1098" i="4" s="1"/>
  <c r="L1104" i="4"/>
  <c r="P1104" i="4" s="1"/>
  <c r="L1120" i="4"/>
  <c r="P1120" i="4" s="1"/>
  <c r="L1125" i="4"/>
  <c r="P1125" i="4" s="1"/>
  <c r="L1134" i="4"/>
  <c r="P1134" i="4" s="1"/>
  <c r="L1143" i="4"/>
  <c r="P1143" i="4" s="1"/>
  <c r="L961" i="4"/>
  <c r="P961" i="4" s="1"/>
  <c r="L993" i="4"/>
  <c r="P993" i="4" s="1"/>
  <c r="L1019" i="4"/>
  <c r="P1019" i="4" s="1"/>
  <c r="L1028" i="4"/>
  <c r="P1028" i="4" s="1"/>
  <c r="L1036" i="4"/>
  <c r="P1036" i="4" s="1"/>
  <c r="L1044" i="4"/>
  <c r="P1044" i="4" s="1"/>
  <c r="L1052" i="4"/>
  <c r="P1052" i="4" s="1"/>
  <c r="L1060" i="4"/>
  <c r="P1060" i="4" s="1"/>
  <c r="L1079" i="4"/>
  <c r="P1079" i="4" s="1"/>
  <c r="L1086" i="4"/>
  <c r="P1086" i="4" s="1"/>
  <c r="L1111" i="4"/>
  <c r="P1111" i="4" s="1"/>
  <c r="L1121" i="4"/>
  <c r="P1121" i="4" s="1"/>
  <c r="L1130" i="4"/>
  <c r="P1130" i="4" s="1"/>
  <c r="L1139" i="4"/>
  <c r="P1139" i="4" s="1"/>
  <c r="L1148" i="4"/>
  <c r="P1148" i="4" s="1"/>
  <c r="L1150" i="4"/>
  <c r="P1150" i="4" s="1"/>
  <c r="L1152" i="4"/>
  <c r="P1152" i="4" s="1"/>
  <c r="H1044" i="4"/>
  <c r="H953" i="4"/>
  <c r="H1018" i="4"/>
  <c r="H1115" i="4"/>
  <c r="H1116" i="4"/>
  <c r="H1039" i="4"/>
  <c r="H1029" i="4"/>
  <c r="H974" i="4"/>
  <c r="H1118" i="4"/>
  <c r="H1032" i="4"/>
  <c r="H979" i="4"/>
  <c r="H1097" i="4"/>
  <c r="H995" i="4"/>
  <c r="H1108" i="4"/>
  <c r="H996" i="4"/>
  <c r="H1053" i="4"/>
  <c r="H982" i="4"/>
  <c r="H983" i="4"/>
  <c r="H1056" i="4"/>
  <c r="H977" i="4"/>
  <c r="H949" i="4"/>
  <c r="H1026" i="4"/>
  <c r="H1095" i="4"/>
  <c r="H1011" i="4"/>
  <c r="H951" i="4"/>
  <c r="H1076" i="4"/>
  <c r="H1077" i="4"/>
  <c r="H1014" i="4"/>
  <c r="H944" i="4"/>
  <c r="H1080" i="4"/>
  <c r="H985" i="4"/>
  <c r="H1093" i="4"/>
  <c r="H1042" i="4"/>
  <c r="H1019" i="4"/>
  <c r="H1055" i="4"/>
  <c r="H1063" i="4"/>
  <c r="H1109" i="4"/>
  <c r="H1038" i="4"/>
  <c r="H952" i="4"/>
  <c r="H1088" i="4"/>
  <c r="H1001" i="4"/>
  <c r="H1015" i="4"/>
  <c r="H1066" i="4"/>
  <c r="H1043" i="4"/>
  <c r="H988" i="4"/>
  <c r="H965" i="4"/>
  <c r="H1117" i="4"/>
  <c r="H1046" i="4"/>
  <c r="H968" i="4"/>
  <c r="H1112" i="4"/>
  <c r="H1025" i="4"/>
  <c r="H1071" i="4"/>
  <c r="H1082" i="4"/>
  <c r="H1075" i="4"/>
  <c r="H1004" i="4"/>
  <c r="H973" i="4"/>
  <c r="H975" i="4"/>
  <c r="H1070" i="4"/>
  <c r="H992" i="4"/>
  <c r="H1120" i="4"/>
  <c r="H1049" i="4"/>
  <c r="H962" i="4"/>
  <c r="H1098" i="4"/>
  <c r="H1083" i="4"/>
  <c r="H1036" i="4"/>
  <c r="H997" i="4"/>
  <c r="H948" i="4"/>
  <c r="H1078" i="4"/>
  <c r="H1008" i="4"/>
  <c r="H967" i="4"/>
  <c r="H1065" i="4"/>
  <c r="H978" i="4"/>
  <c r="H1106" i="4"/>
  <c r="H955" i="4"/>
  <c r="H1107" i="4"/>
  <c r="H1084" i="4"/>
  <c r="H1005" i="4"/>
  <c r="H958" i="4"/>
  <c r="H1102" i="4"/>
  <c r="H1024" i="4"/>
  <c r="H1079" i="4"/>
  <c r="H1073" i="4"/>
  <c r="H994" i="4"/>
  <c r="H1100" i="4"/>
  <c r="H1003" i="4"/>
  <c r="H1091" i="4"/>
  <c r="H1103" i="4"/>
  <c r="H1124" i="4"/>
  <c r="H981" i="4"/>
  <c r="H1085" i="4"/>
  <c r="H966" i="4"/>
  <c r="H1054" i="4"/>
  <c r="H1047" i="4"/>
  <c r="H1016" i="4"/>
  <c r="H1096" i="4"/>
  <c r="H961" i="4"/>
  <c r="H1057" i="4"/>
  <c r="H1012" i="4"/>
  <c r="H1002" i="4"/>
  <c r="H1090" i="4"/>
  <c r="H1061" i="4"/>
  <c r="H947" i="4"/>
  <c r="H1035" i="4"/>
  <c r="H972" i="4"/>
  <c r="H1028" i="4"/>
  <c r="H1007" i="4"/>
  <c r="H1021" i="4"/>
  <c r="H1020" i="4"/>
  <c r="H1006" i="4"/>
  <c r="H1094" i="4"/>
  <c r="H960" i="4"/>
  <c r="H1048" i="4"/>
  <c r="H980" i="4"/>
  <c r="H993" i="4"/>
  <c r="H1089" i="4"/>
  <c r="H954" i="4"/>
  <c r="H1034" i="4"/>
  <c r="H956" i="4"/>
  <c r="H971" i="4"/>
  <c r="H1067" i="4"/>
  <c r="H1059" i="4"/>
  <c r="H1060" i="4"/>
  <c r="H957" i="4"/>
  <c r="H1045" i="4"/>
  <c r="H1087" i="4"/>
  <c r="H1030" i="4"/>
  <c r="H1110" i="4"/>
  <c r="H984" i="4"/>
  <c r="H1072" i="4"/>
  <c r="H1023" i="4"/>
  <c r="H1017" i="4"/>
  <c r="H1113" i="4"/>
  <c r="H970" i="4"/>
  <c r="H1058" i="4"/>
  <c r="H991" i="4"/>
  <c r="H963" i="4"/>
  <c r="H1027" i="4"/>
  <c r="H1099" i="4"/>
  <c r="H999" i="4"/>
  <c r="H1052" i="4"/>
  <c r="H943" i="4"/>
  <c r="H989" i="4"/>
  <c r="H1069" i="4"/>
  <c r="H1031" i="4"/>
  <c r="H998" i="4"/>
  <c r="H1062" i="4"/>
  <c r="H1037" i="4"/>
  <c r="H976" i="4"/>
  <c r="H1040" i="4"/>
  <c r="H1104" i="4"/>
  <c r="H945" i="4"/>
  <c r="H1009" i="4"/>
  <c r="H1081" i="4"/>
  <c r="H959" i="4"/>
  <c r="H986" i="4"/>
  <c r="H1050" i="4"/>
  <c r="H1114" i="4"/>
  <c r="H990" i="4"/>
  <c r="H987" i="4"/>
  <c r="H1051" i="4"/>
  <c r="H1123" i="4"/>
  <c r="H964" i="4"/>
  <c r="H1092" i="4"/>
  <c r="H1111" i="4"/>
  <c r="H1013" i="4"/>
  <c r="H1101" i="4"/>
  <c r="H950" i="4"/>
  <c r="H1022" i="4"/>
  <c r="H1086" i="4"/>
  <c r="H1119" i="4"/>
  <c r="H1000" i="4"/>
  <c r="H1064" i="4"/>
  <c r="H1068" i="4"/>
  <c r="H969" i="4"/>
  <c r="H1041" i="4"/>
  <c r="H1105" i="4"/>
  <c r="H946" i="4"/>
  <c r="H1010" i="4"/>
  <c r="H1074" i="4"/>
  <c r="H1131" i="4"/>
  <c r="H1135" i="4"/>
  <c r="H1150" i="4"/>
  <c r="H1145" i="4"/>
  <c r="H1137" i="4"/>
  <c r="H1139" i="4"/>
  <c r="H1151" i="4"/>
  <c r="H1143" i="4"/>
  <c r="H1130" i="4"/>
  <c r="H1127" i="4"/>
  <c r="H1147" i="4"/>
  <c r="H1132" i="4"/>
  <c r="H1128" i="4"/>
  <c r="H1138" i="4"/>
  <c r="H1134" i="4"/>
  <c r="H1133" i="4"/>
  <c r="H1140" i="4"/>
  <c r="H1136" i="4"/>
  <c r="H1146" i="4"/>
  <c r="H1149" i="4"/>
  <c r="H1148" i="4"/>
  <c r="H1144" i="4"/>
  <c r="H1126" i="4"/>
  <c r="H1125" i="4"/>
  <c r="H1152" i="4"/>
  <c r="H1142" i="4"/>
  <c r="H1141" i="4"/>
  <c r="H1129" i="4"/>
  <c r="D1123" i="4"/>
  <c r="H1122" i="4"/>
  <c r="D114" i="4"/>
  <c r="D185" i="4"/>
  <c r="D258" i="4"/>
  <c r="D337" i="4"/>
  <c r="D409" i="4"/>
  <c r="D266" i="4"/>
  <c r="D122" i="4"/>
  <c r="D193" i="4"/>
  <c r="D274" i="4"/>
  <c r="D345" i="4"/>
  <c r="D417" i="4"/>
  <c r="D393" i="4"/>
  <c r="D57" i="4"/>
  <c r="D129" i="4"/>
  <c r="D209" i="4"/>
  <c r="D281" i="4"/>
  <c r="D353" i="4"/>
  <c r="D425" i="4"/>
  <c r="D65" i="4"/>
  <c r="D145" i="4"/>
  <c r="D218" i="4"/>
  <c r="D290" i="4"/>
  <c r="D361" i="4"/>
  <c r="D433" i="4"/>
  <c r="D457" i="4"/>
  <c r="D81" i="4"/>
  <c r="D153" i="4"/>
  <c r="D226" i="4"/>
  <c r="D298" i="4"/>
  <c r="D369" i="4"/>
  <c r="D441" i="4"/>
  <c r="D1033" i="4"/>
  <c r="H1033" i="4"/>
  <c r="D161" i="4"/>
  <c r="D234" i="4"/>
  <c r="D306" i="4"/>
  <c r="D377" i="4"/>
  <c r="D449" i="4"/>
  <c r="D25" i="4"/>
  <c r="D98" i="4"/>
  <c r="D169" i="4"/>
  <c r="D242" i="4"/>
  <c r="D314" i="4"/>
  <c r="D385" i="4"/>
  <c r="D137" i="4"/>
  <c r="D386" i="4"/>
  <c r="D1121" i="4"/>
  <c r="H1121" i="4"/>
  <c r="D33" i="4"/>
  <c r="D177" i="4"/>
  <c r="D250" i="4"/>
  <c r="D322" i="4"/>
  <c r="D401" i="4"/>
  <c r="D410" i="4"/>
  <c r="D186" i="4"/>
  <c r="D282" i="4"/>
  <c r="D162" i="4"/>
  <c r="D346" i="4"/>
  <c r="D233" i="4"/>
  <c r="D338" i="4"/>
  <c r="D154" i="4"/>
  <c r="D297" i="4"/>
  <c r="D265" i="4"/>
  <c r="D450" i="4"/>
  <c r="D305" i="4"/>
  <c r="D378" i="4"/>
  <c r="D426" i="4"/>
  <c r="D130" i="4"/>
  <c r="D394" i="4"/>
  <c r="D354" i="4"/>
  <c r="D34" i="4"/>
  <c r="D418" i="4"/>
  <c r="D121" i="4"/>
  <c r="D241" i="4"/>
  <c r="D138" i="4"/>
  <c r="D170" i="4"/>
  <c r="D97" i="4"/>
  <c r="D273" i="4"/>
  <c r="D313" i="4"/>
  <c r="D194" i="4"/>
  <c r="D26" i="4"/>
  <c r="D442" i="4"/>
  <c r="D370" i="4"/>
  <c r="D210" i="4"/>
  <c r="D58" i="4"/>
  <c r="D225" i="4"/>
  <c r="D458" i="4"/>
  <c r="D82" i="4"/>
  <c r="D402" i="4"/>
  <c r="D178" i="4"/>
  <c r="D146" i="4"/>
  <c r="D257" i="4"/>
  <c r="D113" i="4"/>
  <c r="D321" i="4"/>
  <c r="D249" i="4"/>
  <c r="D1122" i="4"/>
  <c r="D66" i="4"/>
  <c r="D289" i="4"/>
  <c r="D434" i="4"/>
  <c r="D362" i="4"/>
  <c r="D217" i="4"/>
  <c r="D1034" i="4"/>
  <c r="D106" i="4"/>
  <c r="D105" i="4"/>
  <c r="D42" i="4"/>
  <c r="D41" i="4"/>
  <c r="D89" i="4"/>
  <c r="D90" i="4"/>
  <c r="D49" i="4"/>
  <c r="D50" i="4"/>
  <c r="I979" i="4"/>
  <c r="I1107" i="4"/>
  <c r="I999" i="4"/>
  <c r="I1125" i="4"/>
  <c r="I1120" i="4"/>
  <c r="I1045" i="4"/>
  <c r="I1130" i="4"/>
  <c r="I1082" i="4"/>
  <c r="I1034" i="4"/>
  <c r="I1135" i="4"/>
  <c r="I1038" i="4"/>
  <c r="I947" i="4"/>
  <c r="I1101" i="4"/>
  <c r="I1095" i="4"/>
  <c r="I1103" i="4"/>
  <c r="I945" i="4"/>
  <c r="I974" i="4"/>
  <c r="I978" i="4"/>
  <c r="I963" i="4"/>
  <c r="I1148" i="4"/>
  <c r="I975" i="4"/>
  <c r="I1059" i="4"/>
  <c r="I1139" i="4"/>
  <c r="I1076" i="4"/>
  <c r="I1085" i="4"/>
  <c r="I959" i="4"/>
  <c r="I954" i="4"/>
  <c r="I1102" i="4"/>
  <c r="I980" i="4"/>
  <c r="I1056" i="4"/>
  <c r="I994" i="4"/>
  <c r="I1037" i="4"/>
  <c r="I1115" i="4"/>
  <c r="I1078" i="4"/>
  <c r="I1113" i="4"/>
  <c r="I1140" i="4"/>
  <c r="I1049" i="4"/>
  <c r="I1087" i="4"/>
  <c r="I1127" i="4"/>
  <c r="I965" i="4"/>
  <c r="I1094" i="4"/>
  <c r="I969" i="4"/>
  <c r="I985" i="4"/>
  <c r="I1096" i="4"/>
  <c r="I987" i="4"/>
  <c r="I1053" i="4"/>
  <c r="I1024" i="4"/>
  <c r="I1031" i="4"/>
  <c r="I1044" i="4"/>
  <c r="I1036" i="4"/>
  <c r="I1072" i="4"/>
  <c r="I1138" i="4"/>
  <c r="I1019" i="4"/>
  <c r="I1012" i="4"/>
  <c r="I964" i="4"/>
  <c r="I1018" i="4"/>
  <c r="I988" i="4"/>
  <c r="I996" i="4"/>
  <c r="I1083" i="4"/>
  <c r="I1073" i="4"/>
  <c r="I1077" i="4"/>
  <c r="I966" i="4"/>
  <c r="I986" i="4"/>
  <c r="I1097" i="4"/>
  <c r="I1084" i="4"/>
  <c r="I1052" i="4"/>
  <c r="I1116" i="4"/>
  <c r="I1008" i="4"/>
  <c r="I970" i="4"/>
  <c r="I1136" i="4"/>
  <c r="I1075" i="4"/>
  <c r="I956" i="4"/>
  <c r="I1150" i="4"/>
  <c r="I952" i="4"/>
  <c r="I1035" i="4"/>
  <c r="I950" i="4"/>
  <c r="I1011" i="4"/>
  <c r="I1124" i="4"/>
  <c r="I1009" i="4"/>
  <c r="I1118" i="4"/>
  <c r="I1106" i="4"/>
  <c r="I1027" i="4"/>
  <c r="I1144" i="4"/>
  <c r="I1015" i="4"/>
  <c r="I1007" i="4"/>
  <c r="I1119" i="4"/>
  <c r="I1131" i="4"/>
  <c r="I990" i="4"/>
  <c r="I984" i="4"/>
  <c r="I1055" i="4"/>
  <c r="I1002" i="4"/>
  <c r="I1092" i="4"/>
  <c r="I977" i="4"/>
  <c r="I1100" i="4"/>
  <c r="I976" i="4"/>
  <c r="I995" i="4"/>
  <c r="I1005" i="4"/>
  <c r="I943" i="4"/>
  <c r="I1142" i="4"/>
  <c r="I962" i="4"/>
  <c r="I1030" i="4"/>
  <c r="I1147" i="4"/>
  <c r="I1117" i="4"/>
  <c r="I960" i="4"/>
  <c r="I1041" i="4"/>
  <c r="I1093" i="4"/>
  <c r="I961" i="4"/>
  <c r="I1051" i="4"/>
  <c r="I982" i="4"/>
  <c r="I1079" i="4"/>
  <c r="I998" i="4"/>
  <c r="I1122" i="4"/>
  <c r="I1112" i="4"/>
  <c r="I993" i="4"/>
  <c r="I1010" i="4"/>
  <c r="I948" i="4"/>
  <c r="I1068" i="4"/>
  <c r="I1069" i="4"/>
  <c r="I946" i="4"/>
  <c r="I1066" i="4"/>
  <c r="I1021" i="4"/>
  <c r="I1000" i="4"/>
  <c r="I1014" i="4"/>
  <c r="I1054" i="4"/>
  <c r="I1050" i="4"/>
  <c r="I949" i="4"/>
  <c r="I1003" i="4"/>
  <c r="I1040" i="4"/>
  <c r="I1039" i="4"/>
  <c r="I967" i="4"/>
  <c r="I1058" i="4"/>
  <c r="I1146" i="4"/>
  <c r="I1004" i="4"/>
  <c r="I971" i="4"/>
  <c r="I1145" i="4"/>
  <c r="I1088" i="4"/>
  <c r="I972" i="4"/>
  <c r="I1022" i="4"/>
  <c r="I951" i="4"/>
  <c r="I981" i="4"/>
  <c r="I1081" i="4"/>
  <c r="I1121" i="4"/>
  <c r="I1070" i="4"/>
  <c r="I1060" i="4"/>
  <c r="I1134" i="4"/>
  <c r="I1071" i="4"/>
  <c r="I1080" i="4"/>
  <c r="I1128" i="4"/>
  <c r="I1062" i="4"/>
  <c r="I1152" i="4"/>
  <c r="I1025" i="4"/>
  <c r="I1089" i="4"/>
  <c r="I1074" i="4"/>
  <c r="I1063" i="4"/>
  <c r="I1090" i="4"/>
  <c r="I1111" i="4"/>
  <c r="I944" i="4"/>
  <c r="I1047" i="4"/>
  <c r="I1114" i="4"/>
  <c r="I1108" i="4"/>
  <c r="I958" i="4"/>
  <c r="I989" i="4"/>
  <c r="I1141" i="4"/>
  <c r="I1098" i="4"/>
  <c r="I1110" i="4"/>
  <c r="I1132" i="4"/>
  <c r="I1046" i="4"/>
  <c r="I1048" i="4"/>
  <c r="I1105" i="4"/>
  <c r="I1042" i="4"/>
  <c r="I1057" i="4"/>
  <c r="I1123" i="4"/>
  <c r="I953" i="4"/>
  <c r="I997" i="4"/>
  <c r="I1023" i="4"/>
  <c r="I1126" i="4"/>
  <c r="I1017" i="4"/>
  <c r="I1006" i="4"/>
  <c r="I1016" i="4"/>
  <c r="I968" i="4"/>
  <c r="I1151" i="4"/>
  <c r="I992" i="4"/>
  <c r="I957" i="4"/>
  <c r="I1143" i="4"/>
  <c r="I1043" i="4"/>
  <c r="I1020" i="4"/>
  <c r="I1064" i="4"/>
  <c r="I1109" i="4"/>
  <c r="I1061" i="4"/>
  <c r="I1013" i="4"/>
  <c r="I1026" i="4"/>
  <c r="I1091" i="4"/>
  <c r="I1104" i="4"/>
  <c r="I1029" i="4"/>
  <c r="I1065" i="4"/>
  <c r="I991" i="4"/>
  <c r="I1149" i="4"/>
  <c r="I973" i="4"/>
  <c r="I1067" i="4"/>
  <c r="I1137" i="4"/>
  <c r="I1001" i="4"/>
  <c r="I1028" i="4"/>
  <c r="I1086" i="4"/>
  <c r="I1032" i="4"/>
  <c r="I955" i="4"/>
  <c r="I1099" i="4"/>
  <c r="I1033" i="4"/>
  <c r="I1133" i="4"/>
  <c r="I1129" i="4"/>
  <c r="I983" i="4"/>
  <c r="H24" i="4" l="1"/>
  <c r="H260" i="4"/>
  <c r="H197" i="4"/>
  <c r="H390" i="4"/>
  <c r="H318" i="4"/>
  <c r="H212" i="4"/>
  <c r="H480" i="4"/>
  <c r="H504" i="4"/>
  <c r="H565" i="4"/>
  <c r="H446" i="4"/>
  <c r="H468" i="4"/>
  <c r="H332" i="4"/>
  <c r="H420" i="4"/>
  <c r="H189" i="4"/>
  <c r="H234" i="4"/>
  <c r="H337" i="4"/>
  <c r="H181" i="4"/>
  <c r="H253" i="4"/>
  <c r="H449" i="4"/>
  <c r="H532" i="4"/>
  <c r="H249" i="4"/>
  <c r="H506" i="4"/>
  <c r="H170" i="4"/>
  <c r="H206" i="4"/>
  <c r="H385" i="4"/>
  <c r="H185" i="4"/>
  <c r="H561" i="4"/>
  <c r="H323" i="4"/>
  <c r="H409" i="4"/>
  <c r="H309" i="4"/>
  <c r="H321" i="4"/>
  <c r="H330" i="4"/>
  <c r="H556" i="4"/>
  <c r="H345" i="4"/>
  <c r="H427" i="4"/>
  <c r="H431" i="4"/>
  <c r="H102" i="4"/>
  <c r="H539" i="4"/>
  <c r="H489" i="4"/>
  <c r="H407" i="4"/>
  <c r="H293" i="4"/>
  <c r="H437" i="4"/>
  <c r="H95" i="4"/>
  <c r="H277" i="4"/>
  <c r="H217" i="4"/>
  <c r="H462" i="4"/>
  <c r="H357" i="4"/>
  <c r="H240" i="4"/>
  <c r="H573" i="4"/>
  <c r="H116" i="4"/>
  <c r="H127" i="4"/>
  <c r="H75" i="4"/>
  <c r="H60" i="4"/>
  <c r="H152" i="4"/>
  <c r="H132" i="4"/>
  <c r="H88" i="4"/>
  <c r="H84" i="4"/>
  <c r="H53" i="4"/>
  <c r="H129" i="4"/>
  <c r="H117" i="4"/>
  <c r="H308" i="4"/>
  <c r="H426" i="4"/>
  <c r="H466" i="4"/>
  <c r="H348" i="4"/>
  <c r="H281" i="4"/>
  <c r="H68" i="4"/>
  <c r="H356" i="4"/>
  <c r="H239" i="4"/>
  <c r="H126" i="4"/>
  <c r="H74" i="4"/>
  <c r="H131" i="4"/>
  <c r="H44" i="4"/>
  <c r="H13" i="4"/>
  <c r="H216" i="4"/>
  <c r="H154" i="4"/>
  <c r="H66" i="4"/>
  <c r="H476" i="4"/>
  <c r="H423" i="4"/>
  <c r="H36" i="4"/>
  <c r="H137" i="4"/>
  <c r="H99" i="4"/>
  <c r="H20" i="4"/>
  <c r="H259" i="4"/>
  <c r="H196" i="4"/>
  <c r="H389" i="4"/>
  <c r="H317" i="4"/>
  <c r="H211" i="4"/>
  <c r="H479" i="4"/>
  <c r="H503" i="4"/>
  <c r="H564" i="4"/>
  <c r="H445" i="4"/>
  <c r="H467" i="4"/>
  <c r="H331" i="4"/>
  <c r="H419" i="4"/>
  <c r="H188" i="4"/>
  <c r="H233" i="4"/>
  <c r="H336" i="4"/>
  <c r="H180" i="4"/>
  <c r="H252" i="4"/>
  <c r="H448" i="4"/>
  <c r="H531" i="4"/>
  <c r="H248" i="4"/>
  <c r="H505" i="4"/>
  <c r="H169" i="4"/>
  <c r="H205" i="4"/>
  <c r="H384" i="4"/>
  <c r="H184" i="4"/>
  <c r="H560" i="4"/>
  <c r="H322" i="4"/>
  <c r="H408" i="4"/>
  <c r="H320" i="4"/>
  <c r="H329" i="4"/>
  <c r="H555" i="4"/>
  <c r="H344" i="4"/>
  <c r="H101" i="4"/>
  <c r="H396" i="4"/>
  <c r="H292" i="4"/>
  <c r="H236" i="4"/>
  <c r="H572" i="4"/>
  <c r="H151" i="4"/>
  <c r="H83" i="4"/>
  <c r="H279" i="4"/>
  <c r="H238" i="4"/>
  <c r="H46" i="4"/>
  <c r="H123" i="4"/>
  <c r="H104" i="4"/>
  <c r="H404" i="4"/>
  <c r="H157" i="4"/>
  <c r="H19" i="4"/>
  <c r="H299" i="4"/>
  <c r="H454" i="4"/>
  <c r="H325" i="4"/>
  <c r="H328" i="4"/>
  <c r="H526" i="4"/>
  <c r="H192" i="4"/>
  <c r="H179" i="4"/>
  <c r="H176" i="4"/>
  <c r="H537" i="4"/>
  <c r="H340" i="4"/>
  <c r="H473" i="4"/>
  <c r="H273" i="4"/>
  <c r="H442" i="4"/>
  <c r="H204" i="4"/>
  <c r="H270" i="4"/>
  <c r="H546" i="4"/>
  <c r="H38" i="4"/>
  <c r="H411" i="4"/>
  <c r="H229" i="4"/>
  <c r="H301" i="4"/>
  <c r="H79" i="4"/>
  <c r="H465" i="4"/>
  <c r="H395" i="4"/>
  <c r="H347" i="4"/>
  <c r="H280" i="4"/>
  <c r="H365" i="4"/>
  <c r="H343" i="4"/>
  <c r="H501" i="4"/>
  <c r="H107" i="4"/>
  <c r="H141" i="4"/>
  <c r="H12" i="4"/>
  <c r="H373" i="4"/>
  <c r="H363" i="4"/>
  <c r="H62" i="4"/>
  <c r="H487" i="4"/>
  <c r="H40" i="4"/>
  <c r="H23" i="4"/>
  <c r="H298" i="4"/>
  <c r="H453" i="4"/>
  <c r="H324" i="4"/>
  <c r="H327" i="4"/>
  <c r="H525" i="4"/>
  <c r="H191" i="4"/>
  <c r="H178" i="4"/>
  <c r="H175" i="4"/>
  <c r="H536" i="4"/>
  <c r="H339" i="4"/>
  <c r="H472" i="4"/>
  <c r="H272" i="4"/>
  <c r="H441" i="4"/>
  <c r="H203" i="4"/>
  <c r="H269" i="4"/>
  <c r="H545" i="4"/>
  <c r="H37" i="4"/>
  <c r="H410" i="4"/>
  <c r="H228" i="4"/>
  <c r="H300" i="4"/>
  <c r="H78" i="4"/>
  <c r="H266" i="4"/>
  <c r="H195" i="4"/>
  <c r="H456" i="4"/>
  <c r="H221" i="4"/>
  <c r="H278" i="4"/>
  <c r="H364" i="4"/>
  <c r="H509" i="4"/>
  <c r="H111" i="4"/>
  <c r="H143" i="4"/>
  <c r="H285" i="4"/>
  <c r="H342" i="4"/>
  <c r="H500" i="4"/>
  <c r="H237" i="4"/>
  <c r="H29" i="4"/>
  <c r="H153" i="4"/>
  <c r="H106" i="4"/>
  <c r="H45" i="4"/>
  <c r="H72" i="4"/>
  <c r="H140" i="4"/>
  <c r="H122" i="4"/>
  <c r="H65" i="4"/>
  <c r="H43" i="4"/>
  <c r="H146" i="4"/>
  <c r="H6" i="4"/>
  <c r="H451" i="4"/>
  <c r="H209" i="4"/>
  <c r="H518" i="4"/>
  <c r="H417" i="4"/>
  <c r="H577" i="4"/>
  <c r="H440" i="4"/>
  <c r="H172" i="4"/>
  <c r="H215" i="4"/>
  <c r="H313" i="4"/>
  <c r="H86" i="4"/>
  <c r="H429" i="4"/>
  <c r="H200" i="4"/>
  <c r="H290" i="4"/>
  <c r="H521" i="4"/>
  <c r="H402" i="4"/>
  <c r="H382" i="4"/>
  <c r="H460" i="4"/>
  <c r="H226" i="4"/>
  <c r="H264" i="4"/>
  <c r="H388" i="4"/>
  <c r="H376" i="4"/>
  <c r="H167" i="4"/>
  <c r="H288" i="4"/>
  <c r="H458" i="4"/>
  <c r="H464" i="4"/>
  <c r="H297" i="4"/>
  <c r="H245" i="4"/>
  <c r="H224" i="4"/>
  <c r="H394" i="4"/>
  <c r="H400" i="4"/>
  <c r="H492" i="4"/>
  <c r="H251" i="4"/>
  <c r="H499" i="4"/>
  <c r="H295" i="4"/>
  <c r="H121" i="4"/>
  <c r="H530" i="4"/>
  <c r="H160" i="4"/>
  <c r="H378" i="4"/>
  <c r="H435" i="4"/>
  <c r="H334" i="4"/>
  <c r="H478" i="4"/>
  <c r="H368" i="4"/>
  <c r="H70" i="4"/>
  <c r="H265" i="4"/>
  <c r="H194" i="4"/>
  <c r="H455" i="4"/>
  <c r="H220" i="4"/>
  <c r="H470" i="4"/>
  <c r="H495" i="4"/>
  <c r="H508" i="4"/>
  <c r="H110" i="4"/>
  <c r="H142" i="4"/>
  <c r="H307" i="4"/>
  <c r="H302" i="4"/>
  <c r="H534" i="4"/>
  <c r="H559" i="4"/>
  <c r="H49" i="4"/>
  <c r="H149" i="4"/>
  <c r="H94" i="4"/>
  <c r="H91" i="4"/>
  <c r="H57" i="4"/>
  <c r="H34" i="4"/>
  <c r="H77" i="4"/>
  <c r="H145" i="4"/>
  <c r="H5" i="4"/>
  <c r="H392" i="4"/>
  <c r="H551" i="4"/>
  <c r="H353" i="4"/>
  <c r="H543" i="4"/>
  <c r="H524" i="4"/>
  <c r="H312" i="4"/>
  <c r="H512" i="4"/>
  <c r="H256" i="4"/>
  <c r="H241" i="4"/>
  <c r="H351" i="4"/>
  <c r="H113" i="4"/>
  <c r="H7" i="4"/>
  <c r="H374" i="4"/>
  <c r="H199" i="4"/>
  <c r="H289" i="4"/>
  <c r="H520" i="4"/>
  <c r="H401" i="4"/>
  <c r="H381" i="4"/>
  <c r="H459" i="4"/>
  <c r="H225" i="4"/>
  <c r="H263" i="4"/>
  <c r="H387" i="4"/>
  <c r="H375" i="4"/>
  <c r="H166" i="4"/>
  <c r="H287" i="4"/>
  <c r="H457" i="4"/>
  <c r="H463" i="4"/>
  <c r="H296" i="4"/>
  <c r="H244" i="4"/>
  <c r="H223" i="4"/>
  <c r="H393" i="4"/>
  <c r="H399" i="4"/>
  <c r="H491" i="4"/>
  <c r="H250" i="4"/>
  <c r="H498" i="4"/>
  <c r="H294" i="4"/>
  <c r="H120" i="4"/>
  <c r="H529" i="4"/>
  <c r="H159" i="4"/>
  <c r="H377" i="4"/>
  <c r="H434" i="4"/>
  <c r="H333" i="4"/>
  <c r="H477" i="4"/>
  <c r="H367" i="4"/>
  <c r="H69" i="4"/>
  <c r="H257" i="4"/>
  <c r="H569" i="4"/>
  <c r="H433" i="4"/>
  <c r="H314" i="4"/>
  <c r="H242" i="4"/>
  <c r="H371" i="4"/>
  <c r="H469" i="4"/>
  <c r="H494" i="4"/>
  <c r="H174" i="4"/>
  <c r="H63" i="4"/>
  <c r="H306" i="4"/>
  <c r="H284" i="4"/>
  <c r="H533" i="4"/>
  <c r="H558" i="4"/>
  <c r="H48" i="4"/>
  <c r="H148" i="4"/>
  <c r="H93" i="4"/>
  <c r="H90" i="4"/>
  <c r="H56" i="4"/>
  <c r="H33" i="4"/>
  <c r="H82" i="4"/>
  <c r="H100" i="4"/>
  <c r="H8" i="4"/>
  <c r="H21" i="4"/>
  <c r="H360" i="4"/>
  <c r="H483" i="4"/>
  <c r="H162" i="4"/>
  <c r="H231" i="4"/>
  <c r="H516" i="4"/>
  <c r="H497" i="4"/>
  <c r="H406" i="4"/>
  <c r="H568" i="4"/>
  <c r="H370" i="4"/>
  <c r="H173" i="4"/>
  <c r="H134" i="4"/>
  <c r="H76" i="4"/>
  <c r="H22" i="4"/>
  <c r="H450" i="4"/>
  <c r="H208" i="4"/>
  <c r="H359" i="4"/>
  <c r="H482" i="4"/>
  <c r="H391" i="4"/>
  <c r="H517" i="4"/>
  <c r="H416" i="4"/>
  <c r="H550" i="4"/>
  <c r="H576" i="4"/>
  <c r="H352" i="4"/>
  <c r="H439" i="4"/>
  <c r="H542" i="4"/>
  <c r="H161" i="4"/>
  <c r="H523" i="4"/>
  <c r="H311" i="4"/>
  <c r="H230" i="4"/>
  <c r="H515" i="4"/>
  <c r="H475" i="4"/>
  <c r="H403" i="4"/>
  <c r="H511" i="4"/>
  <c r="H171" i="4"/>
  <c r="H496" i="4"/>
  <c r="H214" i="4"/>
  <c r="H405" i="4"/>
  <c r="H372" i="4"/>
  <c r="H540" i="4"/>
  <c r="H490" i="4"/>
  <c r="H398" i="4"/>
  <c r="H362" i="4"/>
  <c r="H350" i="4"/>
  <c r="H422" i="4"/>
  <c r="H303" i="4"/>
  <c r="H96" i="4"/>
  <c r="H276" i="4"/>
  <c r="H414" i="4"/>
  <c r="H486" i="4"/>
  <c r="H133" i="4"/>
  <c r="H35" i="4"/>
  <c r="H39" i="4"/>
  <c r="H112" i="4"/>
  <c r="H80" i="4"/>
  <c r="H85" i="4"/>
  <c r="H136" i="4"/>
  <c r="H156" i="4"/>
  <c r="H54" i="4"/>
  <c r="H130" i="4"/>
  <c r="H118" i="4"/>
  <c r="H2" i="4"/>
  <c r="H430" i="4"/>
  <c r="H397" i="4"/>
  <c r="H436" i="4"/>
  <c r="H275" i="4"/>
  <c r="H461" i="4"/>
  <c r="H115" i="4"/>
  <c r="H59" i="4"/>
  <c r="H87" i="4"/>
  <c r="H105" i="4"/>
  <c r="H67" i="4"/>
  <c r="H30" i="4"/>
  <c r="H73" i="4"/>
  <c r="H47" i="4"/>
  <c r="H432" i="4"/>
  <c r="H304" i="4"/>
  <c r="H415" i="4"/>
  <c r="H81" i="4"/>
  <c r="H935" i="4"/>
  <c r="H934" i="4"/>
  <c r="H941" i="4"/>
  <c r="H942" i="4"/>
  <c r="H940" i="4"/>
  <c r="H932" i="4"/>
  <c r="H931" i="4"/>
  <c r="H548" i="4" l="1"/>
  <c r="H262" i="4"/>
  <c r="H553" i="4"/>
  <c r="H267" i="4"/>
  <c r="H386" i="4"/>
  <c r="H566" i="4"/>
  <c r="H571" i="4"/>
  <c r="H41" i="4"/>
  <c r="H128" i="4"/>
  <c r="H27" i="4"/>
  <c r="H338" i="4"/>
  <c r="H222" i="4"/>
  <c r="H366" i="4"/>
  <c r="H346" i="4"/>
  <c r="H164" i="4"/>
  <c r="H17" i="4"/>
  <c r="H168" i="4"/>
  <c r="H114" i="4"/>
  <c r="H544" i="4"/>
  <c r="H254" i="4"/>
  <c r="H578" i="4"/>
  <c r="H213" i="4"/>
  <c r="H380" i="4"/>
  <c r="H447" i="4"/>
  <c r="H383" i="4"/>
  <c r="H98" i="4"/>
  <c r="H567" i="4"/>
  <c r="H319" i="4"/>
  <c r="H125" i="4"/>
  <c r="H11" i="4"/>
  <c r="H443" i="4"/>
  <c r="H193" i="4"/>
  <c r="H361" i="4"/>
  <c r="H493" i="4"/>
  <c r="H144" i="4"/>
  <c r="H18" i="4"/>
  <c r="H232" i="4"/>
  <c r="H274" i="4"/>
  <c r="H135" i="4"/>
  <c r="H355" i="4"/>
  <c r="H507" i="4"/>
  <c r="H15" i="4"/>
  <c r="H369" i="4"/>
  <c r="H28" i="4"/>
  <c r="H16" i="4"/>
  <c r="H575" i="4"/>
  <c r="H210" i="4"/>
  <c r="H379" i="4"/>
  <c r="H444" i="4"/>
  <c r="H283" i="4"/>
  <c r="H97" i="4"/>
  <c r="H335" i="4"/>
  <c r="H64" i="4"/>
  <c r="H58" i="4"/>
  <c r="H438" i="4"/>
  <c r="H187" i="4"/>
  <c r="H358" i="4"/>
  <c r="H488" i="4"/>
  <c r="H139" i="4"/>
  <c r="H9" i="4"/>
  <c r="H413" i="4"/>
  <c r="H14" i="4"/>
  <c r="H421" i="4"/>
  <c r="H155" i="4"/>
  <c r="H349" i="4"/>
  <c r="H485" i="4"/>
  <c r="H282" i="4"/>
  <c r="H316" i="4"/>
  <c r="H61" i="4"/>
  <c r="H71" i="4"/>
  <c r="H527" i="4"/>
  <c r="H201" i="4"/>
  <c r="H474" i="4"/>
  <c r="H538" i="4"/>
  <c r="H246" i="4"/>
  <c r="H315" i="4"/>
  <c r="H92" i="4"/>
  <c r="H150" i="4"/>
  <c r="H481" i="4"/>
  <c r="H291" i="4"/>
  <c r="H268" i="4"/>
  <c r="H227" i="4"/>
  <c r="H163" i="4"/>
  <c r="H235" i="4"/>
  <c r="H484" i="4"/>
  <c r="H52" i="4"/>
  <c r="H138" i="4"/>
  <c r="H182" i="4"/>
  <c r="H55" i="4"/>
  <c r="H522" i="4"/>
  <c r="H198" i="4"/>
  <c r="H471" i="4"/>
  <c r="H535" i="4"/>
  <c r="H243" i="4"/>
  <c r="H310" i="4"/>
  <c r="H89" i="4"/>
  <c r="H147" i="4"/>
  <c r="H190" i="4"/>
  <c r="H51" i="4"/>
  <c r="H158" i="4"/>
  <c r="H32" i="4"/>
  <c r="H124" i="4"/>
  <c r="H570" i="4"/>
  <c r="H514" i="4"/>
  <c r="H412" i="4"/>
  <c r="H186" i="4"/>
  <c r="H271" i="4"/>
  <c r="H547" i="4"/>
  <c r="H219" i="4"/>
  <c r="H165" i="4"/>
  <c r="H50" i="4"/>
  <c r="H177" i="4"/>
  <c r="H10" i="4"/>
  <c r="H255" i="4"/>
  <c r="H354" i="4"/>
  <c r="H286" i="4"/>
  <c r="H418" i="4"/>
  <c r="H502" i="4"/>
  <c r="H31" i="4"/>
  <c r="H109" i="4"/>
  <c r="H119" i="4"/>
  <c r="H552" i="4"/>
  <c r="H513" i="4"/>
  <c r="H261" i="4"/>
  <c r="H557" i="4"/>
  <c r="H218" i="4"/>
  <c r="H42" i="4"/>
  <c r="H341" i="4"/>
  <c r="H937" i="4"/>
  <c r="H936" i="4"/>
  <c r="H933" i="4"/>
  <c r="I181" i="4"/>
  <c r="I99" i="4"/>
  <c r="I546" i="4"/>
  <c r="I43" i="4"/>
  <c r="I34" i="4"/>
  <c r="I148" i="4"/>
  <c r="I136" i="4"/>
  <c r="I530" i="4"/>
  <c r="I345" i="4"/>
  <c r="I180" i="4"/>
  <c r="I363" i="4"/>
  <c r="I402" i="4"/>
  <c r="I199" i="4"/>
  <c r="I370" i="4"/>
  <c r="I73" i="4"/>
  <c r="I558" i="4"/>
  <c r="I95" i="4"/>
  <c r="I184" i="4"/>
  <c r="I525" i="4"/>
  <c r="I458" i="4"/>
  <c r="I375" i="4"/>
  <c r="I391" i="4"/>
  <c r="I942" i="4"/>
  <c r="I390" i="4"/>
  <c r="I239" i="4"/>
  <c r="I325" i="4"/>
  <c r="I143" i="4"/>
  <c r="I495" i="4"/>
  <c r="I306" i="4"/>
  <c r="I35" i="4"/>
  <c r="I224" i="4"/>
  <c r="I102" i="4"/>
  <c r="I531" i="4"/>
  <c r="I40" i="4"/>
  <c r="I226" i="4"/>
  <c r="I401" i="4"/>
  <c r="I76" i="4"/>
  <c r="I304" i="4"/>
  <c r="I212" i="4"/>
  <c r="I74" i="4"/>
  <c r="I526" i="4"/>
  <c r="I342" i="4"/>
  <c r="I110" i="4"/>
  <c r="I242" i="4"/>
  <c r="I303" i="4"/>
  <c r="I265" i="4"/>
  <c r="I320" i="4"/>
  <c r="I337" i="4"/>
  <c r="I137" i="4"/>
  <c r="I270" i="4"/>
  <c r="I65" i="4"/>
  <c r="I57" i="4"/>
  <c r="I48" i="4"/>
  <c r="I85" i="4"/>
  <c r="C446" i="4"/>
  <c r="C734" i="4"/>
  <c r="C7" i="4"/>
  <c r="C295" i="4"/>
  <c r="C583" i="4"/>
  <c r="C871" i="4"/>
  <c r="C144" i="4"/>
  <c r="C432" i="4"/>
  <c r="C720" i="4"/>
  <c r="C41" i="4"/>
  <c r="C329" i="4"/>
  <c r="C617" i="4"/>
  <c r="C122" i="4"/>
  <c r="C771" i="4"/>
  <c r="C1092" i="4"/>
  <c r="C1011" i="4"/>
  <c r="C837" i="4"/>
  <c r="C363" i="4"/>
  <c r="C244" i="4"/>
  <c r="C532" i="4"/>
  <c r="C820" i="4"/>
  <c r="C101" i="4"/>
  <c r="C389" i="4"/>
  <c r="C677" i="4"/>
  <c r="C174" i="4"/>
  <c r="C383" i="4"/>
  <c r="C671" i="4"/>
  <c r="C959" i="4"/>
  <c r="C232" i="4"/>
  <c r="C520" i="4"/>
  <c r="C808" i="4"/>
  <c r="C129" i="4"/>
  <c r="C417" i="4"/>
  <c r="C705" i="4"/>
  <c r="C210" i="4"/>
  <c r="C498" i="4"/>
  <c r="C786" i="4"/>
  <c r="C523" i="4"/>
  <c r="C1030" i="4"/>
  <c r="C44" i="4"/>
  <c r="C332" i="4"/>
  <c r="C620" i="4"/>
  <c r="C908" i="4"/>
  <c r="C189" i="4"/>
  <c r="C477" i="4"/>
  <c r="C765" i="4"/>
  <c r="C262" i="4"/>
  <c r="C550" i="4"/>
  <c r="C838" i="4"/>
  <c r="C111" i="4"/>
  <c r="C52" i="4"/>
  <c r="C340" i="4"/>
  <c r="C628" i="4"/>
  <c r="C916" i="4"/>
  <c r="C197" i="4"/>
  <c r="C485" i="4"/>
  <c r="C773" i="4"/>
  <c r="C270" i="4"/>
  <c r="C558" i="4"/>
  <c r="C846" i="4"/>
  <c r="C119" i="4"/>
  <c r="C407" i="4"/>
  <c r="C695" i="4"/>
  <c r="C904" i="4"/>
  <c r="C225" i="4"/>
  <c r="C513" i="4"/>
  <c r="C18" i="4"/>
  <c r="C306" i="4"/>
  <c r="C594" i="4"/>
  <c r="C882" i="4"/>
  <c r="C957" i="4"/>
  <c r="I385" i="4"/>
  <c r="I503" i="4"/>
  <c r="I347" i="4"/>
  <c r="I440" i="4"/>
  <c r="I524" i="4"/>
  <c r="I21" i="4"/>
  <c r="I436" i="4"/>
  <c r="I463" i="4"/>
  <c r="I437" i="4"/>
  <c r="I384" i="4"/>
  <c r="I327" i="4"/>
  <c r="I288" i="4"/>
  <c r="I387" i="4"/>
  <c r="I482" i="4"/>
  <c r="I941" i="4"/>
  <c r="I80" i="4"/>
  <c r="I127" i="4"/>
  <c r="I101" i="4"/>
  <c r="I441" i="4"/>
  <c r="I251" i="4"/>
  <c r="I393" i="4"/>
  <c r="I161" i="4"/>
  <c r="I489" i="4"/>
  <c r="I332" i="4"/>
  <c r="I66" i="4"/>
  <c r="I473" i="4"/>
  <c r="I45" i="4"/>
  <c r="I49" i="4"/>
  <c r="I56" i="4"/>
  <c r="I130" i="4"/>
  <c r="I459" i="4"/>
  <c r="I217" i="4"/>
  <c r="I322" i="4"/>
  <c r="I178" i="4"/>
  <c r="I297" i="4"/>
  <c r="I287" i="4"/>
  <c r="I416" i="4"/>
  <c r="I932" i="4"/>
  <c r="I189" i="4"/>
  <c r="I423" i="4"/>
  <c r="I442" i="4"/>
  <c r="I140" i="4"/>
  <c r="I94" i="4"/>
  <c r="I533" i="4"/>
  <c r="I112" i="4"/>
  <c r="I498" i="4"/>
  <c r="I298" i="4"/>
  <c r="I206" i="4"/>
  <c r="I479" i="4"/>
  <c r="I395" i="4"/>
  <c r="I577" i="4"/>
  <c r="I543" i="4"/>
  <c r="I8" i="4"/>
  <c r="I397" i="4"/>
  <c r="C762" i="4"/>
  <c r="C331" i="4"/>
  <c r="C451" i="4"/>
  <c r="C1084" i="4"/>
  <c r="C997" i="4"/>
  <c r="C817" i="4"/>
  <c r="C299" i="4"/>
  <c r="C236" i="4"/>
  <c r="C524" i="4"/>
  <c r="C812" i="4"/>
  <c r="C93" i="4"/>
  <c r="C381" i="4"/>
  <c r="C814" i="4"/>
  <c r="C87" i="4"/>
  <c r="C375" i="4"/>
  <c r="C663" i="4"/>
  <c r="C951" i="4"/>
  <c r="C224" i="4"/>
  <c r="C512" i="4"/>
  <c r="C800" i="4"/>
  <c r="C121" i="4"/>
  <c r="C409" i="4"/>
  <c r="C697" i="4"/>
  <c r="C202" i="4"/>
  <c r="C490" i="4"/>
  <c r="C707" i="4"/>
  <c r="C1093" i="4"/>
  <c r="C1022" i="4"/>
  <c r="C36" i="4"/>
  <c r="C324" i="4"/>
  <c r="C612" i="4"/>
  <c r="C900" i="4"/>
  <c r="C181" i="4"/>
  <c r="C469" i="4"/>
  <c r="C757" i="4"/>
  <c r="C254" i="4"/>
  <c r="C542" i="4"/>
  <c r="C830" i="4"/>
  <c r="C24" i="4"/>
  <c r="C312" i="4"/>
  <c r="C600" i="4"/>
  <c r="C888" i="4"/>
  <c r="C209" i="4"/>
  <c r="C497" i="4"/>
  <c r="C785" i="4"/>
  <c r="C290" i="4"/>
  <c r="C578" i="4"/>
  <c r="C866" i="4"/>
  <c r="C915" i="4"/>
  <c r="C595" i="4"/>
  <c r="C320" i="4"/>
  <c r="C608" i="4"/>
  <c r="C896" i="4"/>
  <c r="C217" i="4"/>
  <c r="C505" i="4"/>
  <c r="C10" i="4"/>
  <c r="C298" i="4"/>
  <c r="C586" i="4"/>
  <c r="C874" i="4"/>
  <c r="C937" i="4"/>
  <c r="C659" i="4"/>
  <c r="C27" i="4"/>
  <c r="C1117" i="4"/>
  <c r="C708" i="4"/>
  <c r="C996" i="4"/>
  <c r="C277" i="4"/>
  <c r="C565" i="4"/>
  <c r="C62" i="4"/>
  <c r="C350" i="4"/>
  <c r="C638" i="4"/>
  <c r="C926" i="4"/>
  <c r="C199" i="4"/>
  <c r="C487" i="4"/>
  <c r="I556" i="4"/>
  <c r="I336" i="4"/>
  <c r="I373" i="4"/>
  <c r="I521" i="4"/>
  <c r="I374" i="4"/>
  <c r="I568" i="4"/>
  <c r="I30" i="4"/>
  <c r="I450" i="4"/>
  <c r="I116" i="4"/>
  <c r="I344" i="4"/>
  <c r="I272" i="4"/>
  <c r="I492" i="4"/>
  <c r="I223" i="4"/>
  <c r="I542" i="4"/>
  <c r="I357" i="4"/>
  <c r="I67" i="4"/>
  <c r="I129" i="4"/>
  <c r="I238" i="4"/>
  <c r="I78" i="4"/>
  <c r="I334" i="4"/>
  <c r="I159" i="4"/>
  <c r="I171" i="4"/>
  <c r="I204" i="4"/>
  <c r="I532" i="4"/>
  <c r="I196" i="4"/>
  <c r="I229" i="4"/>
  <c r="I451" i="4"/>
  <c r="I256" i="4"/>
  <c r="I162" i="4"/>
  <c r="I115" i="4"/>
  <c r="I497" i="4"/>
  <c r="I60" i="4"/>
  <c r="I292" i="4"/>
  <c r="I269" i="4"/>
  <c r="I295" i="4"/>
  <c r="I491" i="4"/>
  <c r="I311" i="4"/>
  <c r="I170" i="4"/>
  <c r="I506" i="4"/>
  <c r="I317" i="4"/>
  <c r="I79" i="4"/>
  <c r="I518" i="4"/>
  <c r="I551" i="4"/>
  <c r="I82" i="4"/>
  <c r="I87" i="4"/>
  <c r="I515" i="4"/>
  <c r="I417" i="4"/>
  <c r="I330" i="4"/>
  <c r="I233" i="4"/>
  <c r="I12" i="4"/>
  <c r="I290" i="4"/>
  <c r="I7" i="4"/>
  <c r="I406" i="4"/>
  <c r="I5" i="4"/>
  <c r="C518" i="4"/>
  <c r="C806" i="4"/>
  <c r="C79" i="4"/>
  <c r="C367" i="4"/>
  <c r="C655" i="4"/>
  <c r="C943" i="4"/>
  <c r="C216" i="4"/>
  <c r="C504" i="4"/>
  <c r="C792" i="4"/>
  <c r="C113" i="4"/>
  <c r="C401" i="4"/>
  <c r="C689" i="4"/>
  <c r="C851" i="4"/>
  <c r="C403" i="4"/>
  <c r="C579" i="4"/>
  <c r="C1085" i="4"/>
  <c r="C1012" i="4"/>
  <c r="C28" i="4"/>
  <c r="C316" i="4"/>
  <c r="C604" i="4"/>
  <c r="C892" i="4"/>
  <c r="C173" i="4"/>
  <c r="C461" i="4"/>
  <c r="C749" i="4"/>
  <c r="C246" i="4"/>
  <c r="C455" i="4"/>
  <c r="C743" i="4"/>
  <c r="C16" i="4"/>
  <c r="C304" i="4"/>
  <c r="C592" i="4"/>
  <c r="C880" i="4"/>
  <c r="C201" i="4"/>
  <c r="C489" i="4"/>
  <c r="C777" i="4"/>
  <c r="C282" i="4"/>
  <c r="C570" i="4"/>
  <c r="C858" i="4"/>
  <c r="C893" i="4"/>
  <c r="C1102" i="4"/>
  <c r="C116" i="4"/>
  <c r="C404" i="4"/>
  <c r="C692" i="4"/>
  <c r="C980" i="4"/>
  <c r="C261" i="4"/>
  <c r="C549" i="4"/>
  <c r="C46" i="4"/>
  <c r="C334" i="4"/>
  <c r="C622" i="4"/>
  <c r="C910" i="4"/>
  <c r="C183" i="4"/>
  <c r="C124" i="4"/>
  <c r="C412" i="4"/>
  <c r="C700" i="4"/>
  <c r="C988" i="4"/>
  <c r="C269" i="4"/>
  <c r="C557" i="4"/>
  <c r="C54" i="4"/>
  <c r="C342" i="4"/>
  <c r="C630" i="4"/>
  <c r="C918" i="4"/>
  <c r="C191" i="4"/>
  <c r="C479" i="4"/>
  <c r="C767" i="4"/>
  <c r="C9" i="4"/>
  <c r="C297" i="4"/>
  <c r="C585" i="4"/>
  <c r="C90" i="4"/>
  <c r="C378" i="4"/>
  <c r="C666" i="4"/>
  <c r="C954" i="4"/>
  <c r="I293" i="4"/>
  <c r="I205" i="4"/>
  <c r="I324" i="4"/>
  <c r="I167" i="4"/>
  <c r="I263" i="4"/>
  <c r="I359" i="4"/>
  <c r="I934" i="4"/>
  <c r="I105" i="4"/>
  <c r="I53" i="4"/>
  <c r="I279" i="4"/>
  <c r="I300" i="4"/>
  <c r="I435" i="4"/>
  <c r="I529" i="4"/>
  <c r="I511" i="4"/>
  <c r="I188" i="4"/>
  <c r="I197" i="4"/>
  <c r="I356" i="4"/>
  <c r="I454" i="4"/>
  <c r="I111" i="4"/>
  <c r="I470" i="4"/>
  <c r="I569" i="4"/>
  <c r="I362" i="4"/>
  <c r="I200" i="4"/>
  <c r="I323" i="4"/>
  <c r="I467" i="4"/>
  <c r="I343" i="4"/>
  <c r="I313" i="4"/>
  <c r="I520" i="4"/>
  <c r="I134" i="4"/>
  <c r="I432" i="4"/>
  <c r="I430" i="4"/>
  <c r="I308" i="4"/>
  <c r="I123" i="4"/>
  <c r="I195" i="4"/>
  <c r="I368" i="4"/>
  <c r="I434" i="4"/>
  <c r="I214" i="4"/>
  <c r="I572" i="4"/>
  <c r="I309" i="4"/>
  <c r="I419" i="4"/>
  <c r="I107" i="4"/>
  <c r="I429" i="4"/>
  <c r="I351" i="4"/>
  <c r="I516" i="4"/>
  <c r="I415" i="4"/>
  <c r="I480" i="4"/>
  <c r="I91" i="4"/>
  <c r="I407" i="4"/>
  <c r="I169" i="4"/>
  <c r="I453" i="4"/>
  <c r="I376" i="4"/>
  <c r="I225" i="4"/>
  <c r="I208" i="4"/>
  <c r="I2" i="4"/>
  <c r="C834" i="4"/>
  <c r="C829" i="4"/>
  <c r="C339" i="4"/>
  <c r="C323" i="4"/>
  <c r="C1077" i="4"/>
  <c r="C1000" i="4"/>
  <c r="C20" i="4"/>
  <c r="C308" i="4"/>
  <c r="C596" i="4"/>
  <c r="C884" i="4"/>
  <c r="C165" i="4"/>
  <c r="C453" i="4"/>
  <c r="C886" i="4"/>
  <c r="C159" i="4"/>
  <c r="C447" i="4"/>
  <c r="C735" i="4"/>
  <c r="C8" i="4"/>
  <c r="C296" i="4"/>
  <c r="C584" i="4"/>
  <c r="C872" i="4"/>
  <c r="C193" i="4"/>
  <c r="C481" i="4"/>
  <c r="C769" i="4"/>
  <c r="C274" i="4"/>
  <c r="C562" i="4"/>
  <c r="C411" i="4"/>
  <c r="C849" i="4"/>
  <c r="C1094" i="4"/>
  <c r="C108" i="4"/>
  <c r="C396" i="4"/>
  <c r="C684" i="4"/>
  <c r="C972" i="4"/>
  <c r="C253" i="4"/>
  <c r="C541" i="4"/>
  <c r="C38" i="4"/>
  <c r="C326" i="4"/>
  <c r="C614" i="4"/>
  <c r="C823" i="4"/>
  <c r="C96" i="4"/>
  <c r="C384" i="4"/>
  <c r="C672" i="4"/>
  <c r="C960" i="4"/>
  <c r="C281" i="4"/>
  <c r="C569" i="4"/>
  <c r="C74" i="4"/>
  <c r="C362" i="4"/>
  <c r="C650" i="4"/>
  <c r="C938" i="4"/>
  <c r="C1043" i="4"/>
  <c r="C917" i="4"/>
  <c r="C392" i="4"/>
  <c r="C680" i="4"/>
  <c r="C968" i="4"/>
  <c r="C289" i="4"/>
  <c r="C577" i="4"/>
  <c r="C82" i="4"/>
  <c r="C370" i="4"/>
  <c r="C658" i="4"/>
  <c r="C946" i="4"/>
  <c r="C1051" i="4"/>
  <c r="C939" i="4"/>
  <c r="C603" i="4"/>
  <c r="C35" i="4"/>
  <c r="C780" i="4"/>
  <c r="C61" i="4"/>
  <c r="C349" i="4"/>
  <c r="C637" i="4"/>
  <c r="C134" i="4"/>
  <c r="C422" i="4"/>
  <c r="C710" i="4"/>
  <c r="I573" i="4"/>
  <c r="I555" i="4"/>
  <c r="I472" i="4"/>
  <c r="I400" i="4"/>
  <c r="I244" i="4"/>
  <c r="I439" i="4"/>
  <c r="I132" i="4"/>
  <c r="I260" i="4"/>
  <c r="I68" i="4"/>
  <c r="I299" i="4"/>
  <c r="I509" i="4"/>
  <c r="I220" i="4"/>
  <c r="I257" i="4"/>
  <c r="I398" i="4"/>
  <c r="I465" i="4"/>
  <c r="I468" i="4"/>
  <c r="I154" i="4"/>
  <c r="I340" i="4"/>
  <c r="I106" i="4"/>
  <c r="I559" i="4"/>
  <c r="I63" i="4"/>
  <c r="I133" i="4"/>
  <c r="I353" i="4"/>
  <c r="I431" i="4"/>
  <c r="I448" i="4"/>
  <c r="I487" i="4"/>
  <c r="I460" i="4"/>
  <c r="I166" i="4"/>
  <c r="I517" i="4"/>
  <c r="I940" i="4"/>
  <c r="I318" i="4"/>
  <c r="I126" i="4"/>
  <c r="I328" i="4"/>
  <c r="I285" i="4"/>
  <c r="I508" i="4"/>
  <c r="I314" i="4"/>
  <c r="I422" i="4"/>
  <c r="I122" i="4"/>
  <c r="I539" i="4"/>
  <c r="I248" i="4"/>
  <c r="I23" i="4"/>
  <c r="I264" i="4"/>
  <c r="I381" i="4"/>
  <c r="I22" i="4"/>
  <c r="I931" i="4"/>
  <c r="I466" i="4"/>
  <c r="I371" i="4"/>
  <c r="I240" i="4"/>
  <c r="I329" i="4"/>
  <c r="I339" i="4"/>
  <c r="I394" i="4"/>
  <c r="I296" i="4"/>
  <c r="I352" i="4"/>
  <c r="C302" i="4"/>
  <c r="C590" i="4"/>
  <c r="C878" i="4"/>
  <c r="C151" i="4"/>
  <c r="C439" i="4"/>
  <c r="C727" i="4"/>
  <c r="C1015" i="4"/>
  <c r="C288" i="4"/>
  <c r="C576" i="4"/>
  <c r="C864" i="4"/>
  <c r="C185" i="4"/>
  <c r="C473" i="4"/>
  <c r="C761" i="4"/>
  <c r="C1019" i="4"/>
  <c r="C853" i="4"/>
  <c r="C347" i="4"/>
  <c r="C259" i="4"/>
  <c r="C1086" i="4"/>
  <c r="C100" i="4"/>
  <c r="C388" i="4"/>
  <c r="C676" i="4"/>
  <c r="C964" i="4"/>
  <c r="C245" i="4"/>
  <c r="C533" i="4"/>
  <c r="C30" i="4"/>
  <c r="C318" i="4"/>
  <c r="C527" i="4"/>
  <c r="C815" i="4"/>
  <c r="C88" i="4"/>
  <c r="C376" i="4"/>
  <c r="C664" i="4"/>
  <c r="C952" i="4"/>
  <c r="C273" i="4"/>
  <c r="C561" i="4"/>
  <c r="C66" i="4"/>
  <c r="C354" i="4"/>
  <c r="C642" i="4"/>
  <c r="C930" i="4"/>
  <c r="C483" i="4"/>
  <c r="C933" i="4"/>
  <c r="C188" i="4"/>
  <c r="C476" i="4"/>
  <c r="C764" i="4"/>
  <c r="C45" i="4"/>
  <c r="C333" i="4"/>
  <c r="C621" i="4"/>
  <c r="C118" i="4"/>
  <c r="C406" i="4"/>
  <c r="C694" i="4"/>
  <c r="C982" i="4"/>
  <c r="C255" i="4"/>
  <c r="C196" i="4"/>
  <c r="C484" i="4"/>
  <c r="C772" i="4"/>
  <c r="C53" i="4"/>
  <c r="C341" i="4"/>
  <c r="C629" i="4"/>
  <c r="C126" i="4"/>
  <c r="I84" i="4"/>
  <c r="I83" i="4"/>
  <c r="I228" i="4"/>
  <c r="I378" i="4"/>
  <c r="I120" i="4"/>
  <c r="I403" i="4"/>
  <c r="I505" i="4"/>
  <c r="I446" i="4"/>
  <c r="I216" i="4"/>
  <c r="I537" i="4"/>
  <c r="I153" i="4"/>
  <c r="I534" i="4"/>
  <c r="I174" i="4"/>
  <c r="I486" i="4"/>
  <c r="I37" i="4"/>
  <c r="I449" i="4"/>
  <c r="I259" i="4"/>
  <c r="I411" i="4"/>
  <c r="I6" i="4"/>
  <c r="I145" i="4"/>
  <c r="I90" i="4"/>
  <c r="I54" i="4"/>
  <c r="I100" i="4"/>
  <c r="I277" i="4"/>
  <c r="I560" i="4"/>
  <c r="I191" i="4"/>
  <c r="I464" i="4"/>
  <c r="I399" i="4"/>
  <c r="I523" i="4"/>
  <c r="I321" i="4"/>
  <c r="I420" i="4"/>
  <c r="I476" i="4"/>
  <c r="I273" i="4"/>
  <c r="I72" i="4"/>
  <c r="I149" i="4"/>
  <c r="I284" i="4"/>
  <c r="I39" i="4"/>
  <c r="I142" i="4"/>
  <c r="I462" i="4"/>
  <c r="I408" i="4"/>
  <c r="I175" i="4"/>
  <c r="I245" i="4"/>
  <c r="I457" i="4"/>
  <c r="I550" i="4"/>
  <c r="I234" i="4"/>
  <c r="I131" i="4"/>
  <c r="I576" i="4"/>
  <c r="I88" i="4"/>
  <c r="I151" i="4"/>
  <c r="I410" i="4"/>
  <c r="I160" i="4"/>
  <c r="I294" i="4"/>
  <c r="I475" i="4"/>
  <c r="C618" i="4"/>
  <c r="C906" i="4"/>
  <c r="C1009" i="4"/>
  <c r="C833" i="4"/>
  <c r="C283" i="4"/>
  <c r="C1149" i="4"/>
  <c r="C1078" i="4"/>
  <c r="C92" i="4"/>
  <c r="C380" i="4"/>
  <c r="C668" i="4"/>
  <c r="C956" i="4"/>
  <c r="C237" i="4"/>
  <c r="C525" i="4"/>
  <c r="C958" i="4"/>
  <c r="C231" i="4"/>
  <c r="C519" i="4"/>
  <c r="C807" i="4"/>
  <c r="C80" i="4"/>
  <c r="C368" i="4"/>
  <c r="C656" i="4"/>
  <c r="C944" i="4"/>
  <c r="C265" i="4"/>
  <c r="C553" i="4"/>
  <c r="C58" i="4"/>
  <c r="C346" i="4"/>
  <c r="C634" i="4"/>
  <c r="C857" i="4"/>
  <c r="C419" i="4"/>
  <c r="C805" i="4"/>
  <c r="C180" i="4"/>
  <c r="C468" i="4"/>
  <c r="C756" i="4"/>
  <c r="C37" i="4"/>
  <c r="C325" i="4"/>
  <c r="C613" i="4"/>
  <c r="C110" i="4"/>
  <c r="C398" i="4"/>
  <c r="C686" i="4"/>
  <c r="C895" i="4"/>
  <c r="C168" i="4"/>
  <c r="C456" i="4"/>
  <c r="C744" i="4"/>
  <c r="C65" i="4"/>
  <c r="C353" i="4"/>
  <c r="C641" i="4"/>
  <c r="C146" i="4"/>
  <c r="C434" i="4"/>
  <c r="C722" i="4"/>
  <c r="C11" i="4"/>
  <c r="C1115" i="4"/>
  <c r="C1044" i="4"/>
  <c r="C464" i="4"/>
  <c r="C752" i="4"/>
  <c r="C73" i="4"/>
  <c r="C361" i="4"/>
  <c r="C649" i="4"/>
  <c r="C154" i="4"/>
  <c r="C442" i="4"/>
  <c r="C730" i="4"/>
  <c r="C75" i="4"/>
  <c r="C1123" i="4"/>
  <c r="C1052" i="4"/>
  <c r="C921" i="4"/>
  <c r="C564" i="4"/>
  <c r="C852" i="4"/>
  <c r="C133" i="4"/>
  <c r="C421" i="4"/>
  <c r="C709" i="4"/>
  <c r="C206" i="4"/>
  <c r="C494" i="4"/>
  <c r="I24" i="4"/>
  <c r="I281" i="4"/>
  <c r="I19" i="4"/>
  <c r="I364" i="4"/>
  <c r="I455" i="4"/>
  <c r="I69" i="4"/>
  <c r="I490" i="4"/>
  <c r="I141" i="4"/>
  <c r="I253" i="4"/>
  <c r="I20" i="4"/>
  <c r="I38" i="4"/>
  <c r="I146" i="4"/>
  <c r="I77" i="4"/>
  <c r="I93" i="4"/>
  <c r="I156" i="4"/>
  <c r="I388" i="4"/>
  <c r="I561" i="4"/>
  <c r="I445" i="4"/>
  <c r="I365" i="4"/>
  <c r="I215" i="4"/>
  <c r="I512" i="4"/>
  <c r="I483" i="4"/>
  <c r="I461" i="4"/>
  <c r="I96" i="4"/>
  <c r="I75" i="4"/>
  <c r="I396" i="4"/>
  <c r="I203" i="4"/>
  <c r="I499" i="4"/>
  <c r="I377" i="4"/>
  <c r="I496" i="4"/>
  <c r="I192" i="4"/>
  <c r="I249" i="4"/>
  <c r="I389" i="4"/>
  <c r="I301" i="4"/>
  <c r="I209" i="4"/>
  <c r="I392" i="4"/>
  <c r="I33" i="4"/>
  <c r="I118" i="4"/>
  <c r="I477" i="4"/>
  <c r="I152" i="4"/>
  <c r="I236" i="4"/>
  <c r="I545" i="4"/>
  <c r="I121" i="4"/>
  <c r="I250" i="4"/>
  <c r="I230" i="4"/>
  <c r="I404" i="4"/>
  <c r="I36" i="4"/>
  <c r="I81" i="4"/>
  <c r="I348" i="4"/>
  <c r="I157" i="4"/>
  <c r="I278" i="4"/>
  <c r="I194" i="4"/>
  <c r="I367" i="4"/>
  <c r="I540" i="4"/>
  <c r="C374" i="4"/>
  <c r="C662" i="4"/>
  <c r="C950" i="4"/>
  <c r="C223" i="4"/>
  <c r="C511" i="4"/>
  <c r="C799" i="4"/>
  <c r="C72" i="4"/>
  <c r="C360" i="4"/>
  <c r="C648" i="4"/>
  <c r="C936" i="4"/>
  <c r="C257" i="4"/>
  <c r="C545" i="4"/>
  <c r="C50" i="4"/>
  <c r="C1091" i="4"/>
  <c r="C1020" i="4"/>
  <c r="C835" i="4"/>
  <c r="C355" i="4"/>
  <c r="C387" i="4"/>
  <c r="C172" i="4"/>
  <c r="C460" i="4"/>
  <c r="C748" i="4"/>
  <c r="C29" i="4"/>
  <c r="C317" i="4"/>
  <c r="C605" i="4"/>
  <c r="C102" i="4"/>
  <c r="C311" i="4"/>
  <c r="C599" i="4"/>
  <c r="C887" i="4"/>
  <c r="C160" i="4"/>
  <c r="C448" i="4"/>
  <c r="C736" i="4"/>
  <c r="C57" i="4"/>
  <c r="C345" i="4"/>
  <c r="C633" i="4"/>
  <c r="C138" i="4"/>
  <c r="C426" i="4"/>
  <c r="C714" i="4"/>
  <c r="C1002" i="4"/>
  <c r="C881" i="4"/>
  <c r="C491" i="4"/>
  <c r="C260" i="4"/>
  <c r="C548" i="4"/>
  <c r="C836" i="4"/>
  <c r="C117" i="4"/>
  <c r="C405" i="4"/>
  <c r="C693" i="4"/>
  <c r="C190" i="4"/>
  <c r="C478" i="4"/>
  <c r="C766" i="4"/>
  <c r="C39" i="4"/>
  <c r="C327" i="4"/>
  <c r="C268" i="4"/>
  <c r="C556" i="4"/>
  <c r="C844" i="4"/>
  <c r="C125" i="4"/>
  <c r="C413" i="4"/>
  <c r="C701" i="4"/>
  <c r="C198" i="4"/>
  <c r="C486" i="4"/>
  <c r="C774" i="4"/>
  <c r="C47" i="4"/>
  <c r="C335" i="4"/>
  <c r="C623" i="4"/>
  <c r="C832" i="4"/>
  <c r="C153" i="4"/>
  <c r="C441" i="4"/>
  <c r="C729" i="4"/>
  <c r="C234" i="4"/>
  <c r="C522" i="4"/>
  <c r="C810" i="4"/>
  <c r="C715" i="4"/>
  <c r="C147" i="4"/>
  <c r="C1132" i="4"/>
  <c r="I13" i="4"/>
  <c r="I564" i="4"/>
  <c r="I252" i="4"/>
  <c r="I46" i="4"/>
  <c r="I501" i="4"/>
  <c r="I456" i="4"/>
  <c r="I179" i="4"/>
  <c r="C1010" i="4"/>
  <c r="C309" i="4"/>
  <c r="C728" i="4"/>
  <c r="C859" i="4"/>
  <c r="C182" i="4"/>
  <c r="C425" i="4"/>
  <c r="C536" i="4"/>
  <c r="C802" i="4"/>
  <c r="C1045" i="4"/>
  <c r="C493" i="4"/>
  <c r="C782" i="4"/>
  <c r="C961" i="4"/>
  <c r="C941" i="4"/>
  <c r="C675" i="4"/>
  <c r="C107" i="4"/>
  <c r="C725" i="4"/>
  <c r="C222" i="4"/>
  <c r="C510" i="4"/>
  <c r="C798" i="4"/>
  <c r="C71" i="4"/>
  <c r="C359" i="4"/>
  <c r="C647" i="4"/>
  <c r="C935" i="4"/>
  <c r="C208" i="4"/>
  <c r="C496" i="4"/>
  <c r="C784" i="4"/>
  <c r="C105" i="4"/>
  <c r="C393" i="4"/>
  <c r="C731" i="4"/>
  <c r="C983" i="4"/>
  <c r="C759" i="4"/>
  <c r="C32" i="4"/>
  <c r="C841" i="4"/>
  <c r="C1082" i="4"/>
  <c r="C67" i="4"/>
  <c r="C544" i="4"/>
  <c r="C867" i="4"/>
  <c r="C571" i="4"/>
  <c r="C175" i="4"/>
  <c r="C619" i="4"/>
  <c r="C718" i="4"/>
  <c r="C140" i="4"/>
  <c r="C428" i="4"/>
  <c r="C1024" i="4"/>
  <c r="C243" i="4"/>
  <c r="C973" i="4"/>
  <c r="C170" i="4"/>
  <c r="C171" i="4"/>
  <c r="C97" i="4"/>
  <c r="C840" i="4"/>
  <c r="C161" i="4"/>
  <c r="C1041" i="4"/>
  <c r="C1018" i="4"/>
  <c r="C801" i="4"/>
  <c r="C286" i="4"/>
  <c r="C770" i="4"/>
  <c r="C179" i="4"/>
  <c r="C913" i="4"/>
  <c r="C1013" i="4"/>
  <c r="C351" i="4"/>
  <c r="C229" i="4"/>
  <c r="C5" i="4"/>
  <c r="C293" i="4"/>
  <c r="C1136" i="4"/>
  <c r="C336" i="4"/>
  <c r="C1057" i="4"/>
  <c r="C1140" i="4"/>
  <c r="C741" i="4"/>
  <c r="C517" i="4"/>
  <c r="C14" i="4"/>
  <c r="C1146" i="4"/>
  <c r="C971" i="4"/>
  <c r="C3" i="4"/>
  <c r="C272" i="4"/>
  <c r="C526" i="4"/>
  <c r="C26" i="4"/>
  <c r="C875" i="4"/>
  <c r="C711" i="4"/>
  <c r="C167" i="4"/>
  <c r="C646" i="4"/>
  <c r="C848" i="4"/>
  <c r="C1037" i="4"/>
  <c r="C891" i="4"/>
  <c r="J24" i="4"/>
  <c r="J465" i="4"/>
  <c r="J82" i="4"/>
  <c r="J80" i="4"/>
  <c r="J408" i="4"/>
  <c r="J376" i="4"/>
  <c r="J377" i="4"/>
  <c r="J37" i="4"/>
  <c r="J462" i="4"/>
  <c r="J79" i="4"/>
  <c r="I176" i="4"/>
  <c r="I29" i="4"/>
  <c r="I172" i="4"/>
  <c r="I382" i="4"/>
  <c r="I478" i="4"/>
  <c r="I241" i="4"/>
  <c r="J241" i="4" s="1"/>
  <c r="I333" i="4"/>
  <c r="I307" i="4"/>
  <c r="C291" i="4"/>
  <c r="C15" i="4"/>
  <c r="C337" i="4"/>
  <c r="C252" i="4"/>
  <c r="C758" i="4"/>
  <c r="C218" i="4"/>
  <c r="C145" i="4"/>
  <c r="C651" i="4"/>
  <c r="C636" i="4"/>
  <c r="C781" i="4"/>
  <c r="C1059" i="4"/>
  <c r="C1060" i="4"/>
  <c r="C1053" i="4"/>
  <c r="C945" i="4"/>
  <c r="C2" i="6"/>
  <c r="C6" i="4"/>
  <c r="C294" i="4"/>
  <c r="C582" i="4"/>
  <c r="C870" i="4"/>
  <c r="C143" i="4"/>
  <c r="C431" i="4"/>
  <c r="C719" i="4"/>
  <c r="C1007" i="4"/>
  <c r="C280" i="4"/>
  <c r="C568" i="4"/>
  <c r="C856" i="4"/>
  <c r="C177" i="4"/>
  <c r="C98" i="4"/>
  <c r="C1134" i="4"/>
  <c r="C40" i="4"/>
  <c r="C831" i="4"/>
  <c r="C104" i="4"/>
  <c r="C1144" i="4"/>
  <c r="C1048" i="4"/>
  <c r="C60" i="4"/>
  <c r="C420" i="4"/>
  <c r="C1143" i="4"/>
  <c r="C314" i="4"/>
  <c r="C23" i="4"/>
  <c r="C443" i="4"/>
  <c r="C279" i="4"/>
  <c r="C212" i="4"/>
  <c r="C204" i="4"/>
  <c r="C1120" i="4"/>
  <c r="C76" i="4"/>
  <c r="C751" i="4"/>
  <c r="C746" i="4"/>
  <c r="C508" i="4"/>
  <c r="C169" i="4"/>
  <c r="C912" i="4"/>
  <c r="C233" i="4"/>
  <c r="C1063" i="4"/>
  <c r="C59" i="4"/>
  <c r="C507" i="4"/>
  <c r="C462" i="4"/>
  <c r="C914" i="4"/>
  <c r="C977" i="4"/>
  <c r="C1138" i="4"/>
  <c r="C429" i="4"/>
  <c r="C927" i="4"/>
  <c r="C301" i="4"/>
  <c r="C77" i="4"/>
  <c r="C365" i="4"/>
  <c r="C131" i="4"/>
  <c r="C467" i="4"/>
  <c r="C737" i="4"/>
  <c r="C965" i="4"/>
  <c r="C22" i="4"/>
  <c r="C589" i="4"/>
  <c r="C86" i="4"/>
  <c r="C315" i="4"/>
  <c r="C1087" i="4"/>
  <c r="C501" i="4"/>
  <c r="C390" i="4"/>
  <c r="C670" i="4"/>
  <c r="C155" i="4"/>
  <c r="C1111" i="4"/>
  <c r="C534" i="4"/>
  <c r="C1023" i="4"/>
  <c r="C207" i="4"/>
  <c r="C1008" i="4"/>
  <c r="C1109" i="4"/>
  <c r="C475" i="4"/>
  <c r="J499" i="4"/>
  <c r="J464" i="4"/>
  <c r="J48" i="4"/>
  <c r="J410" i="4"/>
  <c r="J396" i="4"/>
  <c r="J459" i="4"/>
  <c r="J84" i="4"/>
  <c r="J174" i="4"/>
  <c r="J375" i="4"/>
  <c r="J134" i="4"/>
  <c r="J400" i="4"/>
  <c r="C953" i="4"/>
  <c r="C488" i="4"/>
  <c r="C149" i="4"/>
  <c r="C1003" i="4"/>
  <c r="C530" i="4"/>
  <c r="C94" i="4"/>
  <c r="C158" i="4"/>
  <c r="C755" i="4"/>
  <c r="C606" i="4"/>
  <c r="C1107" i="4"/>
  <c r="C994" i="4"/>
  <c r="C783" i="4"/>
  <c r="C1036" i="4"/>
  <c r="J463" i="4"/>
  <c r="J460" i="4"/>
  <c r="J394" i="4"/>
  <c r="J240" i="4"/>
  <c r="J434" i="4"/>
  <c r="J49" i="4"/>
  <c r="C753" i="4"/>
  <c r="C194" i="4"/>
  <c r="C1129" i="4"/>
  <c r="C803" i="4"/>
  <c r="C615" i="4"/>
  <c r="I302" i="4"/>
  <c r="I312" i="4"/>
  <c r="I289" i="4"/>
  <c r="I433" i="4"/>
  <c r="I231" i="4"/>
  <c r="I405" i="4"/>
  <c r="I469" i="4"/>
  <c r="J469" i="4" s="1"/>
  <c r="C1150" i="4"/>
  <c r="C303" i="4"/>
  <c r="C625" i="4"/>
  <c r="C540" i="4"/>
  <c r="C967" i="4"/>
  <c r="C506" i="4"/>
  <c r="C433" i="4"/>
  <c r="C990" i="4"/>
  <c r="C81" i="4"/>
  <c r="C450" i="4"/>
  <c r="C998" i="4"/>
  <c r="C343" i="4"/>
  <c r="C703" i="4"/>
  <c r="C991" i="4"/>
  <c r="C264" i="4"/>
  <c r="C322" i="4"/>
  <c r="C610" i="4"/>
  <c r="C898" i="4"/>
  <c r="C993" i="4"/>
  <c r="C811" i="4"/>
  <c r="C219" i="4"/>
  <c r="C1141" i="4"/>
  <c r="C1070" i="4"/>
  <c r="C84" i="4"/>
  <c r="C372" i="4"/>
  <c r="C660" i="4"/>
  <c r="C948" i="4"/>
  <c r="C386" i="4"/>
  <c r="C148" i="4"/>
  <c r="C1118" i="4"/>
  <c r="C547" i="4"/>
  <c r="C1034" i="4"/>
  <c r="C643" i="4"/>
  <c r="C515" i="4"/>
  <c r="C328" i="4"/>
  <c r="C492" i="4"/>
  <c r="C1151" i="4"/>
  <c r="C602" i="4"/>
  <c r="C239" i="4"/>
  <c r="C69" i="4"/>
  <c r="C567" i="4"/>
  <c r="C480" i="4"/>
  <c r="C348" i="4"/>
  <c r="C115" i="4"/>
  <c r="C31" i="4"/>
  <c r="C1135" i="4"/>
  <c r="C203" i="4"/>
  <c r="C652" i="4"/>
  <c r="C940" i="4"/>
  <c r="C716" i="4"/>
  <c r="C1004" i="4"/>
  <c r="C976" i="4"/>
  <c r="C195" i="4"/>
  <c r="C1049" i="4"/>
  <c r="C850" i="4"/>
  <c r="C742" i="4"/>
  <c r="C1133" i="4"/>
  <c r="C747" i="4"/>
  <c r="C717" i="4"/>
  <c r="C200" i="4"/>
  <c r="C609" i="4"/>
  <c r="C385" i="4"/>
  <c r="C673" i="4"/>
  <c r="C1056" i="4"/>
  <c r="C1137" i="4"/>
  <c r="C242" i="4"/>
  <c r="C4" i="4"/>
  <c r="C338" i="4"/>
  <c r="C114" i="4"/>
  <c r="C402" i="4"/>
  <c r="C797" i="4"/>
  <c r="C499" i="4"/>
  <c r="C789" i="4"/>
  <c r="C778" i="4"/>
  <c r="C1090" i="4"/>
  <c r="C364" i="4"/>
  <c r="C843" i="4"/>
  <c r="C922" i="4"/>
  <c r="C1113" i="4"/>
  <c r="C495" i="4"/>
  <c r="C471" i="4"/>
  <c r="C247" i="4"/>
  <c r="C535" i="4"/>
  <c r="J401" i="4"/>
  <c r="J133" i="4"/>
  <c r="J69" i="4"/>
  <c r="J325" i="4"/>
  <c r="J296" i="4"/>
  <c r="J302" i="4"/>
  <c r="J85" i="4"/>
  <c r="J393" i="4"/>
  <c r="J176" i="4"/>
  <c r="J398" i="4"/>
  <c r="J334" i="4"/>
  <c r="C214" i="4"/>
  <c r="C373" i="4"/>
  <c r="C437" i="4"/>
  <c r="C1152" i="4"/>
  <c r="C292" i="4"/>
  <c r="C661" i="4"/>
  <c r="C1073" i="4"/>
  <c r="C862" i="4"/>
  <c r="C1130" i="4"/>
  <c r="C1033" i="4"/>
  <c r="C285" i="4"/>
  <c r="C539" i="4"/>
  <c r="C877" i="4"/>
  <c r="J279" i="4"/>
  <c r="J437" i="4"/>
  <c r="J87" i="4"/>
  <c r="J402" i="4"/>
  <c r="J332" i="4"/>
  <c r="C63" i="4"/>
  <c r="C258" i="4"/>
  <c r="C698" i="4"/>
  <c r="C358" i="4"/>
  <c r="J406" i="4"/>
  <c r="I494" i="4"/>
  <c r="I360" i="4"/>
  <c r="I173" i="4"/>
  <c r="I350" i="4"/>
  <c r="I59" i="4"/>
  <c r="I536" i="4"/>
  <c r="I276" i="4"/>
  <c r="C164" i="4"/>
  <c r="C591" i="4"/>
  <c r="C130" i="4"/>
  <c r="C828" i="4"/>
  <c r="C240" i="4"/>
  <c r="C794" i="4"/>
  <c r="C721" i="4"/>
  <c r="C83" i="4"/>
  <c r="C924" i="4"/>
  <c r="C278" i="4"/>
  <c r="C1131" i="4"/>
  <c r="C415" i="4"/>
  <c r="C1125" i="4"/>
  <c r="C1054" i="4"/>
  <c r="C581" i="4"/>
  <c r="C78" i="4"/>
  <c r="C366" i="4"/>
  <c r="C654" i="4"/>
  <c r="C942" i="4"/>
  <c r="C215" i="4"/>
  <c r="C503" i="4"/>
  <c r="C791" i="4"/>
  <c r="C64" i="4"/>
  <c r="C352" i="4"/>
  <c r="C640" i="4"/>
  <c r="C928" i="4"/>
  <c r="C249" i="4"/>
  <c r="C674" i="4"/>
  <c r="C436" i="4"/>
  <c r="C112" i="4"/>
  <c r="C903" i="4"/>
  <c r="C176" i="4"/>
  <c r="C123" i="4"/>
  <c r="C869" i="4"/>
  <c r="C132" i="4"/>
  <c r="C1080" i="4"/>
  <c r="C985" i="4"/>
  <c r="C787" i="4"/>
  <c r="C1031" i="4"/>
  <c r="C357" i="4"/>
  <c r="C855" i="4"/>
  <c r="C284" i="4"/>
  <c r="C688" i="4"/>
  <c r="C1097" i="4"/>
  <c r="C897" i="4"/>
  <c r="C251" i="4"/>
  <c r="C1139" i="4"/>
  <c r="C920" i="4"/>
  <c r="C241" i="4"/>
  <c r="C17" i="4"/>
  <c r="C305" i="4"/>
  <c r="C827" i="4"/>
  <c r="C1127" i="4"/>
  <c r="C883" i="4"/>
  <c r="C678" i="4"/>
  <c r="C1005" i="4"/>
  <c r="C902" i="4"/>
  <c r="I414" i="4"/>
  <c r="I275" i="4"/>
  <c r="I47" i="4"/>
  <c r="J47" i="4" s="1"/>
  <c r="I221" i="4"/>
  <c r="I372" i="4"/>
  <c r="I211" i="4"/>
  <c r="C690" i="4"/>
  <c r="C452" i="4"/>
  <c r="C879" i="4"/>
  <c r="C418" i="4"/>
  <c r="C109" i="4"/>
  <c r="C528" i="4"/>
  <c r="C587" i="4"/>
  <c r="C226" i="4"/>
  <c r="C263" i="4"/>
  <c r="C369" i="4"/>
  <c r="C738" i="4"/>
  <c r="C55" i="4"/>
  <c r="C91" i="4"/>
  <c r="C775" i="4"/>
  <c r="C48" i="4"/>
  <c r="C106" i="4"/>
  <c r="C394" i="4"/>
  <c r="C682" i="4"/>
  <c r="C970" i="4"/>
  <c r="C1075" i="4"/>
  <c r="C995" i="4"/>
  <c r="C793" i="4"/>
  <c r="C227" i="4"/>
  <c r="C1142" i="4"/>
  <c r="C156" i="4"/>
  <c r="C444" i="4"/>
  <c r="C732" i="4"/>
  <c r="C13" i="4"/>
  <c r="C962" i="4"/>
  <c r="C611" i="4"/>
  <c r="C43" i="4"/>
  <c r="C901" i="4"/>
  <c r="C555" i="4"/>
  <c r="C635" i="4"/>
  <c r="C845" i="4"/>
  <c r="C400" i="4"/>
  <c r="C1039" i="4"/>
  <c r="C986" i="4"/>
  <c r="C1062" i="4"/>
  <c r="C989" i="4"/>
  <c r="C645" i="4"/>
  <c r="C128" i="4"/>
  <c r="C552" i="4"/>
  <c r="C760" i="4"/>
  <c r="C1025" i="4"/>
  <c r="C1027" i="4"/>
  <c r="C1074" i="4"/>
  <c r="C1068" i="4"/>
  <c r="C724" i="4"/>
  <c r="C500" i="4"/>
  <c r="C788" i="4"/>
  <c r="C51" i="4"/>
  <c r="C1122" i="4"/>
  <c r="C987" i="4"/>
  <c r="C2" i="4"/>
  <c r="C554" i="4"/>
  <c r="C1096" i="4"/>
  <c r="C103" i="4"/>
  <c r="C1101" i="4"/>
  <c r="C502" i="4"/>
  <c r="C776" i="4"/>
  <c r="C681" i="4"/>
  <c r="C457" i="4"/>
  <c r="C745" i="4"/>
  <c r="C371" i="4"/>
  <c r="C992" i="4"/>
  <c r="C818" i="4"/>
  <c r="C68" i="4"/>
  <c r="C410" i="4"/>
  <c r="C186" i="4"/>
  <c r="C474" i="4"/>
  <c r="C1071" i="4"/>
  <c r="C1089" i="4"/>
  <c r="C135" i="4"/>
  <c r="C238" i="4"/>
  <c r="C955" i="4"/>
  <c r="C531" i="4"/>
  <c r="C1103" i="4"/>
  <c r="C310" i="4"/>
  <c r="C573" i="4"/>
  <c r="C56" i="4"/>
  <c r="C543" i="4"/>
  <c r="C319" i="4"/>
  <c r="C607" i="4"/>
  <c r="J404" i="4"/>
  <c r="J333" i="4"/>
  <c r="J297" i="4"/>
  <c r="J433" i="4"/>
  <c r="J81" i="4"/>
  <c r="J479" i="4"/>
  <c r="J467" i="4"/>
  <c r="J533" i="4"/>
  <c r="J457" i="4"/>
  <c r="J466" i="4"/>
  <c r="J392" i="4"/>
  <c r="C1076" i="4"/>
  <c r="C85" i="4"/>
  <c r="C923" i="4"/>
  <c r="C683" i="4"/>
  <c r="C276" i="4"/>
  <c r="C1026" i="4"/>
  <c r="C704" i="4"/>
  <c r="C563" i="4"/>
  <c r="C665" i="4"/>
  <c r="C572" i="4"/>
  <c r="C1106" i="4"/>
  <c r="C454" i="4"/>
  <c r="C465" i="4"/>
  <c r="C931" i="4"/>
  <c r="C211" i="4"/>
  <c r="C1066" i="4"/>
  <c r="C905" i="4"/>
  <c r="C632" i="4"/>
  <c r="I500" i="4"/>
  <c r="J500" i="4" s="1"/>
  <c r="I113" i="4"/>
  <c r="I935" i="4"/>
  <c r="I409" i="4"/>
  <c r="J409" i="4" s="1"/>
  <c r="I426" i="4"/>
  <c r="I504" i="4"/>
  <c r="C978" i="4"/>
  <c r="C740" i="4"/>
  <c r="C152" i="4"/>
  <c r="C1100" i="4"/>
  <c r="C397" i="4"/>
  <c r="C816" i="4"/>
  <c r="C19" i="4"/>
  <c r="C514" i="4"/>
  <c r="C1124" i="4"/>
  <c r="C205" i="4"/>
  <c r="C566" i="4"/>
  <c r="C127" i="4"/>
  <c r="C667" i="4"/>
  <c r="C99" i="4"/>
  <c r="C1126" i="4"/>
  <c r="C653" i="4"/>
  <c r="C150" i="4"/>
  <c r="C438" i="4"/>
  <c r="C726" i="4"/>
  <c r="C1014" i="4"/>
  <c r="C287" i="4"/>
  <c r="C575" i="4"/>
  <c r="C863" i="4"/>
  <c r="C136" i="4"/>
  <c r="C424" i="4"/>
  <c r="C712" i="4"/>
  <c r="C33" i="4"/>
  <c r="C321" i="4"/>
  <c r="C1067" i="4"/>
  <c r="C911" i="4"/>
  <c r="C184" i="4"/>
  <c r="C975" i="4"/>
  <c r="C248" i="4"/>
  <c r="C825" i="4"/>
  <c r="C627" i="4"/>
  <c r="C472" i="4"/>
  <c r="C821" i="4"/>
  <c r="C379" i="4"/>
  <c r="C1035" i="4"/>
  <c r="C1079" i="4"/>
  <c r="C142" i="4"/>
  <c r="C416" i="4"/>
  <c r="C356" i="4"/>
  <c r="C1112" i="4"/>
  <c r="C395" i="4"/>
  <c r="C95" i="4"/>
  <c r="C377" i="4"/>
  <c r="C963" i="4"/>
  <c r="C25" i="4"/>
  <c r="C768" i="4"/>
  <c r="C89" i="4"/>
  <c r="C1098" i="4"/>
  <c r="C1119" i="4"/>
  <c r="C34" i="4"/>
  <c r="C865" i="4"/>
  <c r="C382" i="4"/>
  <c r="C435" i="4"/>
  <c r="C750" i="4"/>
  <c r="C925" i="4"/>
  <c r="C790" i="4"/>
  <c r="C157" i="4"/>
  <c r="C445" i="4"/>
  <c r="C221" i="4"/>
  <c r="C509" i="4"/>
  <c r="C949" i="4"/>
  <c r="C1001" i="4"/>
  <c r="C779" i="4"/>
  <c r="C669" i="4"/>
  <c r="C166" i="4"/>
  <c r="C733" i="4"/>
  <c r="C230" i="4"/>
  <c r="C1055" i="4"/>
  <c r="C1047" i="4"/>
  <c r="C423" i="4"/>
  <c r="C626" i="4"/>
  <c r="C947" i="4"/>
  <c r="C459" i="4"/>
  <c r="C1145" i="4"/>
  <c r="C974" i="4"/>
  <c r="C70" i="4"/>
  <c r="C344" i="4"/>
  <c r="C899" i="4"/>
  <c r="C1108" i="4"/>
  <c r="C1029" i="4"/>
  <c r="J395" i="4"/>
  <c r="J88" i="4"/>
  <c r="J378" i="4"/>
  <c r="J298" i="4"/>
  <c r="J407" i="4"/>
  <c r="J480" i="4"/>
  <c r="J281" i="4"/>
  <c r="J83" i="4"/>
  <c r="J77" i="4"/>
  <c r="J399" i="4"/>
  <c r="J299" i="4"/>
  <c r="J39" i="4"/>
  <c r="C754" i="4"/>
  <c r="C1095" i="4"/>
  <c r="C1064" i="4"/>
  <c r="C763" i="4"/>
  <c r="C929" i="4"/>
  <c r="C624" i="4"/>
  <c r="C1032" i="4"/>
  <c r="C739" i="4"/>
  <c r="C860" i="4"/>
  <c r="C969" i="4"/>
  <c r="C1065" i="4"/>
  <c r="C966" i="4"/>
  <c r="C529" i="4"/>
  <c r="C1088" i="4"/>
  <c r="C546" i="4"/>
  <c r="C1099" i="4"/>
  <c r="C391" i="4"/>
  <c r="I565" i="4"/>
  <c r="I185" i="4"/>
  <c r="I427" i="4"/>
  <c r="I117" i="4"/>
  <c r="I331" i="4"/>
  <c r="J331" i="4" s="1"/>
  <c r="I104" i="4"/>
  <c r="I44" i="4"/>
  <c r="C1083" i="4"/>
  <c r="C21" i="4"/>
  <c r="C440" i="4"/>
  <c r="C1021" i="4"/>
  <c r="C685" i="4"/>
  <c r="C137" i="4"/>
  <c r="C1116" i="4"/>
  <c r="C414" i="4"/>
  <c r="C551" i="4"/>
  <c r="C657" i="4"/>
  <c r="C139" i="4"/>
  <c r="C723" i="4"/>
  <c r="C559" i="4"/>
  <c r="C847" i="4"/>
  <c r="C120" i="4"/>
  <c r="C178" i="4"/>
  <c r="C466" i="4"/>
  <c r="C267" i="4"/>
  <c r="C1147" i="4"/>
  <c r="C981" i="4"/>
  <c r="C795" i="4"/>
  <c r="C235" i="4"/>
  <c r="C228" i="4"/>
  <c r="C516" i="4"/>
  <c r="C804" i="4"/>
  <c r="C979" i="4"/>
  <c r="C1038" i="4"/>
  <c r="C699" i="4"/>
  <c r="C885" i="4"/>
  <c r="C430" i="4"/>
  <c r="C1128" i="4"/>
  <c r="C796" i="4"/>
  <c r="C1105" i="4"/>
  <c r="C909" i="4"/>
  <c r="C1072" i="4"/>
  <c r="C574" i="4"/>
  <c r="C482" i="4"/>
  <c r="C999" i="4"/>
  <c r="C894" i="4"/>
  <c r="C679" i="4"/>
  <c r="I280" i="4"/>
  <c r="J280" i="4" s="1"/>
  <c r="C49" i="4"/>
  <c r="C854" i="4"/>
  <c r="C809" i="4"/>
  <c r="C876" i="4"/>
  <c r="C256" i="4"/>
  <c r="C696" i="4"/>
  <c r="C932" i="4"/>
  <c r="C141" i="4"/>
  <c r="C1061" i="4"/>
  <c r="C598" i="4"/>
  <c r="C463" i="4"/>
  <c r="J253" i="4"/>
  <c r="J501" i="4"/>
  <c r="J534" i="4"/>
  <c r="C1110" i="4"/>
  <c r="J397" i="4"/>
  <c r="C839" i="4"/>
  <c r="C521" i="4"/>
  <c r="C399" i="4"/>
  <c r="C861" i="4"/>
  <c r="C644" i="4"/>
  <c r="J23" i="4"/>
  <c r="I62" i="4"/>
  <c r="C427" i="4"/>
  <c r="C271" i="4"/>
  <c r="C275" i="4"/>
  <c r="C593" i="4"/>
  <c r="C616" i="4"/>
  <c r="C907" i="4"/>
  <c r="C889" i="4"/>
  <c r="C639" i="4"/>
  <c r="C266" i="4"/>
  <c r="C890" i="4"/>
  <c r="J38" i="4"/>
  <c r="J391" i="4"/>
  <c r="J40" i="4"/>
  <c r="J78" i="4"/>
  <c r="J175" i="4"/>
  <c r="I237" i="4"/>
  <c r="C1121" i="4"/>
  <c r="C842" i="4"/>
  <c r="J301" i="4"/>
  <c r="C300" i="4"/>
  <c r="C868" i="4"/>
  <c r="J252" i="4"/>
  <c r="C162" i="4"/>
  <c r="C1028" i="4"/>
  <c r="J461" i="4"/>
  <c r="I266" i="4"/>
  <c r="C470" i="4"/>
  <c r="C631" i="4"/>
  <c r="C1148" i="4"/>
  <c r="C163" i="4"/>
  <c r="C1040" i="4"/>
  <c r="C1016" i="4"/>
  <c r="C1050" i="4"/>
  <c r="C537" i="4"/>
  <c r="C42" i="4"/>
  <c r="C1104" i="4"/>
  <c r="J468" i="4"/>
  <c r="C702" i="4"/>
  <c r="C220" i="4"/>
  <c r="C934" i="4"/>
  <c r="C813" i="4"/>
  <c r="C1006" i="4"/>
  <c r="J470" i="4"/>
  <c r="C588" i="4"/>
  <c r="C449" i="4"/>
  <c r="I86" i="4"/>
  <c r="J86" i="4" s="1"/>
  <c r="C713" i="4"/>
  <c r="C919" i="4"/>
  <c r="C1069" i="4"/>
  <c r="C1046" i="4"/>
  <c r="C187" i="4"/>
  <c r="C1114" i="4"/>
  <c r="C691" i="4"/>
  <c r="C313" i="4"/>
  <c r="C330" i="4"/>
  <c r="C706" i="4"/>
  <c r="J405" i="4"/>
  <c r="J324" i="4"/>
  <c r="J435" i="4"/>
  <c r="C250" i="4"/>
  <c r="C1058" i="4"/>
  <c r="C538" i="4"/>
  <c r="C213" i="4"/>
  <c r="C597" i="4"/>
  <c r="C408" i="4"/>
  <c r="J374" i="4"/>
  <c r="I70" i="4"/>
  <c r="J70" i="4" s="1"/>
  <c r="C824" i="4"/>
  <c r="C192" i="4"/>
  <c r="C984" i="4"/>
  <c r="C1042" i="4"/>
  <c r="C873" i="4"/>
  <c r="C458" i="4"/>
  <c r="C580" i="4"/>
  <c r="C601" i="4"/>
  <c r="C307" i="4"/>
  <c r="C1081" i="4"/>
  <c r="J498" i="4"/>
  <c r="J436" i="4"/>
  <c r="J173" i="4"/>
  <c r="C12" i="4"/>
  <c r="C819" i="4"/>
  <c r="J411" i="4"/>
  <c r="C1017" i="4"/>
  <c r="C822" i="4"/>
  <c r="J458" i="4"/>
  <c r="C826" i="4"/>
  <c r="C560" i="4"/>
  <c r="C687" i="4"/>
  <c r="I369" i="4"/>
  <c r="I271" i="4"/>
  <c r="I98" i="4"/>
  <c r="I18" i="4"/>
  <c r="I158" i="4"/>
  <c r="I147" i="4"/>
  <c r="I232" i="4"/>
  <c r="I32" i="4"/>
  <c r="I10" i="4"/>
  <c r="I274" i="4"/>
  <c r="I124" i="4"/>
  <c r="I937" i="4"/>
  <c r="I31" i="4"/>
  <c r="I447" i="4"/>
  <c r="I182" i="4"/>
  <c r="I168" i="4"/>
  <c r="J76" i="4"/>
  <c r="J233" i="4"/>
  <c r="J337" i="4"/>
  <c r="J57" i="4"/>
  <c r="J269" i="4"/>
  <c r="J506" i="4"/>
  <c r="J350" i="4"/>
  <c r="J289" i="4"/>
  <c r="J75" i="4"/>
  <c r="J486" i="4"/>
  <c r="J216" i="4"/>
  <c r="J365" i="4"/>
  <c r="J46" i="4"/>
  <c r="J275" i="4"/>
  <c r="J441" i="4"/>
  <c r="J546" i="4"/>
  <c r="J236" i="4"/>
  <c r="J95" i="4"/>
  <c r="J181" i="4"/>
  <c r="J214" i="4"/>
  <c r="J54" i="4"/>
  <c r="J265" i="4"/>
  <c r="J339" i="4"/>
  <c r="J292" i="4"/>
  <c r="J101" i="4"/>
  <c r="J10" i="4"/>
  <c r="J143" i="4"/>
  <c r="J560" i="4"/>
  <c r="J122" i="4"/>
  <c r="J67" i="4"/>
  <c r="I383" i="4"/>
  <c r="J383" i="4" s="1"/>
  <c r="I42" i="4"/>
  <c r="I201" i="4"/>
  <c r="J509" i="4"/>
  <c r="J60" i="4"/>
  <c r="J148" i="4"/>
  <c r="J422" i="4"/>
  <c r="I125" i="4"/>
  <c r="J419" i="4"/>
  <c r="J43" i="4"/>
  <c r="J372" i="4"/>
  <c r="J117" i="4"/>
  <c r="I97" i="4"/>
  <c r="I354" i="4"/>
  <c r="J354" i="4" s="1"/>
  <c r="I15" i="4"/>
  <c r="I28" i="4"/>
  <c r="I547" i="4"/>
  <c r="I114" i="4"/>
  <c r="I16" i="4"/>
  <c r="I219" i="4"/>
  <c r="I262" i="4"/>
  <c r="I575" i="4"/>
  <c r="I165" i="4"/>
  <c r="I283" i="4"/>
  <c r="I349" i="4"/>
  <c r="I193" i="4"/>
  <c r="I89" i="4"/>
  <c r="I361" i="4"/>
  <c r="B13" i="6"/>
  <c r="J403" i="4"/>
  <c r="J359" i="4"/>
  <c r="J367" i="4"/>
  <c r="J56" i="4"/>
  <c r="J494" i="4"/>
  <c r="J539" i="4"/>
  <c r="J131" i="4"/>
  <c r="J263" i="4"/>
  <c r="J93" i="4"/>
  <c r="J196" i="4"/>
  <c r="J373" i="4"/>
  <c r="J278" i="4"/>
  <c r="J212" i="4"/>
  <c r="J257" i="4"/>
  <c r="J352" i="4"/>
  <c r="J126" i="4"/>
  <c r="J537" i="4"/>
  <c r="J238" i="4"/>
  <c r="J492" i="4"/>
  <c r="J194" i="4"/>
  <c r="J536" i="4"/>
  <c r="J171" i="4"/>
  <c r="J561" i="4"/>
  <c r="J381" i="4"/>
  <c r="J53" i="4"/>
  <c r="J496" i="4"/>
  <c r="J283" i="4"/>
  <c r="I567" i="4"/>
  <c r="I578" i="4"/>
  <c r="I210" i="4"/>
  <c r="J368" i="4"/>
  <c r="J115" i="4"/>
  <c r="J102" i="4"/>
  <c r="J201" i="4"/>
  <c r="I444" i="4"/>
  <c r="J448" i="4"/>
  <c r="J129" i="4"/>
  <c r="J13" i="4"/>
  <c r="I139" i="4"/>
  <c r="I513" i="4"/>
  <c r="I227" i="4"/>
  <c r="I335" i="4"/>
  <c r="I286" i="4"/>
  <c r="I538" i="4"/>
  <c r="I64" i="4"/>
  <c r="I418" i="4"/>
  <c r="I485" i="4"/>
  <c r="I58" i="4"/>
  <c r="I502" i="4"/>
  <c r="I190" i="4"/>
  <c r="I412" i="4"/>
  <c r="I355" i="4"/>
  <c r="J355" i="4" s="1"/>
  <c r="I514" i="4"/>
  <c r="I474" i="4"/>
  <c r="J12" i="4"/>
  <c r="J304" i="4"/>
  <c r="J157" i="4"/>
  <c r="J384" i="4"/>
  <c r="J91" i="4"/>
  <c r="J347" i="4"/>
  <c r="J228" i="4"/>
  <c r="J416" i="4"/>
  <c r="J169" i="4"/>
  <c r="J277" i="4"/>
  <c r="J442" i="4"/>
  <c r="J518" i="4"/>
  <c r="J59" i="4"/>
  <c r="J342" i="4"/>
  <c r="J477" i="4"/>
  <c r="J137" i="4"/>
  <c r="J192" i="4"/>
  <c r="J286" i="4"/>
  <c r="J45" i="4"/>
  <c r="J136" i="4"/>
  <c r="J191" i="4"/>
  <c r="J491" i="4"/>
  <c r="J345" i="4"/>
  <c r="J362" i="4"/>
  <c r="J244" i="4"/>
  <c r="J382" i="4"/>
  <c r="J344" i="4"/>
  <c r="J68" i="4"/>
  <c r="J142" i="4"/>
  <c r="I235" i="4"/>
  <c r="I52" i="4"/>
  <c r="J300" i="4"/>
  <c r="J161" i="4"/>
  <c r="J190" i="4"/>
  <c r="J364" i="4"/>
  <c r="J124" i="4"/>
  <c r="I243" i="4"/>
  <c r="I291" i="4"/>
  <c r="J540" i="4"/>
  <c r="J414" i="4"/>
  <c r="J225" i="4"/>
  <c r="J125" i="4"/>
  <c r="J515" i="4"/>
  <c r="I553" i="4"/>
  <c r="I282" i="4"/>
  <c r="I933" i="4"/>
  <c r="I552" i="4"/>
  <c r="I9" i="4"/>
  <c r="I261" i="4"/>
  <c r="I255" i="4"/>
  <c r="I413" i="4"/>
  <c r="I557" i="4"/>
  <c r="I186" i="4"/>
  <c r="I14" i="4"/>
  <c r="I218" i="4"/>
  <c r="J218" i="4" s="1"/>
  <c r="I571" i="4"/>
  <c r="J571" i="4" s="1"/>
  <c r="I27" i="4"/>
  <c r="I379" i="4"/>
  <c r="J379" i="4" s="1"/>
  <c r="I177" i="4"/>
  <c r="I119" i="4"/>
  <c r="J303" i="4"/>
  <c r="J223" i="4"/>
  <c r="J475" i="4"/>
  <c r="J217" i="4"/>
  <c r="J146" i="4"/>
  <c r="J503" i="4"/>
  <c r="J99" i="4"/>
  <c r="J199" i="4"/>
  <c r="J517" i="4"/>
  <c r="J569" i="4"/>
  <c r="J473" i="4"/>
  <c r="J230" i="4"/>
  <c r="J353" i="4"/>
  <c r="J370" i="4"/>
  <c r="J16" i="4"/>
  <c r="J189" i="4"/>
  <c r="J446" i="4"/>
  <c r="J547" i="4"/>
  <c r="J127" i="4"/>
  <c r="J525" i="4"/>
  <c r="J445" i="4"/>
  <c r="J220" i="4"/>
  <c r="J285" i="4"/>
  <c r="J290" i="4"/>
  <c r="J356" i="4"/>
  <c r="J159" i="4"/>
  <c r="J390" i="4"/>
  <c r="J231" i="4"/>
  <c r="I198" i="4"/>
  <c r="I484" i="4"/>
  <c r="I41" i="4"/>
  <c r="J166" i="4"/>
  <c r="J314" i="4"/>
  <c r="J389" i="4"/>
  <c r="I535" i="4"/>
  <c r="J2" i="4"/>
  <c r="J120" i="4"/>
  <c r="J472" i="4"/>
  <c r="J340" i="4"/>
  <c r="J313" i="4"/>
  <c r="I338" i="4"/>
  <c r="I246" i="4"/>
  <c r="J246" i="4" s="1"/>
  <c r="I421" i="4"/>
  <c r="I267" i="4"/>
  <c r="I316" i="4"/>
  <c r="J316" i="4" s="1"/>
  <c r="I438" i="4"/>
  <c r="I386" i="4"/>
  <c r="I61" i="4"/>
  <c r="I135" i="4"/>
  <c r="I566" i="4"/>
  <c r="I71" i="4"/>
  <c r="I443" i="4"/>
  <c r="I164" i="4"/>
  <c r="J164" i="4" s="1"/>
  <c r="I488" i="4"/>
  <c r="I187" i="4"/>
  <c r="I109" i="4"/>
  <c r="I493" i="4"/>
  <c r="J242" i="4"/>
  <c r="J568" i="4"/>
  <c r="J311" i="4"/>
  <c r="J36" i="4"/>
  <c r="J336" i="4"/>
  <c r="J322" i="4"/>
  <c r="J19" i="4"/>
  <c r="J90" i="4"/>
  <c r="J219" i="4"/>
  <c r="J234" i="4"/>
  <c r="J149" i="4"/>
  <c r="J35" i="4"/>
  <c r="J478" i="4"/>
  <c r="J52" i="4"/>
  <c r="J317" i="4"/>
  <c r="J200" i="4"/>
  <c r="J357" i="4"/>
  <c r="J439" i="4"/>
  <c r="J256" i="4"/>
  <c r="J266" i="4"/>
  <c r="J295" i="4"/>
  <c r="J132" i="4"/>
  <c r="J188" i="4"/>
  <c r="J287" i="4"/>
  <c r="J318" i="4"/>
  <c r="J294" i="4"/>
  <c r="J284" i="4"/>
  <c r="J167" i="4"/>
  <c r="J74" i="4"/>
  <c r="J118" i="4"/>
  <c r="J526" i="4"/>
  <c r="I254" i="4"/>
  <c r="I213" i="4"/>
  <c r="I548" i="4"/>
  <c r="J548" i="4" s="1"/>
  <c r="J156" i="4"/>
  <c r="J178" i="4"/>
  <c r="J239" i="4"/>
  <c r="J62" i="4"/>
  <c r="J487" i="4"/>
  <c r="I507" i="4"/>
  <c r="J270" i="4"/>
  <c r="J113" i="4"/>
  <c r="J497" i="4"/>
  <c r="J72" i="4"/>
  <c r="I544" i="4"/>
  <c r="I163" i="4"/>
  <c r="J163" i="4" s="1"/>
  <c r="I570" i="4"/>
  <c r="J570" i="4" s="1"/>
  <c r="I222" i="4"/>
  <c r="J222" i="4" s="1"/>
  <c r="I315" i="4"/>
  <c r="J315" i="4" s="1"/>
  <c r="I481" i="4"/>
  <c r="I366" i="4"/>
  <c r="I92" i="4"/>
  <c r="I138" i="4"/>
  <c r="I346" i="4"/>
  <c r="I150" i="4"/>
  <c r="I310" i="4"/>
  <c r="I380" i="4"/>
  <c r="I936" i="4"/>
  <c r="I155" i="4"/>
  <c r="I341" i="4"/>
  <c r="I522" i="4"/>
  <c r="J348" i="4"/>
  <c r="J145" i="4"/>
  <c r="J33" i="4"/>
  <c r="J385" i="4"/>
  <c r="J489" i="4"/>
  <c r="J21" i="4"/>
  <c r="J18" i="4"/>
  <c r="J273" i="4"/>
  <c r="J488" i="4"/>
  <c r="J272" i="4"/>
  <c r="J221" i="4"/>
  <c r="J154" i="4"/>
  <c r="J572" i="4"/>
  <c r="J151" i="4"/>
  <c r="J505" i="4"/>
  <c r="J123" i="4"/>
  <c r="J15" i="4"/>
  <c r="J450" i="4"/>
  <c r="J172" i="4"/>
  <c r="J485" i="4"/>
  <c r="J96" i="4"/>
  <c r="J423" i="4"/>
  <c r="J282" i="4"/>
  <c r="J484" i="4"/>
  <c r="J197" i="4"/>
  <c r="J360" i="4"/>
  <c r="J420" i="4"/>
  <c r="J153" i="4"/>
  <c r="J323" i="4"/>
  <c r="J162" i="4"/>
  <c r="I50" i="4"/>
  <c r="I358" i="4"/>
  <c r="J358" i="4" s="1"/>
  <c r="J387" i="4"/>
  <c r="J65" i="4"/>
  <c r="J226" i="4"/>
  <c r="J63" i="4"/>
  <c r="J245" i="4"/>
  <c r="J22" i="4"/>
  <c r="I11" i="4"/>
  <c r="J11" i="4" s="1"/>
  <c r="I128" i="4"/>
  <c r="J128" i="4" s="1"/>
  <c r="J417" i="4"/>
  <c r="J451" i="4"/>
  <c r="J483" i="4"/>
  <c r="J180" i="4"/>
  <c r="J14" i="4"/>
  <c r="I144" i="4"/>
  <c r="I51" i="4"/>
  <c r="J51" i="4" s="1"/>
  <c r="I55" i="4"/>
  <c r="I319" i="4"/>
  <c r="J319" i="4" s="1"/>
  <c r="I471" i="4"/>
  <c r="I268" i="4"/>
  <c r="I527" i="4"/>
  <c r="I17" i="4"/>
  <c r="J17" i="4" s="1"/>
  <c r="J508" i="4"/>
  <c r="J140" i="4"/>
  <c r="J320" i="4"/>
  <c r="J482" i="4"/>
  <c r="J380" i="4"/>
  <c r="B14" i="6" l="1"/>
  <c r="E658" i="4" s="1"/>
  <c r="H4" i="4"/>
  <c r="H549" i="4"/>
  <c r="H25" i="4"/>
  <c r="H541" i="4"/>
  <c r="H207" i="4"/>
  <c r="H528" i="4"/>
  <c r="H108" i="4"/>
  <c r="H202" i="4"/>
  <c r="H326" i="4"/>
  <c r="H452" i="4"/>
  <c r="H563" i="4"/>
  <c r="H425" i="4"/>
  <c r="H103" i="4"/>
  <c r="H183" i="4"/>
  <c r="H305" i="4"/>
  <c r="H428" i="4"/>
  <c r="H247" i="4"/>
  <c r="H574" i="4"/>
  <c r="H510" i="4"/>
  <c r="H258" i="4"/>
  <c r="H562" i="4"/>
  <c r="H519" i="4"/>
  <c r="H554" i="4"/>
  <c r="H424" i="4"/>
  <c r="H938" i="4"/>
  <c r="H939" i="4"/>
  <c r="I938" i="4"/>
  <c r="I305" i="4"/>
  <c r="I108" i="4"/>
  <c r="J268" i="4"/>
  <c r="J135" i="4"/>
  <c r="J343" i="4"/>
  <c r="J535" i="4"/>
  <c r="J184" i="4"/>
  <c r="J232" i="4"/>
  <c r="J237" i="4"/>
  <c r="J538" i="4"/>
  <c r="J109" i="4"/>
  <c r="J195" i="4"/>
  <c r="J64" i="4"/>
  <c r="J522" i="4"/>
  <c r="J73" i="4"/>
  <c r="J97" i="4"/>
  <c r="J567" i="4"/>
  <c r="J32" i="4"/>
  <c r="J557" i="4"/>
  <c r="J107" i="4"/>
  <c r="J61" i="4"/>
  <c r="J9" i="4"/>
  <c r="J545" i="4"/>
  <c r="I549" i="4"/>
  <c r="I541" i="4"/>
  <c r="I528" i="4"/>
  <c r="J415" i="4"/>
  <c r="J254" i="4"/>
  <c r="J116" i="4"/>
  <c r="J211" i="4"/>
  <c r="J44" i="4"/>
  <c r="J291" i="4"/>
  <c r="J438" i="4"/>
  <c r="J177" i="4"/>
  <c r="J306" i="4"/>
  <c r="J160" i="4"/>
  <c r="J418" i="4"/>
  <c r="J308" i="4"/>
  <c r="J255" i="4"/>
  <c r="J203" i="4"/>
  <c r="J432" i="4"/>
  <c r="J444" i="4"/>
  <c r="J542" i="4"/>
  <c r="J552" i="4"/>
  <c r="J523" i="4"/>
  <c r="J495" i="4"/>
  <c r="J413" i="4"/>
  <c r="J251" i="4"/>
  <c r="I452" i="4"/>
  <c r="I425" i="4"/>
  <c r="I183" i="4"/>
  <c r="J412" i="4"/>
  <c r="J335" i="4"/>
  <c r="J507" i="4"/>
  <c r="J330" i="4"/>
  <c r="J264" i="4"/>
  <c r="J502" i="4"/>
  <c r="J276" i="4"/>
  <c r="J474" i="4"/>
  <c r="J532" i="4"/>
  <c r="J130" i="4"/>
  <c r="J150" i="4"/>
  <c r="J455" i="4"/>
  <c r="J58" i="4"/>
  <c r="J429" i="4"/>
  <c r="J529" i="4"/>
  <c r="J138" i="4"/>
  <c r="J426" i="4"/>
  <c r="J111" i="4"/>
  <c r="J513" i="4"/>
  <c r="J89" i="4"/>
  <c r="J165" i="4"/>
  <c r="J555" i="4"/>
  <c r="I202" i="4"/>
  <c r="I574" i="4"/>
  <c r="I258" i="4"/>
  <c r="I519" i="4"/>
  <c r="J100" i="4"/>
  <c r="J147" i="4"/>
  <c r="J235" i="4"/>
  <c r="J187" i="4"/>
  <c r="J440" i="4"/>
  <c r="J481" i="4"/>
  <c r="J516" i="4"/>
  <c r="J42" i="4"/>
  <c r="J456" i="4"/>
  <c r="J152" i="4"/>
  <c r="J493" i="4"/>
  <c r="J490" i="4"/>
  <c r="J31" i="4"/>
  <c r="J550" i="4"/>
  <c r="J371" i="4"/>
  <c r="J198" i="4"/>
  <c r="J259" i="4"/>
  <c r="J566" i="4"/>
  <c r="J544" i="4"/>
  <c r="J182" i="4"/>
  <c r="J327" i="4"/>
  <c r="J427" i="4"/>
  <c r="I428" i="4"/>
  <c r="J428" i="4" s="1"/>
  <c r="I939" i="4"/>
  <c r="I554" i="4"/>
  <c r="I4" i="4"/>
  <c r="J471" i="4"/>
  <c r="J139" i="4"/>
  <c r="J341" i="4"/>
  <c r="J578" i="4"/>
  <c r="J559" i="4"/>
  <c r="J98" i="4"/>
  <c r="J321" i="4"/>
  <c r="J213" i="4"/>
  <c r="J514" i="4"/>
  <c r="J119" i="4"/>
  <c r="J453" i="4"/>
  <c r="J504" i="4"/>
  <c r="J310" i="4"/>
  <c r="J564" i="4"/>
  <c r="J179" i="4"/>
  <c r="J338" i="4"/>
  <c r="J210" i="4"/>
  <c r="J431" i="4"/>
  <c r="J363" i="4"/>
  <c r="J114" i="4"/>
  <c r="J248" i="4"/>
  <c r="J205" i="4"/>
  <c r="I424" i="4"/>
  <c r="I25" i="4"/>
  <c r="I207" i="4"/>
  <c r="J573" i="4"/>
  <c r="J41" i="4"/>
  <c r="J170" i="4"/>
  <c r="J144" i="4"/>
  <c r="J558" i="4"/>
  <c r="J20" i="4"/>
  <c r="J55" i="4"/>
  <c r="J312" i="4"/>
  <c r="J227" i="4"/>
  <c r="J531" i="4"/>
  <c r="J447" i="4"/>
  <c r="J575" i="4"/>
  <c r="J215" i="4"/>
  <c r="J168" i="4"/>
  <c r="J511" i="4"/>
  <c r="J224" i="4"/>
  <c r="J271" i="4"/>
  <c r="J329" i="4"/>
  <c r="J261" i="4"/>
  <c r="J34" i="4"/>
  <c r="J527" i="4"/>
  <c r="J208" i="4"/>
  <c r="I326" i="4"/>
  <c r="I563" i="4"/>
  <c r="I103" i="4"/>
  <c r="J449" i="4"/>
  <c r="J386" i="4"/>
  <c r="J351" i="4"/>
  <c r="J267" i="4"/>
  <c r="J309" i="4"/>
  <c r="J121" i="4"/>
  <c r="J369" i="4"/>
  <c r="J155" i="4"/>
  <c r="J274" i="4"/>
  <c r="J94" i="4"/>
  <c r="J421" i="4"/>
  <c r="J106" i="4"/>
  <c r="J524" i="4"/>
  <c r="J50" i="4"/>
  <c r="J553" i="4"/>
  <c r="J293" i="4"/>
  <c r="J349" i="4"/>
  <c r="J186" i="4"/>
  <c r="J424" i="4"/>
  <c r="J288" i="4"/>
  <c r="J193" i="4"/>
  <c r="J104" i="4"/>
  <c r="I247" i="4"/>
  <c r="I510" i="4"/>
  <c r="I562" i="4"/>
  <c r="J229" i="4"/>
  <c r="J443" i="4"/>
  <c r="J66" i="4"/>
  <c r="J346" i="4"/>
  <c r="J262" i="4"/>
  <c r="J388" i="4"/>
  <c r="J8" i="4"/>
  <c r="J361" i="4"/>
  <c r="H658" i="4"/>
  <c r="J366" i="4"/>
  <c r="J158" i="4"/>
  <c r="J250" i="4"/>
  <c r="J92" i="4"/>
  <c r="J71" i="4"/>
  <c r="J112" i="4"/>
  <c r="J141" i="4"/>
  <c r="J425" i="4"/>
  <c r="J577" i="4"/>
  <c r="J206" i="4"/>
  <c r="J476" i="4"/>
  <c r="J243" i="4"/>
  <c r="J520" i="4"/>
  <c r="E574" i="4" l="1"/>
  <c r="E108" i="4"/>
  <c r="E562" i="4"/>
  <c r="E649" i="4"/>
  <c r="E247" i="4"/>
  <c r="E258" i="4"/>
  <c r="E510" i="4"/>
  <c r="E103" i="4"/>
  <c r="E202" i="4"/>
  <c r="E554" i="4"/>
  <c r="E694" i="4"/>
  <c r="E424" i="4"/>
  <c r="E541" i="4"/>
  <c r="E885" i="4"/>
  <c r="E957" i="4"/>
  <c r="E650" i="4"/>
  <c r="E714" i="4"/>
  <c r="E452" i="4"/>
  <c r="E1121" i="4"/>
  <c r="E425" i="4"/>
  <c r="E1069" i="4"/>
  <c r="E689" i="4"/>
  <c r="E878" i="4"/>
  <c r="E207" i="4"/>
  <c r="E519" i="4"/>
  <c r="E305" i="4"/>
  <c r="E4" i="4"/>
  <c r="E428" i="4"/>
  <c r="E792" i="4"/>
  <c r="E1122" i="4"/>
  <c r="E1084" i="4"/>
  <c r="E528" i="4"/>
  <c r="E585" i="4"/>
  <c r="E939" i="4"/>
  <c r="E938" i="4"/>
  <c r="E183" i="4"/>
  <c r="E705" i="4"/>
  <c r="E1096" i="4"/>
  <c r="E812" i="4"/>
  <c r="E563" i="4"/>
  <c r="E326" i="4"/>
  <c r="E25" i="4"/>
  <c r="E549" i="4"/>
  <c r="E586" i="4"/>
  <c r="E958" i="4"/>
  <c r="E956" i="4"/>
  <c r="E670" i="4"/>
  <c r="E1103" i="4"/>
  <c r="E475" i="4"/>
  <c r="E615" i="4"/>
  <c r="E56" i="4"/>
  <c r="E167" i="4"/>
  <c r="E1104" i="4"/>
  <c r="E905" i="4"/>
  <c r="E272" i="4"/>
  <c r="E1087" i="4"/>
  <c r="E546" i="4"/>
  <c r="E482" i="4"/>
  <c r="E669" i="4"/>
  <c r="E737" i="4"/>
  <c r="E1003" i="4"/>
  <c r="E365" i="4"/>
  <c r="E77" i="4"/>
  <c r="E537" i="4"/>
  <c r="E351" i="4"/>
  <c r="E1072" i="4"/>
  <c r="E521" i="4"/>
  <c r="E454" i="4"/>
  <c r="E2" i="4"/>
  <c r="E195" i="4"/>
  <c r="E1063" i="4"/>
  <c r="E161" i="4"/>
  <c r="E768" i="4"/>
  <c r="E920" i="4"/>
  <c r="E746" i="4"/>
  <c r="E1114" i="4"/>
  <c r="E115" i="4"/>
  <c r="E696" i="4"/>
  <c r="E704" i="4"/>
  <c r="E645" i="4"/>
  <c r="E23" i="4"/>
  <c r="E314" i="4"/>
  <c r="E420" i="4"/>
  <c r="E256" i="4"/>
  <c r="E643" i="4"/>
  <c r="E104" i="4"/>
  <c r="E43" i="4"/>
  <c r="E436" i="4"/>
  <c r="E393" i="4"/>
  <c r="E804" i="4"/>
  <c r="E516" i="4"/>
  <c r="E352" i="4"/>
  <c r="E935" i="4"/>
  <c r="E431" i="4"/>
  <c r="E1014" i="4"/>
  <c r="E898" i="4"/>
  <c r="E78" i="4"/>
  <c r="E264" i="4"/>
  <c r="E775" i="4"/>
  <c r="E415" i="4"/>
  <c r="E1059" i="4"/>
  <c r="E494" i="4"/>
  <c r="E450" i="4"/>
  <c r="E162" i="4"/>
  <c r="E133" i="4"/>
  <c r="E832" i="4"/>
  <c r="E479" i="4"/>
  <c r="E47" i="4"/>
  <c r="E630" i="4"/>
  <c r="E270" i="4"/>
  <c r="E154" i="4"/>
  <c r="E433" i="4"/>
  <c r="E73" i="4"/>
  <c r="E608" i="4"/>
  <c r="E327" i="4"/>
  <c r="E910" i="4"/>
  <c r="E406" i="4"/>
  <c r="E765" i="4"/>
  <c r="E333" i="4"/>
  <c r="E980" i="4"/>
  <c r="E692" i="4"/>
  <c r="E332" i="4"/>
  <c r="E240" i="4"/>
  <c r="E893" i="4"/>
  <c r="E470" i="4"/>
  <c r="E685" i="4"/>
  <c r="E253" i="4"/>
  <c r="E900" i="4"/>
  <c r="E808" i="4"/>
  <c r="E520" i="4"/>
  <c r="E160" i="4"/>
  <c r="E419" i="4"/>
  <c r="E455" i="4"/>
  <c r="E30" i="4"/>
  <c r="E625" i="4"/>
  <c r="E265" i="4"/>
  <c r="E800" i="4"/>
  <c r="E244" i="4"/>
  <c r="E152" i="4"/>
  <c r="E807" i="4"/>
  <c r="E375" i="4"/>
  <c r="E886" i="4"/>
  <c r="E381" i="4"/>
  <c r="E329" i="4"/>
  <c r="E596" i="4"/>
  <c r="E432" i="4"/>
  <c r="E1015" i="4"/>
  <c r="E813" i="4"/>
  <c r="E833" i="4"/>
  <c r="E331" i="4"/>
  <c r="E374" i="4"/>
  <c r="E1083" i="4"/>
  <c r="E657" i="4"/>
  <c r="E825" i="4"/>
  <c r="E235" i="4"/>
  <c r="E974" i="4"/>
  <c r="E997" i="4"/>
  <c r="E1040" i="4"/>
  <c r="E484" i="4"/>
  <c r="E1093" i="4"/>
  <c r="E1009" i="4"/>
  <c r="E783" i="4"/>
  <c r="E1073" i="4"/>
  <c r="E1048" i="4"/>
  <c r="E1076" i="4"/>
  <c r="E795" i="4"/>
  <c r="E52" i="4"/>
  <c r="E138" i="4"/>
  <c r="E182" i="4"/>
  <c r="E55" i="4"/>
  <c r="E1092" i="4"/>
  <c r="E852" i="4"/>
  <c r="E522" i="4"/>
  <c r="E198" i="4"/>
  <c r="E471" i="4"/>
  <c r="E950" i="4"/>
  <c r="E845" i="4"/>
  <c r="E535" i="4"/>
  <c r="E243" i="4"/>
  <c r="E310" i="4"/>
  <c r="E89" i="4"/>
  <c r="E147" i="4"/>
  <c r="E463" i="4"/>
  <c r="E899" i="4"/>
  <c r="E495" i="4"/>
  <c r="E894" i="4"/>
  <c r="E875" i="4"/>
  <c r="E1090" i="4"/>
  <c r="E999" i="4"/>
  <c r="E1058" i="4"/>
  <c r="E230" i="4"/>
  <c r="E166" i="4"/>
  <c r="E68" i="4"/>
  <c r="E449" i="4"/>
  <c r="E131" i="4"/>
  <c r="E601" i="4"/>
  <c r="E313" i="4"/>
  <c r="E229" i="4"/>
  <c r="E63" i="4"/>
  <c r="E925" i="4"/>
  <c r="E382" i="4"/>
  <c r="E883" i="4"/>
  <c r="E59" i="4"/>
  <c r="E889" i="4"/>
  <c r="E860" i="4"/>
  <c r="E500" i="4"/>
  <c r="E652" i="4"/>
  <c r="E458" i="4"/>
  <c r="E973" i="4"/>
  <c r="E1120" i="4"/>
  <c r="E624" i="4"/>
  <c r="E416" i="4"/>
  <c r="E357" i="4"/>
  <c r="E873" i="4"/>
  <c r="E763" i="4"/>
  <c r="E616" i="4"/>
  <c r="E1017" i="4"/>
  <c r="E1110" i="4"/>
  <c r="E112" i="4"/>
  <c r="E148" i="4"/>
  <c r="E85" i="4"/>
  <c r="E33" i="4"/>
  <c r="E712" i="4"/>
  <c r="E84" i="4"/>
  <c r="E863" i="4"/>
  <c r="E359" i="4"/>
  <c r="E1075" i="4"/>
  <c r="E582" i="4"/>
  <c r="E322" i="4"/>
  <c r="E192" i="4"/>
  <c r="E703" i="4"/>
  <c r="E343" i="4"/>
  <c r="E926" i="4"/>
  <c r="E738" i="4"/>
  <c r="E134" i="4"/>
  <c r="E637" i="4"/>
  <c r="E297" i="4"/>
  <c r="E564" i="4"/>
  <c r="E407" i="4"/>
  <c r="E1123" i="4"/>
  <c r="E874" i="4"/>
  <c r="E442" i="4"/>
  <c r="E629" i="4"/>
  <c r="E53" i="4"/>
  <c r="E772" i="4"/>
  <c r="E340" i="4"/>
  <c r="E917" i="4"/>
  <c r="E915" i="4"/>
  <c r="E334" i="4"/>
  <c r="E693" i="4"/>
  <c r="E569" i="4"/>
  <c r="E209" i="4"/>
  <c r="E888" i="4"/>
  <c r="E260" i="4"/>
  <c r="E491" i="4"/>
  <c r="E830" i="4"/>
  <c r="E398" i="4"/>
  <c r="E66" i="4"/>
  <c r="E489" i="4"/>
  <c r="E129" i="4"/>
  <c r="E540" i="4"/>
  <c r="E252" i="4"/>
  <c r="E805" i="4"/>
  <c r="E815" i="4"/>
  <c r="E707" i="4"/>
  <c r="E130" i="4"/>
  <c r="E317" i="4"/>
  <c r="E964" i="4"/>
  <c r="E532" i="4"/>
  <c r="E440" i="4"/>
  <c r="E387" i="4"/>
  <c r="E259" i="4"/>
  <c r="E303" i="4"/>
  <c r="E851" i="4"/>
  <c r="E617" i="4"/>
  <c r="E21" i="4"/>
  <c r="E524" i="4"/>
  <c r="E360" i="4"/>
  <c r="E943" i="4"/>
  <c r="E511" i="4"/>
  <c r="E151" i="4"/>
  <c r="E662" i="4"/>
  <c r="E618" i="4"/>
  <c r="E1082" i="4"/>
  <c r="E1089" i="4"/>
  <c r="E1020" i="4"/>
  <c r="E232" i="4"/>
  <c r="E413" i="4"/>
  <c r="E773" i="4"/>
  <c r="E190" i="4"/>
  <c r="E481" i="4"/>
  <c r="E861" i="4"/>
  <c r="E780" i="4"/>
  <c r="E274" i="4"/>
  <c r="E1070" i="4"/>
  <c r="E1047" i="4"/>
  <c r="E1053" i="4"/>
  <c r="E168" i="4"/>
  <c r="E51" i="4"/>
  <c r="E135" i="4"/>
  <c r="E158" i="4"/>
  <c r="E14" i="4"/>
  <c r="E1088" i="4"/>
  <c r="E853" i="4"/>
  <c r="E646" i="4"/>
  <c r="E759" i="4"/>
  <c r="E355" i="4"/>
  <c r="E620" i="4"/>
  <c r="E291" i="4"/>
  <c r="E421" i="4"/>
  <c r="E507" i="4"/>
  <c r="E32" i="4"/>
  <c r="E114" i="4"/>
  <c r="E124" i="4"/>
  <c r="E891" i="4"/>
  <c r="E543" i="4"/>
  <c r="E934" i="4"/>
  <c r="E994" i="4"/>
  <c r="E1099" i="4"/>
  <c r="E526" i="4"/>
  <c r="E423" i="4"/>
  <c r="E971" i="4"/>
  <c r="E402" i="4"/>
  <c r="E410" i="4"/>
  <c r="E292" i="4"/>
  <c r="E1057" i="4"/>
  <c r="E819" i="4"/>
  <c r="E293" i="4"/>
  <c r="E5" i="4"/>
  <c r="E465" i="4"/>
  <c r="E790" i="4"/>
  <c r="E747" i="4"/>
  <c r="E179" i="4"/>
  <c r="E678" i="4"/>
  <c r="E1049" i="4"/>
  <c r="E1050" i="4"/>
  <c r="E1041" i="4"/>
  <c r="E788" i="4"/>
  <c r="E241" i="4"/>
  <c r="E508" i="4"/>
  <c r="E170" i="4"/>
  <c r="E95" i="4"/>
  <c r="E907" i="4"/>
  <c r="E356" i="4"/>
  <c r="E855" i="4"/>
  <c r="E69" i="4"/>
  <c r="E175" i="4"/>
  <c r="E986" i="4"/>
  <c r="E276" i="4"/>
  <c r="E67" i="4"/>
  <c r="E841" i="4"/>
  <c r="E975" i="4"/>
  <c r="E1118" i="4"/>
  <c r="E731" i="4"/>
  <c r="E321" i="4"/>
  <c r="E732" i="4"/>
  <c r="E372" i="4"/>
  <c r="E280" i="4"/>
  <c r="E791" i="4"/>
  <c r="E287" i="4"/>
  <c r="E942" i="4"/>
  <c r="E754" i="4"/>
  <c r="E6" i="4"/>
  <c r="E107" i="4"/>
  <c r="E631" i="4"/>
  <c r="E1060" i="4"/>
  <c r="E854" i="4"/>
  <c r="E422" i="4"/>
  <c r="E378" i="4"/>
  <c r="E90" i="4"/>
  <c r="E225" i="4"/>
  <c r="E839" i="4"/>
  <c r="E1124" i="4"/>
  <c r="E990" i="4"/>
  <c r="E558" i="4"/>
  <c r="E126" i="4"/>
  <c r="E82" i="4"/>
  <c r="E289" i="4"/>
  <c r="E968" i="4"/>
  <c r="E536" i="4"/>
  <c r="E595" i="4"/>
  <c r="E587" i="4"/>
  <c r="E506" i="4"/>
  <c r="E146" i="4"/>
  <c r="E497" i="4"/>
  <c r="E908" i="4"/>
  <c r="E816" i="4"/>
  <c r="E456" i="4"/>
  <c r="E96" i="4"/>
  <c r="E523" i="4"/>
  <c r="E642" i="4"/>
  <c r="E777" i="4"/>
  <c r="E181" i="4"/>
  <c r="E828" i="4"/>
  <c r="E736" i="4"/>
  <c r="E448" i="4"/>
  <c r="E88" i="4"/>
  <c r="E849" i="4"/>
  <c r="E311" i="4"/>
  <c r="E605" i="4"/>
  <c r="E245" i="4"/>
  <c r="E892" i="4"/>
  <c r="E728" i="4"/>
  <c r="E172" i="4"/>
  <c r="E80" i="4"/>
  <c r="E735" i="4"/>
  <c r="E231" i="4"/>
  <c r="E814" i="4"/>
  <c r="E309" i="4"/>
  <c r="E257" i="4"/>
  <c r="E720" i="4"/>
  <c r="E288" i="4"/>
  <c r="E871" i="4"/>
  <c r="E439" i="4"/>
  <c r="E339" i="4"/>
  <c r="E906" i="4"/>
  <c r="E302" i="4"/>
  <c r="E1081" i="4"/>
  <c r="E1085" i="4"/>
  <c r="E1019" i="4"/>
  <c r="E514" i="4"/>
  <c r="E412" i="4"/>
  <c r="E774" i="4"/>
  <c r="E186" i="4"/>
  <c r="E1112" i="4"/>
  <c r="E858" i="4"/>
  <c r="E779" i="4"/>
  <c r="E271" i="4"/>
  <c r="E547" i="4"/>
  <c r="E1044" i="4"/>
  <c r="E219" i="4"/>
  <c r="E165" i="4"/>
  <c r="E50" i="4"/>
  <c r="E627" i="4"/>
  <c r="E177" i="4"/>
  <c r="E10" i="4"/>
  <c r="E255" i="4"/>
  <c r="E847" i="4"/>
  <c r="E641" i="4"/>
  <c r="E758" i="4"/>
  <c r="E354" i="4"/>
  <c r="E613" i="4"/>
  <c r="E286" i="4"/>
  <c r="E418" i="4"/>
  <c r="E502" i="4"/>
  <c r="E31" i="4"/>
  <c r="E109" i="4"/>
  <c r="E119" i="4"/>
  <c r="E391" i="4"/>
  <c r="E539" i="4"/>
  <c r="E70" i="4"/>
  <c r="E922" i="4"/>
  <c r="E459" i="4"/>
  <c r="E238" i="4"/>
  <c r="E862" i="4"/>
  <c r="E1066" i="4"/>
  <c r="E86" i="4"/>
  <c r="E94" i="4"/>
  <c r="E965" i="4"/>
  <c r="E1001" i="4"/>
  <c r="E931" i="4"/>
  <c r="E529" i="4"/>
  <c r="E445" i="4"/>
  <c r="E157" i="4"/>
  <c r="E214" i="4"/>
  <c r="E1028" i="4"/>
  <c r="E1065" i="4"/>
  <c r="E850" i="4"/>
  <c r="E691" i="4"/>
  <c r="E1018" i="4"/>
  <c r="E1105" i="4"/>
  <c r="E716" i="4"/>
  <c r="E940" i="4"/>
  <c r="E220" i="4"/>
  <c r="E665" i="4"/>
  <c r="E897" i="4"/>
  <c r="E1024" i="4"/>
  <c r="E284" i="4"/>
  <c r="E279" i="4"/>
  <c r="E619" i="4"/>
  <c r="E1026" i="4"/>
  <c r="E985" i="4"/>
  <c r="E472" i="4"/>
  <c r="E869" i="4"/>
  <c r="E683" i="4"/>
  <c r="E901" i="4"/>
  <c r="E40" i="4"/>
  <c r="E979" i="4"/>
  <c r="E13" i="4"/>
  <c r="E928" i="4"/>
  <c r="E568" i="4"/>
  <c r="E12" i="4"/>
  <c r="E719" i="4"/>
  <c r="E995" i="4"/>
  <c r="E870" i="4"/>
  <c r="E682" i="4"/>
  <c r="E250" i="4"/>
  <c r="E120" i="4"/>
  <c r="E941" i="4"/>
  <c r="E961" i="4"/>
  <c r="E715" i="4"/>
  <c r="E666" i="4"/>
  <c r="E62" i="4"/>
  <c r="E565" i="4"/>
  <c r="E153" i="4"/>
  <c r="E35" i="4"/>
  <c r="E1052" i="4"/>
  <c r="E1051" i="4"/>
  <c r="E802" i="4"/>
  <c r="E370" i="4"/>
  <c r="E721" i="4"/>
  <c r="E988" i="4"/>
  <c r="E700" i="4"/>
  <c r="E464" i="4"/>
  <c r="E111" i="4"/>
  <c r="E622" i="4"/>
  <c r="E434" i="4"/>
  <c r="E621" i="4"/>
  <c r="E189" i="4"/>
  <c r="E137" i="4"/>
  <c r="E744" i="4"/>
  <c r="E188" i="4"/>
  <c r="E24" i="4"/>
  <c r="E1002" i="4"/>
  <c r="E498" i="4"/>
  <c r="E469" i="4"/>
  <c r="E417" i="4"/>
  <c r="E57" i="4"/>
  <c r="E468" i="4"/>
  <c r="E180" i="4"/>
  <c r="E1094" i="4"/>
  <c r="E743" i="4"/>
  <c r="E634" i="4"/>
  <c r="E533" i="4"/>
  <c r="E173" i="4"/>
  <c r="E121" i="4"/>
  <c r="E460" i="4"/>
  <c r="E368" i="4"/>
  <c r="E1086" i="4"/>
  <c r="E663" i="4"/>
  <c r="E159" i="4"/>
  <c r="E122" i="4"/>
  <c r="E545" i="4"/>
  <c r="E185" i="4"/>
  <c r="E648" i="4"/>
  <c r="E20" i="4"/>
  <c r="E799" i="4"/>
  <c r="E323" i="4"/>
  <c r="E79" i="4"/>
  <c r="E590" i="4"/>
  <c r="E552" i="4"/>
  <c r="E953" i="4"/>
  <c r="E1032" i="4"/>
  <c r="E513" i="4"/>
  <c r="E725" i="4"/>
  <c r="E261" i="4"/>
  <c r="E557" i="4"/>
  <c r="E1111" i="4"/>
  <c r="E1102" i="4"/>
  <c r="E268" i="4"/>
  <c r="E936" i="4"/>
  <c r="E544" i="4"/>
  <c r="E570" i="4"/>
  <c r="E218" i="4"/>
  <c r="E680" i="4"/>
  <c r="E42" i="4"/>
  <c r="E626" i="4"/>
  <c r="E155" i="4"/>
  <c r="E15" i="4"/>
  <c r="E254" i="4"/>
  <c r="E341" i="4"/>
  <c r="E1064" i="4"/>
  <c r="E227" i="4"/>
  <c r="E369" i="4"/>
  <c r="E884" i="4"/>
  <c r="E349" i="4"/>
  <c r="E611" i="4"/>
  <c r="E822" i="4"/>
  <c r="E28" i="4"/>
  <c r="E163" i="4"/>
  <c r="E16" i="4"/>
  <c r="E679" i="4"/>
  <c r="E1036" i="4"/>
  <c r="E399" i="4"/>
  <c r="E573" i="4"/>
  <c r="E534" i="4"/>
  <c r="E531" i="4"/>
  <c r="E606" i="4"/>
  <c r="E789" i="4"/>
  <c r="E1055" i="4"/>
  <c r="E330" i="4"/>
  <c r="E22" i="4"/>
  <c r="E211" i="4"/>
  <c r="E467" i="4"/>
  <c r="E509" i="4"/>
  <c r="E221" i="4"/>
  <c r="E681" i="4"/>
  <c r="E776" i="4"/>
  <c r="E717" i="4"/>
  <c r="E913" i="4"/>
  <c r="E435" i="4"/>
  <c r="E462" i="4"/>
  <c r="E801" i="4"/>
  <c r="E1106" i="4"/>
  <c r="E1098" i="4"/>
  <c r="E912" i="4"/>
  <c r="E169" i="4"/>
  <c r="E171" i="4"/>
  <c r="E377" i="4"/>
  <c r="E76" i="4"/>
  <c r="E760" i="4"/>
  <c r="E480" i="4"/>
  <c r="E1006" i="4"/>
  <c r="E929" i="4"/>
  <c r="E1035" i="4"/>
  <c r="E867" i="4"/>
  <c r="E400" i="4"/>
  <c r="E515" i="4"/>
  <c r="E248" i="4"/>
  <c r="E903" i="4"/>
  <c r="E1046" i="4"/>
  <c r="E1067" i="4"/>
  <c r="E249" i="4"/>
  <c r="E660" i="4"/>
  <c r="E300" i="4"/>
  <c r="E208" i="4"/>
  <c r="E647" i="4"/>
  <c r="E215" i="4"/>
  <c r="E809" i="4"/>
  <c r="E610" i="4"/>
  <c r="E178" i="4"/>
  <c r="E48" i="4"/>
  <c r="E559" i="4"/>
  <c r="E199" i="4"/>
  <c r="E782" i="4"/>
  <c r="E350" i="4"/>
  <c r="E306" i="4"/>
  <c r="E729" i="4"/>
  <c r="E81" i="4"/>
  <c r="E1117" i="4"/>
  <c r="E263" i="4"/>
  <c r="E918" i="4"/>
  <c r="E486" i="4"/>
  <c r="E54" i="4"/>
  <c r="E577" i="4"/>
  <c r="E217" i="4"/>
  <c r="E896" i="4"/>
  <c r="E196" i="4"/>
  <c r="E19" i="4"/>
  <c r="E866" i="4"/>
  <c r="E118" i="4"/>
  <c r="E74" i="4"/>
  <c r="E117" i="4"/>
  <c r="E836" i="4"/>
  <c r="E476" i="4"/>
  <c r="E384" i="4"/>
  <c r="E967" i="4"/>
  <c r="E686" i="4"/>
  <c r="E426" i="4"/>
  <c r="E397" i="4"/>
  <c r="E345" i="4"/>
  <c r="E756" i="4"/>
  <c r="E664" i="4"/>
  <c r="E376" i="4"/>
  <c r="E1022" i="4"/>
  <c r="E671" i="4"/>
  <c r="E318" i="4"/>
  <c r="E769" i="4"/>
  <c r="E409" i="4"/>
  <c r="E820" i="4"/>
  <c r="E656" i="4"/>
  <c r="E100" i="4"/>
  <c r="E8" i="4"/>
  <c r="E1011" i="4"/>
  <c r="E403" i="4"/>
  <c r="E597" i="4"/>
  <c r="E237" i="4"/>
  <c r="E113" i="4"/>
  <c r="E576" i="4"/>
  <c r="E216" i="4"/>
  <c r="E727" i="4"/>
  <c r="E367" i="4"/>
  <c r="E451" i="4"/>
  <c r="E518" i="4"/>
  <c r="E1039" i="4"/>
  <c r="E548" i="4"/>
  <c r="E954" i="4"/>
  <c r="E1031" i="4"/>
  <c r="E752" i="4"/>
  <c r="E722" i="4"/>
  <c r="E262" i="4"/>
  <c r="E553" i="4"/>
  <c r="E1108" i="4"/>
  <c r="E1101" i="4"/>
  <c r="E267" i="4"/>
  <c r="E937" i="4"/>
  <c r="E386" i="4"/>
  <c r="E566" i="4"/>
  <c r="E571" i="4"/>
  <c r="E677" i="4"/>
  <c r="E41" i="4"/>
  <c r="E640" i="4"/>
  <c r="E128" i="4"/>
  <c r="E27" i="4"/>
  <c r="E676" i="4"/>
  <c r="E338" i="4"/>
  <c r="E1061" i="4"/>
  <c r="E222" i="4"/>
  <c r="E366" i="4"/>
  <c r="E881" i="4"/>
  <c r="E346" i="4"/>
  <c r="E612" i="4"/>
  <c r="E817" i="4"/>
  <c r="E604" i="4"/>
  <c r="E164" i="4"/>
  <c r="E17" i="4"/>
  <c r="E1029" i="4"/>
  <c r="E1109" i="4"/>
  <c r="E848" i="4"/>
  <c r="E285" i="4"/>
  <c r="E706" i="4"/>
  <c r="E1107" i="4"/>
  <c r="E778" i="4"/>
  <c r="E501" i="4"/>
  <c r="E1071" i="4"/>
  <c r="E733" i="4"/>
  <c r="E266" i="4"/>
  <c r="E818" i="4"/>
  <c r="E336" i="4"/>
  <c r="E745" i="4"/>
  <c r="E457" i="4"/>
  <c r="E373" i="4"/>
  <c r="E200" i="4"/>
  <c r="E429" i="4"/>
  <c r="E966" i="4"/>
  <c r="E742" i="4"/>
  <c r="E580" i="4"/>
  <c r="E969" i="4"/>
  <c r="E1119" i="4"/>
  <c r="E1004" i="4"/>
  <c r="E644" i="4"/>
  <c r="E868" i="4"/>
  <c r="E963" i="4"/>
  <c r="E1074" i="4"/>
  <c r="E1016" i="4"/>
  <c r="E688" i="4"/>
  <c r="E212" i="4"/>
  <c r="E718" i="4"/>
  <c r="E1079" i="4"/>
  <c r="E1062" i="4"/>
  <c r="E821" i="4"/>
  <c r="E132" i="4"/>
  <c r="E699" i="4"/>
  <c r="E555" i="4"/>
  <c r="E1042" i="4"/>
  <c r="E983" i="4"/>
  <c r="E962" i="4"/>
  <c r="E948" i="4"/>
  <c r="E856" i="4"/>
  <c r="E496" i="4"/>
  <c r="E136" i="4"/>
  <c r="E981" i="4"/>
  <c r="E811" i="4"/>
  <c r="E726" i="4"/>
  <c r="E294" i="4"/>
  <c r="E653" i="4"/>
  <c r="E1054" i="4"/>
  <c r="E667" i="4"/>
  <c r="E723" i="4"/>
  <c r="E638" i="4"/>
  <c r="E594" i="4"/>
  <c r="E781" i="4"/>
  <c r="E277" i="4"/>
  <c r="E708" i="4"/>
  <c r="E1045" i="4"/>
  <c r="E191" i="4"/>
  <c r="E651" i="4"/>
  <c r="E730" i="4"/>
  <c r="E298" i="4"/>
  <c r="E269" i="4"/>
  <c r="E916" i="4"/>
  <c r="E628" i="4"/>
  <c r="E392" i="4"/>
  <c r="E39" i="4"/>
  <c r="E550" i="4"/>
  <c r="E362" i="4"/>
  <c r="E785" i="4"/>
  <c r="E353" i="4"/>
  <c r="E65" i="4"/>
  <c r="E672" i="4"/>
  <c r="E116" i="4"/>
  <c r="E895" i="4"/>
  <c r="E930" i="4"/>
  <c r="E110" i="4"/>
  <c r="E633" i="4"/>
  <c r="E37" i="4"/>
  <c r="E952" i="4"/>
  <c r="E396" i="4"/>
  <c r="E304" i="4"/>
  <c r="E959" i="4"/>
  <c r="E599" i="4"/>
  <c r="E490" i="4"/>
  <c r="E461" i="4"/>
  <c r="E101" i="4"/>
  <c r="E49" i="4"/>
  <c r="E388" i="4"/>
  <c r="E296" i="4"/>
  <c r="E951" i="4"/>
  <c r="E591" i="4"/>
  <c r="E87" i="4"/>
  <c r="E525" i="4"/>
  <c r="E473" i="4"/>
  <c r="E740" i="4"/>
  <c r="E308" i="4"/>
  <c r="E299" i="4"/>
  <c r="E1077" i="4"/>
  <c r="E295" i="4"/>
  <c r="E7" i="4"/>
  <c r="E762" i="4"/>
  <c r="E1038" i="4"/>
  <c r="E767" i="4"/>
  <c r="E578" i="4"/>
  <c r="E1030" i="4"/>
  <c r="E748" i="4"/>
  <c r="E213" i="4"/>
  <c r="E380" i="4"/>
  <c r="E698" i="4"/>
  <c r="E447" i="4"/>
  <c r="E1100" i="4"/>
  <c r="E947" i="4"/>
  <c r="E933" i="4"/>
  <c r="E383" i="4"/>
  <c r="E98" i="4"/>
  <c r="E567" i="4"/>
  <c r="E753" i="4"/>
  <c r="E319" i="4"/>
  <c r="E623" i="4"/>
  <c r="E125" i="4"/>
  <c r="E11" i="4"/>
  <c r="E675" i="4"/>
  <c r="E924" i="4"/>
  <c r="E713" i="4"/>
  <c r="E739" i="4"/>
  <c r="E443" i="4"/>
  <c r="E193" i="4"/>
  <c r="E361" i="4"/>
  <c r="E493" i="4"/>
  <c r="E991" i="4"/>
  <c r="E603" i="4"/>
  <c r="E144" i="4"/>
  <c r="E18" i="4"/>
  <c r="E607" i="4"/>
  <c r="E687" i="4"/>
  <c r="E632" i="4"/>
  <c r="E1113" i="4"/>
  <c r="E711" i="4"/>
  <c r="E364" i="4"/>
  <c r="E390" i="4"/>
  <c r="E755" i="4"/>
  <c r="E797" i="4"/>
  <c r="E589" i="4"/>
  <c r="E741" i="4"/>
  <c r="E530" i="4"/>
  <c r="E949" i="4"/>
  <c r="E437" i="4"/>
  <c r="E149" i="4"/>
  <c r="E609" i="4"/>
  <c r="E927" i="4"/>
  <c r="E141" i="4"/>
  <c r="E750" i="4"/>
  <c r="E914" i="4"/>
  <c r="E909" i="4"/>
  <c r="E34" i="4"/>
  <c r="E827" i="4"/>
  <c r="E233" i="4"/>
  <c r="E840" i="4"/>
  <c r="E796" i="4"/>
  <c r="E1068" i="4"/>
  <c r="E251" i="4"/>
  <c r="E395" i="4"/>
  <c r="E348" i="4"/>
  <c r="E408" i="4"/>
  <c r="E430" i="4"/>
  <c r="E989" i="4"/>
  <c r="E787" i="4"/>
  <c r="E1080" i="4"/>
  <c r="E328" i="4"/>
  <c r="E635" i="4"/>
  <c r="E176" i="4"/>
  <c r="E1095" i="4"/>
  <c r="E923" i="4"/>
  <c r="E674" i="4"/>
  <c r="E876" i="4"/>
  <c r="E588" i="4"/>
  <c r="E228" i="4"/>
  <c r="E1007" i="4"/>
  <c r="E793" i="4"/>
  <c r="E143" i="4"/>
  <c r="E970" i="4"/>
  <c r="E466" i="4"/>
  <c r="E106" i="4"/>
  <c r="E945" i="4"/>
  <c r="E487" i="4"/>
  <c r="E127" i="4"/>
  <c r="E882" i="4"/>
  <c r="E278" i="4"/>
  <c r="E234" i="4"/>
  <c r="E205" i="4"/>
  <c r="E904" i="4"/>
  <c r="E921" i="4"/>
  <c r="E659" i="4"/>
  <c r="E75" i="4"/>
  <c r="E414" i="4"/>
  <c r="E226" i="4"/>
  <c r="E505" i="4"/>
  <c r="E145" i="4"/>
  <c r="E824" i="4"/>
  <c r="E320" i="4"/>
  <c r="E1115" i="4"/>
  <c r="E794" i="4"/>
  <c r="E46" i="4"/>
  <c r="E477" i="4"/>
  <c r="E45" i="4"/>
  <c r="E764" i="4"/>
  <c r="E404" i="4"/>
  <c r="E312" i="4"/>
  <c r="E483" i="4"/>
  <c r="E614" i="4"/>
  <c r="E38" i="4"/>
  <c r="E325" i="4"/>
  <c r="E273" i="4"/>
  <c r="E684" i="4"/>
  <c r="E592" i="4"/>
  <c r="E36" i="4"/>
  <c r="E859" i="4"/>
  <c r="E857" i="4"/>
  <c r="E174" i="4"/>
  <c r="E697" i="4"/>
  <c r="E337" i="4"/>
  <c r="E944" i="4"/>
  <c r="E584" i="4"/>
  <c r="E224" i="4"/>
  <c r="E837" i="4"/>
  <c r="E347" i="4"/>
  <c r="E771" i="4"/>
  <c r="E761" i="4"/>
  <c r="E401" i="4"/>
  <c r="E668" i="4"/>
  <c r="E504" i="4"/>
  <c r="E72" i="4"/>
  <c r="E655" i="4"/>
  <c r="E1010" i="4"/>
  <c r="E829" i="4"/>
  <c r="E446" i="4"/>
  <c r="E1008" i="4"/>
  <c r="E766" i="4"/>
  <c r="E575" i="4"/>
  <c r="E996" i="4"/>
  <c r="E977" i="4"/>
  <c r="E210" i="4"/>
  <c r="E379" i="4"/>
  <c r="E695" i="4"/>
  <c r="E444" i="4"/>
  <c r="E1012" i="4"/>
  <c r="E946" i="4"/>
  <c r="E838" i="4"/>
  <c r="E283" i="4"/>
  <c r="E97" i="4"/>
  <c r="E798" i="4"/>
  <c r="E770" i="4"/>
  <c r="E335" i="4"/>
  <c r="E64" i="4"/>
  <c r="E58" i="4"/>
  <c r="E1027" i="4"/>
  <c r="E834" i="4"/>
  <c r="E919" i="4"/>
  <c r="E710" i="4"/>
  <c r="E734" i="4"/>
  <c r="E438" i="4"/>
  <c r="E187" i="4"/>
  <c r="E358" i="4"/>
  <c r="E488" i="4"/>
  <c r="E992" i="4"/>
  <c r="E598" i="4"/>
  <c r="E139" i="4"/>
  <c r="E9" i="4"/>
  <c r="E560" i="4"/>
  <c r="E385" i="4"/>
  <c r="E976" i="4"/>
  <c r="E140" i="4"/>
  <c r="E1034" i="4"/>
  <c r="E503" i="4"/>
  <c r="E810" i="4"/>
  <c r="E342" i="4"/>
  <c r="E290" i="4"/>
  <c r="E757" i="4"/>
  <c r="E102" i="4"/>
  <c r="E1091" i="4"/>
  <c r="E806" i="4"/>
  <c r="E1043" i="4"/>
  <c r="E803" i="4"/>
  <c r="E201" i="4"/>
  <c r="E150" i="4"/>
  <c r="E499" i="4"/>
  <c r="E301" i="4"/>
  <c r="E932" i="4"/>
  <c r="E142" i="4"/>
  <c r="E184" i="4"/>
  <c r="E275" i="4"/>
  <c r="E206" i="4"/>
  <c r="E701" i="4"/>
  <c r="E405" i="4"/>
  <c r="E561" i="4"/>
  <c r="E389" i="4"/>
  <c r="E453" i="4"/>
  <c r="E690" i="4"/>
  <c r="E485" i="4"/>
  <c r="E749" i="4"/>
  <c r="E474" i="4"/>
  <c r="E877" i="4"/>
  <c r="E307" i="4"/>
  <c r="E639" i="4"/>
  <c r="E572" i="4"/>
  <c r="E239" i="4"/>
  <c r="E911" i="4"/>
  <c r="E654" i="4"/>
  <c r="E709" i="4"/>
  <c r="E197" i="4"/>
  <c r="E281" i="4"/>
  <c r="E972" i="4"/>
  <c r="E29" i="4"/>
  <c r="E93" i="4"/>
  <c r="E1005" i="4"/>
  <c r="E1097" i="4"/>
  <c r="E316" i="4"/>
  <c r="E955" i="4"/>
  <c r="E1037" i="4"/>
  <c r="E517" i="4"/>
  <c r="E1013" i="4"/>
  <c r="E724" i="4"/>
  <c r="E602" i="4"/>
  <c r="E593" i="4"/>
  <c r="E394" i="4"/>
  <c r="E441" i="4"/>
  <c r="E844" i="4"/>
  <c r="E960" i="4"/>
  <c r="E880" i="4"/>
  <c r="E872" i="4"/>
  <c r="E864" i="4"/>
  <c r="E661" i="4"/>
  <c r="E1033" i="4"/>
  <c r="E61" i="4"/>
  <c r="E846" i="4"/>
  <c r="E344" i="4"/>
  <c r="E194" i="4"/>
  <c r="E902" i="4"/>
  <c r="E203" i="4"/>
  <c r="E492" i="4"/>
  <c r="E105" i="4"/>
  <c r="E581" i="4"/>
  <c r="E636" i="4"/>
  <c r="E556" i="4"/>
  <c r="E600" i="4"/>
  <c r="E324" i="4"/>
  <c r="E512" i="4"/>
  <c r="E236" i="4"/>
  <c r="E826" i="4"/>
  <c r="E786" i="4"/>
  <c r="E71" i="4"/>
  <c r="E538" i="4"/>
  <c r="E1023" i="4"/>
  <c r="E242" i="4"/>
  <c r="E842" i="4"/>
  <c r="E751" i="4"/>
  <c r="E60" i="4"/>
  <c r="E784" i="4"/>
  <c r="E99" i="4"/>
  <c r="E551" i="4"/>
  <c r="E1116" i="4"/>
  <c r="E44" i="4"/>
  <c r="E427" i="4"/>
  <c r="E363" i="4"/>
  <c r="E1078" i="4"/>
  <c r="E993" i="4"/>
  <c r="E835" i="4"/>
  <c r="E1021" i="4"/>
  <c r="E246" i="4"/>
  <c r="E843" i="4"/>
  <c r="E371" i="4"/>
  <c r="E865" i="4"/>
  <c r="E1025" i="4"/>
  <c r="E156" i="4"/>
  <c r="E91" i="4"/>
  <c r="E83" i="4"/>
  <c r="E982" i="4"/>
  <c r="E823" i="4"/>
  <c r="E887" i="4"/>
  <c r="E879" i="4"/>
  <c r="E583" i="4"/>
  <c r="E978" i="4"/>
  <c r="E282" i="4"/>
  <c r="E831" i="4"/>
  <c r="E315" i="4"/>
  <c r="E890" i="4"/>
  <c r="E673" i="4"/>
  <c r="E987" i="4"/>
  <c r="E204" i="4"/>
  <c r="E123" i="4"/>
  <c r="E984" i="4"/>
  <c r="E998" i="4"/>
  <c r="E702" i="4"/>
  <c r="E478" i="4"/>
  <c r="E542" i="4"/>
  <c r="E411" i="4"/>
  <c r="E579" i="4"/>
  <c r="E223" i="4"/>
  <c r="E1000" i="4"/>
  <c r="E1056" i="4"/>
  <c r="E527" i="4"/>
  <c r="E92" i="4"/>
  <c r="E26" i="4"/>
  <c r="H26" i="4"/>
  <c r="I658" i="4"/>
  <c r="H714" i="4"/>
  <c r="H586" i="4"/>
  <c r="H830" i="4"/>
  <c r="H716" i="4"/>
  <c r="H742" i="4"/>
  <c r="H794" i="4"/>
  <c r="H902" i="4"/>
  <c r="H808" i="4"/>
  <c r="H707" i="4"/>
  <c r="H727" i="4"/>
  <c r="H651" i="4"/>
  <c r="H771" i="4"/>
  <c r="H864" i="4"/>
  <c r="H804" i="4"/>
  <c r="H693" i="4"/>
  <c r="H828" i="4"/>
  <c r="H866" i="4"/>
  <c r="H730" i="4"/>
  <c r="H669" i="4"/>
  <c r="H891" i="4"/>
  <c r="H799" i="4"/>
  <c r="H594" i="4"/>
  <c r="H609" i="4"/>
  <c r="H893" i="4"/>
  <c r="H861" i="4"/>
  <c r="H869" i="4"/>
  <c r="H677" i="4"/>
  <c r="H674" i="4"/>
  <c r="H786" i="4"/>
  <c r="H780" i="4"/>
  <c r="H802" i="4"/>
  <c r="H740" i="4"/>
  <c r="H904" i="4"/>
  <c r="H593" i="4"/>
  <c r="H678" i="4"/>
  <c r="H590" i="4"/>
  <c r="H756" i="4"/>
  <c r="H628" i="4"/>
  <c r="H639" i="4"/>
  <c r="H712" i="4"/>
  <c r="H854" i="4"/>
  <c r="H884" i="4"/>
  <c r="H914" i="4"/>
  <c r="H600" i="4"/>
  <c r="J528" i="4"/>
  <c r="J543" i="4"/>
  <c r="J530" i="4"/>
  <c r="J258" i="4"/>
  <c r="J202" i="4"/>
  <c r="H643" i="4"/>
  <c r="H696" i="4"/>
  <c r="H640" i="4"/>
  <c r="H917" i="4"/>
  <c r="H579" i="4"/>
  <c r="J556" i="4"/>
  <c r="J510" i="4"/>
  <c r="H758" i="4"/>
  <c r="H723" i="4"/>
  <c r="H738" i="4"/>
  <c r="H811" i="4"/>
  <c r="H597" i="4"/>
  <c r="H835" i="4"/>
  <c r="H791" i="4"/>
  <c r="J576" i="4"/>
  <c r="H792" i="4"/>
  <c r="H645" i="4"/>
  <c r="H815" i="4"/>
  <c r="H619" i="4"/>
  <c r="H667" i="4"/>
  <c r="H614" i="4"/>
  <c r="H843" i="4"/>
  <c r="H800" i="4"/>
  <c r="H773" i="4"/>
  <c r="H752" i="4"/>
  <c r="H930" i="4"/>
  <c r="H829" i="4"/>
  <c r="H842" i="4"/>
  <c r="H832" i="4"/>
  <c r="H851" i="4"/>
  <c r="H892" i="4"/>
  <c r="H686" i="4"/>
  <c r="H713" i="4"/>
  <c r="H746" i="4"/>
  <c r="H790" i="4"/>
  <c r="H725" i="4"/>
  <c r="H785" i="4"/>
  <c r="H923" i="4"/>
  <c r="H807" i="4"/>
  <c r="H620" i="4"/>
  <c r="H622" i="4"/>
  <c r="H718" i="4"/>
  <c r="H764" i="4"/>
  <c r="H784" i="4"/>
  <c r="H631" i="4"/>
  <c r="H634" i="4"/>
  <c r="H767" i="4"/>
  <c r="H824" i="4"/>
  <c r="H905" i="4"/>
  <c r="H587" i="4"/>
  <c r="H679" i="4"/>
  <c r="H820" i="4"/>
  <c r="H672" i="4"/>
  <c r="H831" i="4"/>
  <c r="H703" i="4"/>
  <c r="H642" i="4"/>
  <c r="H717" i="4"/>
  <c r="H659" i="4"/>
  <c r="H702" i="4"/>
  <c r="J512" i="4"/>
  <c r="J108" i="4"/>
  <c r="J30" i="4"/>
  <c r="J521" i="4"/>
  <c r="J249" i="4"/>
  <c r="H775" i="4"/>
  <c r="H633" i="4"/>
  <c r="H813" i="4"/>
  <c r="H743" i="4"/>
  <c r="H684" i="4"/>
  <c r="H680" i="4"/>
  <c r="H623" i="4"/>
  <c r="H849" i="4"/>
  <c r="H632" i="4"/>
  <c r="H774" i="4"/>
  <c r="H896" i="4"/>
  <c r="J209" i="4"/>
  <c r="J519" i="4"/>
  <c r="H872" i="4"/>
  <c r="H618" i="4"/>
  <c r="H581" i="4"/>
  <c r="H621" i="4"/>
  <c r="H856" i="4"/>
  <c r="H689" i="4"/>
  <c r="H898" i="4"/>
  <c r="H853" i="4"/>
  <c r="H682" i="4"/>
  <c r="H895" i="4"/>
  <c r="H857" i="4"/>
  <c r="H823" i="4"/>
  <c r="H596" i="4"/>
  <c r="H646" i="4"/>
  <c r="H676" i="4"/>
  <c r="H599" i="4"/>
  <c r="H798" i="4"/>
  <c r="H887" i="4"/>
  <c r="H608" i="4"/>
  <c r="H662" i="4"/>
  <c r="H858" i="4"/>
  <c r="H671" i="4"/>
  <c r="H827" i="4"/>
  <c r="H816" i="4"/>
  <c r="H801" i="4"/>
  <c r="H701" i="4"/>
  <c r="H747" i="4"/>
  <c r="H726" i="4"/>
  <c r="H595" i="4"/>
  <c r="H592" i="4"/>
  <c r="H776" i="4"/>
  <c r="H661" i="4"/>
  <c r="H859" i="4"/>
  <c r="J551" i="4"/>
  <c r="H635" i="4"/>
  <c r="H882" i="4"/>
  <c r="H638" i="4"/>
  <c r="H637" i="4"/>
  <c r="H916" i="4"/>
  <c r="H838" i="4"/>
  <c r="B16" i="6"/>
  <c r="I26" i="4"/>
  <c r="H878" i="4"/>
  <c r="H900" i="4"/>
  <c r="H777" i="4"/>
  <c r="H913" i="4"/>
  <c r="H748" i="4"/>
  <c r="H919" i="4"/>
  <c r="H890" i="4"/>
  <c r="H657" i="4"/>
  <c r="H855" i="4"/>
  <c r="H817" i="4"/>
  <c r="H591" i="4"/>
  <c r="H710" i="4"/>
  <c r="H673" i="4"/>
  <c r="H825" i="4"/>
  <c r="H759" i="4"/>
  <c r="H627" i="4"/>
  <c r="H722" i="4"/>
  <c r="H697" i="4"/>
  <c r="H875" i="4"/>
  <c r="H736" i="4"/>
  <c r="H760" i="4"/>
  <c r="H762" i="4"/>
  <c r="H709" i="4"/>
  <c r="H852" i="4"/>
  <c r="H732" i="4"/>
  <c r="H663" i="4"/>
  <c r="H781" i="4"/>
  <c r="H668" i="4"/>
  <c r="H630" i="4"/>
  <c r="H871" i="4"/>
  <c r="H789" i="4"/>
  <c r="H687" i="4"/>
  <c r="H584" i="4"/>
  <c r="H765" i="4"/>
  <c r="H735" i="4"/>
  <c r="H912" i="4"/>
  <c r="H881" i="4"/>
  <c r="H741" i="4"/>
  <c r="H751" i="4"/>
  <c r="H805" i="4"/>
  <c r="H641" i="4"/>
  <c r="H664" i="4"/>
  <c r="H837" i="4"/>
  <c r="J328" i="4"/>
  <c r="J204" i="4"/>
  <c r="J454" i="4"/>
  <c r="J554" i="4"/>
  <c r="J260" i="4"/>
  <c r="J430" i="4"/>
  <c r="H650" i="4"/>
  <c r="H692" i="4"/>
  <c r="H920" i="4"/>
  <c r="H665" i="4"/>
  <c r="H840" i="4"/>
  <c r="H873" i="4"/>
  <c r="H626" i="4"/>
  <c r="H649" i="4"/>
  <c r="H705" i="4"/>
  <c r="H899" i="4"/>
  <c r="H605" i="4"/>
  <c r="H867" i="4"/>
  <c r="H675" i="4"/>
  <c r="H598" i="4"/>
  <c r="H654" i="4"/>
  <c r="H845" i="4"/>
  <c r="H700" i="4"/>
  <c r="H706" i="4"/>
  <c r="H924" i="4"/>
  <c r="H810" i="4"/>
  <c r="H749" i="4"/>
  <c r="H783" i="4"/>
  <c r="H788" i="4"/>
  <c r="H613" i="4"/>
  <c r="H604" i="4"/>
  <c r="H761" i="4"/>
  <c r="H624" i="4"/>
  <c r="H728" i="4"/>
  <c r="H647" i="4"/>
  <c r="H698" i="4"/>
  <c r="H826" i="4"/>
  <c r="H601" i="4"/>
  <c r="H839" i="4"/>
  <c r="H606" i="4"/>
  <c r="H607" i="4"/>
  <c r="H766" i="4"/>
  <c r="H833" i="4"/>
  <c r="H691" i="4"/>
  <c r="H681" i="4"/>
  <c r="H589" i="4"/>
  <c r="H844" i="4"/>
  <c r="H685" i="4"/>
  <c r="H847" i="4"/>
  <c r="H929" i="4"/>
  <c r="H733" i="4"/>
  <c r="H750" i="4"/>
  <c r="H704" i="4"/>
  <c r="H819" i="4"/>
  <c r="H862" i="4"/>
  <c r="H656" i="4"/>
  <c r="H655" i="4"/>
  <c r="J541" i="4"/>
  <c r="J563" i="4"/>
  <c r="J562" i="4"/>
  <c r="J185" i="4"/>
  <c r="J183" i="4"/>
  <c r="J452" i="4"/>
  <c r="H818" i="4"/>
  <c r="H602" i="4"/>
  <c r="H734" i="4"/>
  <c r="H897" i="4"/>
  <c r="H876" i="4"/>
  <c r="H763" i="4"/>
  <c r="J549" i="4"/>
  <c r="H694" i="4"/>
  <c r="H812" i="4"/>
  <c r="H925" i="4"/>
  <c r="H814" i="4"/>
  <c r="H660" i="4"/>
  <c r="H711" i="4"/>
  <c r="H690" i="4"/>
  <c r="H865" i="4"/>
  <c r="H863" i="4"/>
  <c r="H744" i="4"/>
  <c r="H580" i="4"/>
  <c r="H603" i="4"/>
  <c r="H803" i="4"/>
  <c r="H879" i="4"/>
  <c r="H894" i="4"/>
  <c r="H731" i="4"/>
  <c r="H928" i="4"/>
  <c r="H745" i="4"/>
  <c r="H695" i="4"/>
  <c r="H629" i="4"/>
  <c r="H720" i="4"/>
  <c r="H782" i="4"/>
  <c r="H753" i="4"/>
  <c r="H583" i="4"/>
  <c r="H889" i="4"/>
  <c r="H922" i="4"/>
  <c r="H903" i="4"/>
  <c r="H797" i="4"/>
  <c r="H757" i="4"/>
  <c r="H860" i="4"/>
  <c r="H683" i="4"/>
  <c r="H809" i="4"/>
  <c r="H796" i="4"/>
  <c r="H846" i="4"/>
  <c r="H886" i="4"/>
  <c r="H901" i="4"/>
  <c r="H610" i="4"/>
  <c r="H868" i="4"/>
  <c r="H588" i="4"/>
  <c r="H625" i="4"/>
  <c r="H907" i="4"/>
  <c r="H870" i="4"/>
  <c r="H848" i="4"/>
  <c r="H834" i="4"/>
  <c r="J105" i="4"/>
  <c r="J110" i="4"/>
  <c r="J247" i="4"/>
  <c r="J103" i="4"/>
  <c r="J29" i="4"/>
  <c r="J207" i="4"/>
  <c r="H585" i="4"/>
  <c r="H611" i="4"/>
  <c r="H918" i="4"/>
  <c r="H910" i="4"/>
  <c r="H715" i="4"/>
  <c r="H708" i="4"/>
  <c r="J565" i="4"/>
  <c r="J326" i="4"/>
  <c r="H885" i="4"/>
  <c r="H670" i="4"/>
  <c r="H616" i="4"/>
  <c r="H906" i="4"/>
  <c r="H612" i="4"/>
  <c r="H909" i="4"/>
  <c r="H724" i="4"/>
  <c r="H768" i="4"/>
  <c r="H926" i="4"/>
  <c r="H648" i="4"/>
  <c r="H699" i="4"/>
  <c r="H793" i="4"/>
  <c r="H911" i="4"/>
  <c r="H615" i="4"/>
  <c r="H883" i="4"/>
  <c r="H754" i="4"/>
  <c r="H822" i="4"/>
  <c r="H688" i="4"/>
  <c r="H770" i="4"/>
  <c r="H617" i="4"/>
  <c r="H779" i="4"/>
  <c r="H778" i="4"/>
  <c r="H739" i="4"/>
  <c r="H737" i="4"/>
  <c r="H582" i="4"/>
  <c r="H850" i="4"/>
  <c r="H769" i="4"/>
  <c r="H927" i="4"/>
  <c r="H877" i="4"/>
  <c r="H772" i="4"/>
  <c r="H719" i="4"/>
  <c r="H644" i="4"/>
  <c r="H787" i="4"/>
  <c r="H636" i="4"/>
  <c r="H795" i="4"/>
  <c r="H666" i="4"/>
  <c r="H729" i="4"/>
  <c r="H653" i="4"/>
  <c r="H921" i="4"/>
  <c r="H652" i="4"/>
  <c r="H841" i="4"/>
  <c r="H721" i="4"/>
  <c r="H821" i="4"/>
  <c r="H806" i="4"/>
  <c r="J305" i="4"/>
  <c r="J307" i="4"/>
  <c r="J25" i="4"/>
  <c r="J574" i="4"/>
  <c r="J27" i="4"/>
  <c r="I579" i="4"/>
  <c r="J579" i="4" s="1"/>
  <c r="H915" i="4"/>
  <c r="H874" i="4"/>
  <c r="H908" i="4"/>
  <c r="H755" i="4"/>
  <c r="H888" i="4"/>
  <c r="H836" i="4"/>
  <c r="H880" i="4"/>
  <c r="E3" i="4" l="1"/>
  <c r="H3" i="4"/>
  <c r="I698" i="4"/>
  <c r="I836" i="4"/>
  <c r="I721" i="4"/>
  <c r="I636" i="4"/>
  <c r="I850" i="4"/>
  <c r="I688" i="4"/>
  <c r="I648" i="4"/>
  <c r="I670" i="4"/>
  <c r="I834" i="4"/>
  <c r="I901" i="4"/>
  <c r="I797" i="4"/>
  <c r="I629" i="4"/>
  <c r="I603" i="4"/>
  <c r="I814" i="4"/>
  <c r="I602" i="4"/>
  <c r="I733" i="4"/>
  <c r="I833" i="4"/>
  <c r="I647" i="4"/>
  <c r="I749" i="4"/>
  <c r="I675" i="4"/>
  <c r="I840" i="4"/>
  <c r="I805" i="4"/>
  <c r="I687" i="4"/>
  <c r="I852" i="4"/>
  <c r="I627" i="4"/>
  <c r="I657" i="4"/>
  <c r="I838" i="4"/>
  <c r="I776" i="4"/>
  <c r="I827" i="4"/>
  <c r="I676" i="4"/>
  <c r="I898" i="4"/>
  <c r="I774" i="4"/>
  <c r="I633" i="4"/>
  <c r="I672" i="4"/>
  <c r="I631" i="4"/>
  <c r="I785" i="4"/>
  <c r="I832" i="4"/>
  <c r="I614" i="4"/>
  <c r="I597" i="4"/>
  <c r="I643" i="4"/>
  <c r="I756" i="4"/>
  <c r="I786" i="4"/>
  <c r="I799" i="4"/>
  <c r="I864" i="4"/>
  <c r="I742" i="4"/>
  <c r="J26" i="4"/>
  <c r="I888" i="4"/>
  <c r="I841" i="4"/>
  <c r="I787" i="4"/>
  <c r="I582" i="4"/>
  <c r="I822" i="4"/>
  <c r="I926" i="4"/>
  <c r="I885" i="4"/>
  <c r="I848" i="4"/>
  <c r="I886" i="4"/>
  <c r="I903" i="4"/>
  <c r="I695" i="4"/>
  <c r="I580" i="4"/>
  <c r="I925" i="4"/>
  <c r="I818" i="4"/>
  <c r="I929" i="4"/>
  <c r="I766" i="4"/>
  <c r="I728" i="4"/>
  <c r="I810" i="4"/>
  <c r="I867" i="4"/>
  <c r="I665" i="4"/>
  <c r="I751" i="4"/>
  <c r="I789" i="4"/>
  <c r="I709" i="4"/>
  <c r="I759" i="4"/>
  <c r="I890" i="4"/>
  <c r="I916" i="4"/>
  <c r="I592" i="4"/>
  <c r="I671" i="4"/>
  <c r="I646" i="4"/>
  <c r="I689" i="4"/>
  <c r="I632" i="4"/>
  <c r="I775" i="4"/>
  <c r="I820" i="4"/>
  <c r="I784" i="4"/>
  <c r="I725" i="4"/>
  <c r="I842" i="4"/>
  <c r="I667" i="4"/>
  <c r="I811" i="4"/>
  <c r="I600" i="4"/>
  <c r="I590" i="4"/>
  <c r="I674" i="4"/>
  <c r="I891" i="4"/>
  <c r="I771" i="4"/>
  <c r="I716" i="4"/>
  <c r="I855" i="4"/>
  <c r="I813" i="4"/>
  <c r="I835" i="4"/>
  <c r="I804" i="4"/>
  <c r="J4" i="4"/>
  <c r="I755" i="4"/>
  <c r="I652" i="4"/>
  <c r="I644" i="4"/>
  <c r="I737" i="4"/>
  <c r="I754" i="4"/>
  <c r="I768" i="4"/>
  <c r="I708" i="4"/>
  <c r="I870" i="4"/>
  <c r="I846" i="4"/>
  <c r="I922" i="4"/>
  <c r="I745" i="4"/>
  <c r="I744" i="4"/>
  <c r="I812" i="4"/>
  <c r="I655" i="4"/>
  <c r="I847" i="4"/>
  <c r="I607" i="4"/>
  <c r="I624" i="4"/>
  <c r="I924" i="4"/>
  <c r="I605" i="4"/>
  <c r="I920" i="4"/>
  <c r="I741" i="4"/>
  <c r="I871" i="4"/>
  <c r="I762" i="4"/>
  <c r="I825" i="4"/>
  <c r="I919" i="4"/>
  <c r="I637" i="4"/>
  <c r="I595" i="4"/>
  <c r="I858" i="4"/>
  <c r="I596" i="4"/>
  <c r="I856" i="4"/>
  <c r="I849" i="4"/>
  <c r="I702" i="4"/>
  <c r="I679" i="4"/>
  <c r="I764" i="4"/>
  <c r="I790" i="4"/>
  <c r="I829" i="4"/>
  <c r="I619" i="4"/>
  <c r="I738" i="4"/>
  <c r="I914" i="4"/>
  <c r="I678" i="4"/>
  <c r="I677" i="4"/>
  <c r="I669" i="4"/>
  <c r="I651" i="4"/>
  <c r="I830" i="4"/>
  <c r="J6" i="4"/>
  <c r="I927" i="4"/>
  <c r="I906" i="4"/>
  <c r="I860" i="4"/>
  <c r="I711" i="4"/>
  <c r="I681" i="4"/>
  <c r="I654" i="4"/>
  <c r="I663" i="4"/>
  <c r="I900" i="4"/>
  <c r="I682" i="4"/>
  <c r="I703" i="4"/>
  <c r="I892" i="4"/>
  <c r="I639" i="4"/>
  <c r="I609" i="4"/>
  <c r="I880" i="4"/>
  <c r="I770" i="4"/>
  <c r="I757" i="4"/>
  <c r="I660" i="4"/>
  <c r="I783" i="4"/>
  <c r="I584" i="4"/>
  <c r="I661" i="4"/>
  <c r="I896" i="4"/>
  <c r="I923" i="4"/>
  <c r="I628" i="4"/>
  <c r="I908" i="4"/>
  <c r="I921" i="4"/>
  <c r="I719" i="4"/>
  <c r="I739" i="4"/>
  <c r="I883" i="4"/>
  <c r="I724" i="4"/>
  <c r="I715" i="4"/>
  <c r="I907" i="4"/>
  <c r="I796" i="4"/>
  <c r="I889" i="4"/>
  <c r="I928" i="4"/>
  <c r="I863" i="4"/>
  <c r="I694" i="4"/>
  <c r="I656" i="4"/>
  <c r="I685" i="4"/>
  <c r="I606" i="4"/>
  <c r="I761" i="4"/>
  <c r="I706" i="4"/>
  <c r="I899" i="4"/>
  <c r="I692" i="4"/>
  <c r="I881" i="4"/>
  <c r="I630" i="4"/>
  <c r="I760" i="4"/>
  <c r="I673" i="4"/>
  <c r="I748" i="4"/>
  <c r="I638" i="4"/>
  <c r="I726" i="4"/>
  <c r="I662" i="4"/>
  <c r="I823" i="4"/>
  <c r="I621" i="4"/>
  <c r="I623" i="4"/>
  <c r="I659" i="4"/>
  <c r="I587" i="4"/>
  <c r="I718" i="4"/>
  <c r="I746" i="4"/>
  <c r="I930" i="4"/>
  <c r="I815" i="4"/>
  <c r="I723" i="4"/>
  <c r="I884" i="4"/>
  <c r="I593" i="4"/>
  <c r="I869" i="4"/>
  <c r="I730" i="4"/>
  <c r="I727" i="4"/>
  <c r="I586" i="4"/>
  <c r="J7" i="4"/>
  <c r="I713" i="4"/>
  <c r="I645" i="4"/>
  <c r="I854" i="4"/>
  <c r="I904" i="4"/>
  <c r="I866" i="4"/>
  <c r="I707" i="4"/>
  <c r="J28" i="4"/>
  <c r="I808" i="4"/>
  <c r="I666" i="4"/>
  <c r="I793" i="4"/>
  <c r="I611" i="4"/>
  <c r="I782" i="4"/>
  <c r="I897" i="4"/>
  <c r="I788" i="4"/>
  <c r="I765" i="4"/>
  <c r="I817" i="4"/>
  <c r="I798" i="4"/>
  <c r="I743" i="4"/>
  <c r="I800" i="4"/>
  <c r="I693" i="4"/>
  <c r="I795" i="4"/>
  <c r="I769" i="4"/>
  <c r="I585" i="4"/>
  <c r="I720" i="4"/>
  <c r="I750" i="4"/>
  <c r="I598" i="4"/>
  <c r="I732" i="4"/>
  <c r="I599" i="4"/>
  <c r="I634" i="4"/>
  <c r="I696" i="4"/>
  <c r="I794" i="4"/>
  <c r="I874" i="4"/>
  <c r="I653" i="4"/>
  <c r="I772" i="4"/>
  <c r="I778" i="4"/>
  <c r="I615" i="4"/>
  <c r="I909" i="4"/>
  <c r="I910" i="4"/>
  <c r="I625" i="4"/>
  <c r="I809" i="4"/>
  <c r="I583" i="4"/>
  <c r="I731" i="4"/>
  <c r="I865" i="4"/>
  <c r="I763" i="4"/>
  <c r="I862" i="4"/>
  <c r="I844" i="4"/>
  <c r="I839" i="4"/>
  <c r="I604" i="4"/>
  <c r="I700" i="4"/>
  <c r="I705" i="4"/>
  <c r="I650" i="4"/>
  <c r="I912" i="4"/>
  <c r="I668" i="4"/>
  <c r="I736" i="4"/>
  <c r="I710" i="4"/>
  <c r="I913" i="4"/>
  <c r="I882" i="4"/>
  <c r="I747" i="4"/>
  <c r="I608" i="4"/>
  <c r="I857" i="4"/>
  <c r="I581" i="4"/>
  <c r="I680" i="4"/>
  <c r="I717" i="4"/>
  <c r="I905" i="4"/>
  <c r="I622" i="4"/>
  <c r="I752" i="4"/>
  <c r="I758" i="4"/>
  <c r="I861" i="4"/>
  <c r="I714" i="4"/>
  <c r="I806" i="4"/>
  <c r="I868" i="4"/>
  <c r="I879" i="4"/>
  <c r="I704" i="4"/>
  <c r="I826" i="4"/>
  <c r="I626" i="4"/>
  <c r="I697" i="4"/>
  <c r="I859" i="4"/>
  <c r="I872" i="4"/>
  <c r="I807" i="4"/>
  <c r="I791" i="4"/>
  <c r="I802" i="4"/>
  <c r="I616" i="4"/>
  <c r="I873" i="4"/>
  <c r="I878" i="4"/>
  <c r="I853" i="4"/>
  <c r="I851" i="4"/>
  <c r="I780" i="4"/>
  <c r="I3" i="4"/>
  <c r="I915" i="4"/>
  <c r="I729" i="4"/>
  <c r="I877" i="4"/>
  <c r="I779" i="4"/>
  <c r="I911" i="4"/>
  <c r="I612" i="4"/>
  <c r="I918" i="4"/>
  <c r="I588" i="4"/>
  <c r="I683" i="4"/>
  <c r="I753" i="4"/>
  <c r="I894" i="4"/>
  <c r="I690" i="4"/>
  <c r="I876" i="4"/>
  <c r="I819" i="4"/>
  <c r="I589" i="4"/>
  <c r="I601" i="4"/>
  <c r="I613" i="4"/>
  <c r="I845" i="4"/>
  <c r="I649" i="4"/>
  <c r="I837" i="4"/>
  <c r="I735" i="4"/>
  <c r="I781" i="4"/>
  <c r="I875" i="4"/>
  <c r="I591" i="4"/>
  <c r="I777" i="4"/>
  <c r="I635" i="4"/>
  <c r="I701" i="4"/>
  <c r="I887" i="4"/>
  <c r="I895" i="4"/>
  <c r="I618" i="4"/>
  <c r="I684" i="4"/>
  <c r="I642" i="4"/>
  <c r="I824" i="4"/>
  <c r="I620" i="4"/>
  <c r="I686" i="4"/>
  <c r="I773" i="4"/>
  <c r="I792" i="4"/>
  <c r="I917" i="4"/>
  <c r="I712" i="4"/>
  <c r="I740" i="4"/>
  <c r="I893" i="4"/>
  <c r="I828" i="4"/>
  <c r="I617" i="4"/>
  <c r="I664" i="4"/>
  <c r="I801" i="4"/>
  <c r="I767" i="4"/>
  <c r="I640" i="4"/>
  <c r="I902" i="4"/>
  <c r="I821" i="4"/>
  <c r="I699" i="4"/>
  <c r="I610" i="4"/>
  <c r="I803" i="4"/>
  <c r="I734" i="4"/>
  <c r="I691" i="4"/>
  <c r="I641" i="4"/>
  <c r="I722" i="4"/>
  <c r="I816" i="4"/>
  <c r="I831" i="4"/>
  <c r="I843" i="4"/>
  <c r="I594" i="4"/>
  <c r="B17" i="6" l="1"/>
  <c r="F3" i="4"/>
  <c r="F4" i="4" s="1"/>
  <c r="F5" i="4" s="1"/>
  <c r="F6" i="4" s="1"/>
  <c r="F7" i="4" s="1"/>
  <c r="F8" i="4" s="1"/>
  <c r="F9" i="4" s="1"/>
  <c r="F10" i="4" s="1"/>
  <c r="F11" i="4" s="1"/>
  <c r="F12" i="4" s="1"/>
  <c r="F13" i="4" s="1"/>
  <c r="F14" i="4" s="1"/>
  <c r="F15" i="4" s="1"/>
  <c r="F16" i="4" s="1"/>
  <c r="F17" i="4" s="1"/>
  <c r="F18" i="4" s="1"/>
  <c r="F19" i="4" s="1"/>
  <c r="F20" i="4" s="1"/>
  <c r="F21" i="4" s="1"/>
  <c r="F22" i="4" s="1"/>
  <c r="F23" i="4" s="1"/>
  <c r="F24" i="4" s="1"/>
  <c r="F25" i="4" s="1"/>
  <c r="F26" i="4" s="1"/>
  <c r="F27" i="4" s="1"/>
  <c r="F28" i="4" s="1"/>
  <c r="F29" i="4" s="1"/>
  <c r="F30" i="4" s="1"/>
  <c r="F31" i="4" s="1"/>
  <c r="F32" i="4" s="1"/>
  <c r="F33" i="4" s="1"/>
  <c r="F34" i="4" s="1"/>
  <c r="F35" i="4" s="1"/>
  <c r="F36" i="4" s="1"/>
  <c r="F37" i="4" s="1"/>
  <c r="F38" i="4" s="1"/>
  <c r="F39" i="4" s="1"/>
  <c r="F40" i="4" s="1"/>
  <c r="F41" i="4" s="1"/>
  <c r="F42" i="4" s="1"/>
  <c r="F43" i="4" s="1"/>
  <c r="F44" i="4" s="1"/>
  <c r="F45" i="4" s="1"/>
  <c r="F46" i="4" s="1"/>
  <c r="F47" i="4" s="1"/>
  <c r="F48" i="4" s="1"/>
  <c r="F49" i="4" s="1"/>
  <c r="F50" i="4" s="1"/>
  <c r="F51" i="4" s="1"/>
  <c r="F52" i="4" s="1"/>
  <c r="F53" i="4" s="1"/>
  <c r="F54" i="4" s="1"/>
  <c r="F55" i="4" s="1"/>
  <c r="F56" i="4" s="1"/>
  <c r="F57" i="4" s="1"/>
  <c r="F58" i="4" s="1"/>
  <c r="F59" i="4" s="1"/>
  <c r="F60" i="4" s="1"/>
  <c r="F61" i="4" s="1"/>
  <c r="F62" i="4" s="1"/>
  <c r="F63" i="4" s="1"/>
  <c r="F64" i="4" s="1"/>
  <c r="F65" i="4" s="1"/>
  <c r="F66" i="4" s="1"/>
  <c r="F67" i="4" s="1"/>
  <c r="F68" i="4" s="1"/>
  <c r="F69" i="4" s="1"/>
  <c r="F70" i="4" s="1"/>
  <c r="F71" i="4" s="1"/>
  <c r="F72" i="4" s="1"/>
  <c r="F73" i="4" s="1"/>
  <c r="F74" i="4" s="1"/>
  <c r="F75" i="4" s="1"/>
  <c r="F76" i="4" s="1"/>
  <c r="F77" i="4" s="1"/>
  <c r="F78" i="4" s="1"/>
  <c r="F79" i="4" s="1"/>
  <c r="F80" i="4" s="1"/>
  <c r="F81" i="4" s="1"/>
  <c r="F82" i="4" s="1"/>
  <c r="F83" i="4" s="1"/>
  <c r="F84" i="4" s="1"/>
  <c r="F85" i="4" s="1"/>
  <c r="F86" i="4" s="1"/>
  <c r="F87" i="4" s="1"/>
  <c r="F88" i="4" s="1"/>
  <c r="F89" i="4" s="1"/>
  <c r="F90" i="4" s="1"/>
  <c r="F91" i="4" s="1"/>
  <c r="F92" i="4" s="1"/>
  <c r="F93" i="4" s="1"/>
  <c r="F94" i="4" s="1"/>
  <c r="F95" i="4" s="1"/>
  <c r="F96" i="4" s="1"/>
  <c r="F97" i="4" s="1"/>
  <c r="F98" i="4" s="1"/>
  <c r="F99" i="4" s="1"/>
  <c r="F100" i="4" s="1"/>
  <c r="F101" i="4" s="1"/>
  <c r="F102" i="4" s="1"/>
  <c r="F103" i="4" s="1"/>
  <c r="F104" i="4" s="1"/>
  <c r="F105" i="4" s="1"/>
  <c r="F106" i="4" s="1"/>
  <c r="F107" i="4" s="1"/>
  <c r="F108" i="4" s="1"/>
  <c r="F109" i="4" s="1"/>
  <c r="F110" i="4" s="1"/>
  <c r="F111" i="4" s="1"/>
  <c r="F112" i="4" s="1"/>
  <c r="F113" i="4" s="1"/>
  <c r="F114" i="4" s="1"/>
  <c r="F115" i="4" s="1"/>
  <c r="F116" i="4" s="1"/>
  <c r="F117" i="4" s="1"/>
  <c r="F118" i="4" s="1"/>
  <c r="F119" i="4" s="1"/>
  <c r="F120" i="4" s="1"/>
  <c r="F121" i="4" s="1"/>
  <c r="F122" i="4" s="1"/>
  <c r="F123" i="4" s="1"/>
  <c r="F124" i="4" s="1"/>
  <c r="F125" i="4" s="1"/>
  <c r="F126" i="4" s="1"/>
  <c r="F127" i="4" s="1"/>
  <c r="F128" i="4" s="1"/>
  <c r="F129" i="4" s="1"/>
  <c r="F130" i="4" s="1"/>
  <c r="F131" i="4" s="1"/>
  <c r="F132" i="4" s="1"/>
  <c r="F133" i="4" s="1"/>
  <c r="F134" i="4" s="1"/>
  <c r="F135" i="4" s="1"/>
  <c r="F136" i="4" s="1"/>
  <c r="F137" i="4" s="1"/>
  <c r="F138" i="4" s="1"/>
  <c r="F139" i="4" s="1"/>
  <c r="F140" i="4" s="1"/>
  <c r="F141" i="4" s="1"/>
  <c r="F142" i="4" s="1"/>
  <c r="F143" i="4" s="1"/>
  <c r="F144" i="4" s="1"/>
  <c r="F145" i="4" s="1"/>
  <c r="F146" i="4" s="1"/>
  <c r="F147" i="4" s="1"/>
  <c r="F148" i="4" s="1"/>
  <c r="F149" i="4" s="1"/>
  <c r="F150" i="4" s="1"/>
  <c r="F151" i="4" s="1"/>
  <c r="F152" i="4" s="1"/>
  <c r="F153" i="4" s="1"/>
  <c r="F154" i="4" s="1"/>
  <c r="F155" i="4" s="1"/>
  <c r="F156" i="4" s="1"/>
  <c r="F157" i="4" s="1"/>
  <c r="F158" i="4" s="1"/>
  <c r="F159" i="4" s="1"/>
  <c r="F160" i="4" s="1"/>
  <c r="F161" i="4" s="1"/>
  <c r="F162" i="4" s="1"/>
  <c r="F163" i="4" s="1"/>
  <c r="F164" i="4" s="1"/>
  <c r="F165" i="4" s="1"/>
  <c r="F166" i="4" s="1"/>
  <c r="F167" i="4" s="1"/>
  <c r="F168" i="4" s="1"/>
  <c r="F169" i="4" s="1"/>
  <c r="F170" i="4" s="1"/>
  <c r="F171" i="4" s="1"/>
  <c r="F172" i="4" s="1"/>
  <c r="F173" i="4" s="1"/>
  <c r="F174" i="4" s="1"/>
  <c r="F175" i="4" s="1"/>
  <c r="F176" i="4" s="1"/>
  <c r="F177" i="4" s="1"/>
  <c r="F178" i="4" s="1"/>
  <c r="F179" i="4" s="1"/>
  <c r="F180" i="4" s="1"/>
  <c r="F181" i="4" s="1"/>
  <c r="F182" i="4" s="1"/>
  <c r="F183" i="4" s="1"/>
  <c r="F184" i="4" s="1"/>
  <c r="F185" i="4" s="1"/>
  <c r="F186" i="4" s="1"/>
  <c r="F187" i="4" s="1"/>
  <c r="F188" i="4" s="1"/>
  <c r="F189" i="4" s="1"/>
  <c r="F190" i="4" s="1"/>
  <c r="F191" i="4" s="1"/>
  <c r="F192" i="4" s="1"/>
  <c r="F193" i="4" s="1"/>
  <c r="F194" i="4" s="1"/>
  <c r="F195" i="4" s="1"/>
  <c r="F196" i="4" s="1"/>
  <c r="F197" i="4" s="1"/>
  <c r="F198" i="4" s="1"/>
  <c r="F199" i="4" s="1"/>
  <c r="F200" i="4" s="1"/>
  <c r="F201" i="4" s="1"/>
  <c r="F202" i="4" s="1"/>
  <c r="F203" i="4" s="1"/>
  <c r="F204" i="4" s="1"/>
  <c r="F205" i="4" s="1"/>
  <c r="F206" i="4" s="1"/>
  <c r="F207" i="4" s="1"/>
  <c r="F208" i="4" s="1"/>
  <c r="F209" i="4" s="1"/>
  <c r="F210" i="4" s="1"/>
  <c r="F211" i="4" s="1"/>
  <c r="F212" i="4" s="1"/>
  <c r="F213" i="4" s="1"/>
  <c r="F214" i="4" s="1"/>
  <c r="F215" i="4" s="1"/>
  <c r="F216" i="4" s="1"/>
  <c r="F217" i="4" s="1"/>
  <c r="F218" i="4" s="1"/>
  <c r="F219" i="4" s="1"/>
  <c r="F220" i="4" s="1"/>
  <c r="F221" i="4" s="1"/>
  <c r="F222" i="4" s="1"/>
  <c r="F223" i="4" s="1"/>
  <c r="F224" i="4" s="1"/>
  <c r="F225" i="4" s="1"/>
  <c r="F226" i="4" s="1"/>
  <c r="F227" i="4" s="1"/>
  <c r="F228" i="4" s="1"/>
  <c r="F229" i="4" s="1"/>
  <c r="F230" i="4" s="1"/>
  <c r="F231" i="4" s="1"/>
  <c r="F232" i="4" s="1"/>
  <c r="F233" i="4" s="1"/>
  <c r="F234" i="4" s="1"/>
  <c r="F235" i="4" s="1"/>
  <c r="F236" i="4" s="1"/>
  <c r="F237" i="4" s="1"/>
  <c r="F238" i="4" s="1"/>
  <c r="F239" i="4" s="1"/>
  <c r="F240" i="4" s="1"/>
  <c r="F241" i="4" s="1"/>
  <c r="F242" i="4" s="1"/>
  <c r="F243" i="4" s="1"/>
  <c r="F244" i="4" s="1"/>
  <c r="F245" i="4" s="1"/>
  <c r="F246" i="4" s="1"/>
  <c r="F247" i="4" s="1"/>
  <c r="F248" i="4" s="1"/>
  <c r="F249" i="4" s="1"/>
  <c r="F250" i="4" s="1"/>
  <c r="F251" i="4" s="1"/>
  <c r="F252" i="4" s="1"/>
  <c r="F253" i="4" s="1"/>
  <c r="F254" i="4" s="1"/>
  <c r="F255" i="4" s="1"/>
  <c r="F256" i="4" s="1"/>
  <c r="F257" i="4" s="1"/>
  <c r="F258" i="4" s="1"/>
  <c r="F259" i="4" s="1"/>
  <c r="F260" i="4" s="1"/>
  <c r="F261" i="4" s="1"/>
  <c r="F262" i="4" s="1"/>
  <c r="F263" i="4" s="1"/>
  <c r="F264" i="4" s="1"/>
  <c r="F265" i="4" s="1"/>
  <c r="F266" i="4" s="1"/>
  <c r="F267" i="4" s="1"/>
  <c r="F268" i="4" s="1"/>
  <c r="F269" i="4" s="1"/>
  <c r="F270" i="4" s="1"/>
  <c r="F271" i="4" s="1"/>
  <c r="F272" i="4" s="1"/>
  <c r="F273" i="4" s="1"/>
  <c r="F274" i="4" s="1"/>
  <c r="F275" i="4" s="1"/>
  <c r="F276" i="4" s="1"/>
  <c r="F277" i="4" s="1"/>
  <c r="F278" i="4" s="1"/>
  <c r="F279" i="4" s="1"/>
  <c r="F280" i="4" s="1"/>
  <c r="F281" i="4" s="1"/>
  <c r="F282" i="4" s="1"/>
  <c r="F283" i="4" s="1"/>
  <c r="F284" i="4" s="1"/>
  <c r="F285" i="4" s="1"/>
  <c r="F286" i="4" s="1"/>
  <c r="F287" i="4" s="1"/>
  <c r="F288" i="4" s="1"/>
  <c r="F289" i="4" s="1"/>
  <c r="F290" i="4" s="1"/>
  <c r="F291" i="4" s="1"/>
  <c r="F292" i="4" s="1"/>
  <c r="F293" i="4" s="1"/>
  <c r="F294" i="4" s="1"/>
  <c r="F295" i="4" s="1"/>
  <c r="F296" i="4" s="1"/>
  <c r="F297" i="4" s="1"/>
  <c r="F298" i="4" s="1"/>
  <c r="F299" i="4" s="1"/>
  <c r="F300" i="4" s="1"/>
  <c r="F301" i="4" s="1"/>
  <c r="F302" i="4" s="1"/>
  <c r="F303" i="4" s="1"/>
  <c r="F304" i="4" s="1"/>
  <c r="F305" i="4" s="1"/>
  <c r="F306" i="4" s="1"/>
  <c r="F307" i="4" s="1"/>
  <c r="F308" i="4" s="1"/>
  <c r="F309" i="4" s="1"/>
  <c r="F310" i="4" s="1"/>
  <c r="F311" i="4" s="1"/>
  <c r="F312" i="4" s="1"/>
  <c r="F313" i="4" s="1"/>
  <c r="F314" i="4" s="1"/>
  <c r="F315" i="4" s="1"/>
  <c r="F316" i="4" s="1"/>
  <c r="F317" i="4" s="1"/>
  <c r="F318" i="4" s="1"/>
  <c r="F319" i="4" s="1"/>
  <c r="F320" i="4" s="1"/>
  <c r="F321" i="4" s="1"/>
  <c r="F322" i="4" s="1"/>
  <c r="F323" i="4" s="1"/>
  <c r="F324" i="4" s="1"/>
  <c r="F325" i="4" s="1"/>
  <c r="F326" i="4" s="1"/>
  <c r="F327" i="4" s="1"/>
  <c r="F328" i="4" s="1"/>
  <c r="F329" i="4" s="1"/>
  <c r="F330" i="4" s="1"/>
  <c r="F331" i="4" s="1"/>
  <c r="F332" i="4" s="1"/>
  <c r="F333" i="4" s="1"/>
  <c r="F334" i="4" s="1"/>
  <c r="F335" i="4" s="1"/>
  <c r="F336" i="4" s="1"/>
  <c r="F337" i="4" s="1"/>
  <c r="F338" i="4" s="1"/>
  <c r="F339" i="4" s="1"/>
  <c r="F340" i="4" s="1"/>
  <c r="F341" i="4" s="1"/>
  <c r="F342" i="4" s="1"/>
  <c r="F343" i="4" s="1"/>
  <c r="F344" i="4" s="1"/>
  <c r="F345" i="4" s="1"/>
  <c r="F346" i="4" s="1"/>
  <c r="F347" i="4" s="1"/>
  <c r="F348" i="4" s="1"/>
  <c r="F349" i="4" s="1"/>
  <c r="F350" i="4" s="1"/>
  <c r="F351" i="4" s="1"/>
  <c r="F352" i="4" s="1"/>
  <c r="F353" i="4" s="1"/>
  <c r="F354" i="4" s="1"/>
  <c r="F355" i="4" s="1"/>
  <c r="F356" i="4" s="1"/>
  <c r="F357" i="4" s="1"/>
  <c r="F358" i="4" s="1"/>
  <c r="F359" i="4" s="1"/>
  <c r="F360" i="4" s="1"/>
  <c r="F361" i="4" s="1"/>
  <c r="F362" i="4" s="1"/>
  <c r="F363" i="4" s="1"/>
  <c r="F364" i="4" s="1"/>
  <c r="F365" i="4" s="1"/>
  <c r="F366" i="4" s="1"/>
  <c r="F367" i="4" s="1"/>
  <c r="F368" i="4" s="1"/>
  <c r="F369" i="4" s="1"/>
  <c r="F370" i="4" s="1"/>
  <c r="F371" i="4" s="1"/>
  <c r="F372" i="4" s="1"/>
  <c r="F373" i="4" s="1"/>
  <c r="F374" i="4" s="1"/>
  <c r="F375" i="4" s="1"/>
  <c r="F376" i="4" s="1"/>
  <c r="F377" i="4" s="1"/>
  <c r="F378" i="4" s="1"/>
  <c r="F379" i="4" s="1"/>
  <c r="F380" i="4" s="1"/>
  <c r="F381" i="4" s="1"/>
  <c r="F382" i="4" s="1"/>
  <c r="F383" i="4" s="1"/>
  <c r="F384" i="4" s="1"/>
  <c r="F385" i="4" s="1"/>
  <c r="F386" i="4" s="1"/>
  <c r="F387" i="4" s="1"/>
  <c r="F388" i="4" s="1"/>
  <c r="F389" i="4" s="1"/>
  <c r="F390" i="4" s="1"/>
  <c r="F391" i="4" s="1"/>
  <c r="F392" i="4" s="1"/>
  <c r="F393" i="4" s="1"/>
  <c r="F394" i="4" s="1"/>
  <c r="F395" i="4" s="1"/>
  <c r="F396" i="4" s="1"/>
  <c r="F397" i="4" s="1"/>
  <c r="F398" i="4" s="1"/>
  <c r="F399" i="4" s="1"/>
  <c r="F400" i="4" s="1"/>
  <c r="F401" i="4" s="1"/>
  <c r="F402" i="4" s="1"/>
  <c r="F403" i="4" s="1"/>
  <c r="F404" i="4" s="1"/>
  <c r="F405" i="4" s="1"/>
  <c r="F406" i="4" s="1"/>
  <c r="F407" i="4" s="1"/>
  <c r="F408" i="4" s="1"/>
  <c r="F409" i="4" s="1"/>
  <c r="F410" i="4" s="1"/>
  <c r="F411" i="4" s="1"/>
  <c r="F412" i="4" s="1"/>
  <c r="F413" i="4" s="1"/>
  <c r="F414" i="4" s="1"/>
  <c r="F415" i="4" s="1"/>
  <c r="F416" i="4" s="1"/>
  <c r="F417" i="4" s="1"/>
  <c r="F418" i="4" s="1"/>
  <c r="F419" i="4" s="1"/>
  <c r="F420" i="4" s="1"/>
  <c r="F421" i="4" s="1"/>
  <c r="F422" i="4" s="1"/>
  <c r="F423" i="4" s="1"/>
  <c r="F424" i="4" s="1"/>
  <c r="F425" i="4" s="1"/>
  <c r="F426" i="4" s="1"/>
  <c r="F427" i="4" s="1"/>
  <c r="F428" i="4" s="1"/>
  <c r="F429" i="4" s="1"/>
  <c r="F430" i="4" s="1"/>
  <c r="F431" i="4" s="1"/>
  <c r="F432" i="4" s="1"/>
  <c r="F433" i="4" s="1"/>
  <c r="F434" i="4" s="1"/>
  <c r="F435" i="4" s="1"/>
  <c r="F436" i="4" s="1"/>
  <c r="F437" i="4" s="1"/>
  <c r="F438" i="4" s="1"/>
  <c r="F439" i="4" s="1"/>
  <c r="F440" i="4" s="1"/>
  <c r="F441" i="4" s="1"/>
  <c r="F442" i="4" s="1"/>
  <c r="F443" i="4" s="1"/>
  <c r="F444" i="4" s="1"/>
  <c r="F445" i="4" s="1"/>
  <c r="F446" i="4" s="1"/>
  <c r="F447" i="4" s="1"/>
  <c r="F448" i="4" s="1"/>
  <c r="F449" i="4" s="1"/>
  <c r="F450" i="4" s="1"/>
  <c r="F451" i="4" s="1"/>
  <c r="F452" i="4" s="1"/>
  <c r="F453" i="4" s="1"/>
  <c r="F454" i="4" s="1"/>
  <c r="F455" i="4" s="1"/>
  <c r="F456" i="4" s="1"/>
  <c r="F457" i="4" s="1"/>
  <c r="F458" i="4" s="1"/>
  <c r="F459" i="4" s="1"/>
  <c r="F460" i="4" s="1"/>
  <c r="F461" i="4" s="1"/>
  <c r="F462" i="4" s="1"/>
  <c r="F463" i="4" s="1"/>
  <c r="F464" i="4" s="1"/>
  <c r="F465" i="4" s="1"/>
  <c r="F466" i="4" s="1"/>
  <c r="F467" i="4" s="1"/>
  <c r="F468" i="4" s="1"/>
  <c r="F469" i="4" s="1"/>
  <c r="F470" i="4" s="1"/>
  <c r="F471" i="4" s="1"/>
  <c r="F472" i="4" s="1"/>
  <c r="F473" i="4" s="1"/>
  <c r="F474" i="4" s="1"/>
  <c r="F475" i="4" s="1"/>
  <c r="F476" i="4" s="1"/>
  <c r="F477" i="4" s="1"/>
  <c r="F478" i="4" s="1"/>
  <c r="B15" i="6"/>
  <c r="J5" i="4"/>
  <c r="J3" i="4"/>
  <c r="K3" i="4" s="1"/>
  <c r="K4" i="4"/>
  <c r="L3" i="4"/>
  <c r="F479" i="4" l="1"/>
  <c r="G3" i="4"/>
  <c r="J1092" i="4"/>
  <c r="J773" i="4"/>
  <c r="J685" i="4"/>
  <c r="J894" i="4"/>
  <c r="J814" i="4"/>
  <c r="J990" i="4"/>
  <c r="J940" i="4"/>
  <c r="J1123" i="4"/>
  <c r="J785" i="4"/>
  <c r="J1107" i="4"/>
  <c r="J941" i="4"/>
  <c r="J874" i="4"/>
  <c r="J671" i="4"/>
  <c r="J971" i="4"/>
  <c r="J675" i="4"/>
  <c r="J1084" i="4"/>
  <c r="J1104" i="4"/>
  <c r="J753" i="4"/>
  <c r="J1045" i="4"/>
  <c r="J1056" i="4"/>
  <c r="J1060" i="4"/>
  <c r="J933" i="4"/>
  <c r="J644" i="4"/>
  <c r="J867" i="4"/>
  <c r="J996" i="4"/>
  <c r="J977" i="4"/>
  <c r="J694" i="4"/>
  <c r="J638" i="4"/>
  <c r="J706" i="4"/>
  <c r="J631" i="4"/>
  <c r="J917" i="4"/>
  <c r="J1065" i="4"/>
  <c r="J686" i="4"/>
  <c r="J622" i="4"/>
  <c r="J864" i="4"/>
  <c r="J679" i="4"/>
  <c r="J1083" i="4"/>
  <c r="J630" i="4"/>
  <c r="J1027" i="4"/>
  <c r="J788" i="4"/>
  <c r="J1050" i="4"/>
  <c r="J1068" i="4"/>
  <c r="J673" i="4"/>
  <c r="J880" i="4"/>
  <c r="J846" i="4"/>
  <c r="J924" i="4"/>
  <c r="J776" i="4"/>
  <c r="J758" i="4"/>
  <c r="J840" i="4"/>
  <c r="J1022" i="4"/>
  <c r="J1115" i="4"/>
  <c r="J726" i="4"/>
  <c r="J1108" i="4"/>
  <c r="J1121" i="4"/>
  <c r="J1118" i="4"/>
  <c r="J646" i="4"/>
  <c r="J1066" i="4"/>
  <c r="J817" i="4"/>
  <c r="J934" i="4"/>
  <c r="J676" i="4"/>
  <c r="J729" i="4"/>
  <c r="J942" i="4"/>
  <c r="J911" i="4"/>
  <c r="J965" i="4"/>
  <c r="J959" i="4"/>
  <c r="J901" i="4"/>
  <c r="J689" i="4"/>
  <c r="J852" i="4"/>
  <c r="J1029" i="4"/>
  <c r="J1032" i="4"/>
  <c r="J989" i="4"/>
  <c r="J1012" i="4"/>
  <c r="J1088" i="4"/>
  <c r="J1080" i="4"/>
  <c r="J1017" i="4"/>
  <c r="J950" i="4"/>
  <c r="J1079" i="4"/>
  <c r="J714" i="4"/>
  <c r="J784" i="4"/>
  <c r="J688" i="4"/>
  <c r="J791" i="4"/>
  <c r="J1124" i="4"/>
  <c r="J898" i="4"/>
  <c r="L4" i="4"/>
  <c r="J886" i="4"/>
  <c r="J808" i="4"/>
  <c r="J946" i="4"/>
  <c r="J589" i="4"/>
  <c r="J592" i="4"/>
  <c r="J1091" i="4"/>
  <c r="J711" i="4"/>
  <c r="J693" i="4"/>
  <c r="J597" i="4"/>
  <c r="J873" i="4"/>
  <c r="J979" i="4"/>
  <c r="J739" i="4"/>
  <c r="J610" i="4"/>
  <c r="J580" i="4"/>
  <c r="J1069" i="4"/>
  <c r="J607" i="4"/>
  <c r="J718" i="4"/>
  <c r="J617" i="4"/>
  <c r="J765" i="4"/>
  <c r="J748" i="4"/>
  <c r="J704" i="4"/>
  <c r="J701" i="4"/>
  <c r="J623" i="4"/>
  <c r="J583" i="4"/>
  <c r="J820" i="4"/>
  <c r="J722" i="4"/>
  <c r="J777" i="4"/>
  <c r="J994" i="4"/>
  <c r="J1087" i="4"/>
  <c r="J1112" i="4"/>
  <c r="J939" i="4"/>
  <c r="J767" i="4"/>
  <c r="J743" i="4"/>
  <c r="J1059" i="4"/>
  <c r="J645" i="4"/>
  <c r="J774" i="4"/>
  <c r="J893" i="4"/>
  <c r="J879" i="4"/>
  <c r="J853" i="4"/>
  <c r="J586" i="4"/>
  <c r="J789" i="4"/>
  <c r="J648" i="4"/>
  <c r="J943" i="4"/>
  <c r="J742" i="4"/>
  <c r="J613" i="4"/>
  <c r="J875" i="4"/>
  <c r="J1031" i="4"/>
  <c r="J1043" i="4"/>
  <c r="J672" i="4"/>
  <c r="J760" i="4"/>
  <c r="J970" i="4"/>
  <c r="J877" i="4"/>
  <c r="J1034" i="4"/>
  <c r="J632" i="4"/>
  <c r="J818" i="4"/>
  <c r="J606" i="4"/>
  <c r="J709" i="4"/>
  <c r="J870" i="4"/>
  <c r="J750" i="4"/>
  <c r="K5" i="4"/>
  <c r="L5" i="4" s="1"/>
  <c r="J895" i="4"/>
  <c r="J637" i="4"/>
  <c r="J1041" i="4"/>
  <c r="J745" i="4"/>
  <c r="J1101" i="4"/>
  <c r="J1014" i="4"/>
  <c r="J698" i="4"/>
  <c r="J737" i="4"/>
  <c r="J595" i="4"/>
  <c r="J1116" i="4"/>
  <c r="J707" i="4"/>
  <c r="J803" i="4"/>
  <c r="J978" i="4"/>
  <c r="J1024" i="4"/>
  <c r="J649" i="4"/>
  <c r="J624" i="4"/>
  <c r="J948" i="4"/>
  <c r="J936" i="4"/>
  <c r="J1078" i="4"/>
  <c r="J1113" i="4"/>
  <c r="J653" i="4"/>
  <c r="J744" i="4"/>
  <c r="J1030" i="4"/>
  <c r="J1085" i="4"/>
  <c r="J662" i="4"/>
  <c r="J755" i="4"/>
  <c r="J1067" i="4"/>
  <c r="J972" i="4"/>
  <c r="J797" i="4"/>
  <c r="J830" i="4"/>
  <c r="J596" i="4"/>
  <c r="J811" i="4"/>
  <c r="J660" i="4"/>
  <c r="J804" i="4"/>
  <c r="J762" i="4"/>
  <c r="J716" i="4"/>
  <c r="J912" i="4"/>
  <c r="J717" i="4"/>
  <c r="J684" i="4"/>
  <c r="J1001" i="4"/>
  <c r="J786" i="4"/>
  <c r="J654" i="4"/>
  <c r="J782" i="4"/>
  <c r="J696" i="4"/>
  <c r="J807" i="4"/>
  <c r="J842" i="4"/>
  <c r="J876" i="4"/>
  <c r="J952" i="4"/>
  <c r="J908" i="4"/>
  <c r="J827" i="4"/>
  <c r="J635" i="4"/>
  <c r="J757" i="4"/>
  <c r="J584" i="4"/>
  <c r="J781" i="4"/>
  <c r="J1035" i="4"/>
  <c r="J652" i="4"/>
  <c r="J752" i="4"/>
  <c r="J822" i="4"/>
  <c r="J1047" i="4"/>
  <c r="J587" i="4"/>
  <c r="J1051" i="4"/>
  <c r="J1063" i="4"/>
  <c r="J1044" i="4"/>
  <c r="J759" i="4"/>
  <c r="J866" i="4"/>
  <c r="J926" i="4"/>
  <c r="J1061" i="4"/>
  <c r="J896" i="4"/>
  <c r="J795" i="4"/>
  <c r="J986" i="4"/>
  <c r="J918" i="4"/>
  <c r="J665" i="4"/>
  <c r="J616" i="4"/>
  <c r="J973" i="4"/>
  <c r="J650" i="4"/>
  <c r="J1110" i="4"/>
  <c r="J983" i="4"/>
  <c r="J609" i="4"/>
  <c r="J605" i="4"/>
  <c r="J674" i="4"/>
  <c r="J883" i="4"/>
  <c r="J861" i="4"/>
  <c r="J815" i="4"/>
  <c r="J581" i="4"/>
  <c r="J787" i="4"/>
  <c r="J888" i="4"/>
  <c r="J960" i="4"/>
  <c r="J860" i="4"/>
  <c r="J626" i="4"/>
  <c r="J937" i="4"/>
  <c r="J813" i="4"/>
  <c r="J916" i="4"/>
  <c r="J932" i="4"/>
  <c r="J1052" i="4"/>
  <c r="J678" i="4"/>
  <c r="J931" i="4"/>
  <c r="K6" i="4"/>
  <c r="L6" i="4" s="1"/>
  <c r="J980" i="4"/>
  <c r="J1073" i="4"/>
  <c r="J981" i="4"/>
  <c r="J793" i="4"/>
  <c r="J1071" i="4"/>
  <c r="J621" i="4"/>
  <c r="J1053" i="4"/>
  <c r="J843" i="4"/>
  <c r="J611" i="4"/>
  <c r="J643" i="4"/>
  <c r="J833" i="4"/>
  <c r="J1086" i="4"/>
  <c r="J756" i="4"/>
  <c r="J594" i="4"/>
  <c r="J768" i="4"/>
  <c r="J845" i="4"/>
  <c r="J761" i="4"/>
  <c r="J1040" i="4"/>
  <c r="J1103" i="4"/>
  <c r="J715" i="4"/>
  <c r="J1018" i="4"/>
  <c r="J730" i="4"/>
  <c r="J828" i="4"/>
  <c r="J805" i="4"/>
  <c r="J775" i="4"/>
  <c r="J871" i="4"/>
  <c r="J749" i="4"/>
  <c r="J909" i="4"/>
  <c r="J1021" i="4"/>
  <c r="J615" i="4"/>
  <c r="J740" i="4"/>
  <c r="J585" i="4"/>
  <c r="J835" i="4"/>
  <c r="J602" i="4"/>
  <c r="J713" i="4"/>
  <c r="J987" i="4"/>
  <c r="J915" i="4"/>
  <c r="J997" i="4"/>
  <c r="J928" i="4"/>
  <c r="J591" i="4"/>
  <c r="J664" i="4"/>
  <c r="J1093" i="4"/>
  <c r="J899" i="4"/>
  <c r="J834" i="4"/>
  <c r="J1007" i="4"/>
  <c r="J1064" i="4"/>
  <c r="J1102" i="4"/>
  <c r="J854" i="4"/>
  <c r="J836" i="4"/>
  <c r="J887" i="4"/>
  <c r="J712" i="4"/>
  <c r="J608" i="4"/>
  <c r="J900" i="4"/>
  <c r="J599" i="4"/>
  <c r="J1004" i="4"/>
  <c r="J1111" i="4"/>
  <c r="K7" i="4"/>
  <c r="J790" i="4"/>
  <c r="J705" i="4"/>
  <c r="J955" i="4"/>
  <c r="J856" i="4"/>
  <c r="J1033" i="4"/>
  <c r="J837" i="4"/>
  <c r="J1081" i="4"/>
  <c r="J604" i="4"/>
  <c r="J841" i="4"/>
  <c r="J634" i="4"/>
  <c r="J869" i="4"/>
  <c r="J826" i="4"/>
  <c r="J669" i="4"/>
  <c r="J746" i="4"/>
  <c r="J1020" i="4"/>
  <c r="J976" i="4"/>
  <c r="J794" i="4"/>
  <c r="J1000" i="4"/>
  <c r="J603" i="4"/>
  <c r="J903" i="4"/>
  <c r="J677" i="4"/>
  <c r="J735" i="4"/>
  <c r="J666" i="4"/>
  <c r="J1094" i="4"/>
  <c r="J719" i="4"/>
  <c r="J1105" i="4"/>
  <c r="J663" i="4"/>
  <c r="J925" i="4"/>
  <c r="J863" i="4"/>
  <c r="J922" i="4"/>
  <c r="J728" i="4"/>
  <c r="J1098" i="4"/>
  <c r="J902" i="4"/>
  <c r="J1058" i="4"/>
  <c r="J1028" i="4"/>
  <c r="J734" i="4"/>
  <c r="J770" i="4"/>
  <c r="J998" i="4"/>
  <c r="J1062" i="4"/>
  <c r="J847" i="4"/>
  <c r="J938" i="4"/>
  <c r="J751" i="4"/>
  <c r="J614" i="4"/>
  <c r="J778" i="4"/>
  <c r="J1072" i="4"/>
  <c r="J1008" i="4"/>
  <c r="J897" i="4"/>
  <c r="J929" i="4"/>
  <c r="J695" i="4"/>
  <c r="J1006" i="4"/>
  <c r="J647" i="4"/>
  <c r="J651" i="4"/>
  <c r="J816" i="4"/>
  <c r="J1019" i="4"/>
  <c r="J839" i="4"/>
  <c r="J1005" i="4"/>
  <c r="J1015" i="4"/>
  <c r="J1070" i="4"/>
  <c r="J1054" i="4"/>
  <c r="J954" i="4"/>
  <c r="J708" i="4"/>
  <c r="J1097" i="4"/>
  <c r="J764" i="4"/>
  <c r="J988" i="4"/>
  <c r="J923" i="4"/>
  <c r="J670" i="4"/>
  <c r="J947" i="4"/>
  <c r="J953" i="4"/>
  <c r="J838" i="4"/>
  <c r="J741" i="4"/>
  <c r="J780" i="4"/>
  <c r="L7" i="4"/>
  <c r="J582" i="4"/>
  <c r="J821" i="4"/>
  <c r="J1026" i="4"/>
  <c r="J754" i="4"/>
  <c r="J857" i="4"/>
  <c r="J636" i="4"/>
  <c r="J1120" i="4"/>
  <c r="J1119" i="4"/>
  <c r="J890" i="4"/>
  <c r="J910" i="4"/>
  <c r="J889" i="4"/>
  <c r="J1057" i="4"/>
  <c r="J944" i="4"/>
  <c r="J1122" i="4"/>
  <c r="J829" i="4"/>
  <c r="J825" i="4"/>
  <c r="J727" i="4"/>
  <c r="J680" i="4"/>
  <c r="J1100" i="4"/>
  <c r="J809" i="4"/>
  <c r="J733" i="4"/>
  <c r="J769" i="4"/>
  <c r="J710" i="4"/>
  <c r="J982" i="4"/>
  <c r="J1002" i="4"/>
  <c r="J921" i="4"/>
  <c r="J920" i="4"/>
  <c r="J1025" i="4"/>
  <c r="J1048" i="4"/>
  <c r="J625" i="4"/>
  <c r="J629" i="4"/>
  <c r="J1049" i="4"/>
  <c r="J951" i="4"/>
  <c r="J633" i="4"/>
  <c r="J724" i="4"/>
  <c r="J627" i="4"/>
  <c r="J963" i="4"/>
  <c r="J819" i="4"/>
  <c r="J612" i="4"/>
  <c r="J1095" i="4"/>
  <c r="J1082" i="4"/>
  <c r="J801" i="4"/>
  <c r="J697" i="4"/>
  <c r="J1096" i="4"/>
  <c r="J806" i="4"/>
  <c r="J995" i="4"/>
  <c r="J851" i="4"/>
  <c r="J881" i="4"/>
  <c r="J1037" i="4"/>
  <c r="J885" i="4"/>
  <c r="J588" i="4"/>
  <c r="J1150" i="4"/>
  <c r="J783" i="4"/>
  <c r="J738" i="4"/>
  <c r="J824" i="4"/>
  <c r="J868" i="4"/>
  <c r="J865" i="4"/>
  <c r="J802" i="4"/>
  <c r="J598" i="4"/>
  <c r="J855" i="4"/>
  <c r="J747" i="4"/>
  <c r="J966" i="4"/>
  <c r="J593" i="4"/>
  <c r="J949" i="4"/>
  <c r="J687" i="4"/>
  <c r="J930" i="4"/>
  <c r="J810" i="4"/>
  <c r="J974" i="4"/>
  <c r="J958" i="4"/>
  <c r="J590" i="4"/>
  <c r="J1009" i="4"/>
  <c r="J628" i="4"/>
  <c r="J884" i="4"/>
  <c r="J661" i="4"/>
  <c r="J967" i="4"/>
  <c r="J1003" i="4"/>
  <c r="J692" i="4"/>
  <c r="J848" i="4"/>
  <c r="J1099" i="4"/>
  <c r="J763" i="4"/>
  <c r="J919" i="4"/>
  <c r="F480" i="4" l="1"/>
  <c r="G4" i="4"/>
  <c r="G5" i="4" s="1"/>
  <c r="G6" i="4" s="1"/>
  <c r="G7" i="4" s="1"/>
  <c r="G8" i="4" s="1"/>
  <c r="G9" i="4" s="1"/>
  <c r="G10" i="4" s="1"/>
  <c r="G11" i="4" s="1"/>
  <c r="G12" i="4" s="1"/>
  <c r="G13" i="4" s="1"/>
  <c r="G14" i="4" s="1"/>
  <c r="G15" i="4" s="1"/>
  <c r="G16" i="4" s="1"/>
  <c r="G17" i="4" s="1"/>
  <c r="G18" i="4" s="1"/>
  <c r="G19" i="4" s="1"/>
  <c r="G20" i="4" s="1"/>
  <c r="G21" i="4" s="1"/>
  <c r="G22" i="4" s="1"/>
  <c r="G23" i="4" s="1"/>
  <c r="G24" i="4" s="1"/>
  <c r="G25" i="4" s="1"/>
  <c r="G26" i="4" s="1"/>
  <c r="G27" i="4" s="1"/>
  <c r="G28" i="4" s="1"/>
  <c r="G29" i="4" s="1"/>
  <c r="G30" i="4" s="1"/>
  <c r="G31" i="4" s="1"/>
  <c r="G32" i="4" s="1"/>
  <c r="G33" i="4" s="1"/>
  <c r="G34" i="4" s="1"/>
  <c r="G35" i="4" s="1"/>
  <c r="G36" i="4" s="1"/>
  <c r="G37" i="4" s="1"/>
  <c r="G38" i="4" s="1"/>
  <c r="G39" i="4" s="1"/>
  <c r="G40" i="4" s="1"/>
  <c r="G41" i="4" s="1"/>
  <c r="G42" i="4" s="1"/>
  <c r="G43" i="4" s="1"/>
  <c r="G44" i="4" s="1"/>
  <c r="G45" i="4" s="1"/>
  <c r="G46" i="4" s="1"/>
  <c r="G47" i="4" s="1"/>
  <c r="G48" i="4" s="1"/>
  <c r="G49" i="4" s="1"/>
  <c r="G50" i="4" s="1"/>
  <c r="G51" i="4" s="1"/>
  <c r="G52" i="4" s="1"/>
  <c r="G53" i="4" s="1"/>
  <c r="G54" i="4" s="1"/>
  <c r="G55" i="4" s="1"/>
  <c r="G56" i="4" s="1"/>
  <c r="G57" i="4" s="1"/>
  <c r="G58" i="4" s="1"/>
  <c r="G59" i="4" s="1"/>
  <c r="G60" i="4" s="1"/>
  <c r="G61" i="4" s="1"/>
  <c r="G62" i="4" s="1"/>
  <c r="G63" i="4" s="1"/>
  <c r="G64" i="4" s="1"/>
  <c r="G65" i="4" s="1"/>
  <c r="G66" i="4" s="1"/>
  <c r="G67" i="4" s="1"/>
  <c r="G68" i="4" s="1"/>
  <c r="G69" i="4" s="1"/>
  <c r="G70" i="4" s="1"/>
  <c r="G71" i="4" s="1"/>
  <c r="G72" i="4" s="1"/>
  <c r="G73" i="4" s="1"/>
  <c r="G74" i="4" s="1"/>
  <c r="G75" i="4" s="1"/>
  <c r="G76" i="4" s="1"/>
  <c r="G77" i="4" s="1"/>
  <c r="G78" i="4" s="1"/>
  <c r="G79" i="4" s="1"/>
  <c r="G80" i="4" s="1"/>
  <c r="G81" i="4" s="1"/>
  <c r="G82" i="4" s="1"/>
  <c r="G83" i="4" s="1"/>
  <c r="G84" i="4" s="1"/>
  <c r="G85" i="4" s="1"/>
  <c r="G86" i="4" s="1"/>
  <c r="G87" i="4" s="1"/>
  <c r="G88" i="4" s="1"/>
  <c r="G89" i="4" s="1"/>
  <c r="G90" i="4" s="1"/>
  <c r="G91" i="4" s="1"/>
  <c r="G92" i="4" s="1"/>
  <c r="G93" i="4" s="1"/>
  <c r="G94" i="4" s="1"/>
  <c r="G95" i="4" s="1"/>
  <c r="G96" i="4" s="1"/>
  <c r="G97" i="4" s="1"/>
  <c r="G98" i="4" s="1"/>
  <c r="G99" i="4" s="1"/>
  <c r="G100" i="4" s="1"/>
  <c r="G101" i="4" s="1"/>
  <c r="G102" i="4" s="1"/>
  <c r="G103" i="4" s="1"/>
  <c r="G104" i="4" s="1"/>
  <c r="G105" i="4" s="1"/>
  <c r="G106" i="4" s="1"/>
  <c r="G107" i="4" s="1"/>
  <c r="G108" i="4" s="1"/>
  <c r="G109" i="4" s="1"/>
  <c r="G110" i="4" s="1"/>
  <c r="G111" i="4" s="1"/>
  <c r="G112" i="4" s="1"/>
  <c r="G113" i="4" s="1"/>
  <c r="G114" i="4" s="1"/>
  <c r="G115" i="4" s="1"/>
  <c r="G116" i="4" s="1"/>
  <c r="G117" i="4" s="1"/>
  <c r="G118" i="4" s="1"/>
  <c r="G119" i="4" s="1"/>
  <c r="G120" i="4" s="1"/>
  <c r="G121" i="4" s="1"/>
  <c r="G122" i="4" s="1"/>
  <c r="G123" i="4" s="1"/>
  <c r="G124" i="4" s="1"/>
  <c r="G125" i="4" s="1"/>
  <c r="G126" i="4" s="1"/>
  <c r="G127" i="4" s="1"/>
  <c r="G128" i="4" s="1"/>
  <c r="G129" i="4" s="1"/>
  <c r="G130" i="4" s="1"/>
  <c r="G131" i="4" s="1"/>
  <c r="G132" i="4" s="1"/>
  <c r="G133" i="4" s="1"/>
  <c r="G134" i="4" s="1"/>
  <c r="G135" i="4" s="1"/>
  <c r="G136" i="4" s="1"/>
  <c r="G137" i="4" s="1"/>
  <c r="G138" i="4" s="1"/>
  <c r="G139" i="4" s="1"/>
  <c r="G140" i="4" s="1"/>
  <c r="G141" i="4" s="1"/>
  <c r="G142" i="4" s="1"/>
  <c r="G143" i="4" s="1"/>
  <c r="G144" i="4" s="1"/>
  <c r="G145" i="4" s="1"/>
  <c r="G146" i="4" s="1"/>
  <c r="G147" i="4" s="1"/>
  <c r="G148" i="4" s="1"/>
  <c r="G149" i="4" s="1"/>
  <c r="G150" i="4" s="1"/>
  <c r="G151" i="4" s="1"/>
  <c r="G152" i="4" s="1"/>
  <c r="G153" i="4" s="1"/>
  <c r="G154" i="4" s="1"/>
  <c r="G155" i="4" s="1"/>
  <c r="G156" i="4" s="1"/>
  <c r="G157" i="4" s="1"/>
  <c r="G158" i="4" s="1"/>
  <c r="G159" i="4" s="1"/>
  <c r="G160" i="4" s="1"/>
  <c r="G161" i="4" s="1"/>
  <c r="G162" i="4" s="1"/>
  <c r="G163" i="4" s="1"/>
  <c r="G164" i="4" s="1"/>
  <c r="G165" i="4" s="1"/>
  <c r="G166" i="4" s="1"/>
  <c r="G167" i="4" s="1"/>
  <c r="G168" i="4" s="1"/>
  <c r="G169" i="4" s="1"/>
  <c r="G170" i="4" s="1"/>
  <c r="G171" i="4" s="1"/>
  <c r="G172" i="4" s="1"/>
  <c r="G173" i="4" s="1"/>
  <c r="G174" i="4" s="1"/>
  <c r="G175" i="4" s="1"/>
  <c r="G176" i="4" s="1"/>
  <c r="G177" i="4" s="1"/>
  <c r="G178" i="4" s="1"/>
  <c r="G179" i="4" s="1"/>
  <c r="G180" i="4" s="1"/>
  <c r="G181" i="4" s="1"/>
  <c r="G182" i="4" s="1"/>
  <c r="G183" i="4" s="1"/>
  <c r="G184" i="4" s="1"/>
  <c r="G185" i="4" s="1"/>
  <c r="G186" i="4" s="1"/>
  <c r="G187" i="4" s="1"/>
  <c r="G188" i="4" s="1"/>
  <c r="G189" i="4" s="1"/>
  <c r="G190" i="4" s="1"/>
  <c r="G191" i="4" s="1"/>
  <c r="G192" i="4" s="1"/>
  <c r="G193" i="4" s="1"/>
  <c r="G194" i="4" s="1"/>
  <c r="G195" i="4" s="1"/>
  <c r="G196" i="4" s="1"/>
  <c r="G197" i="4" s="1"/>
  <c r="G198" i="4" s="1"/>
  <c r="G199" i="4" s="1"/>
  <c r="G200" i="4" s="1"/>
  <c r="G201" i="4" s="1"/>
  <c r="G202" i="4" s="1"/>
  <c r="G203" i="4" s="1"/>
  <c r="G204" i="4" s="1"/>
  <c r="G205" i="4" s="1"/>
  <c r="G206" i="4" s="1"/>
  <c r="G207" i="4" s="1"/>
  <c r="G208" i="4" s="1"/>
  <c r="G209" i="4" s="1"/>
  <c r="G210" i="4" s="1"/>
  <c r="G211" i="4" s="1"/>
  <c r="G212" i="4" s="1"/>
  <c r="G213" i="4" s="1"/>
  <c r="G214" i="4" s="1"/>
  <c r="G215" i="4" s="1"/>
  <c r="G216" i="4" s="1"/>
  <c r="G217" i="4" s="1"/>
  <c r="G218" i="4" s="1"/>
  <c r="G219" i="4" s="1"/>
  <c r="G220" i="4" s="1"/>
  <c r="G221" i="4" s="1"/>
  <c r="G222" i="4" s="1"/>
  <c r="G223" i="4" s="1"/>
  <c r="G224" i="4" s="1"/>
  <c r="G225" i="4" s="1"/>
  <c r="G226" i="4" s="1"/>
  <c r="G227" i="4" s="1"/>
  <c r="G228" i="4" s="1"/>
  <c r="G229" i="4" s="1"/>
  <c r="G230" i="4" s="1"/>
  <c r="G231" i="4" s="1"/>
  <c r="G232" i="4" s="1"/>
  <c r="G233" i="4" s="1"/>
  <c r="G234" i="4" s="1"/>
  <c r="G235" i="4" s="1"/>
  <c r="G236" i="4" s="1"/>
  <c r="G237" i="4" s="1"/>
  <c r="G238" i="4" s="1"/>
  <c r="G239" i="4" s="1"/>
  <c r="G240" i="4" s="1"/>
  <c r="G241" i="4" s="1"/>
  <c r="G242" i="4" s="1"/>
  <c r="G243" i="4" s="1"/>
  <c r="G244" i="4" s="1"/>
  <c r="G245" i="4" s="1"/>
  <c r="G246" i="4" s="1"/>
  <c r="G247" i="4" s="1"/>
  <c r="G248" i="4" s="1"/>
  <c r="G249" i="4" s="1"/>
  <c r="G250" i="4" s="1"/>
  <c r="G251" i="4" s="1"/>
  <c r="G252" i="4" s="1"/>
  <c r="G253" i="4" s="1"/>
  <c r="G254" i="4" s="1"/>
  <c r="G255" i="4" s="1"/>
  <c r="G256" i="4" s="1"/>
  <c r="G257" i="4" s="1"/>
  <c r="G258" i="4" s="1"/>
  <c r="G259" i="4" s="1"/>
  <c r="G260" i="4" s="1"/>
  <c r="G261" i="4" s="1"/>
  <c r="G262" i="4" s="1"/>
  <c r="G263" i="4" s="1"/>
  <c r="G264" i="4" s="1"/>
  <c r="G265" i="4" s="1"/>
  <c r="G266" i="4" s="1"/>
  <c r="G267" i="4" s="1"/>
  <c r="G268" i="4" s="1"/>
  <c r="G269" i="4" s="1"/>
  <c r="G270" i="4" s="1"/>
  <c r="G271" i="4" s="1"/>
  <c r="G272" i="4" s="1"/>
  <c r="G273" i="4" s="1"/>
  <c r="G274" i="4" s="1"/>
  <c r="G275" i="4" s="1"/>
  <c r="G276" i="4" s="1"/>
  <c r="G277" i="4" s="1"/>
  <c r="G278" i="4" s="1"/>
  <c r="G279" i="4" s="1"/>
  <c r="G280" i="4" s="1"/>
  <c r="G281" i="4" s="1"/>
  <c r="G282" i="4" s="1"/>
  <c r="G283" i="4" s="1"/>
  <c r="G284" i="4" s="1"/>
  <c r="G285" i="4" s="1"/>
  <c r="G286" i="4" s="1"/>
  <c r="G287" i="4" s="1"/>
  <c r="G288" i="4" s="1"/>
  <c r="G289" i="4" s="1"/>
  <c r="G290" i="4" s="1"/>
  <c r="G291" i="4" s="1"/>
  <c r="G292" i="4" s="1"/>
  <c r="G293" i="4" s="1"/>
  <c r="G294" i="4" s="1"/>
  <c r="G295" i="4" s="1"/>
  <c r="G296" i="4" s="1"/>
  <c r="G297" i="4" s="1"/>
  <c r="G298" i="4" s="1"/>
  <c r="G299" i="4" s="1"/>
  <c r="G300" i="4" s="1"/>
  <c r="G301" i="4" s="1"/>
  <c r="G302" i="4" s="1"/>
  <c r="G303" i="4" s="1"/>
  <c r="G304" i="4" s="1"/>
  <c r="G305" i="4" s="1"/>
  <c r="G306" i="4" s="1"/>
  <c r="G307" i="4" s="1"/>
  <c r="G308" i="4" s="1"/>
  <c r="G309" i="4" s="1"/>
  <c r="G310" i="4" s="1"/>
  <c r="G311" i="4" s="1"/>
  <c r="G312" i="4" s="1"/>
  <c r="G313" i="4" s="1"/>
  <c r="G314" i="4" s="1"/>
  <c r="G315" i="4" s="1"/>
  <c r="G316" i="4" s="1"/>
  <c r="G317" i="4" s="1"/>
  <c r="G318" i="4" s="1"/>
  <c r="G319" i="4" s="1"/>
  <c r="G320" i="4" s="1"/>
  <c r="G321" i="4" s="1"/>
  <c r="G322" i="4" s="1"/>
  <c r="G323" i="4" s="1"/>
  <c r="G324" i="4" s="1"/>
  <c r="G325" i="4" s="1"/>
  <c r="G326" i="4" s="1"/>
  <c r="G327" i="4" s="1"/>
  <c r="G328" i="4" s="1"/>
  <c r="G329" i="4" s="1"/>
  <c r="G330" i="4" s="1"/>
  <c r="G331" i="4" s="1"/>
  <c r="G332" i="4" s="1"/>
  <c r="G333" i="4" s="1"/>
  <c r="G334" i="4" s="1"/>
  <c r="G335" i="4" s="1"/>
  <c r="G336" i="4" s="1"/>
  <c r="G337" i="4" s="1"/>
  <c r="G338" i="4" s="1"/>
  <c r="G339" i="4" s="1"/>
  <c r="G340" i="4" s="1"/>
  <c r="G341" i="4" s="1"/>
  <c r="G342" i="4" s="1"/>
  <c r="G343" i="4" s="1"/>
  <c r="G344" i="4" s="1"/>
  <c r="G345" i="4" s="1"/>
  <c r="G346" i="4" s="1"/>
  <c r="G347" i="4" s="1"/>
  <c r="G348" i="4" s="1"/>
  <c r="G349" i="4" s="1"/>
  <c r="G350" i="4" s="1"/>
  <c r="G351" i="4" s="1"/>
  <c r="G352" i="4" s="1"/>
  <c r="G353" i="4" s="1"/>
  <c r="G354" i="4" s="1"/>
  <c r="G355" i="4" s="1"/>
  <c r="G356" i="4" s="1"/>
  <c r="G357" i="4" s="1"/>
  <c r="G358" i="4" s="1"/>
  <c r="G359" i="4" s="1"/>
  <c r="G360" i="4" s="1"/>
  <c r="G361" i="4" s="1"/>
  <c r="G362" i="4" s="1"/>
  <c r="G363" i="4" s="1"/>
  <c r="G364" i="4" s="1"/>
  <c r="G365" i="4" s="1"/>
  <c r="G366" i="4" s="1"/>
  <c r="G367" i="4" s="1"/>
  <c r="G368" i="4" s="1"/>
  <c r="G369" i="4" s="1"/>
  <c r="G370" i="4" s="1"/>
  <c r="G371" i="4" s="1"/>
  <c r="G372" i="4" s="1"/>
  <c r="G373" i="4" s="1"/>
  <c r="G374" i="4" s="1"/>
  <c r="G375" i="4" s="1"/>
  <c r="G376" i="4" s="1"/>
  <c r="G377" i="4" s="1"/>
  <c r="G378" i="4" s="1"/>
  <c r="G379" i="4" s="1"/>
  <c r="G380" i="4" s="1"/>
  <c r="G381" i="4" s="1"/>
  <c r="G382" i="4" s="1"/>
  <c r="G383" i="4" s="1"/>
  <c r="G384" i="4" s="1"/>
  <c r="G385" i="4" s="1"/>
  <c r="G386" i="4" s="1"/>
  <c r="G387" i="4" s="1"/>
  <c r="G388" i="4" s="1"/>
  <c r="G389" i="4" s="1"/>
  <c r="G390" i="4" s="1"/>
  <c r="G391" i="4" s="1"/>
  <c r="G392" i="4" s="1"/>
  <c r="G393" i="4" s="1"/>
  <c r="G394" i="4" s="1"/>
  <c r="G395" i="4" s="1"/>
  <c r="G396" i="4" s="1"/>
  <c r="G397" i="4" s="1"/>
  <c r="G398" i="4" s="1"/>
  <c r="G399" i="4" s="1"/>
  <c r="G400" i="4" s="1"/>
  <c r="G401" i="4" s="1"/>
  <c r="G402" i="4" s="1"/>
  <c r="G403" i="4" s="1"/>
  <c r="G404" i="4" s="1"/>
  <c r="G405" i="4" s="1"/>
  <c r="G406" i="4" s="1"/>
  <c r="G407" i="4" s="1"/>
  <c r="G408" i="4" s="1"/>
  <c r="G409" i="4" s="1"/>
  <c r="G410" i="4" s="1"/>
  <c r="G411" i="4" s="1"/>
  <c r="G412" i="4" s="1"/>
  <c r="G413" i="4" s="1"/>
  <c r="G414" i="4" s="1"/>
  <c r="G415" i="4" s="1"/>
  <c r="G416" i="4" s="1"/>
  <c r="G417" i="4" s="1"/>
  <c r="G418" i="4" s="1"/>
  <c r="G419" i="4" s="1"/>
  <c r="G420" i="4" s="1"/>
  <c r="G421" i="4" s="1"/>
  <c r="G422" i="4" s="1"/>
  <c r="G423" i="4" s="1"/>
  <c r="G424" i="4" s="1"/>
  <c r="G425" i="4" s="1"/>
  <c r="G426" i="4" s="1"/>
  <c r="G427" i="4" s="1"/>
  <c r="G428" i="4" s="1"/>
  <c r="G429" i="4" s="1"/>
  <c r="G430" i="4" s="1"/>
  <c r="G431" i="4" s="1"/>
  <c r="G432" i="4" s="1"/>
  <c r="G433" i="4" s="1"/>
  <c r="G434" i="4" s="1"/>
  <c r="G435" i="4" s="1"/>
  <c r="G436" i="4" s="1"/>
  <c r="G437" i="4" s="1"/>
  <c r="G438" i="4" s="1"/>
  <c r="G439" i="4" s="1"/>
  <c r="G440" i="4" s="1"/>
  <c r="G441" i="4" s="1"/>
  <c r="G442" i="4" s="1"/>
  <c r="G443" i="4" s="1"/>
  <c r="G444" i="4" s="1"/>
  <c r="G445" i="4" s="1"/>
  <c r="G446" i="4" s="1"/>
  <c r="G447" i="4" s="1"/>
  <c r="G448" i="4" s="1"/>
  <c r="G449" i="4" s="1"/>
  <c r="G450" i="4" s="1"/>
  <c r="G451" i="4" s="1"/>
  <c r="G452" i="4" s="1"/>
  <c r="G453" i="4" s="1"/>
  <c r="G454" i="4" s="1"/>
  <c r="G455" i="4" s="1"/>
  <c r="G456" i="4" s="1"/>
  <c r="G457" i="4" s="1"/>
  <c r="G458" i="4" s="1"/>
  <c r="G459" i="4" s="1"/>
  <c r="G460" i="4" s="1"/>
  <c r="G461" i="4" s="1"/>
  <c r="G462" i="4" s="1"/>
  <c r="G463" i="4" s="1"/>
  <c r="G464" i="4" s="1"/>
  <c r="G465" i="4" s="1"/>
  <c r="G466" i="4" s="1"/>
  <c r="G467" i="4" s="1"/>
  <c r="G468" i="4" s="1"/>
  <c r="G469" i="4" s="1"/>
  <c r="G470" i="4" s="1"/>
  <c r="G471" i="4" s="1"/>
  <c r="G472" i="4" s="1"/>
  <c r="G473" i="4" s="1"/>
  <c r="G474" i="4" s="1"/>
  <c r="G475" i="4" s="1"/>
  <c r="G476" i="4" s="1"/>
  <c r="G477" i="4" s="1"/>
  <c r="G478" i="4" s="1"/>
  <c r="G479" i="4" s="1"/>
  <c r="G480" i="4" s="1"/>
  <c r="J1129" i="4"/>
  <c r="J796" i="4"/>
  <c r="J731" i="4"/>
  <c r="J975" i="4"/>
  <c r="J683" i="4"/>
  <c r="J656" i="4"/>
  <c r="J872" i="4"/>
  <c r="J904" i="4"/>
  <c r="J1152" i="4"/>
  <c r="J642" i="4"/>
  <c r="J969" i="4"/>
  <c r="J1141" i="4"/>
  <c r="J657" i="4"/>
  <c r="J1149" i="4"/>
  <c r="J913" i="4"/>
  <c r="J906" i="4"/>
  <c r="J618" i="4"/>
  <c r="J812" i="4"/>
  <c r="J700" i="4"/>
  <c r="J907" i="4"/>
  <c r="J999" i="4"/>
  <c r="J1145" i="4"/>
  <c r="J1146" i="4"/>
  <c r="J905" i="4"/>
  <c r="J984" i="4"/>
  <c r="J1117" i="4"/>
  <c r="J668" i="4"/>
  <c r="K8" i="4"/>
  <c r="J1126" i="4"/>
  <c r="J1142" i="4"/>
  <c r="J792" i="4"/>
  <c r="J725" i="4"/>
  <c r="J1144" i="4"/>
  <c r="J1130" i="4"/>
  <c r="J699" i="4"/>
  <c r="J831" i="4"/>
  <c r="J1075" i="4"/>
  <c r="J779" i="4"/>
  <c r="L8" i="4"/>
  <c r="J1109" i="4"/>
  <c r="J799" i="4"/>
  <c r="J891" i="4"/>
  <c r="J620" i="4"/>
  <c r="J1147" i="4"/>
  <c r="J721" i="4"/>
  <c r="J823" i="4"/>
  <c r="J849" i="4"/>
  <c r="J882" i="4"/>
  <c r="J720" i="4"/>
  <c r="J957" i="4"/>
  <c r="J1148" i="4"/>
  <c r="J1131" i="4"/>
  <c r="J798" i="4"/>
  <c r="J858" i="4"/>
  <c r="J993" i="4"/>
  <c r="J935" i="4"/>
  <c r="J1139" i="4"/>
  <c r="J964" i="4"/>
  <c r="J991" i="4"/>
  <c r="J1039" i="4"/>
  <c r="J723" i="4"/>
  <c r="J1077" i="4"/>
  <c r="J1138" i="4"/>
  <c r="J1055" i="4"/>
  <c r="J600" i="4"/>
  <c r="J772" i="4"/>
  <c r="J945" i="4"/>
  <c r="J640" i="4"/>
  <c r="J1137" i="4"/>
  <c r="J968" i="4"/>
  <c r="J667" i="4"/>
  <c r="J681" i="4"/>
  <c r="J658" i="4"/>
  <c r="J655" i="4"/>
  <c r="J850" i="4"/>
  <c r="J1114" i="4"/>
  <c r="J1128" i="4"/>
  <c r="J892" i="4"/>
  <c r="J641" i="4"/>
  <c r="J1127" i="4"/>
  <c r="J962" i="4"/>
  <c r="J702" i="4"/>
  <c r="J639" i="4"/>
  <c r="J1016" i="4"/>
  <c r="J1125" i="4"/>
  <c r="J1074" i="4"/>
  <c r="J800" i="4"/>
  <c r="J736" i="4"/>
  <c r="J862" i="4"/>
  <c r="J844" i="4"/>
  <c r="J619" i="4"/>
  <c r="J985" i="4"/>
  <c r="J691" i="4"/>
  <c r="J1090" i="4"/>
  <c r="J682" i="4"/>
  <c r="J832" i="4"/>
  <c r="J1133" i="4"/>
  <c r="J732" i="4"/>
  <c r="J878" i="4"/>
  <c r="J956" i="4"/>
  <c r="J1151" i="4"/>
  <c r="J1136" i="4"/>
  <c r="J1143" i="4"/>
  <c r="J1023" i="4"/>
  <c r="J859" i="4"/>
  <c r="J927" i="4"/>
  <c r="J961" i="4"/>
  <c r="J1011" i="4"/>
  <c r="J771" i="4"/>
  <c r="J766" i="4"/>
  <c r="J1134" i="4"/>
  <c r="J1013" i="4"/>
  <c r="J914" i="4"/>
  <c r="J1106" i="4"/>
  <c r="J1042" i="4"/>
  <c r="J1036" i="4"/>
  <c r="J1076" i="4"/>
  <c r="J1140" i="4"/>
  <c r="J1046" i="4"/>
  <c r="J992" i="4"/>
  <c r="J1132" i="4"/>
  <c r="J1135" i="4"/>
  <c r="J1038" i="4"/>
  <c r="J601" i="4"/>
  <c r="J659" i="4"/>
  <c r="J690" i="4"/>
  <c r="J1010" i="4"/>
  <c r="J1089" i="4"/>
  <c r="J703" i="4"/>
  <c r="F481" i="4" l="1"/>
  <c r="K9" i="4"/>
  <c r="L9" i="4"/>
  <c r="F482" i="4" l="1"/>
  <c r="G481" i="4"/>
  <c r="N620" i="4"/>
  <c r="N628" i="4"/>
  <c r="N636" i="4"/>
  <c r="N644" i="4"/>
  <c r="N652" i="4"/>
  <c r="N660" i="4"/>
  <c r="N668" i="4"/>
  <c r="N676" i="4"/>
  <c r="N684" i="4"/>
  <c r="N692" i="4"/>
  <c r="N700" i="4"/>
  <c r="N708" i="4"/>
  <c r="N716" i="4"/>
  <c r="N724" i="4"/>
  <c r="N732" i="4"/>
  <c r="N740" i="4"/>
  <c r="N748" i="4"/>
  <c r="N756" i="4"/>
  <c r="N764" i="4"/>
  <c r="N772" i="4"/>
  <c r="N780" i="4"/>
  <c r="N788" i="4"/>
  <c r="N796" i="4"/>
  <c r="N804" i="4"/>
  <c r="N812" i="4"/>
  <c r="N820" i="4"/>
  <c r="N828" i="4"/>
  <c r="N836" i="4"/>
  <c r="N844" i="4"/>
  <c r="N852" i="4"/>
  <c r="N860" i="4"/>
  <c r="N868" i="4"/>
  <c r="N876" i="4"/>
  <c r="N884" i="4"/>
  <c r="N892" i="4"/>
  <c r="N900" i="4"/>
  <c r="N908" i="4"/>
  <c r="N916" i="4"/>
  <c r="N924" i="4"/>
  <c r="N932" i="4"/>
  <c r="N940" i="4"/>
  <c r="N642" i="4"/>
  <c r="N682" i="4"/>
  <c r="N722" i="4"/>
  <c r="N762" i="4"/>
  <c r="N810" i="4"/>
  <c r="N858" i="4"/>
  <c r="N898" i="4"/>
  <c r="N621" i="4"/>
  <c r="N629" i="4"/>
  <c r="N637" i="4"/>
  <c r="N645" i="4"/>
  <c r="N653" i="4"/>
  <c r="N661" i="4"/>
  <c r="N669" i="4"/>
  <c r="N677" i="4"/>
  <c r="N685" i="4"/>
  <c r="N693" i="4"/>
  <c r="N701" i="4"/>
  <c r="N709" i="4"/>
  <c r="N717" i="4"/>
  <c r="N725" i="4"/>
  <c r="N733" i="4"/>
  <c r="N741" i="4"/>
  <c r="N749" i="4"/>
  <c r="N757" i="4"/>
  <c r="N765" i="4"/>
  <c r="N773" i="4"/>
  <c r="N781" i="4"/>
  <c r="N789" i="4"/>
  <c r="N797" i="4"/>
  <c r="N805" i="4"/>
  <c r="N813" i="4"/>
  <c r="N821" i="4"/>
  <c r="N829" i="4"/>
  <c r="N837" i="4"/>
  <c r="N845" i="4"/>
  <c r="N853" i="4"/>
  <c r="N861" i="4"/>
  <c r="N869" i="4"/>
  <c r="N877" i="4"/>
  <c r="N885" i="4"/>
  <c r="N893" i="4"/>
  <c r="N901" i="4"/>
  <c r="N909" i="4"/>
  <c r="N917" i="4"/>
  <c r="N925" i="4"/>
  <c r="N933" i="4"/>
  <c r="N658" i="4"/>
  <c r="N690" i="4"/>
  <c r="N730" i="4"/>
  <c r="N770" i="4"/>
  <c r="N818" i="4"/>
  <c r="N866" i="4"/>
  <c r="N914" i="4"/>
  <c r="N622" i="4"/>
  <c r="N630" i="4"/>
  <c r="N638" i="4"/>
  <c r="N646" i="4"/>
  <c r="N654" i="4"/>
  <c r="N662" i="4"/>
  <c r="N670" i="4"/>
  <c r="N678" i="4"/>
  <c r="N686" i="4"/>
  <c r="N694" i="4"/>
  <c r="N702" i="4"/>
  <c r="N710" i="4"/>
  <c r="N718" i="4"/>
  <c r="N726" i="4"/>
  <c r="N734" i="4"/>
  <c r="N742" i="4"/>
  <c r="N750" i="4"/>
  <c r="N758" i="4"/>
  <c r="N766" i="4"/>
  <c r="N774" i="4"/>
  <c r="N782" i="4"/>
  <c r="N790" i="4"/>
  <c r="N798" i="4"/>
  <c r="N806" i="4"/>
  <c r="N814" i="4"/>
  <c r="N822" i="4"/>
  <c r="N830" i="4"/>
  <c r="N838" i="4"/>
  <c r="N846" i="4"/>
  <c r="N854" i="4"/>
  <c r="N862" i="4"/>
  <c r="N870" i="4"/>
  <c r="N878" i="4"/>
  <c r="N886" i="4"/>
  <c r="N894" i="4"/>
  <c r="N902" i="4"/>
  <c r="N910" i="4"/>
  <c r="N918" i="4"/>
  <c r="N926" i="4"/>
  <c r="N934" i="4"/>
  <c r="N714" i="4"/>
  <c r="N778" i="4"/>
  <c r="N826" i="4"/>
  <c r="N874" i="4"/>
  <c r="N938" i="4"/>
  <c r="N623" i="4"/>
  <c r="N631" i="4"/>
  <c r="N639" i="4"/>
  <c r="N647" i="4"/>
  <c r="N655" i="4"/>
  <c r="N663" i="4"/>
  <c r="N671" i="4"/>
  <c r="N679" i="4"/>
  <c r="N687" i="4"/>
  <c r="N695" i="4"/>
  <c r="N703" i="4"/>
  <c r="N711" i="4"/>
  <c r="N719" i="4"/>
  <c r="N727" i="4"/>
  <c r="N735" i="4"/>
  <c r="N743" i="4"/>
  <c r="N751" i="4"/>
  <c r="N759" i="4"/>
  <c r="N767" i="4"/>
  <c r="N775" i="4"/>
  <c r="N783" i="4"/>
  <c r="N791" i="4"/>
  <c r="N799" i="4"/>
  <c r="N807" i="4"/>
  <c r="N815" i="4"/>
  <c r="N823" i="4"/>
  <c r="N831" i="4"/>
  <c r="N839" i="4"/>
  <c r="N847" i="4"/>
  <c r="N855" i="4"/>
  <c r="N863" i="4"/>
  <c r="N871" i="4"/>
  <c r="N879" i="4"/>
  <c r="N887" i="4"/>
  <c r="N895" i="4"/>
  <c r="N903" i="4"/>
  <c r="N911" i="4"/>
  <c r="N919" i="4"/>
  <c r="N927" i="4"/>
  <c r="N935" i="4"/>
  <c r="N618" i="4"/>
  <c r="N746" i="4"/>
  <c r="N802" i="4"/>
  <c r="N850" i="4"/>
  <c r="N906" i="4"/>
  <c r="N624" i="4"/>
  <c r="N632" i="4"/>
  <c r="N640" i="4"/>
  <c r="N648" i="4"/>
  <c r="N656" i="4"/>
  <c r="N664" i="4"/>
  <c r="N672" i="4"/>
  <c r="N680" i="4"/>
  <c r="N688" i="4"/>
  <c r="N696" i="4"/>
  <c r="N704" i="4"/>
  <c r="N712" i="4"/>
  <c r="N720" i="4"/>
  <c r="N728" i="4"/>
  <c r="N736" i="4"/>
  <c r="N744" i="4"/>
  <c r="N752" i="4"/>
  <c r="N760" i="4"/>
  <c r="N768" i="4"/>
  <c r="N776" i="4"/>
  <c r="N784" i="4"/>
  <c r="N792" i="4"/>
  <c r="N800" i="4"/>
  <c r="N808" i="4"/>
  <c r="N816" i="4"/>
  <c r="N824" i="4"/>
  <c r="N832" i="4"/>
  <c r="N840" i="4"/>
  <c r="N848" i="4"/>
  <c r="N856" i="4"/>
  <c r="N864" i="4"/>
  <c r="N872" i="4"/>
  <c r="N880" i="4"/>
  <c r="N888" i="4"/>
  <c r="N896" i="4"/>
  <c r="N904" i="4"/>
  <c r="N912" i="4"/>
  <c r="N920" i="4"/>
  <c r="N928" i="4"/>
  <c r="N936" i="4"/>
  <c r="N634" i="4"/>
  <c r="N666" i="4"/>
  <c r="N674" i="4"/>
  <c r="N698" i="4"/>
  <c r="N738" i="4"/>
  <c r="N786" i="4"/>
  <c r="N834" i="4"/>
  <c r="N882" i="4"/>
  <c r="N922" i="4"/>
  <c r="N625" i="4"/>
  <c r="N633" i="4"/>
  <c r="N641" i="4"/>
  <c r="N649" i="4"/>
  <c r="N657" i="4"/>
  <c r="N665" i="4"/>
  <c r="N673" i="4"/>
  <c r="N681" i="4"/>
  <c r="N689" i="4"/>
  <c r="N697" i="4"/>
  <c r="N705" i="4"/>
  <c r="N713" i="4"/>
  <c r="N721" i="4"/>
  <c r="N729" i="4"/>
  <c r="N737" i="4"/>
  <c r="N745" i="4"/>
  <c r="N753" i="4"/>
  <c r="N761" i="4"/>
  <c r="N769" i="4"/>
  <c r="N777" i="4"/>
  <c r="N785" i="4"/>
  <c r="N793" i="4"/>
  <c r="N801" i="4"/>
  <c r="N809" i="4"/>
  <c r="N817" i="4"/>
  <c r="N825" i="4"/>
  <c r="N833" i="4"/>
  <c r="N841" i="4"/>
  <c r="N849" i="4"/>
  <c r="N857" i="4"/>
  <c r="N865" i="4"/>
  <c r="N873" i="4"/>
  <c r="N881" i="4"/>
  <c r="N889" i="4"/>
  <c r="N897" i="4"/>
  <c r="N905" i="4"/>
  <c r="N913" i="4"/>
  <c r="N921" i="4"/>
  <c r="N929" i="4"/>
  <c r="N937" i="4"/>
  <c r="N626" i="4"/>
  <c r="N706" i="4"/>
  <c r="N754" i="4"/>
  <c r="N794" i="4"/>
  <c r="N842" i="4"/>
  <c r="N890" i="4"/>
  <c r="N930" i="4"/>
  <c r="N619" i="4"/>
  <c r="N627" i="4"/>
  <c r="N635" i="4"/>
  <c r="N643" i="4"/>
  <c r="N651" i="4"/>
  <c r="N659" i="4"/>
  <c r="N667" i="4"/>
  <c r="N675" i="4"/>
  <c r="N683" i="4"/>
  <c r="N691" i="4"/>
  <c r="N699" i="4"/>
  <c r="N707" i="4"/>
  <c r="N715" i="4"/>
  <c r="N723" i="4"/>
  <c r="N731" i="4"/>
  <c r="N739" i="4"/>
  <c r="N747" i="4"/>
  <c r="N755" i="4"/>
  <c r="N763" i="4"/>
  <c r="N771" i="4"/>
  <c r="N779" i="4"/>
  <c r="N787" i="4"/>
  <c r="N795" i="4"/>
  <c r="N803" i="4"/>
  <c r="N811" i="4"/>
  <c r="N819" i="4"/>
  <c r="N827" i="4"/>
  <c r="N835" i="4"/>
  <c r="N843" i="4"/>
  <c r="N851" i="4"/>
  <c r="N859" i="4"/>
  <c r="N867" i="4"/>
  <c r="N875" i="4"/>
  <c r="N883" i="4"/>
  <c r="N891" i="4"/>
  <c r="N899" i="4"/>
  <c r="N907" i="4"/>
  <c r="N915" i="4"/>
  <c r="N923" i="4"/>
  <c r="N931" i="4"/>
  <c r="N939" i="4"/>
  <c r="N650" i="4"/>
  <c r="K10" i="4"/>
  <c r="L10" i="4"/>
  <c r="G482" i="4" l="1"/>
  <c r="F483" i="4"/>
  <c r="K11" i="4"/>
  <c r="L11" i="4" s="1"/>
  <c r="F484" i="4" l="1"/>
  <c r="G483" i="4"/>
  <c r="P942" i="4"/>
  <c r="P941" i="4"/>
  <c r="P940" i="4"/>
  <c r="P939" i="4"/>
  <c r="P938" i="4"/>
  <c r="P937" i="4"/>
  <c r="P936" i="4"/>
  <c r="P935" i="4"/>
  <c r="P934" i="4"/>
  <c r="P933" i="4"/>
  <c r="P932" i="4"/>
  <c r="P931" i="4"/>
  <c r="P11" i="4"/>
  <c r="P10" i="4"/>
  <c r="P9" i="4"/>
  <c r="P8" i="4"/>
  <c r="P7" i="4"/>
  <c r="P6" i="4"/>
  <c r="P5" i="4"/>
  <c r="P4" i="4"/>
  <c r="P3" i="4"/>
  <c r="K12" i="4"/>
  <c r="L12" i="4" s="1"/>
  <c r="P12" i="4" l="1"/>
  <c r="G484" i="4"/>
  <c r="F485" i="4"/>
  <c r="K13" i="4"/>
  <c r="L13" i="4"/>
  <c r="P13" i="4" l="1"/>
  <c r="G485" i="4"/>
  <c r="F486" i="4"/>
  <c r="K14" i="4"/>
  <c r="L14" i="4"/>
  <c r="P14" i="4" l="1"/>
  <c r="F487" i="4"/>
  <c r="G486" i="4"/>
  <c r="K15" i="4"/>
  <c r="L15" i="4" s="1"/>
  <c r="P15" i="4" l="1"/>
  <c r="G487" i="4"/>
  <c r="F488" i="4"/>
  <c r="K16" i="4"/>
  <c r="L16" i="4" s="1"/>
  <c r="P16" i="4" l="1"/>
  <c r="F489" i="4"/>
  <c r="G488" i="4"/>
  <c r="K17" i="4"/>
  <c r="L17" i="4"/>
  <c r="P17" i="4" l="1"/>
  <c r="F490" i="4"/>
  <c r="G489" i="4"/>
  <c r="K18" i="4"/>
  <c r="L18" i="4"/>
  <c r="P18" i="4" l="1"/>
  <c r="F491" i="4"/>
  <c r="G490" i="4"/>
  <c r="K19" i="4"/>
  <c r="L19" i="4"/>
  <c r="P19" i="4" l="1"/>
  <c r="G491" i="4"/>
  <c r="F492" i="4"/>
  <c r="K20" i="4"/>
  <c r="L20" i="4"/>
  <c r="P20" i="4" l="1"/>
  <c r="G492" i="4"/>
  <c r="F493" i="4"/>
  <c r="K21" i="4"/>
  <c r="L21" i="4"/>
  <c r="P21" i="4" l="1"/>
  <c r="F494" i="4"/>
  <c r="G493" i="4"/>
  <c r="K22" i="4"/>
  <c r="L22" i="4"/>
  <c r="P22" i="4" l="1"/>
  <c r="F495" i="4"/>
  <c r="G494" i="4"/>
  <c r="K23" i="4"/>
  <c r="L23" i="4"/>
  <c r="P23" i="4" l="1"/>
  <c r="F496" i="4"/>
  <c r="G495" i="4"/>
  <c r="K24" i="4"/>
  <c r="L24" i="4"/>
  <c r="P24" i="4" l="1"/>
  <c r="F497" i="4"/>
  <c r="G496" i="4"/>
  <c r="K25" i="4"/>
  <c r="L25" i="4"/>
  <c r="P25" i="4" l="1"/>
  <c r="F498" i="4"/>
  <c r="G497" i="4"/>
  <c r="K26" i="4"/>
  <c r="L26" i="4" s="1"/>
  <c r="P26" i="4" l="1"/>
  <c r="G498" i="4"/>
  <c r="F499" i="4"/>
  <c r="K27" i="4"/>
  <c r="L27" i="4"/>
  <c r="P27" i="4" l="1"/>
  <c r="G499" i="4"/>
  <c r="F500" i="4"/>
  <c r="K28" i="4"/>
  <c r="L28" i="4"/>
  <c r="P28" i="4" l="1"/>
  <c r="F501" i="4"/>
  <c r="G500" i="4"/>
  <c r="K29" i="4"/>
  <c r="L29" i="4" s="1"/>
  <c r="P29" i="4" l="1"/>
  <c r="G501" i="4"/>
  <c r="F502" i="4"/>
  <c r="K30" i="4"/>
  <c r="L30" i="4"/>
  <c r="P30" i="4" l="1"/>
  <c r="F503" i="4"/>
  <c r="G502" i="4"/>
  <c r="K31" i="4"/>
  <c r="L31" i="4"/>
  <c r="P31" i="4" l="1"/>
  <c r="F504" i="4"/>
  <c r="G503" i="4"/>
  <c r="K32" i="4"/>
  <c r="L32" i="4" s="1"/>
  <c r="P32" i="4" l="1"/>
  <c r="G504" i="4"/>
  <c r="F505" i="4"/>
  <c r="K33" i="4"/>
  <c r="L33" i="4" s="1"/>
  <c r="P33" i="4" l="1"/>
  <c r="F506" i="4"/>
  <c r="G505" i="4"/>
  <c r="K34" i="4"/>
  <c r="L34" i="4"/>
  <c r="P34" i="4" l="1"/>
  <c r="F507" i="4"/>
  <c r="G506" i="4"/>
  <c r="K35" i="4"/>
  <c r="L35" i="4"/>
  <c r="P35" i="4" l="1"/>
  <c r="G507" i="4"/>
  <c r="F508" i="4"/>
  <c r="K36" i="4"/>
  <c r="L36" i="4" s="1"/>
  <c r="P36" i="4" l="1"/>
  <c r="G508" i="4"/>
  <c r="F509" i="4"/>
  <c r="K37" i="4"/>
  <c r="L37" i="4"/>
  <c r="P37" i="4" l="1"/>
  <c r="F510" i="4"/>
  <c r="G509" i="4"/>
  <c r="K38" i="4"/>
  <c r="L38" i="4" s="1"/>
  <c r="P38" i="4" l="1"/>
  <c r="F511" i="4"/>
  <c r="G510" i="4"/>
  <c r="K39" i="4"/>
  <c r="L39" i="4" s="1"/>
  <c r="P39" i="4" l="1"/>
  <c r="F512" i="4"/>
  <c r="G511" i="4"/>
  <c r="K40" i="4"/>
  <c r="L40" i="4"/>
  <c r="P40" i="4" l="1"/>
  <c r="G512" i="4"/>
  <c r="F513" i="4"/>
  <c r="K41" i="4"/>
  <c r="L41" i="4"/>
  <c r="P41" i="4" l="1"/>
  <c r="F514" i="4"/>
  <c r="G513" i="4"/>
  <c r="K42" i="4"/>
  <c r="L42" i="4" s="1"/>
  <c r="P42" i="4" l="1"/>
  <c r="F515" i="4"/>
  <c r="G514" i="4"/>
  <c r="K43" i="4"/>
  <c r="L43" i="4"/>
  <c r="P43" i="4" l="1"/>
  <c r="F516" i="4"/>
  <c r="G515" i="4"/>
  <c r="K44" i="4"/>
  <c r="L44" i="4"/>
  <c r="P44" i="4" l="1"/>
  <c r="F517" i="4"/>
  <c r="G516" i="4"/>
  <c r="K45" i="4"/>
  <c r="L45" i="4" s="1"/>
  <c r="P45" i="4" l="1"/>
  <c r="F518" i="4"/>
  <c r="G517" i="4"/>
  <c r="K46" i="4"/>
  <c r="L46" i="4" s="1"/>
  <c r="P46" i="4" l="1"/>
  <c r="G518" i="4"/>
  <c r="F519" i="4"/>
  <c r="K47" i="4"/>
  <c r="L47" i="4" s="1"/>
  <c r="P47" i="4" l="1"/>
  <c r="G519" i="4"/>
  <c r="F520" i="4"/>
  <c r="K48" i="4"/>
  <c r="L48" i="4"/>
  <c r="P48" i="4" l="1"/>
  <c r="G520" i="4"/>
  <c r="F521" i="4"/>
  <c r="K49" i="4"/>
  <c r="L49" i="4"/>
  <c r="P49" i="4" l="1"/>
  <c r="F522" i="4"/>
  <c r="G521" i="4"/>
  <c r="K50" i="4"/>
  <c r="L50" i="4"/>
  <c r="P50" i="4" l="1"/>
  <c r="F523" i="4"/>
  <c r="G522" i="4"/>
  <c r="K51" i="4"/>
  <c r="L51" i="4"/>
  <c r="P51" i="4" l="1"/>
  <c r="F524" i="4"/>
  <c r="G523" i="4"/>
  <c r="K52" i="4"/>
  <c r="L52" i="4"/>
  <c r="P52" i="4" l="1"/>
  <c r="G524" i="4"/>
  <c r="F525" i="4"/>
  <c r="K53" i="4"/>
  <c r="L53" i="4" s="1"/>
  <c r="P53" i="4" l="1"/>
  <c r="F526" i="4"/>
  <c r="G525" i="4"/>
  <c r="K54" i="4"/>
  <c r="L54" i="4"/>
  <c r="P54" i="4" l="1"/>
  <c r="F527" i="4"/>
  <c r="G526" i="4"/>
  <c r="K55" i="4"/>
  <c r="L55" i="4" s="1"/>
  <c r="P55" i="4" l="1"/>
  <c r="G527" i="4"/>
  <c r="F528" i="4"/>
  <c r="K56" i="4"/>
  <c r="L56" i="4" s="1"/>
  <c r="P56" i="4" l="1"/>
  <c r="F529" i="4"/>
  <c r="G528" i="4"/>
  <c r="K57" i="4"/>
  <c r="L57" i="4"/>
  <c r="P57" i="4" l="1"/>
  <c r="F530" i="4"/>
  <c r="G529" i="4"/>
  <c r="K58" i="4"/>
  <c r="L58" i="4"/>
  <c r="P58" i="4" l="1"/>
  <c r="G530" i="4"/>
  <c r="F531" i="4"/>
  <c r="K59" i="4"/>
  <c r="L59" i="4" s="1"/>
  <c r="P59" i="4" l="1"/>
  <c r="G531" i="4"/>
  <c r="F532" i="4"/>
  <c r="K60" i="4"/>
  <c r="L60" i="4"/>
  <c r="P60" i="4" l="1"/>
  <c r="F533" i="4"/>
  <c r="G532" i="4"/>
  <c r="K61" i="4"/>
  <c r="L61" i="4" s="1"/>
  <c r="P61" i="4" l="1"/>
  <c r="G533" i="4"/>
  <c r="F534" i="4"/>
  <c r="K62" i="4"/>
  <c r="L62" i="4"/>
  <c r="P62" i="4" l="1"/>
  <c r="F535" i="4"/>
  <c r="G534" i="4"/>
  <c r="K63" i="4"/>
  <c r="L63" i="4"/>
  <c r="P63" i="4" l="1"/>
  <c r="F536" i="4"/>
  <c r="G535" i="4"/>
  <c r="K64" i="4"/>
  <c r="L64" i="4"/>
  <c r="P64" i="4" l="1"/>
  <c r="F537" i="4"/>
  <c r="G536" i="4"/>
  <c r="K65" i="4"/>
  <c r="L65" i="4" s="1"/>
  <c r="P65" i="4" l="1"/>
  <c r="F538" i="4"/>
  <c r="G537" i="4"/>
  <c r="K66" i="4"/>
  <c r="L66" i="4"/>
  <c r="P66" i="4" l="1"/>
  <c r="F539" i="4"/>
  <c r="G538" i="4"/>
  <c r="K67" i="4"/>
  <c r="L67" i="4"/>
  <c r="P67" i="4" l="1"/>
  <c r="F540" i="4"/>
  <c r="G539" i="4"/>
  <c r="K68" i="4"/>
  <c r="L68" i="4"/>
  <c r="P68" i="4" l="1"/>
  <c r="F541" i="4"/>
  <c r="G540" i="4"/>
  <c r="K69" i="4"/>
  <c r="L69" i="4"/>
  <c r="P69" i="4" l="1"/>
  <c r="F542" i="4"/>
  <c r="G541" i="4"/>
  <c r="K70" i="4"/>
  <c r="L70" i="4" s="1"/>
  <c r="P70" i="4" l="1"/>
  <c r="G542" i="4"/>
  <c r="F543" i="4"/>
  <c r="K71" i="4"/>
  <c r="L71" i="4"/>
  <c r="P71" i="4" l="1"/>
  <c r="F544" i="4"/>
  <c r="G543" i="4"/>
  <c r="K72" i="4"/>
  <c r="L72" i="4" s="1"/>
  <c r="P72" i="4" l="1"/>
  <c r="G544" i="4"/>
  <c r="F545" i="4"/>
  <c r="K73" i="4"/>
  <c r="L73" i="4"/>
  <c r="P73" i="4" l="1"/>
  <c r="F546" i="4"/>
  <c r="G545" i="4"/>
  <c r="K74" i="4"/>
  <c r="L74" i="4" s="1"/>
  <c r="P74" i="4" l="1"/>
  <c r="F547" i="4"/>
  <c r="G546" i="4"/>
  <c r="K75" i="4"/>
  <c r="L75" i="4"/>
  <c r="P75" i="4" l="1"/>
  <c r="F548" i="4"/>
  <c r="G547" i="4"/>
  <c r="K76" i="4"/>
  <c r="L76" i="4" s="1"/>
  <c r="P76" i="4" l="1"/>
  <c r="F549" i="4"/>
  <c r="G548" i="4"/>
  <c r="K77" i="4"/>
  <c r="L77" i="4"/>
  <c r="P77" i="4" l="1"/>
  <c r="G549" i="4"/>
  <c r="F550" i="4"/>
  <c r="K78" i="4"/>
  <c r="L78" i="4"/>
  <c r="P78" i="4" l="1"/>
  <c r="F551" i="4"/>
  <c r="G550" i="4"/>
  <c r="K79" i="4"/>
  <c r="L79" i="4" s="1"/>
  <c r="P79" i="4" l="1"/>
  <c r="G551" i="4"/>
  <c r="F552" i="4"/>
  <c r="K80" i="4"/>
  <c r="L80" i="4"/>
  <c r="P80" i="4" l="1"/>
  <c r="G552" i="4"/>
  <c r="F553" i="4"/>
  <c r="K81" i="4"/>
  <c r="L81" i="4"/>
  <c r="P81" i="4" l="1"/>
  <c r="G553" i="4"/>
  <c r="F554" i="4"/>
  <c r="K82" i="4"/>
  <c r="L82" i="4"/>
  <c r="P82" i="4" l="1"/>
  <c r="F555" i="4"/>
  <c r="G554" i="4"/>
  <c r="K83" i="4"/>
  <c r="L83" i="4"/>
  <c r="P83" i="4" l="1"/>
  <c r="F556" i="4"/>
  <c r="G555" i="4"/>
  <c r="K84" i="4"/>
  <c r="L84" i="4"/>
  <c r="P84" i="4" l="1"/>
  <c r="G556" i="4"/>
  <c r="F557" i="4"/>
  <c r="K85" i="4"/>
  <c r="L85" i="4" s="1"/>
  <c r="P85" i="4" l="1"/>
  <c r="F558" i="4"/>
  <c r="G557" i="4"/>
  <c r="K86" i="4"/>
  <c r="L86" i="4"/>
  <c r="P86" i="4" l="1"/>
  <c r="F559" i="4"/>
  <c r="G558" i="4"/>
  <c r="K87" i="4"/>
  <c r="L87" i="4" s="1"/>
  <c r="P87" i="4" l="1"/>
  <c r="F560" i="4"/>
  <c r="G559" i="4"/>
  <c r="K88" i="4"/>
  <c r="L88" i="4"/>
  <c r="P88" i="4" l="1"/>
  <c r="G560" i="4"/>
  <c r="F561" i="4"/>
  <c r="K89" i="4"/>
  <c r="L89" i="4"/>
  <c r="P89" i="4" l="1"/>
  <c r="F562" i="4"/>
  <c r="G561" i="4"/>
  <c r="K90" i="4"/>
  <c r="L90" i="4"/>
  <c r="P90" i="4" l="1"/>
  <c r="F563" i="4"/>
  <c r="G562" i="4"/>
  <c r="K91" i="4"/>
  <c r="L91" i="4" s="1"/>
  <c r="P91" i="4" l="1"/>
  <c r="G563" i="4"/>
  <c r="F564" i="4"/>
  <c r="K92" i="4"/>
  <c r="L92" i="4"/>
  <c r="P92" i="4" l="1"/>
  <c r="F565" i="4"/>
  <c r="G564" i="4"/>
  <c r="K93" i="4"/>
  <c r="L93" i="4"/>
  <c r="P93" i="4" l="1"/>
  <c r="F566" i="4"/>
  <c r="G565" i="4"/>
  <c r="K94" i="4"/>
  <c r="L94" i="4" s="1"/>
  <c r="P94" i="4" l="1"/>
  <c r="F567" i="4"/>
  <c r="G566" i="4"/>
  <c r="K95" i="4"/>
  <c r="L95" i="4" s="1"/>
  <c r="P95" i="4" l="1"/>
  <c r="G567" i="4"/>
  <c r="F568" i="4"/>
  <c r="K96" i="4"/>
  <c r="L96" i="4"/>
  <c r="P96" i="4" l="1"/>
  <c r="G568" i="4"/>
  <c r="F569" i="4"/>
  <c r="K97" i="4"/>
  <c r="L97" i="4" s="1"/>
  <c r="P97" i="4" l="1"/>
  <c r="F570" i="4"/>
  <c r="G569" i="4"/>
  <c r="K98" i="4"/>
  <c r="L98" i="4" s="1"/>
  <c r="P98" i="4" l="1"/>
  <c r="F571" i="4"/>
  <c r="G570" i="4"/>
  <c r="K99" i="4"/>
  <c r="L99" i="4" s="1"/>
  <c r="P99" i="4" l="1"/>
  <c r="F572" i="4"/>
  <c r="G571" i="4"/>
  <c r="K100" i="4"/>
  <c r="L100" i="4"/>
  <c r="P100" i="4" l="1"/>
  <c r="F573" i="4"/>
  <c r="G572" i="4"/>
  <c r="K101" i="4"/>
  <c r="L101" i="4"/>
  <c r="P101" i="4" l="1"/>
  <c r="F574" i="4"/>
  <c r="G573" i="4"/>
  <c r="K102" i="4"/>
  <c r="L102" i="4"/>
  <c r="P102" i="4" l="1"/>
  <c r="F575" i="4"/>
  <c r="G574" i="4"/>
  <c r="K103" i="4"/>
  <c r="L103" i="4"/>
  <c r="P103" i="4" l="1"/>
  <c r="F576" i="4"/>
  <c r="G575" i="4"/>
  <c r="K104" i="4"/>
  <c r="L104" i="4"/>
  <c r="P104" i="4" l="1"/>
  <c r="G576" i="4"/>
  <c r="F577" i="4"/>
  <c r="K105" i="4"/>
  <c r="L105" i="4" s="1"/>
  <c r="P105" i="4" l="1"/>
  <c r="F578" i="4"/>
  <c r="G577" i="4"/>
  <c r="K106" i="4"/>
  <c r="L106" i="4"/>
  <c r="P106" i="4" l="1"/>
  <c r="F579" i="4"/>
  <c r="G578" i="4"/>
  <c r="K107" i="4"/>
  <c r="L107" i="4"/>
  <c r="P107" i="4" l="1"/>
  <c r="G579" i="4"/>
  <c r="F580" i="4"/>
  <c r="K108" i="4"/>
  <c r="L108" i="4"/>
  <c r="P108" i="4" l="1"/>
  <c r="F581" i="4"/>
  <c r="G580" i="4"/>
  <c r="K109" i="4"/>
  <c r="L109" i="4" s="1"/>
  <c r="P109" i="4" l="1"/>
  <c r="F582" i="4"/>
  <c r="B23" i="6" a="1"/>
  <c r="G581" i="4"/>
  <c r="K110" i="4"/>
  <c r="L110" i="4" s="1"/>
  <c r="G582" i="4" l="1"/>
  <c r="P110" i="4"/>
  <c r="F583" i="4"/>
  <c r="B24" i="6" a="1"/>
  <c r="K111" i="4"/>
  <c r="L111" i="4" s="1"/>
  <c r="P111" i="4" l="1"/>
  <c r="F584" i="4"/>
  <c r="G583" i="4"/>
  <c r="K112" i="4"/>
  <c r="L112" i="4" s="1"/>
  <c r="P112" i="4" l="1"/>
  <c r="G584" i="4"/>
  <c r="F585" i="4"/>
  <c r="K113" i="4"/>
  <c r="L113" i="4"/>
  <c r="P113" i="4" l="1"/>
  <c r="F586" i="4"/>
  <c r="G585" i="4"/>
  <c r="K114" i="4"/>
  <c r="L114" i="4"/>
  <c r="P114" i="4" l="1"/>
  <c r="G586" i="4"/>
  <c r="F587" i="4"/>
  <c r="K115" i="4"/>
  <c r="L115" i="4"/>
  <c r="P115" i="4" l="1"/>
  <c r="F588" i="4"/>
  <c r="G587" i="4"/>
  <c r="K116" i="4"/>
  <c r="L116" i="4"/>
  <c r="P116" i="4" l="1"/>
  <c r="G588" i="4"/>
  <c r="F589" i="4"/>
  <c r="K117" i="4"/>
  <c r="L117" i="4"/>
  <c r="P117" i="4" l="1"/>
  <c r="F590" i="4"/>
  <c r="G589" i="4"/>
  <c r="K118" i="4"/>
  <c r="L118" i="4"/>
  <c r="P118" i="4" l="1"/>
  <c r="G590" i="4"/>
  <c r="F591" i="4"/>
  <c r="K119" i="4"/>
  <c r="L119" i="4" s="1"/>
  <c r="P119" i="4" l="1"/>
  <c r="G591" i="4"/>
  <c r="F592" i="4"/>
  <c r="K120" i="4"/>
  <c r="L120" i="4" s="1"/>
  <c r="P120" i="4" l="1"/>
  <c r="F593" i="4"/>
  <c r="G592" i="4"/>
  <c r="K121" i="4"/>
  <c r="L121" i="4"/>
  <c r="B21" i="6"/>
  <c r="P121" i="4" l="1"/>
  <c r="C21" i="6"/>
  <c r="G593" i="4"/>
  <c r="F594" i="4"/>
  <c r="F595" i="4" s="1"/>
  <c r="F596" i="4" s="1"/>
  <c r="F597" i="4" s="1"/>
  <c r="F598" i="4" s="1"/>
  <c r="F599" i="4" s="1"/>
  <c r="F600" i="4" s="1"/>
  <c r="F601" i="4" s="1"/>
  <c r="F602" i="4" s="1"/>
  <c r="F603" i="4" s="1"/>
  <c r="F604" i="4" s="1"/>
  <c r="F605" i="4" s="1"/>
  <c r="F606" i="4" s="1"/>
  <c r="F607" i="4" s="1"/>
  <c r="F608" i="4" s="1"/>
  <c r="F609" i="4" s="1"/>
  <c r="F610" i="4" s="1"/>
  <c r="F611" i="4" s="1"/>
  <c r="F612" i="4" s="1"/>
  <c r="F613" i="4" s="1"/>
  <c r="F614" i="4" s="1"/>
  <c r="F615" i="4" s="1"/>
  <c r="F616" i="4" s="1"/>
  <c r="F617" i="4" s="1"/>
  <c r="F618" i="4" s="1"/>
  <c r="F619" i="4" s="1"/>
  <c r="F620" i="4" s="1"/>
  <c r="F621" i="4" s="1"/>
  <c r="F622" i="4" s="1"/>
  <c r="F623" i="4" s="1"/>
  <c r="F624" i="4" s="1"/>
  <c r="F625" i="4" s="1"/>
  <c r="F626" i="4" s="1"/>
  <c r="F627" i="4" s="1"/>
  <c r="F628" i="4" s="1"/>
  <c r="F629" i="4" s="1"/>
  <c r="F630" i="4" s="1"/>
  <c r="F631" i="4" s="1"/>
  <c r="F632" i="4" s="1"/>
  <c r="F633" i="4" s="1"/>
  <c r="F634" i="4" s="1"/>
  <c r="F635" i="4" s="1"/>
  <c r="F636" i="4" s="1"/>
  <c r="F637" i="4" s="1"/>
  <c r="F638" i="4" s="1"/>
  <c r="F639" i="4" s="1"/>
  <c r="F640" i="4" s="1"/>
  <c r="F641" i="4" s="1"/>
  <c r="F642" i="4" s="1"/>
  <c r="F643" i="4" s="1"/>
  <c r="F644" i="4" s="1"/>
  <c r="F645" i="4" s="1"/>
  <c r="F646" i="4" s="1"/>
  <c r="F647" i="4" s="1"/>
  <c r="F648" i="4" s="1"/>
  <c r="F649" i="4" s="1"/>
  <c r="F650" i="4" s="1"/>
  <c r="F651" i="4" s="1"/>
  <c r="F652" i="4" s="1"/>
  <c r="F653" i="4" s="1"/>
  <c r="F654" i="4" s="1"/>
  <c r="F655" i="4" s="1"/>
  <c r="F656" i="4" s="1"/>
  <c r="F657" i="4" s="1"/>
  <c r="F658" i="4" s="1"/>
  <c r="F659" i="4" s="1"/>
  <c r="F660" i="4" s="1"/>
  <c r="F661" i="4" s="1"/>
  <c r="F662" i="4" s="1"/>
  <c r="F663" i="4" s="1"/>
  <c r="F664" i="4" s="1"/>
  <c r="F665" i="4" s="1"/>
  <c r="F666" i="4" s="1"/>
  <c r="F667" i="4" s="1"/>
  <c r="F668" i="4" s="1"/>
  <c r="F669" i="4" s="1"/>
  <c r="F670" i="4" s="1"/>
  <c r="F671" i="4" s="1"/>
  <c r="F672" i="4" s="1"/>
  <c r="F673" i="4" s="1"/>
  <c r="F674" i="4" s="1"/>
  <c r="F675" i="4" s="1"/>
  <c r="F676" i="4" s="1"/>
  <c r="F677" i="4" s="1"/>
  <c r="F678" i="4" s="1"/>
  <c r="F679" i="4" s="1"/>
  <c r="F680" i="4" s="1"/>
  <c r="F681" i="4" s="1"/>
  <c r="F682" i="4" s="1"/>
  <c r="F683" i="4" s="1"/>
  <c r="F684" i="4" s="1"/>
  <c r="F685" i="4" s="1"/>
  <c r="F686" i="4" s="1"/>
  <c r="F687" i="4" s="1"/>
  <c r="F688" i="4" s="1"/>
  <c r="F689" i="4" s="1"/>
  <c r="F690" i="4" s="1"/>
  <c r="F691" i="4" s="1"/>
  <c r="F692" i="4" s="1"/>
  <c r="F693" i="4" s="1"/>
  <c r="F694" i="4" s="1"/>
  <c r="F695" i="4" s="1"/>
  <c r="F696" i="4" s="1"/>
  <c r="F697" i="4" s="1"/>
  <c r="F698" i="4" s="1"/>
  <c r="F699" i="4" s="1"/>
  <c r="F700" i="4" s="1"/>
  <c r="F701" i="4" s="1"/>
  <c r="F702" i="4" s="1"/>
  <c r="F703" i="4" s="1"/>
  <c r="F704" i="4" s="1"/>
  <c r="F705" i="4" s="1"/>
  <c r="F706" i="4" s="1"/>
  <c r="F707" i="4" s="1"/>
  <c r="F708" i="4" s="1"/>
  <c r="F709" i="4" s="1"/>
  <c r="F710" i="4" s="1"/>
  <c r="F711" i="4" s="1"/>
  <c r="F712" i="4" s="1"/>
  <c r="F713" i="4" s="1"/>
  <c r="F714" i="4" s="1"/>
  <c r="F715" i="4" s="1"/>
  <c r="F716" i="4" s="1"/>
  <c r="F717" i="4" s="1"/>
  <c r="F718" i="4" s="1"/>
  <c r="F719" i="4" s="1"/>
  <c r="F720" i="4" s="1"/>
  <c r="F721" i="4" s="1"/>
  <c r="F722" i="4" s="1"/>
  <c r="F723" i="4" s="1"/>
  <c r="F724" i="4" s="1"/>
  <c r="F725" i="4" s="1"/>
  <c r="F726" i="4" s="1"/>
  <c r="F727" i="4" s="1"/>
  <c r="F728" i="4" s="1"/>
  <c r="F729" i="4" s="1"/>
  <c r="F730" i="4" s="1"/>
  <c r="F731" i="4" s="1"/>
  <c r="F732" i="4" s="1"/>
  <c r="F733" i="4" s="1"/>
  <c r="F734" i="4" s="1"/>
  <c r="F735" i="4" s="1"/>
  <c r="F736" i="4" s="1"/>
  <c r="F737" i="4" s="1"/>
  <c r="F738" i="4" s="1"/>
  <c r="F739" i="4" s="1"/>
  <c r="F740" i="4" s="1"/>
  <c r="F741" i="4" s="1"/>
  <c r="F742" i="4" s="1"/>
  <c r="F743" i="4" s="1"/>
  <c r="F744" i="4" s="1"/>
  <c r="F745" i="4" s="1"/>
  <c r="F746" i="4" s="1"/>
  <c r="F747" i="4" s="1"/>
  <c r="F748" i="4" s="1"/>
  <c r="F749" i="4" s="1"/>
  <c r="F750" i="4" s="1"/>
  <c r="F751" i="4" s="1"/>
  <c r="F752" i="4" s="1"/>
  <c r="F753" i="4" s="1"/>
  <c r="F754" i="4" s="1"/>
  <c r="F755" i="4" s="1"/>
  <c r="F756" i="4" s="1"/>
  <c r="F757" i="4" s="1"/>
  <c r="F758" i="4" s="1"/>
  <c r="F759" i="4" s="1"/>
  <c r="F760" i="4" s="1"/>
  <c r="F761" i="4" s="1"/>
  <c r="F762" i="4" s="1"/>
  <c r="F763" i="4" s="1"/>
  <c r="F764" i="4" s="1"/>
  <c r="F765" i="4" s="1"/>
  <c r="F766" i="4" s="1"/>
  <c r="F767" i="4" s="1"/>
  <c r="F768" i="4" s="1"/>
  <c r="F769" i="4" s="1"/>
  <c r="F770" i="4" s="1"/>
  <c r="F771" i="4" s="1"/>
  <c r="F772" i="4" s="1"/>
  <c r="F773" i="4" s="1"/>
  <c r="F774" i="4" s="1"/>
  <c r="F775" i="4" s="1"/>
  <c r="F776" i="4" s="1"/>
  <c r="F777" i="4" s="1"/>
  <c r="F778" i="4" s="1"/>
  <c r="F779" i="4" s="1"/>
  <c r="F780" i="4" s="1"/>
  <c r="F781" i="4" s="1"/>
  <c r="F782" i="4" s="1"/>
  <c r="F783" i="4" s="1"/>
  <c r="F784" i="4" s="1"/>
  <c r="F785" i="4" s="1"/>
  <c r="F786" i="4" s="1"/>
  <c r="F787" i="4" s="1"/>
  <c r="F788" i="4" s="1"/>
  <c r="F789" i="4" s="1"/>
  <c r="F790" i="4" s="1"/>
  <c r="F791" i="4" s="1"/>
  <c r="F792" i="4" s="1"/>
  <c r="F793" i="4" s="1"/>
  <c r="F794" i="4" s="1"/>
  <c r="F795" i="4" s="1"/>
  <c r="F796" i="4" s="1"/>
  <c r="F797" i="4" s="1"/>
  <c r="F798" i="4" s="1"/>
  <c r="F799" i="4" s="1"/>
  <c r="F800" i="4" s="1"/>
  <c r="F801" i="4" s="1"/>
  <c r="F802" i="4" s="1"/>
  <c r="F803" i="4" s="1"/>
  <c r="F804" i="4" s="1"/>
  <c r="F805" i="4" s="1"/>
  <c r="F806" i="4" s="1"/>
  <c r="F807" i="4" s="1"/>
  <c r="F808" i="4" s="1"/>
  <c r="F809" i="4" s="1"/>
  <c r="F810" i="4" s="1"/>
  <c r="F811" i="4" s="1"/>
  <c r="F812" i="4" s="1"/>
  <c r="F813" i="4" s="1"/>
  <c r="F814" i="4" s="1"/>
  <c r="F815" i="4" s="1"/>
  <c r="F816" i="4" s="1"/>
  <c r="F817" i="4" s="1"/>
  <c r="F818" i="4" s="1"/>
  <c r="F819" i="4" s="1"/>
  <c r="F820" i="4" s="1"/>
  <c r="F821" i="4" s="1"/>
  <c r="F822" i="4" s="1"/>
  <c r="F823" i="4" s="1"/>
  <c r="F824" i="4" s="1"/>
  <c r="F825" i="4" s="1"/>
  <c r="F826" i="4" s="1"/>
  <c r="F827" i="4" s="1"/>
  <c r="F828" i="4" s="1"/>
  <c r="F829" i="4" s="1"/>
  <c r="F830" i="4" s="1"/>
  <c r="F831" i="4" s="1"/>
  <c r="F832" i="4" s="1"/>
  <c r="F833" i="4" s="1"/>
  <c r="F834" i="4" s="1"/>
  <c r="F835" i="4" s="1"/>
  <c r="F836" i="4" s="1"/>
  <c r="F837" i="4" s="1"/>
  <c r="F838" i="4" s="1"/>
  <c r="F839" i="4" s="1"/>
  <c r="F840" i="4" s="1"/>
  <c r="F841" i="4" s="1"/>
  <c r="F842" i="4" s="1"/>
  <c r="F843" i="4" s="1"/>
  <c r="F844" i="4" s="1"/>
  <c r="F845" i="4" s="1"/>
  <c r="F846" i="4" s="1"/>
  <c r="F847" i="4" s="1"/>
  <c r="F848" i="4" s="1"/>
  <c r="F849" i="4" s="1"/>
  <c r="F850" i="4" s="1"/>
  <c r="F851" i="4" s="1"/>
  <c r="F852" i="4" s="1"/>
  <c r="F853" i="4" s="1"/>
  <c r="F854" i="4" s="1"/>
  <c r="F855" i="4" s="1"/>
  <c r="F856" i="4" s="1"/>
  <c r="F857" i="4" s="1"/>
  <c r="F858" i="4" s="1"/>
  <c r="F859" i="4" s="1"/>
  <c r="F860" i="4" s="1"/>
  <c r="F861" i="4" s="1"/>
  <c r="F862" i="4" s="1"/>
  <c r="F863" i="4" s="1"/>
  <c r="F864" i="4" s="1"/>
  <c r="F865" i="4" s="1"/>
  <c r="F866" i="4" s="1"/>
  <c r="F867" i="4" s="1"/>
  <c r="F868" i="4" s="1"/>
  <c r="F869" i="4" s="1"/>
  <c r="F870" i="4" s="1"/>
  <c r="F871" i="4" s="1"/>
  <c r="F872" i="4" s="1"/>
  <c r="F873" i="4" s="1"/>
  <c r="F874" i="4" s="1"/>
  <c r="F875" i="4" s="1"/>
  <c r="F876" i="4" s="1"/>
  <c r="F877" i="4" s="1"/>
  <c r="F878" i="4" s="1"/>
  <c r="F879" i="4" s="1"/>
  <c r="F880" i="4" s="1"/>
  <c r="F881" i="4" s="1"/>
  <c r="F882" i="4" s="1"/>
  <c r="F883" i="4" s="1"/>
  <c r="F884" i="4" s="1"/>
  <c r="F885" i="4" s="1"/>
  <c r="F886" i="4" s="1"/>
  <c r="F887" i="4" s="1"/>
  <c r="F888" i="4" s="1"/>
  <c r="F889" i="4" s="1"/>
  <c r="F890" i="4" s="1"/>
  <c r="F891" i="4" s="1"/>
  <c r="F892" i="4" s="1"/>
  <c r="F893" i="4" s="1"/>
  <c r="F894" i="4" s="1"/>
  <c r="F895" i="4" s="1"/>
  <c r="F896" i="4" s="1"/>
  <c r="F897" i="4" s="1"/>
  <c r="F898" i="4" s="1"/>
  <c r="F899" i="4" s="1"/>
  <c r="F900" i="4" s="1"/>
  <c r="F901" i="4" s="1"/>
  <c r="F902" i="4" s="1"/>
  <c r="F903" i="4" s="1"/>
  <c r="F904" i="4" s="1"/>
  <c r="F905" i="4" s="1"/>
  <c r="F906" i="4" s="1"/>
  <c r="F907" i="4" s="1"/>
  <c r="F908" i="4" s="1"/>
  <c r="F909" i="4" s="1"/>
  <c r="F910" i="4" s="1"/>
  <c r="F911" i="4" s="1"/>
  <c r="F912" i="4" s="1"/>
  <c r="F913" i="4" s="1"/>
  <c r="F914" i="4" s="1"/>
  <c r="F915" i="4" s="1"/>
  <c r="F916" i="4" s="1"/>
  <c r="F917" i="4" s="1"/>
  <c r="F918" i="4" s="1"/>
  <c r="F919" i="4" s="1"/>
  <c r="F920" i="4" s="1"/>
  <c r="F921" i="4" s="1"/>
  <c r="F922" i="4" s="1"/>
  <c r="F923" i="4" s="1"/>
  <c r="F924" i="4" s="1"/>
  <c r="F925" i="4" s="1"/>
  <c r="F926" i="4" s="1"/>
  <c r="F927" i="4" s="1"/>
  <c r="F928" i="4" s="1"/>
  <c r="F929" i="4" s="1"/>
  <c r="F930" i="4" s="1"/>
  <c r="F931" i="4" s="1"/>
  <c r="F932" i="4" s="1"/>
  <c r="F933" i="4" s="1"/>
  <c r="F934" i="4" s="1"/>
  <c r="F935" i="4" s="1"/>
  <c r="F936" i="4" s="1"/>
  <c r="F937" i="4" s="1"/>
  <c r="F938" i="4" s="1"/>
  <c r="F939" i="4" s="1"/>
  <c r="F940" i="4" s="1"/>
  <c r="F941" i="4" s="1"/>
  <c r="F942" i="4" s="1"/>
  <c r="F943" i="4" s="1"/>
  <c r="F944" i="4" s="1"/>
  <c r="F945" i="4" s="1"/>
  <c r="F946" i="4" s="1"/>
  <c r="F947" i="4" s="1"/>
  <c r="F948" i="4" s="1"/>
  <c r="F949" i="4" s="1"/>
  <c r="F950" i="4" s="1"/>
  <c r="F951" i="4" s="1"/>
  <c r="F952" i="4" s="1"/>
  <c r="F953" i="4" s="1"/>
  <c r="F954" i="4" s="1"/>
  <c r="F955" i="4" s="1"/>
  <c r="F956" i="4" s="1"/>
  <c r="F957" i="4" s="1"/>
  <c r="F958" i="4" s="1"/>
  <c r="F959" i="4" s="1"/>
  <c r="F960" i="4" s="1"/>
  <c r="F961" i="4" s="1"/>
  <c r="F962" i="4" s="1"/>
  <c r="F963" i="4" s="1"/>
  <c r="F964" i="4" s="1"/>
  <c r="F965" i="4" s="1"/>
  <c r="F966" i="4" s="1"/>
  <c r="F967" i="4" s="1"/>
  <c r="F968" i="4" s="1"/>
  <c r="F969" i="4" s="1"/>
  <c r="F970" i="4" s="1"/>
  <c r="F971" i="4" s="1"/>
  <c r="F972" i="4" s="1"/>
  <c r="F973" i="4" s="1"/>
  <c r="F974" i="4" s="1"/>
  <c r="F975" i="4" s="1"/>
  <c r="F976" i="4" s="1"/>
  <c r="F977" i="4" s="1"/>
  <c r="F978" i="4" s="1"/>
  <c r="F979" i="4" s="1"/>
  <c r="F980" i="4" s="1"/>
  <c r="F981" i="4" s="1"/>
  <c r="F982" i="4" s="1"/>
  <c r="F983" i="4" s="1"/>
  <c r="F984" i="4" s="1"/>
  <c r="F985" i="4" s="1"/>
  <c r="F986" i="4" s="1"/>
  <c r="F987" i="4" s="1"/>
  <c r="F988" i="4" s="1"/>
  <c r="F989" i="4" s="1"/>
  <c r="F990" i="4" s="1"/>
  <c r="F991" i="4" s="1"/>
  <c r="F992" i="4" s="1"/>
  <c r="F993" i="4" s="1"/>
  <c r="F994" i="4" s="1"/>
  <c r="F995" i="4" s="1"/>
  <c r="F996" i="4" s="1"/>
  <c r="F997" i="4" s="1"/>
  <c r="F998" i="4" s="1"/>
  <c r="F999" i="4" s="1"/>
  <c r="F1000" i="4" s="1"/>
  <c r="F1001" i="4" s="1"/>
  <c r="F1002" i="4" s="1"/>
  <c r="F1003" i="4" s="1"/>
  <c r="F1004" i="4" s="1"/>
  <c r="F1005" i="4" s="1"/>
  <c r="F1006" i="4" s="1"/>
  <c r="F1007" i="4" s="1"/>
  <c r="F1008" i="4" s="1"/>
  <c r="F1009" i="4" s="1"/>
  <c r="F1010" i="4" s="1"/>
  <c r="F1011" i="4" s="1"/>
  <c r="F1012" i="4" s="1"/>
  <c r="F1013" i="4" s="1"/>
  <c r="F1014" i="4" s="1"/>
  <c r="F1015" i="4" s="1"/>
  <c r="F1016" i="4" s="1"/>
  <c r="F1017" i="4" s="1"/>
  <c r="F1018" i="4" s="1"/>
  <c r="F1019" i="4" s="1"/>
  <c r="F1020" i="4" s="1"/>
  <c r="F1021" i="4" s="1"/>
  <c r="F1022" i="4" s="1"/>
  <c r="F1023" i="4" s="1"/>
  <c r="F1024" i="4" s="1"/>
  <c r="F1025" i="4" s="1"/>
  <c r="F1026" i="4" s="1"/>
  <c r="F1027" i="4" s="1"/>
  <c r="F1028" i="4" s="1"/>
  <c r="F1029" i="4" s="1"/>
  <c r="F1030" i="4" s="1"/>
  <c r="F1031" i="4" s="1"/>
  <c r="F1032" i="4" s="1"/>
  <c r="F1033" i="4" s="1"/>
  <c r="F1034" i="4" s="1"/>
  <c r="F1035" i="4" s="1"/>
  <c r="F1036" i="4" s="1"/>
  <c r="F1037" i="4" s="1"/>
  <c r="F1038" i="4" s="1"/>
  <c r="F1039" i="4" s="1"/>
  <c r="F1040" i="4" s="1"/>
  <c r="F1041" i="4" s="1"/>
  <c r="F1042" i="4" s="1"/>
  <c r="F1043" i="4" s="1"/>
  <c r="F1044" i="4" s="1"/>
  <c r="F1045" i="4" s="1"/>
  <c r="F1046" i="4" s="1"/>
  <c r="F1047" i="4" s="1"/>
  <c r="F1048" i="4" s="1"/>
  <c r="F1049" i="4" s="1"/>
  <c r="F1050" i="4" s="1"/>
  <c r="F1051" i="4" s="1"/>
  <c r="F1052" i="4" s="1"/>
  <c r="F1053" i="4" s="1"/>
  <c r="F1054" i="4" s="1"/>
  <c r="F1055" i="4" s="1"/>
  <c r="F1056" i="4" s="1"/>
  <c r="F1057" i="4" s="1"/>
  <c r="F1058" i="4" s="1"/>
  <c r="F1059" i="4" s="1"/>
  <c r="F1060" i="4" s="1"/>
  <c r="F1061" i="4" s="1"/>
  <c r="F1062" i="4" s="1"/>
  <c r="F1063" i="4" s="1"/>
  <c r="F1064" i="4" s="1"/>
  <c r="F1065" i="4" s="1"/>
  <c r="F1066" i="4" s="1"/>
  <c r="F1067" i="4" s="1"/>
  <c r="F1068" i="4" s="1"/>
  <c r="F1069" i="4" s="1"/>
  <c r="F1070" i="4" s="1"/>
  <c r="F1071" i="4" s="1"/>
  <c r="F1072" i="4" s="1"/>
  <c r="F1073" i="4" s="1"/>
  <c r="F1074" i="4" s="1"/>
  <c r="F1075" i="4" s="1"/>
  <c r="F1076" i="4" s="1"/>
  <c r="F1077" i="4" s="1"/>
  <c r="F1078" i="4" s="1"/>
  <c r="F1079" i="4" s="1"/>
  <c r="F1080" i="4" s="1"/>
  <c r="F1081" i="4" s="1"/>
  <c r="F1082" i="4" s="1"/>
  <c r="F1083" i="4" s="1"/>
  <c r="F1084" i="4" s="1"/>
  <c r="F1085" i="4" s="1"/>
  <c r="F1086" i="4" s="1"/>
  <c r="F1087" i="4" s="1"/>
  <c r="F1088" i="4" s="1"/>
  <c r="F1089" i="4" s="1"/>
  <c r="F1090" i="4" s="1"/>
  <c r="F1091" i="4" s="1"/>
  <c r="F1092" i="4" s="1"/>
  <c r="F1093" i="4" s="1"/>
  <c r="F1094" i="4" s="1"/>
  <c r="F1095" i="4" s="1"/>
  <c r="F1096" i="4" s="1"/>
  <c r="F1097" i="4" s="1"/>
  <c r="F1098" i="4" s="1"/>
  <c r="F1099" i="4" s="1"/>
  <c r="F1100" i="4" s="1"/>
  <c r="F1101" i="4" s="1"/>
  <c r="F1102" i="4" s="1"/>
  <c r="F1103" i="4" s="1"/>
  <c r="F1104" i="4" s="1"/>
  <c r="F1105" i="4" s="1"/>
  <c r="F1106" i="4" s="1"/>
  <c r="F1107" i="4" s="1"/>
  <c r="F1108" i="4" s="1"/>
  <c r="F1109" i="4" s="1"/>
  <c r="F1110" i="4" s="1"/>
  <c r="F1111" i="4" s="1"/>
  <c r="F1112" i="4" s="1"/>
  <c r="F1113" i="4" s="1"/>
  <c r="F1114" i="4" s="1"/>
  <c r="F1115" i="4" s="1"/>
  <c r="F1116" i="4" s="1"/>
  <c r="F1117" i="4" s="1"/>
  <c r="F1118" i="4" s="1"/>
  <c r="F1119" i="4" s="1"/>
  <c r="F1120" i="4" s="1"/>
  <c r="F1121" i="4" s="1"/>
  <c r="F1122" i="4" s="1"/>
  <c r="F1123" i="4" s="1"/>
  <c r="F1124" i="4" s="1"/>
  <c r="K122" i="4"/>
  <c r="L122" i="4"/>
  <c r="P122" i="4" l="1"/>
  <c r="G594" i="4"/>
  <c r="G595" i="4" s="1"/>
  <c r="G596" i="4" s="1"/>
  <c r="G597" i="4" s="1"/>
  <c r="G598" i="4" s="1"/>
  <c r="G599" i="4" s="1"/>
  <c r="G600" i="4" s="1"/>
  <c r="G601" i="4" s="1"/>
  <c r="G602" i="4" s="1"/>
  <c r="G603" i="4" s="1"/>
  <c r="G604" i="4" s="1"/>
  <c r="G605" i="4" s="1"/>
  <c r="G606" i="4" s="1"/>
  <c r="G607" i="4" s="1"/>
  <c r="G608" i="4" s="1"/>
  <c r="G609" i="4" s="1"/>
  <c r="G610" i="4" s="1"/>
  <c r="G611" i="4" s="1"/>
  <c r="G612" i="4" s="1"/>
  <c r="G613" i="4" s="1"/>
  <c r="G614" i="4" s="1"/>
  <c r="G615" i="4" s="1"/>
  <c r="G616" i="4" s="1"/>
  <c r="G617" i="4" s="1"/>
  <c r="G618" i="4" s="1"/>
  <c r="G619" i="4" s="1"/>
  <c r="G620" i="4" s="1"/>
  <c r="G621" i="4" s="1"/>
  <c r="G622" i="4" s="1"/>
  <c r="G623" i="4" s="1"/>
  <c r="G624" i="4" s="1"/>
  <c r="G625" i="4" s="1"/>
  <c r="G626" i="4" s="1"/>
  <c r="G627" i="4" s="1"/>
  <c r="G628" i="4" s="1"/>
  <c r="G629" i="4" s="1"/>
  <c r="G630" i="4" s="1"/>
  <c r="G631" i="4" s="1"/>
  <c r="G632" i="4" s="1"/>
  <c r="G633" i="4" s="1"/>
  <c r="G634" i="4" s="1"/>
  <c r="G635" i="4" s="1"/>
  <c r="G636" i="4" s="1"/>
  <c r="G637" i="4" s="1"/>
  <c r="G638" i="4" s="1"/>
  <c r="G639" i="4" s="1"/>
  <c r="G640" i="4" s="1"/>
  <c r="G641" i="4" s="1"/>
  <c r="G642" i="4" s="1"/>
  <c r="G643" i="4" s="1"/>
  <c r="G644" i="4" s="1"/>
  <c r="G645" i="4" s="1"/>
  <c r="G646" i="4" s="1"/>
  <c r="G647" i="4" s="1"/>
  <c r="G648" i="4" s="1"/>
  <c r="G649" i="4" s="1"/>
  <c r="G650" i="4" s="1"/>
  <c r="G651" i="4" s="1"/>
  <c r="G652" i="4" s="1"/>
  <c r="G653" i="4" s="1"/>
  <c r="G654" i="4" s="1"/>
  <c r="G655" i="4" s="1"/>
  <c r="G656" i="4" s="1"/>
  <c r="G657" i="4" s="1"/>
  <c r="G658" i="4" s="1"/>
  <c r="G659" i="4" s="1"/>
  <c r="G660" i="4" s="1"/>
  <c r="G661" i="4" s="1"/>
  <c r="G662" i="4" s="1"/>
  <c r="G663" i="4" s="1"/>
  <c r="G664" i="4" s="1"/>
  <c r="G665" i="4" s="1"/>
  <c r="G666" i="4" s="1"/>
  <c r="G667" i="4" s="1"/>
  <c r="G668" i="4" s="1"/>
  <c r="G669" i="4" s="1"/>
  <c r="G670" i="4" s="1"/>
  <c r="G671" i="4" s="1"/>
  <c r="G672" i="4" s="1"/>
  <c r="G673" i="4" s="1"/>
  <c r="G674" i="4" s="1"/>
  <c r="G675" i="4" s="1"/>
  <c r="G676" i="4" s="1"/>
  <c r="G677" i="4" s="1"/>
  <c r="G678" i="4" s="1"/>
  <c r="G679" i="4" s="1"/>
  <c r="G680" i="4" s="1"/>
  <c r="G681" i="4" s="1"/>
  <c r="G682" i="4" s="1"/>
  <c r="G683" i="4" s="1"/>
  <c r="G684" i="4" s="1"/>
  <c r="G685" i="4" s="1"/>
  <c r="G686" i="4" s="1"/>
  <c r="G687" i="4" s="1"/>
  <c r="G688" i="4" s="1"/>
  <c r="G689" i="4" s="1"/>
  <c r="G690" i="4" s="1"/>
  <c r="G691" i="4" s="1"/>
  <c r="G692" i="4" s="1"/>
  <c r="G693" i="4" s="1"/>
  <c r="G694" i="4" s="1"/>
  <c r="G695" i="4" s="1"/>
  <c r="G696" i="4" s="1"/>
  <c r="G697" i="4" s="1"/>
  <c r="G698" i="4" s="1"/>
  <c r="G699" i="4" s="1"/>
  <c r="G700" i="4" s="1"/>
  <c r="G701" i="4" s="1"/>
  <c r="G702" i="4" s="1"/>
  <c r="G703" i="4" s="1"/>
  <c r="G704" i="4" s="1"/>
  <c r="G705" i="4" s="1"/>
  <c r="G706" i="4" s="1"/>
  <c r="G707" i="4" s="1"/>
  <c r="G708" i="4" s="1"/>
  <c r="G709" i="4" s="1"/>
  <c r="G710" i="4" s="1"/>
  <c r="G711" i="4" s="1"/>
  <c r="G712" i="4" s="1"/>
  <c r="G713" i="4" s="1"/>
  <c r="G714" i="4" s="1"/>
  <c r="G715" i="4" s="1"/>
  <c r="G716" i="4" s="1"/>
  <c r="G717" i="4" s="1"/>
  <c r="G718" i="4" s="1"/>
  <c r="G719" i="4" s="1"/>
  <c r="G720" i="4" s="1"/>
  <c r="G721" i="4" s="1"/>
  <c r="G722" i="4" s="1"/>
  <c r="G723" i="4" s="1"/>
  <c r="G724" i="4" s="1"/>
  <c r="G725" i="4" s="1"/>
  <c r="G726" i="4" s="1"/>
  <c r="G727" i="4" s="1"/>
  <c r="G728" i="4" s="1"/>
  <c r="G729" i="4" s="1"/>
  <c r="G730" i="4" s="1"/>
  <c r="G731" i="4" s="1"/>
  <c r="G732" i="4" s="1"/>
  <c r="G733" i="4" s="1"/>
  <c r="G734" i="4" s="1"/>
  <c r="G735" i="4" s="1"/>
  <c r="G736" i="4" s="1"/>
  <c r="G737" i="4" s="1"/>
  <c r="G738" i="4" s="1"/>
  <c r="G739" i="4" s="1"/>
  <c r="G740" i="4" s="1"/>
  <c r="G741" i="4" s="1"/>
  <c r="G742" i="4" s="1"/>
  <c r="G743" i="4" s="1"/>
  <c r="G744" i="4" s="1"/>
  <c r="G745" i="4" s="1"/>
  <c r="G746" i="4" s="1"/>
  <c r="G747" i="4" s="1"/>
  <c r="G748" i="4" s="1"/>
  <c r="G749" i="4" s="1"/>
  <c r="G750" i="4" s="1"/>
  <c r="G751" i="4" s="1"/>
  <c r="G752" i="4" s="1"/>
  <c r="G753" i="4" s="1"/>
  <c r="G754" i="4" s="1"/>
  <c r="G755" i="4" s="1"/>
  <c r="G756" i="4" s="1"/>
  <c r="G757" i="4" s="1"/>
  <c r="G758" i="4" s="1"/>
  <c r="G759" i="4" s="1"/>
  <c r="G760" i="4" s="1"/>
  <c r="G761" i="4" s="1"/>
  <c r="G762" i="4" s="1"/>
  <c r="G763" i="4" s="1"/>
  <c r="G764" i="4" s="1"/>
  <c r="G765" i="4" s="1"/>
  <c r="G766" i="4" s="1"/>
  <c r="G767" i="4" s="1"/>
  <c r="G768" i="4" s="1"/>
  <c r="G769" i="4" s="1"/>
  <c r="G770" i="4" s="1"/>
  <c r="G771" i="4" s="1"/>
  <c r="G772" i="4" s="1"/>
  <c r="G773" i="4" s="1"/>
  <c r="G774" i="4" s="1"/>
  <c r="G775" i="4" s="1"/>
  <c r="G776" i="4" s="1"/>
  <c r="G777" i="4" s="1"/>
  <c r="G778" i="4" s="1"/>
  <c r="G779" i="4" s="1"/>
  <c r="G780" i="4" s="1"/>
  <c r="G781" i="4" s="1"/>
  <c r="G782" i="4" s="1"/>
  <c r="G783" i="4" s="1"/>
  <c r="G784" i="4" s="1"/>
  <c r="G785" i="4" s="1"/>
  <c r="G786" i="4" s="1"/>
  <c r="G787" i="4" s="1"/>
  <c r="G788" i="4" s="1"/>
  <c r="G789" i="4" s="1"/>
  <c r="G790" i="4" s="1"/>
  <c r="G791" i="4" s="1"/>
  <c r="G792" i="4" s="1"/>
  <c r="G793" i="4" s="1"/>
  <c r="G794" i="4" s="1"/>
  <c r="G795" i="4" s="1"/>
  <c r="G796" i="4" s="1"/>
  <c r="G797" i="4" s="1"/>
  <c r="G798" i="4" s="1"/>
  <c r="G799" i="4" s="1"/>
  <c r="G800" i="4" s="1"/>
  <c r="G801" i="4" s="1"/>
  <c r="G802" i="4" s="1"/>
  <c r="G803" i="4" s="1"/>
  <c r="G804" i="4" s="1"/>
  <c r="G805" i="4" s="1"/>
  <c r="G806" i="4" s="1"/>
  <c r="G807" i="4" s="1"/>
  <c r="G808" i="4" s="1"/>
  <c r="G809" i="4" s="1"/>
  <c r="G810" i="4" s="1"/>
  <c r="G811" i="4" s="1"/>
  <c r="G812" i="4" s="1"/>
  <c r="G813" i="4" s="1"/>
  <c r="G814" i="4" s="1"/>
  <c r="G815" i="4" s="1"/>
  <c r="G816" i="4" s="1"/>
  <c r="G817" i="4" s="1"/>
  <c r="G818" i="4" s="1"/>
  <c r="G819" i="4" s="1"/>
  <c r="G820" i="4" s="1"/>
  <c r="G821" i="4" s="1"/>
  <c r="G822" i="4" s="1"/>
  <c r="G823" i="4" s="1"/>
  <c r="G824" i="4" s="1"/>
  <c r="G825" i="4" s="1"/>
  <c r="G826" i="4" s="1"/>
  <c r="G827" i="4" s="1"/>
  <c r="G828" i="4" s="1"/>
  <c r="G829" i="4" s="1"/>
  <c r="G830" i="4" s="1"/>
  <c r="G831" i="4" s="1"/>
  <c r="G832" i="4" s="1"/>
  <c r="G833" i="4" s="1"/>
  <c r="G834" i="4" s="1"/>
  <c r="G835" i="4" s="1"/>
  <c r="G836" i="4" s="1"/>
  <c r="G837" i="4" s="1"/>
  <c r="G838" i="4" s="1"/>
  <c r="G839" i="4" s="1"/>
  <c r="G840" i="4" s="1"/>
  <c r="G841" i="4" s="1"/>
  <c r="G842" i="4" s="1"/>
  <c r="G843" i="4" s="1"/>
  <c r="G844" i="4" s="1"/>
  <c r="G845" i="4" s="1"/>
  <c r="G846" i="4" s="1"/>
  <c r="G847" i="4" s="1"/>
  <c r="G848" i="4" s="1"/>
  <c r="G849" i="4" s="1"/>
  <c r="G850" i="4" s="1"/>
  <c r="G851" i="4" s="1"/>
  <c r="G852" i="4" s="1"/>
  <c r="G853" i="4" s="1"/>
  <c r="G854" i="4" s="1"/>
  <c r="G855" i="4" s="1"/>
  <c r="G856" i="4" s="1"/>
  <c r="G857" i="4" s="1"/>
  <c r="G858" i="4" s="1"/>
  <c r="G859" i="4" s="1"/>
  <c r="G860" i="4" s="1"/>
  <c r="G861" i="4" s="1"/>
  <c r="G862" i="4" s="1"/>
  <c r="G863" i="4" s="1"/>
  <c r="G864" i="4" s="1"/>
  <c r="G865" i="4" s="1"/>
  <c r="G866" i="4" s="1"/>
  <c r="G867" i="4" s="1"/>
  <c r="G868" i="4" s="1"/>
  <c r="G869" i="4" s="1"/>
  <c r="G870" i="4" s="1"/>
  <c r="G871" i="4" s="1"/>
  <c r="G872" i="4" s="1"/>
  <c r="G873" i="4" s="1"/>
  <c r="G874" i="4" s="1"/>
  <c r="G875" i="4" s="1"/>
  <c r="G876" i="4" s="1"/>
  <c r="G877" i="4" s="1"/>
  <c r="G878" i="4" s="1"/>
  <c r="G879" i="4" s="1"/>
  <c r="G880" i="4" s="1"/>
  <c r="G881" i="4" s="1"/>
  <c r="G882" i="4" s="1"/>
  <c r="G883" i="4" s="1"/>
  <c r="G884" i="4" s="1"/>
  <c r="G885" i="4" s="1"/>
  <c r="G886" i="4" s="1"/>
  <c r="G887" i="4" s="1"/>
  <c r="G888" i="4" s="1"/>
  <c r="G889" i="4" s="1"/>
  <c r="G890" i="4" s="1"/>
  <c r="G891" i="4" s="1"/>
  <c r="G892" i="4" s="1"/>
  <c r="G893" i="4" s="1"/>
  <c r="G894" i="4" s="1"/>
  <c r="G895" i="4" s="1"/>
  <c r="G896" i="4" s="1"/>
  <c r="G897" i="4" s="1"/>
  <c r="G898" i="4" s="1"/>
  <c r="G899" i="4" s="1"/>
  <c r="G900" i="4" s="1"/>
  <c r="G901" i="4" s="1"/>
  <c r="G902" i="4" s="1"/>
  <c r="G903" i="4" s="1"/>
  <c r="G904" i="4" s="1"/>
  <c r="G905" i="4" s="1"/>
  <c r="G906" i="4" s="1"/>
  <c r="G907" i="4" s="1"/>
  <c r="G908" i="4" s="1"/>
  <c r="G909" i="4" s="1"/>
  <c r="G910" i="4" s="1"/>
  <c r="G911" i="4" s="1"/>
  <c r="G912" i="4" s="1"/>
  <c r="G913" i="4" s="1"/>
  <c r="G914" i="4" s="1"/>
  <c r="G915" i="4" s="1"/>
  <c r="G916" i="4" s="1"/>
  <c r="G917" i="4" s="1"/>
  <c r="G918" i="4" s="1"/>
  <c r="G919" i="4" s="1"/>
  <c r="G920" i="4" s="1"/>
  <c r="G921" i="4" s="1"/>
  <c r="G922" i="4" s="1"/>
  <c r="G923" i="4" s="1"/>
  <c r="G924" i="4" s="1"/>
  <c r="G925" i="4" s="1"/>
  <c r="G926" i="4" s="1"/>
  <c r="G927" i="4" s="1"/>
  <c r="G928" i="4" s="1"/>
  <c r="G929" i="4" s="1"/>
  <c r="G930" i="4" s="1"/>
  <c r="G931" i="4" s="1"/>
  <c r="G932" i="4" s="1"/>
  <c r="G933" i="4" s="1"/>
  <c r="G934" i="4" s="1"/>
  <c r="G935" i="4" s="1"/>
  <c r="G936" i="4" s="1"/>
  <c r="G937" i="4" s="1"/>
  <c r="G938" i="4" s="1"/>
  <c r="G939" i="4" s="1"/>
  <c r="G940" i="4" s="1"/>
  <c r="G941" i="4" s="1"/>
  <c r="G942" i="4" s="1"/>
  <c r="G943" i="4" s="1"/>
  <c r="G944" i="4" s="1"/>
  <c r="G945" i="4" s="1"/>
  <c r="G946" i="4" s="1"/>
  <c r="G947" i="4" s="1"/>
  <c r="G948" i="4" s="1"/>
  <c r="G949" i="4" s="1"/>
  <c r="G950" i="4" s="1"/>
  <c r="G951" i="4" s="1"/>
  <c r="G952" i="4" s="1"/>
  <c r="G953" i="4" s="1"/>
  <c r="G954" i="4" s="1"/>
  <c r="G955" i="4" s="1"/>
  <c r="G956" i="4" s="1"/>
  <c r="G957" i="4" s="1"/>
  <c r="G958" i="4" s="1"/>
  <c r="G959" i="4" s="1"/>
  <c r="G960" i="4" s="1"/>
  <c r="G961" i="4" s="1"/>
  <c r="G962" i="4" s="1"/>
  <c r="G963" i="4" s="1"/>
  <c r="G964" i="4" s="1"/>
  <c r="G965" i="4" s="1"/>
  <c r="G966" i="4" s="1"/>
  <c r="G967" i="4" s="1"/>
  <c r="G968" i="4" s="1"/>
  <c r="G969" i="4" s="1"/>
  <c r="G970" i="4" s="1"/>
  <c r="G971" i="4" s="1"/>
  <c r="G972" i="4" s="1"/>
  <c r="G973" i="4" s="1"/>
  <c r="G974" i="4" s="1"/>
  <c r="G975" i="4" s="1"/>
  <c r="G976" i="4" s="1"/>
  <c r="G977" i="4" s="1"/>
  <c r="G978" i="4" s="1"/>
  <c r="G979" i="4" s="1"/>
  <c r="G980" i="4" s="1"/>
  <c r="G981" i="4" s="1"/>
  <c r="G982" i="4" s="1"/>
  <c r="G983" i="4" s="1"/>
  <c r="G984" i="4" s="1"/>
  <c r="G985" i="4" s="1"/>
  <c r="G986" i="4" s="1"/>
  <c r="G987" i="4" s="1"/>
  <c r="G988" i="4" s="1"/>
  <c r="G989" i="4" s="1"/>
  <c r="G990" i="4" s="1"/>
  <c r="G991" i="4" s="1"/>
  <c r="G992" i="4" s="1"/>
  <c r="G993" i="4" s="1"/>
  <c r="G994" i="4" s="1"/>
  <c r="G995" i="4" s="1"/>
  <c r="G996" i="4" s="1"/>
  <c r="G997" i="4" s="1"/>
  <c r="G998" i="4" s="1"/>
  <c r="G999" i="4" s="1"/>
  <c r="G1000" i="4" s="1"/>
  <c r="G1001" i="4" s="1"/>
  <c r="G1002" i="4" s="1"/>
  <c r="G1003" i="4" s="1"/>
  <c r="G1004" i="4" s="1"/>
  <c r="G1005" i="4" s="1"/>
  <c r="G1006" i="4" s="1"/>
  <c r="G1007" i="4" s="1"/>
  <c r="G1008" i="4" s="1"/>
  <c r="G1009" i="4" s="1"/>
  <c r="G1010" i="4" s="1"/>
  <c r="G1011" i="4" s="1"/>
  <c r="G1012" i="4" s="1"/>
  <c r="G1013" i="4" s="1"/>
  <c r="G1014" i="4" s="1"/>
  <c r="G1015" i="4" s="1"/>
  <c r="G1016" i="4" s="1"/>
  <c r="G1017" i="4" s="1"/>
  <c r="G1018" i="4" s="1"/>
  <c r="G1019" i="4" s="1"/>
  <c r="G1020" i="4" s="1"/>
  <c r="G1021" i="4" s="1"/>
  <c r="G1022" i="4" s="1"/>
  <c r="G1023" i="4" s="1"/>
  <c r="G1024" i="4" s="1"/>
  <c r="G1025" i="4" s="1"/>
  <c r="G1026" i="4" s="1"/>
  <c r="G1027" i="4" s="1"/>
  <c r="G1028" i="4" s="1"/>
  <c r="G1029" i="4" s="1"/>
  <c r="G1030" i="4" s="1"/>
  <c r="G1031" i="4" s="1"/>
  <c r="G1032" i="4" s="1"/>
  <c r="G1033" i="4" s="1"/>
  <c r="G1034" i="4" s="1"/>
  <c r="G1035" i="4" s="1"/>
  <c r="G1036" i="4" s="1"/>
  <c r="G1037" i="4" s="1"/>
  <c r="G1038" i="4" s="1"/>
  <c r="G1039" i="4" s="1"/>
  <c r="G1040" i="4" s="1"/>
  <c r="G1041" i="4" s="1"/>
  <c r="G1042" i="4" s="1"/>
  <c r="G1043" i="4" s="1"/>
  <c r="G1044" i="4" s="1"/>
  <c r="G1045" i="4" s="1"/>
  <c r="G1046" i="4" s="1"/>
  <c r="G1047" i="4" s="1"/>
  <c r="G1048" i="4" s="1"/>
  <c r="G1049" i="4" s="1"/>
  <c r="G1050" i="4" s="1"/>
  <c r="G1051" i="4" s="1"/>
  <c r="G1052" i="4" s="1"/>
  <c r="G1053" i="4" s="1"/>
  <c r="G1054" i="4" s="1"/>
  <c r="G1055" i="4" s="1"/>
  <c r="G1056" i="4" s="1"/>
  <c r="G1057" i="4" s="1"/>
  <c r="G1058" i="4" s="1"/>
  <c r="G1059" i="4" s="1"/>
  <c r="G1060" i="4" s="1"/>
  <c r="G1061" i="4" s="1"/>
  <c r="G1062" i="4" s="1"/>
  <c r="G1063" i="4" s="1"/>
  <c r="G1064" i="4" s="1"/>
  <c r="G1065" i="4" s="1"/>
  <c r="G1066" i="4" s="1"/>
  <c r="G1067" i="4" s="1"/>
  <c r="G1068" i="4" s="1"/>
  <c r="G1069" i="4" s="1"/>
  <c r="G1070" i="4" s="1"/>
  <c r="G1071" i="4" s="1"/>
  <c r="G1072" i="4" s="1"/>
  <c r="G1073" i="4" s="1"/>
  <c r="G1074" i="4" s="1"/>
  <c r="G1075" i="4" s="1"/>
  <c r="G1076" i="4" s="1"/>
  <c r="G1077" i="4" s="1"/>
  <c r="G1078" i="4" s="1"/>
  <c r="G1079" i="4" s="1"/>
  <c r="G1080" i="4" s="1"/>
  <c r="G1081" i="4" s="1"/>
  <c r="G1082" i="4" s="1"/>
  <c r="G1083" i="4" s="1"/>
  <c r="G1084" i="4" s="1"/>
  <c r="G1085" i="4" s="1"/>
  <c r="G1086" i="4" s="1"/>
  <c r="G1087" i="4" s="1"/>
  <c r="G1088" i="4" s="1"/>
  <c r="G1089" i="4" s="1"/>
  <c r="G1090" i="4" s="1"/>
  <c r="G1091" i="4" s="1"/>
  <c r="G1092" i="4" s="1"/>
  <c r="G1093" i="4" s="1"/>
  <c r="G1094" i="4" s="1"/>
  <c r="G1095" i="4" s="1"/>
  <c r="G1096" i="4" s="1"/>
  <c r="G1097" i="4" s="1"/>
  <c r="G1098" i="4" s="1"/>
  <c r="G1099" i="4" s="1"/>
  <c r="G1100" i="4" s="1"/>
  <c r="G1101" i="4" s="1"/>
  <c r="G1102" i="4" s="1"/>
  <c r="G1103" i="4" s="1"/>
  <c r="G1104" i="4" s="1"/>
  <c r="G1105" i="4" s="1"/>
  <c r="G1106" i="4" s="1"/>
  <c r="G1107" i="4" s="1"/>
  <c r="G1108" i="4" s="1"/>
  <c r="G1109" i="4" s="1"/>
  <c r="G1110" i="4" s="1"/>
  <c r="G1111" i="4" s="1"/>
  <c r="G1112" i="4" s="1"/>
  <c r="G1113" i="4" s="1"/>
  <c r="G1114" i="4" s="1"/>
  <c r="G1115" i="4" s="1"/>
  <c r="G1116" i="4" s="1"/>
  <c r="G1117" i="4" s="1"/>
  <c r="G1118" i="4" s="1"/>
  <c r="G1119" i="4" s="1"/>
  <c r="G1120" i="4" s="1"/>
  <c r="G1121" i="4" s="1"/>
  <c r="G1122" i="4" s="1"/>
  <c r="G1123" i="4" s="1"/>
  <c r="G1124" i="4" s="1"/>
  <c r="K123" i="4"/>
  <c r="L123" i="4"/>
  <c r="P123" i="4" l="1"/>
  <c r="B22" i="6" a="1"/>
  <c r="B22" i="6" s="1"/>
  <c r="K124" i="4"/>
  <c r="L124" i="4"/>
  <c r="P124" i="4" l="1"/>
  <c r="K125" i="4"/>
  <c r="L125" i="4" s="1"/>
  <c r="P125" i="4" l="1"/>
  <c r="K126" i="4"/>
  <c r="L126" i="4" s="1"/>
  <c r="P126" i="4" l="1"/>
  <c r="K127" i="4"/>
  <c r="L127" i="4" s="1"/>
  <c r="P127" i="4" l="1"/>
  <c r="K128" i="4"/>
  <c r="L128" i="4"/>
  <c r="P128" i="4" l="1"/>
  <c r="K129" i="4"/>
  <c r="L129" i="4"/>
  <c r="P129" i="4" l="1"/>
  <c r="K130" i="4"/>
  <c r="L130" i="4" s="1"/>
  <c r="P130" i="4" l="1"/>
  <c r="K131" i="4"/>
  <c r="L131" i="4" s="1"/>
  <c r="P131" i="4" l="1"/>
  <c r="K132" i="4"/>
  <c r="L132" i="4" s="1"/>
  <c r="P132" i="4" l="1"/>
  <c r="K133" i="4"/>
  <c r="L133" i="4" s="1"/>
  <c r="P133" i="4" l="1"/>
  <c r="K134" i="4"/>
  <c r="L134" i="4" s="1"/>
  <c r="P134" i="4" l="1"/>
  <c r="K135" i="4"/>
  <c r="L135" i="4"/>
  <c r="P135" i="4" l="1"/>
  <c r="K136" i="4"/>
  <c r="L136" i="4" s="1"/>
  <c r="P136" i="4" l="1"/>
  <c r="K137" i="4"/>
  <c r="L137" i="4" s="1"/>
  <c r="P137" i="4" l="1"/>
  <c r="K138" i="4"/>
  <c r="L138" i="4" s="1"/>
  <c r="P138" i="4" l="1"/>
  <c r="K139" i="4"/>
  <c r="L139" i="4" s="1"/>
  <c r="P139" i="4" l="1"/>
  <c r="K140" i="4"/>
  <c r="L140" i="4" s="1"/>
  <c r="P140" i="4" l="1"/>
  <c r="K141" i="4"/>
  <c r="L141" i="4" s="1"/>
  <c r="P141" i="4" l="1"/>
  <c r="K142" i="4"/>
  <c r="L142" i="4"/>
  <c r="P142" i="4" l="1"/>
  <c r="K143" i="4"/>
  <c r="L143" i="4"/>
  <c r="P143" i="4" l="1"/>
  <c r="K144" i="4"/>
  <c r="L144" i="4" s="1"/>
  <c r="P144" i="4" l="1"/>
  <c r="K145" i="4"/>
  <c r="L145" i="4"/>
  <c r="P145" i="4" l="1"/>
  <c r="K146" i="4"/>
  <c r="L146" i="4"/>
  <c r="P146" i="4" l="1"/>
  <c r="K147" i="4"/>
  <c r="L147" i="4" s="1"/>
  <c r="P147" i="4" l="1"/>
  <c r="K148" i="4"/>
  <c r="L148" i="4"/>
  <c r="P148" i="4" l="1"/>
  <c r="K149" i="4"/>
  <c r="L149" i="4" s="1"/>
  <c r="P149" i="4" l="1"/>
  <c r="K150" i="4"/>
  <c r="L150" i="4"/>
  <c r="P150" i="4" l="1"/>
  <c r="K151" i="4"/>
  <c r="L151" i="4"/>
  <c r="P151" i="4" l="1"/>
  <c r="K152" i="4"/>
  <c r="L152" i="4"/>
  <c r="P152" i="4" l="1"/>
  <c r="K153" i="4"/>
  <c r="L153" i="4"/>
  <c r="P153" i="4" l="1"/>
  <c r="K154" i="4"/>
  <c r="L154" i="4"/>
  <c r="P154" i="4" l="1"/>
  <c r="K155" i="4"/>
  <c r="L155" i="4"/>
  <c r="P155" i="4" l="1"/>
  <c r="K156" i="4"/>
  <c r="L156" i="4"/>
  <c r="P156" i="4" l="1"/>
  <c r="K157" i="4"/>
  <c r="L157" i="4"/>
  <c r="P157" i="4" l="1"/>
  <c r="K158" i="4"/>
  <c r="L158" i="4"/>
  <c r="P158" i="4" l="1"/>
  <c r="K159" i="4"/>
  <c r="L159" i="4"/>
  <c r="P159" i="4" l="1"/>
  <c r="K160" i="4"/>
  <c r="L160" i="4"/>
  <c r="P160" i="4" l="1"/>
  <c r="K161" i="4"/>
  <c r="L161" i="4"/>
  <c r="P161" i="4" l="1"/>
  <c r="K162" i="4"/>
  <c r="L162" i="4"/>
  <c r="P162" i="4" l="1"/>
  <c r="K163" i="4"/>
  <c r="L163" i="4" s="1"/>
  <c r="P163" i="4" l="1"/>
  <c r="K164" i="4"/>
  <c r="L164" i="4"/>
  <c r="P164" i="4" l="1"/>
  <c r="K165" i="4"/>
  <c r="L165" i="4"/>
  <c r="P165" i="4" l="1"/>
  <c r="K166" i="4"/>
  <c r="L166" i="4"/>
  <c r="P166" i="4" l="1"/>
  <c r="K167" i="4"/>
  <c r="L167" i="4"/>
  <c r="P167" i="4" l="1"/>
  <c r="K168" i="4"/>
  <c r="L168" i="4" s="1"/>
  <c r="P168" i="4" l="1"/>
  <c r="K169" i="4"/>
  <c r="L169" i="4"/>
  <c r="P169" i="4" l="1"/>
  <c r="K170" i="4"/>
  <c r="L170" i="4"/>
  <c r="P170" i="4" l="1"/>
  <c r="K171" i="4"/>
  <c r="L171" i="4"/>
  <c r="P171" i="4" l="1"/>
  <c r="K172" i="4"/>
  <c r="L172" i="4"/>
  <c r="P172" i="4" l="1"/>
  <c r="K173" i="4"/>
  <c r="L173" i="4"/>
  <c r="P173" i="4" l="1"/>
  <c r="K174" i="4"/>
  <c r="L174" i="4" s="1"/>
  <c r="P174" i="4" l="1"/>
  <c r="K175" i="4"/>
  <c r="L175" i="4"/>
  <c r="P175" i="4" l="1"/>
  <c r="K176" i="4"/>
  <c r="L176" i="4" s="1"/>
  <c r="P176" i="4" l="1"/>
  <c r="K177" i="4"/>
  <c r="L177" i="4" s="1"/>
  <c r="P177" i="4" l="1"/>
  <c r="K178" i="4"/>
  <c r="L178" i="4"/>
  <c r="P178" i="4" l="1"/>
  <c r="K179" i="4"/>
  <c r="L179" i="4"/>
  <c r="P179" i="4" l="1"/>
  <c r="K180" i="4"/>
  <c r="L180" i="4"/>
  <c r="P180" i="4" l="1"/>
  <c r="K181" i="4"/>
  <c r="L181" i="4" s="1"/>
  <c r="P181" i="4" l="1"/>
  <c r="K182" i="4"/>
  <c r="L182" i="4"/>
  <c r="P182" i="4" l="1"/>
  <c r="K183" i="4"/>
  <c r="L183" i="4"/>
  <c r="P183" i="4" l="1"/>
  <c r="K184" i="4"/>
  <c r="L184" i="4"/>
  <c r="P184" i="4" l="1"/>
  <c r="K185" i="4"/>
  <c r="L185" i="4"/>
  <c r="P185" i="4" l="1"/>
  <c r="K186" i="4"/>
  <c r="L186" i="4"/>
  <c r="P186" i="4" l="1"/>
  <c r="K187" i="4"/>
  <c r="L187" i="4"/>
  <c r="P187" i="4" l="1"/>
  <c r="K188" i="4"/>
  <c r="L188" i="4" s="1"/>
  <c r="P188" i="4" l="1"/>
  <c r="K189" i="4"/>
  <c r="L189" i="4"/>
  <c r="P189" i="4" l="1"/>
  <c r="K190" i="4"/>
  <c r="L190" i="4"/>
  <c r="P190" i="4" l="1"/>
  <c r="K191" i="4"/>
  <c r="L191" i="4"/>
  <c r="P191" i="4" l="1"/>
  <c r="K192" i="4"/>
  <c r="L192" i="4" s="1"/>
  <c r="P192" i="4" l="1"/>
  <c r="K193" i="4"/>
  <c r="L193" i="4"/>
  <c r="P193" i="4" l="1"/>
  <c r="K194" i="4"/>
  <c r="L194" i="4" s="1"/>
  <c r="P194" i="4" l="1"/>
  <c r="K195" i="4"/>
  <c r="L195" i="4" s="1"/>
  <c r="P195" i="4" l="1"/>
  <c r="K196" i="4"/>
  <c r="L196" i="4" s="1"/>
  <c r="P196" i="4" l="1"/>
  <c r="K197" i="4"/>
  <c r="L197" i="4"/>
  <c r="P197" i="4" l="1"/>
  <c r="K198" i="4"/>
  <c r="L198" i="4"/>
  <c r="P198" i="4" l="1"/>
  <c r="K199" i="4"/>
  <c r="L199" i="4"/>
  <c r="P199" i="4" l="1"/>
  <c r="K200" i="4"/>
  <c r="L200" i="4"/>
  <c r="P200" i="4" l="1"/>
  <c r="K201" i="4"/>
  <c r="L201" i="4"/>
  <c r="P201" i="4" l="1"/>
  <c r="K202" i="4"/>
  <c r="L202" i="4" s="1"/>
  <c r="P202" i="4" l="1"/>
  <c r="K203" i="4"/>
  <c r="L203" i="4" s="1"/>
  <c r="P203" i="4" l="1"/>
  <c r="K204" i="4"/>
  <c r="L204" i="4"/>
  <c r="P204" i="4" l="1"/>
  <c r="K205" i="4"/>
  <c r="L205" i="4"/>
  <c r="P205" i="4" l="1"/>
  <c r="K206" i="4"/>
  <c r="L206" i="4"/>
  <c r="P206" i="4" l="1"/>
  <c r="K207" i="4"/>
  <c r="L207" i="4"/>
  <c r="P207" i="4" l="1"/>
  <c r="K208" i="4"/>
  <c r="L208" i="4"/>
  <c r="P208" i="4" l="1"/>
  <c r="K209" i="4"/>
  <c r="L209" i="4"/>
  <c r="P209" i="4" l="1"/>
  <c r="K210" i="4"/>
  <c r="L210" i="4"/>
  <c r="P210" i="4" l="1"/>
  <c r="K211" i="4"/>
  <c r="L211" i="4"/>
  <c r="P211" i="4" l="1"/>
  <c r="K212" i="4"/>
  <c r="L212" i="4"/>
  <c r="P212" i="4" l="1"/>
  <c r="K213" i="4"/>
  <c r="L213" i="4"/>
  <c r="P213" i="4" l="1"/>
  <c r="K214" i="4"/>
  <c r="L214" i="4"/>
  <c r="P214" i="4" l="1"/>
  <c r="K215" i="4"/>
  <c r="L215" i="4"/>
  <c r="P215" i="4" l="1"/>
  <c r="K216" i="4"/>
  <c r="L216" i="4"/>
  <c r="P216" i="4" l="1"/>
  <c r="K217" i="4"/>
  <c r="L217" i="4"/>
  <c r="P217" i="4" l="1"/>
  <c r="K218" i="4"/>
  <c r="L218" i="4"/>
  <c r="P218" i="4" l="1"/>
  <c r="K219" i="4"/>
  <c r="L219" i="4" s="1"/>
  <c r="P219" i="4" l="1"/>
  <c r="K220" i="4"/>
  <c r="L220" i="4"/>
  <c r="P220" i="4" l="1"/>
  <c r="K221" i="4"/>
  <c r="L221" i="4" s="1"/>
  <c r="P221" i="4" l="1"/>
  <c r="K222" i="4"/>
  <c r="L222" i="4" s="1"/>
  <c r="P222" i="4" l="1"/>
  <c r="K223" i="4"/>
  <c r="L223" i="4"/>
  <c r="P223" i="4" l="1"/>
  <c r="K224" i="4"/>
  <c r="L224" i="4"/>
  <c r="P224" i="4" l="1"/>
  <c r="K225" i="4"/>
  <c r="L225" i="4"/>
  <c r="P225" i="4" l="1"/>
  <c r="K226" i="4"/>
  <c r="L226" i="4"/>
  <c r="P226" i="4" l="1"/>
  <c r="K227" i="4"/>
  <c r="L227" i="4"/>
  <c r="P227" i="4" l="1"/>
  <c r="K228" i="4"/>
  <c r="L228" i="4" s="1"/>
  <c r="P228" i="4" l="1"/>
  <c r="K229" i="4"/>
  <c r="L229" i="4" s="1"/>
  <c r="P229" i="4" l="1"/>
  <c r="K230" i="4"/>
  <c r="L230" i="4"/>
  <c r="P230" i="4" l="1"/>
  <c r="K231" i="4"/>
  <c r="L231" i="4" s="1"/>
  <c r="P231" i="4" l="1"/>
  <c r="K232" i="4"/>
  <c r="L232" i="4"/>
  <c r="P232" i="4" l="1"/>
  <c r="K233" i="4"/>
  <c r="L233" i="4" s="1"/>
  <c r="P233" i="4" l="1"/>
  <c r="K234" i="4"/>
  <c r="L234" i="4"/>
  <c r="P234" i="4" l="1"/>
  <c r="K235" i="4"/>
  <c r="L235" i="4"/>
  <c r="P235" i="4" l="1"/>
  <c r="K236" i="4"/>
  <c r="L236" i="4" s="1"/>
  <c r="P236" i="4" l="1"/>
  <c r="K237" i="4"/>
  <c r="L237" i="4"/>
  <c r="P237" i="4" l="1"/>
  <c r="K238" i="4"/>
  <c r="L238" i="4" s="1"/>
  <c r="P238" i="4" l="1"/>
  <c r="K239" i="4"/>
  <c r="L239" i="4"/>
  <c r="P239" i="4" l="1"/>
  <c r="K240" i="4"/>
  <c r="L240" i="4" s="1"/>
  <c r="P240" i="4" l="1"/>
  <c r="K241" i="4"/>
  <c r="L241" i="4" s="1"/>
  <c r="P241" i="4" l="1"/>
  <c r="K242" i="4"/>
  <c r="L242" i="4" s="1"/>
  <c r="P242" i="4" l="1"/>
  <c r="K243" i="4"/>
  <c r="L243" i="4" s="1"/>
  <c r="P243" i="4" l="1"/>
  <c r="K244" i="4"/>
  <c r="L244" i="4" s="1"/>
  <c r="P244" i="4" l="1"/>
  <c r="K245" i="4"/>
  <c r="L245" i="4" s="1"/>
  <c r="P245" i="4" l="1"/>
  <c r="K246" i="4"/>
  <c r="L246" i="4"/>
  <c r="P246" i="4" l="1"/>
  <c r="K247" i="4"/>
  <c r="L247" i="4" s="1"/>
  <c r="P247" i="4" l="1"/>
  <c r="K248" i="4"/>
  <c r="L248" i="4" s="1"/>
  <c r="P248" i="4" l="1"/>
  <c r="K249" i="4"/>
  <c r="L249" i="4" s="1"/>
  <c r="P249" i="4" l="1"/>
  <c r="K250" i="4"/>
  <c r="L250" i="4" s="1"/>
  <c r="P250" i="4" l="1"/>
  <c r="K251" i="4"/>
  <c r="L251" i="4"/>
  <c r="P251" i="4" l="1"/>
  <c r="K252" i="4"/>
  <c r="L252" i="4"/>
  <c r="P252" i="4" l="1"/>
  <c r="K253" i="4"/>
  <c r="L253" i="4"/>
  <c r="P253" i="4" l="1"/>
  <c r="K254" i="4"/>
  <c r="L254" i="4"/>
  <c r="P254" i="4" l="1"/>
  <c r="K255" i="4"/>
  <c r="L255" i="4"/>
  <c r="P255" i="4" l="1"/>
  <c r="K256" i="4"/>
  <c r="L256" i="4" s="1"/>
  <c r="P256" i="4" l="1"/>
  <c r="K257" i="4"/>
  <c r="L257" i="4" s="1"/>
  <c r="P257" i="4" l="1"/>
  <c r="K258" i="4"/>
  <c r="L258" i="4" s="1"/>
  <c r="P258" i="4" l="1"/>
  <c r="K259" i="4"/>
  <c r="L259" i="4"/>
  <c r="P259" i="4" l="1"/>
  <c r="K260" i="4"/>
  <c r="L260" i="4"/>
  <c r="P260" i="4" l="1"/>
  <c r="K261" i="4"/>
  <c r="L261" i="4" s="1"/>
  <c r="P261" i="4" l="1"/>
  <c r="K262" i="4"/>
  <c r="L262" i="4"/>
  <c r="P262" i="4" l="1"/>
  <c r="K263" i="4"/>
  <c r="L263" i="4"/>
  <c r="P263" i="4" l="1"/>
  <c r="K264" i="4"/>
  <c r="L264" i="4"/>
  <c r="P264" i="4" l="1"/>
  <c r="K265" i="4"/>
  <c r="L265" i="4" s="1"/>
  <c r="P265" i="4" l="1"/>
  <c r="K266" i="4"/>
  <c r="L266" i="4" s="1"/>
  <c r="P266" i="4" l="1"/>
  <c r="K267" i="4"/>
  <c r="L267" i="4" s="1"/>
  <c r="P267" i="4" l="1"/>
  <c r="K268" i="4"/>
  <c r="L268" i="4"/>
  <c r="P268" i="4" l="1"/>
  <c r="K269" i="4"/>
  <c r="L269" i="4" s="1"/>
  <c r="P269" i="4" l="1"/>
  <c r="K270" i="4"/>
  <c r="L270" i="4" s="1"/>
  <c r="P270" i="4" l="1"/>
  <c r="K271" i="4"/>
  <c r="L271" i="4"/>
  <c r="P271" i="4" l="1"/>
  <c r="K272" i="4"/>
  <c r="L272" i="4"/>
  <c r="P272" i="4" l="1"/>
  <c r="K273" i="4"/>
  <c r="L273" i="4"/>
  <c r="P273" i="4" l="1"/>
  <c r="K274" i="4"/>
  <c r="L274" i="4" s="1"/>
  <c r="P274" i="4" l="1"/>
  <c r="K275" i="4"/>
  <c r="L275" i="4" s="1"/>
  <c r="P275" i="4" l="1"/>
  <c r="K276" i="4"/>
  <c r="L276" i="4" s="1"/>
  <c r="P276" i="4" l="1"/>
  <c r="K277" i="4"/>
  <c r="L277" i="4"/>
  <c r="P277" i="4" l="1"/>
  <c r="K278" i="4"/>
  <c r="L278" i="4"/>
  <c r="P278" i="4" l="1"/>
  <c r="K279" i="4"/>
  <c r="L279" i="4"/>
  <c r="P279" i="4" l="1"/>
  <c r="K280" i="4"/>
  <c r="L280" i="4"/>
  <c r="P280" i="4" l="1"/>
  <c r="K281" i="4"/>
  <c r="L281" i="4"/>
  <c r="P281" i="4" l="1"/>
  <c r="K282" i="4"/>
  <c r="L282" i="4"/>
  <c r="P282" i="4" l="1"/>
  <c r="K283" i="4"/>
  <c r="L283" i="4" s="1"/>
  <c r="P283" i="4" l="1"/>
  <c r="K284" i="4"/>
  <c r="L284" i="4"/>
  <c r="P284" i="4" l="1"/>
  <c r="K285" i="4"/>
  <c r="L285" i="4"/>
  <c r="P285" i="4" l="1"/>
  <c r="K286" i="4"/>
  <c r="L286" i="4" s="1"/>
  <c r="P286" i="4" l="1"/>
  <c r="K287" i="4"/>
  <c r="L287" i="4"/>
  <c r="P287" i="4" l="1"/>
  <c r="K288" i="4"/>
  <c r="L288" i="4" s="1"/>
  <c r="P288" i="4" l="1"/>
  <c r="K289" i="4"/>
  <c r="L289" i="4" s="1"/>
  <c r="P289" i="4" l="1"/>
  <c r="K290" i="4"/>
  <c r="L290" i="4"/>
  <c r="P290" i="4" l="1"/>
  <c r="K291" i="4"/>
  <c r="L291" i="4"/>
  <c r="P291" i="4" l="1"/>
  <c r="K292" i="4"/>
  <c r="L292" i="4" s="1"/>
  <c r="P292" i="4" l="1"/>
  <c r="K293" i="4"/>
  <c r="L293" i="4"/>
  <c r="P293" i="4" l="1"/>
  <c r="K294" i="4"/>
  <c r="L294" i="4"/>
  <c r="P294" i="4" l="1"/>
  <c r="K295" i="4"/>
  <c r="L295" i="4" s="1"/>
  <c r="P295" i="4" l="1"/>
  <c r="K296" i="4"/>
  <c r="L296" i="4"/>
  <c r="P296" i="4" l="1"/>
  <c r="K297" i="4"/>
  <c r="L297" i="4"/>
  <c r="P297" i="4" l="1"/>
  <c r="K298" i="4"/>
  <c r="L298" i="4"/>
  <c r="P298" i="4" l="1"/>
  <c r="K299" i="4"/>
  <c r="L299" i="4"/>
  <c r="P299" i="4" l="1"/>
  <c r="K300" i="4"/>
  <c r="L300" i="4" s="1"/>
  <c r="P300" i="4" l="1"/>
  <c r="K301" i="4"/>
  <c r="L301" i="4" s="1"/>
  <c r="P301" i="4" l="1"/>
  <c r="K302" i="4"/>
  <c r="L302" i="4" s="1"/>
  <c r="P302" i="4" l="1"/>
  <c r="K303" i="4"/>
  <c r="L303" i="4" s="1"/>
  <c r="P303" i="4" l="1"/>
  <c r="K304" i="4"/>
  <c r="L304" i="4" s="1"/>
  <c r="P304" i="4" l="1"/>
  <c r="K305" i="4"/>
  <c r="L305" i="4" s="1"/>
  <c r="P305" i="4" l="1"/>
  <c r="K306" i="4"/>
  <c r="L306" i="4" s="1"/>
  <c r="P306" i="4" l="1"/>
  <c r="K307" i="4"/>
  <c r="L307" i="4"/>
  <c r="P307" i="4" l="1"/>
  <c r="K308" i="4"/>
  <c r="L308" i="4"/>
  <c r="P308" i="4" l="1"/>
  <c r="K309" i="4"/>
  <c r="L309" i="4"/>
  <c r="P309" i="4" l="1"/>
  <c r="K310" i="4"/>
  <c r="L310" i="4"/>
  <c r="P310" i="4" l="1"/>
  <c r="K311" i="4"/>
  <c r="L311" i="4"/>
  <c r="P311" i="4" l="1"/>
  <c r="K312" i="4"/>
  <c r="L312" i="4"/>
  <c r="P312" i="4" l="1"/>
  <c r="K313" i="4"/>
  <c r="L313" i="4"/>
  <c r="P313" i="4" l="1"/>
  <c r="K314" i="4"/>
  <c r="L314" i="4"/>
  <c r="P314" i="4" l="1"/>
  <c r="K315" i="4"/>
  <c r="L315" i="4" s="1"/>
  <c r="P315" i="4" l="1"/>
  <c r="K316" i="4"/>
  <c r="L316" i="4" s="1"/>
  <c r="P316" i="4" l="1"/>
  <c r="K317" i="4"/>
  <c r="L317" i="4"/>
  <c r="P317" i="4" l="1"/>
  <c r="K318" i="4"/>
  <c r="L318" i="4"/>
  <c r="P318" i="4" l="1"/>
  <c r="K319" i="4"/>
  <c r="L319" i="4"/>
  <c r="P319" i="4" l="1"/>
  <c r="K320" i="4"/>
  <c r="L320" i="4"/>
  <c r="P320" i="4" l="1"/>
  <c r="K321" i="4"/>
  <c r="L321" i="4" s="1"/>
  <c r="P321" i="4" l="1"/>
  <c r="K322" i="4"/>
  <c r="L322" i="4"/>
  <c r="P322" i="4" l="1"/>
  <c r="K323" i="4"/>
  <c r="L323" i="4"/>
  <c r="P323" i="4" l="1"/>
  <c r="K324" i="4"/>
  <c r="L324" i="4" s="1"/>
  <c r="P324" i="4" l="1"/>
  <c r="K325" i="4"/>
  <c r="L325" i="4"/>
  <c r="P325" i="4" l="1"/>
  <c r="K326" i="4"/>
  <c r="L326" i="4"/>
  <c r="P326" i="4" l="1"/>
  <c r="K327" i="4"/>
  <c r="L327" i="4"/>
  <c r="P327" i="4" l="1"/>
  <c r="K328" i="4"/>
  <c r="L328" i="4"/>
  <c r="P328" i="4" l="1"/>
  <c r="K329" i="4"/>
  <c r="L329" i="4" s="1"/>
  <c r="P329" i="4" l="1"/>
  <c r="K330" i="4"/>
  <c r="L330" i="4" s="1"/>
  <c r="P330" i="4" l="1"/>
  <c r="K331" i="4"/>
  <c r="L331" i="4"/>
  <c r="P331" i="4" l="1"/>
  <c r="K332" i="4"/>
  <c r="L332" i="4" s="1"/>
  <c r="P332" i="4" l="1"/>
  <c r="K333" i="4"/>
  <c r="L333" i="4"/>
  <c r="P333" i="4" l="1"/>
  <c r="K334" i="4"/>
  <c r="L334" i="4"/>
  <c r="P334" i="4" l="1"/>
  <c r="K335" i="4"/>
  <c r="L335" i="4" s="1"/>
  <c r="P335" i="4" l="1"/>
  <c r="K336" i="4"/>
  <c r="L336" i="4"/>
  <c r="P336" i="4" l="1"/>
  <c r="K337" i="4"/>
  <c r="L337" i="4" s="1"/>
  <c r="P337" i="4" l="1"/>
  <c r="K338" i="4"/>
  <c r="L338" i="4"/>
  <c r="P338" i="4" l="1"/>
  <c r="K339" i="4"/>
  <c r="L339" i="4" s="1"/>
  <c r="P339" i="4" l="1"/>
  <c r="K340" i="4"/>
  <c r="L340" i="4"/>
  <c r="P340" i="4" l="1"/>
  <c r="K341" i="4"/>
  <c r="L341" i="4"/>
  <c r="P341" i="4" l="1"/>
  <c r="K342" i="4"/>
  <c r="L342" i="4"/>
  <c r="P342" i="4" l="1"/>
  <c r="K343" i="4"/>
  <c r="L343" i="4"/>
  <c r="P343" i="4" l="1"/>
  <c r="K344" i="4"/>
  <c r="L344" i="4" s="1"/>
  <c r="P344" i="4" l="1"/>
  <c r="K345" i="4"/>
  <c r="L345" i="4" s="1"/>
  <c r="P345" i="4" l="1"/>
  <c r="K346" i="4"/>
  <c r="L346" i="4"/>
  <c r="P346" i="4" l="1"/>
  <c r="K347" i="4"/>
  <c r="L347" i="4"/>
  <c r="P347" i="4" l="1"/>
  <c r="K348" i="4"/>
  <c r="L348" i="4"/>
  <c r="P348" i="4" l="1"/>
  <c r="K349" i="4"/>
  <c r="L349" i="4" s="1"/>
  <c r="P349" i="4" l="1"/>
  <c r="K350" i="4"/>
  <c r="L350" i="4"/>
  <c r="P350" i="4" l="1"/>
  <c r="K351" i="4"/>
  <c r="L351" i="4"/>
  <c r="P351" i="4" l="1"/>
  <c r="K352" i="4"/>
  <c r="L352" i="4" s="1"/>
  <c r="P352" i="4" l="1"/>
  <c r="K353" i="4"/>
  <c r="L353" i="4" s="1"/>
  <c r="P353" i="4" l="1"/>
  <c r="K354" i="4"/>
  <c r="L354" i="4"/>
  <c r="P354" i="4" l="1"/>
  <c r="K355" i="4"/>
  <c r="L355" i="4" s="1"/>
  <c r="P355" i="4" l="1"/>
  <c r="K356" i="4"/>
  <c r="L356" i="4"/>
  <c r="P356" i="4" l="1"/>
  <c r="K357" i="4"/>
  <c r="L357" i="4"/>
  <c r="P357" i="4" l="1"/>
  <c r="K358" i="4"/>
  <c r="L358" i="4"/>
  <c r="P358" i="4" l="1"/>
  <c r="K359" i="4"/>
  <c r="L359" i="4"/>
  <c r="P359" i="4" l="1"/>
  <c r="K360" i="4"/>
  <c r="L360" i="4"/>
  <c r="P360" i="4" l="1"/>
  <c r="K361" i="4"/>
  <c r="L361" i="4"/>
  <c r="P361" i="4" l="1"/>
  <c r="K362" i="4"/>
  <c r="L362" i="4"/>
  <c r="P362" i="4" l="1"/>
  <c r="K363" i="4"/>
  <c r="L363" i="4"/>
  <c r="P363" i="4" l="1"/>
  <c r="K364" i="4"/>
  <c r="L364" i="4"/>
  <c r="P364" i="4" l="1"/>
  <c r="K365" i="4"/>
  <c r="L365" i="4" s="1"/>
  <c r="P365" i="4" l="1"/>
  <c r="K366" i="4"/>
  <c r="L366" i="4"/>
  <c r="P366" i="4" l="1"/>
  <c r="K367" i="4"/>
  <c r="L367" i="4" s="1"/>
  <c r="P367" i="4" l="1"/>
  <c r="K368" i="4"/>
  <c r="L368" i="4"/>
  <c r="P368" i="4" l="1"/>
  <c r="K369" i="4"/>
  <c r="L369" i="4" s="1"/>
  <c r="P369" i="4" l="1"/>
  <c r="K370" i="4"/>
  <c r="L370" i="4" s="1"/>
  <c r="P370" i="4" l="1"/>
  <c r="K371" i="4"/>
  <c r="L371" i="4" s="1"/>
  <c r="P371" i="4" l="1"/>
  <c r="K372" i="4"/>
  <c r="L372" i="4" s="1"/>
  <c r="P372" i="4" l="1"/>
  <c r="K373" i="4"/>
  <c r="L373" i="4"/>
  <c r="P373" i="4" l="1"/>
  <c r="K374" i="4"/>
  <c r="L374" i="4"/>
  <c r="P374" i="4" l="1"/>
  <c r="K375" i="4"/>
  <c r="L375" i="4" s="1"/>
  <c r="P375" i="4" l="1"/>
  <c r="K376" i="4"/>
  <c r="L376" i="4" s="1"/>
  <c r="P376" i="4" l="1"/>
  <c r="K377" i="4"/>
  <c r="L377" i="4" s="1"/>
  <c r="P377" i="4" l="1"/>
  <c r="K378" i="4"/>
  <c r="L378" i="4"/>
  <c r="P378" i="4" l="1"/>
  <c r="K379" i="4"/>
  <c r="L379" i="4" s="1"/>
  <c r="P379" i="4" l="1"/>
  <c r="K380" i="4"/>
  <c r="L380" i="4"/>
  <c r="P380" i="4" l="1"/>
  <c r="K381" i="4"/>
  <c r="L381" i="4" s="1"/>
  <c r="P381" i="4" l="1"/>
  <c r="K382" i="4"/>
  <c r="L382" i="4" s="1"/>
  <c r="P382" i="4" l="1"/>
  <c r="K383" i="4"/>
  <c r="L383" i="4" s="1"/>
  <c r="P383" i="4" l="1"/>
  <c r="K384" i="4"/>
  <c r="L384" i="4" s="1"/>
  <c r="P384" i="4" l="1"/>
  <c r="K385" i="4"/>
  <c r="L385" i="4" s="1"/>
  <c r="P385" i="4" l="1"/>
  <c r="K386" i="4"/>
  <c r="L386" i="4"/>
  <c r="P386" i="4" l="1"/>
  <c r="K387" i="4"/>
  <c r="L387" i="4" s="1"/>
  <c r="P387" i="4" l="1"/>
  <c r="K388" i="4"/>
  <c r="L388" i="4"/>
  <c r="P388" i="4" l="1"/>
  <c r="K389" i="4"/>
  <c r="L389" i="4"/>
  <c r="P389" i="4" l="1"/>
  <c r="K390" i="4"/>
  <c r="L390" i="4" s="1"/>
  <c r="P390" i="4" l="1"/>
  <c r="K391" i="4"/>
  <c r="L391" i="4" s="1"/>
  <c r="P391" i="4" l="1"/>
  <c r="K392" i="4"/>
  <c r="L392" i="4" s="1"/>
  <c r="P392" i="4" l="1"/>
  <c r="K393" i="4"/>
  <c r="L393" i="4" s="1"/>
  <c r="P393" i="4" l="1"/>
  <c r="K394" i="4"/>
  <c r="L394" i="4"/>
  <c r="P394" i="4" l="1"/>
  <c r="K395" i="4"/>
  <c r="L395" i="4"/>
  <c r="P395" i="4" l="1"/>
  <c r="K396" i="4"/>
  <c r="L396" i="4" s="1"/>
  <c r="P396" i="4" l="1"/>
  <c r="K397" i="4"/>
  <c r="L397" i="4"/>
  <c r="P397" i="4" l="1"/>
  <c r="K398" i="4"/>
  <c r="L398" i="4" s="1"/>
  <c r="P398" i="4" l="1"/>
  <c r="K399" i="4"/>
  <c r="L399" i="4" s="1"/>
  <c r="P399" i="4" l="1"/>
  <c r="K400" i="4"/>
  <c r="L400" i="4" s="1"/>
  <c r="P400" i="4" l="1"/>
  <c r="K401" i="4"/>
  <c r="L401" i="4"/>
  <c r="P401" i="4" l="1"/>
  <c r="K402" i="4"/>
  <c r="L402" i="4"/>
  <c r="P402" i="4" l="1"/>
  <c r="K403" i="4"/>
  <c r="L403" i="4" s="1"/>
  <c r="P403" i="4" l="1"/>
  <c r="K404" i="4"/>
  <c r="L404" i="4"/>
  <c r="P404" i="4" l="1"/>
  <c r="K405" i="4"/>
  <c r="L405" i="4"/>
  <c r="P405" i="4" l="1"/>
  <c r="K406" i="4"/>
  <c r="L406" i="4" s="1"/>
  <c r="P406" i="4" l="1"/>
  <c r="K407" i="4"/>
  <c r="L407" i="4"/>
  <c r="P407" i="4" l="1"/>
  <c r="K408" i="4"/>
  <c r="L408" i="4"/>
  <c r="P408" i="4" l="1"/>
  <c r="K409" i="4"/>
  <c r="L409" i="4"/>
  <c r="P409" i="4" l="1"/>
  <c r="K410" i="4"/>
  <c r="L410" i="4" s="1"/>
  <c r="P410" i="4" l="1"/>
  <c r="K411" i="4"/>
  <c r="L411" i="4" s="1"/>
  <c r="P411" i="4" l="1"/>
  <c r="K412" i="4"/>
  <c r="L412" i="4" s="1"/>
  <c r="P412" i="4" l="1"/>
  <c r="K413" i="4"/>
  <c r="L413" i="4"/>
  <c r="P413" i="4" l="1"/>
  <c r="K414" i="4"/>
  <c r="L414" i="4"/>
  <c r="P414" i="4" l="1"/>
  <c r="K415" i="4"/>
  <c r="L415" i="4"/>
  <c r="P415" i="4" l="1"/>
  <c r="K416" i="4"/>
  <c r="L416" i="4"/>
  <c r="P416" i="4" l="1"/>
  <c r="K417" i="4"/>
  <c r="L417" i="4"/>
  <c r="P417" i="4" l="1"/>
  <c r="K418" i="4"/>
  <c r="L418" i="4" s="1"/>
  <c r="P418" i="4" l="1"/>
  <c r="K419" i="4"/>
  <c r="L419" i="4"/>
  <c r="P419" i="4" l="1"/>
  <c r="K420" i="4"/>
  <c r="L420" i="4"/>
  <c r="P420" i="4" l="1"/>
  <c r="K421" i="4"/>
  <c r="L421" i="4"/>
  <c r="P421" i="4" l="1"/>
  <c r="K422" i="4"/>
  <c r="L422" i="4"/>
  <c r="P422" i="4" l="1"/>
  <c r="K423" i="4"/>
  <c r="L423" i="4" s="1"/>
  <c r="P423" i="4" l="1"/>
  <c r="K424" i="4"/>
  <c r="L424" i="4" s="1"/>
  <c r="P424" i="4" l="1"/>
  <c r="K425" i="4"/>
  <c r="L425" i="4" s="1"/>
  <c r="P425" i="4" l="1"/>
  <c r="K426" i="4"/>
  <c r="L426" i="4"/>
  <c r="P426" i="4" l="1"/>
  <c r="K427" i="4"/>
  <c r="L427" i="4"/>
  <c r="P427" i="4" l="1"/>
  <c r="K428" i="4"/>
  <c r="L428" i="4"/>
  <c r="P428" i="4" l="1"/>
  <c r="K429" i="4"/>
  <c r="L429" i="4"/>
  <c r="P429" i="4" l="1"/>
  <c r="K430" i="4"/>
  <c r="L430" i="4"/>
  <c r="P430" i="4" l="1"/>
  <c r="K431" i="4"/>
  <c r="L431" i="4" s="1"/>
  <c r="P431" i="4" l="1"/>
  <c r="K432" i="4"/>
  <c r="L432" i="4" s="1"/>
  <c r="P432" i="4" l="1"/>
  <c r="K433" i="4"/>
  <c r="L433" i="4"/>
  <c r="P433" i="4" l="1"/>
  <c r="K434" i="4"/>
  <c r="L434" i="4"/>
  <c r="P434" i="4" l="1"/>
  <c r="K435" i="4"/>
  <c r="L435" i="4"/>
  <c r="P435" i="4" l="1"/>
  <c r="K436" i="4"/>
  <c r="L436" i="4"/>
  <c r="P436" i="4" l="1"/>
  <c r="K437" i="4"/>
  <c r="L437" i="4"/>
  <c r="P437" i="4" l="1"/>
  <c r="K438" i="4"/>
  <c r="L438" i="4"/>
  <c r="P438" i="4" l="1"/>
  <c r="K439" i="4"/>
  <c r="L439" i="4"/>
  <c r="P439" i="4" l="1"/>
  <c r="K440" i="4"/>
  <c r="L440" i="4"/>
  <c r="P440" i="4" l="1"/>
  <c r="K441" i="4"/>
  <c r="L441" i="4"/>
  <c r="P441" i="4" l="1"/>
  <c r="K442" i="4"/>
  <c r="L442" i="4" s="1"/>
  <c r="P442" i="4" l="1"/>
  <c r="K443" i="4"/>
  <c r="L443" i="4"/>
  <c r="P443" i="4" l="1"/>
  <c r="K444" i="4"/>
  <c r="L444" i="4" s="1"/>
  <c r="P444" i="4" l="1"/>
  <c r="K445" i="4"/>
  <c r="L445" i="4" s="1"/>
  <c r="P445" i="4" l="1"/>
  <c r="K446" i="4"/>
  <c r="L446" i="4"/>
  <c r="P446" i="4" l="1"/>
  <c r="K447" i="4"/>
  <c r="L447" i="4"/>
  <c r="P447" i="4" l="1"/>
  <c r="K448" i="4"/>
  <c r="L448" i="4"/>
  <c r="P448" i="4" l="1"/>
  <c r="K449" i="4"/>
  <c r="L449" i="4" s="1"/>
  <c r="P449" i="4" l="1"/>
  <c r="K450" i="4"/>
  <c r="L450" i="4" s="1"/>
  <c r="P450" i="4" l="1"/>
  <c r="K451" i="4"/>
  <c r="L451" i="4" s="1"/>
  <c r="P451" i="4" l="1"/>
  <c r="K452" i="4"/>
  <c r="L452" i="4" s="1"/>
  <c r="P452" i="4" l="1"/>
  <c r="K453" i="4"/>
  <c r="L453" i="4" s="1"/>
  <c r="P453" i="4" l="1"/>
  <c r="K454" i="4"/>
  <c r="L454" i="4" s="1"/>
  <c r="P454" i="4" l="1"/>
  <c r="K455" i="4"/>
  <c r="L455" i="4" s="1"/>
  <c r="P455" i="4" l="1"/>
  <c r="K456" i="4"/>
  <c r="L456" i="4"/>
  <c r="P456" i="4" l="1"/>
  <c r="K457" i="4"/>
  <c r="L457" i="4" s="1"/>
  <c r="P457" i="4" l="1"/>
  <c r="K458" i="4"/>
  <c r="L458" i="4"/>
  <c r="P458" i="4" l="1"/>
  <c r="K459" i="4"/>
  <c r="L459" i="4"/>
  <c r="P459" i="4" l="1"/>
  <c r="K460" i="4"/>
  <c r="L460" i="4" s="1"/>
  <c r="P460" i="4" l="1"/>
  <c r="K461" i="4"/>
  <c r="L461" i="4"/>
  <c r="P461" i="4" l="1"/>
  <c r="K462" i="4"/>
  <c r="L462" i="4"/>
  <c r="P462" i="4" l="1"/>
  <c r="K463" i="4"/>
  <c r="L463" i="4"/>
  <c r="P463" i="4" l="1"/>
  <c r="K464" i="4"/>
  <c r="L464" i="4" s="1"/>
  <c r="P464" i="4" l="1"/>
  <c r="K465" i="4"/>
  <c r="L465" i="4"/>
  <c r="P465" i="4" l="1"/>
  <c r="K466" i="4"/>
  <c r="L466" i="4"/>
  <c r="P466" i="4" l="1"/>
  <c r="K467" i="4"/>
  <c r="L467" i="4"/>
  <c r="P467" i="4" l="1"/>
  <c r="K468" i="4"/>
  <c r="L468" i="4" s="1"/>
  <c r="P468" i="4" l="1"/>
  <c r="K469" i="4"/>
  <c r="L469" i="4"/>
  <c r="P469" i="4" l="1"/>
  <c r="K470" i="4"/>
  <c r="L470" i="4" s="1"/>
  <c r="P470" i="4" l="1"/>
  <c r="K471" i="4"/>
  <c r="L471" i="4"/>
  <c r="P471" i="4" l="1"/>
  <c r="K472" i="4"/>
  <c r="L472" i="4"/>
  <c r="P472" i="4" l="1"/>
  <c r="K473" i="4"/>
  <c r="L473" i="4" s="1"/>
  <c r="P473" i="4" l="1"/>
  <c r="K474" i="4"/>
  <c r="L474" i="4" s="1"/>
  <c r="P474" i="4" l="1"/>
  <c r="K475" i="4"/>
  <c r="L475" i="4" s="1"/>
  <c r="P475" i="4" l="1"/>
  <c r="K476" i="4"/>
  <c r="L476" i="4" s="1"/>
  <c r="P476" i="4" l="1"/>
  <c r="K477" i="4"/>
  <c r="L477" i="4" s="1"/>
  <c r="P477" i="4" l="1"/>
  <c r="K478" i="4"/>
  <c r="L478" i="4"/>
  <c r="P478" i="4" l="1"/>
  <c r="K479" i="4"/>
  <c r="L479" i="4" s="1"/>
  <c r="P479" i="4" l="1"/>
  <c r="K480" i="4"/>
  <c r="L480" i="4" s="1"/>
  <c r="P480" i="4" l="1"/>
  <c r="K481" i="4"/>
  <c r="L481" i="4"/>
  <c r="P481" i="4" l="1"/>
  <c r="K482" i="4"/>
  <c r="L482" i="4" s="1"/>
  <c r="P482" i="4" l="1"/>
  <c r="K483" i="4"/>
  <c r="L483" i="4" s="1"/>
  <c r="P483" i="4" l="1"/>
  <c r="K484" i="4"/>
  <c r="L484" i="4"/>
  <c r="P484" i="4" l="1"/>
  <c r="K485" i="4"/>
  <c r="L485" i="4"/>
  <c r="P485" i="4" l="1"/>
  <c r="K486" i="4"/>
  <c r="L486" i="4"/>
  <c r="P486" i="4" l="1"/>
  <c r="K487" i="4"/>
  <c r="L487" i="4" s="1"/>
  <c r="P487" i="4" l="1"/>
  <c r="K488" i="4"/>
  <c r="L488" i="4"/>
  <c r="P488" i="4" l="1"/>
  <c r="K489" i="4"/>
  <c r="L489" i="4" s="1"/>
  <c r="P489" i="4" l="1"/>
  <c r="K490" i="4"/>
  <c r="L490" i="4" s="1"/>
  <c r="P490" i="4" l="1"/>
  <c r="K491" i="4"/>
  <c r="L491" i="4"/>
  <c r="P491" i="4" l="1"/>
  <c r="K492" i="4"/>
  <c r="L492" i="4" s="1"/>
  <c r="P492" i="4" l="1"/>
  <c r="K493" i="4"/>
  <c r="L493" i="4" s="1"/>
  <c r="P493" i="4" l="1"/>
  <c r="K494" i="4"/>
  <c r="L494" i="4" s="1"/>
  <c r="P494" i="4" l="1"/>
  <c r="K495" i="4"/>
  <c r="L495" i="4" s="1"/>
  <c r="P495" i="4" l="1"/>
  <c r="K496" i="4"/>
  <c r="L496" i="4"/>
  <c r="P496" i="4" l="1"/>
  <c r="K497" i="4"/>
  <c r="L497" i="4"/>
  <c r="P497" i="4" l="1"/>
  <c r="K498" i="4"/>
  <c r="L498" i="4"/>
  <c r="P498" i="4" l="1"/>
  <c r="K499" i="4"/>
  <c r="L499" i="4"/>
  <c r="P499" i="4" l="1"/>
  <c r="K500" i="4"/>
  <c r="L500" i="4" s="1"/>
  <c r="P500" i="4" l="1"/>
  <c r="K501" i="4"/>
  <c r="L501" i="4"/>
  <c r="P501" i="4" l="1"/>
  <c r="K502" i="4"/>
  <c r="L502" i="4"/>
  <c r="P502" i="4" l="1"/>
  <c r="K503" i="4"/>
  <c r="L503" i="4" s="1"/>
  <c r="P503" i="4" l="1"/>
  <c r="K504" i="4"/>
  <c r="L504" i="4" s="1"/>
  <c r="P504" i="4" l="1"/>
  <c r="K505" i="4"/>
  <c r="L505" i="4"/>
  <c r="P505" i="4" l="1"/>
  <c r="K506" i="4"/>
  <c r="L506" i="4" s="1"/>
  <c r="P506" i="4" l="1"/>
  <c r="K507" i="4"/>
  <c r="L507" i="4" s="1"/>
  <c r="P507" i="4" l="1"/>
  <c r="K508" i="4"/>
  <c r="L508" i="4"/>
  <c r="P508" i="4" l="1"/>
  <c r="K509" i="4"/>
  <c r="L509" i="4"/>
  <c r="P509" i="4" l="1"/>
  <c r="K510" i="4"/>
  <c r="L510" i="4"/>
  <c r="P510" i="4" l="1"/>
  <c r="K511" i="4"/>
  <c r="L511" i="4" s="1"/>
  <c r="P511" i="4" l="1"/>
  <c r="K512" i="4"/>
  <c r="L512" i="4" s="1"/>
  <c r="P512" i="4" l="1"/>
  <c r="K513" i="4"/>
  <c r="L513" i="4"/>
  <c r="P513" i="4" l="1"/>
  <c r="K514" i="4"/>
  <c r="L514" i="4"/>
  <c r="P514" i="4" l="1"/>
  <c r="K515" i="4"/>
  <c r="L515" i="4"/>
  <c r="P515" i="4" l="1"/>
  <c r="K516" i="4"/>
  <c r="L516" i="4"/>
  <c r="P516" i="4" l="1"/>
  <c r="K517" i="4"/>
  <c r="L517" i="4"/>
  <c r="P517" i="4" l="1"/>
  <c r="K518" i="4"/>
  <c r="L518" i="4"/>
  <c r="P518" i="4" l="1"/>
  <c r="K519" i="4"/>
  <c r="L519" i="4"/>
  <c r="P519" i="4" l="1"/>
  <c r="K520" i="4"/>
  <c r="L520" i="4"/>
  <c r="P520" i="4" l="1"/>
  <c r="K521" i="4"/>
  <c r="L521" i="4"/>
  <c r="P521" i="4" l="1"/>
  <c r="K522" i="4"/>
  <c r="L522" i="4"/>
  <c r="P522" i="4" l="1"/>
  <c r="K523" i="4"/>
  <c r="L523" i="4" s="1"/>
  <c r="P523" i="4" l="1"/>
  <c r="K524" i="4"/>
  <c r="L524" i="4" s="1"/>
  <c r="P524" i="4" l="1"/>
  <c r="K525" i="4"/>
  <c r="L525" i="4"/>
  <c r="P525" i="4" l="1"/>
  <c r="K526" i="4"/>
  <c r="L526" i="4" s="1"/>
  <c r="P526" i="4" l="1"/>
  <c r="K527" i="4"/>
  <c r="L527" i="4" s="1"/>
  <c r="P527" i="4" l="1"/>
  <c r="K528" i="4"/>
  <c r="L528" i="4"/>
  <c r="P528" i="4" l="1"/>
  <c r="K529" i="4"/>
  <c r="L529" i="4"/>
  <c r="P529" i="4" l="1"/>
  <c r="K530" i="4"/>
  <c r="L530" i="4"/>
  <c r="P530" i="4" l="1"/>
  <c r="K531" i="4"/>
  <c r="L531" i="4" s="1"/>
  <c r="P531" i="4" l="1"/>
  <c r="K532" i="4"/>
  <c r="L532" i="4"/>
  <c r="P532" i="4" l="1"/>
  <c r="K533" i="4"/>
  <c r="L533" i="4"/>
  <c r="P533" i="4" l="1"/>
  <c r="K534" i="4"/>
  <c r="L534" i="4" s="1"/>
  <c r="P534" i="4" l="1"/>
  <c r="K535" i="4"/>
  <c r="L535" i="4" s="1"/>
  <c r="P535" i="4" l="1"/>
  <c r="K536" i="4"/>
  <c r="L536" i="4" s="1"/>
  <c r="P536" i="4" l="1"/>
  <c r="K537" i="4"/>
  <c r="L537" i="4" s="1"/>
  <c r="P537" i="4" l="1"/>
  <c r="K538" i="4"/>
  <c r="L538" i="4" s="1"/>
  <c r="P538" i="4" l="1"/>
  <c r="K539" i="4"/>
  <c r="L539" i="4"/>
  <c r="P539" i="4" l="1"/>
  <c r="K540" i="4"/>
  <c r="L540" i="4" s="1"/>
  <c r="P540" i="4" l="1"/>
  <c r="K541" i="4"/>
  <c r="L541" i="4" s="1"/>
  <c r="P541" i="4" l="1"/>
  <c r="K542" i="4"/>
  <c r="L542" i="4"/>
  <c r="P542" i="4" l="1"/>
  <c r="K543" i="4"/>
  <c r="L543" i="4"/>
  <c r="P543" i="4" l="1"/>
  <c r="K544" i="4"/>
  <c r="L544" i="4" s="1"/>
  <c r="P544" i="4" l="1"/>
  <c r="K545" i="4"/>
  <c r="L545" i="4" s="1"/>
  <c r="P545" i="4" l="1"/>
  <c r="K546" i="4"/>
  <c r="L546" i="4" s="1"/>
  <c r="P546" i="4" l="1"/>
  <c r="K547" i="4"/>
  <c r="L547" i="4" s="1"/>
  <c r="P547" i="4" l="1"/>
  <c r="K548" i="4"/>
  <c r="L548" i="4"/>
  <c r="P548" i="4" l="1"/>
  <c r="K549" i="4"/>
  <c r="L549" i="4"/>
  <c r="P549" i="4" l="1"/>
  <c r="K550" i="4"/>
  <c r="L550" i="4"/>
  <c r="P550" i="4" l="1"/>
  <c r="K551" i="4"/>
  <c r="L551" i="4" s="1"/>
  <c r="P551" i="4" l="1"/>
  <c r="K552" i="4"/>
  <c r="L552" i="4" s="1"/>
  <c r="P552" i="4" l="1"/>
  <c r="K553" i="4"/>
  <c r="L553" i="4"/>
  <c r="P553" i="4" l="1"/>
  <c r="K554" i="4"/>
  <c r="L554" i="4" s="1"/>
  <c r="P554" i="4" l="1"/>
  <c r="K555" i="4"/>
  <c r="L555" i="4"/>
  <c r="P555" i="4" l="1"/>
  <c r="K556" i="4"/>
  <c r="L556" i="4"/>
  <c r="P556" i="4" l="1"/>
  <c r="K557" i="4"/>
  <c r="L557" i="4"/>
  <c r="P557" i="4" l="1"/>
  <c r="K558" i="4"/>
  <c r="L558" i="4"/>
  <c r="P558" i="4" l="1"/>
  <c r="K559" i="4"/>
  <c r="L559" i="4"/>
  <c r="P559" i="4" l="1"/>
  <c r="K560" i="4"/>
  <c r="L560" i="4"/>
  <c r="P560" i="4" l="1"/>
  <c r="K561" i="4"/>
  <c r="L561" i="4"/>
  <c r="P561" i="4" l="1"/>
  <c r="K562" i="4"/>
  <c r="L562" i="4"/>
  <c r="P562" i="4" l="1"/>
  <c r="K563" i="4"/>
  <c r="L563" i="4" s="1"/>
  <c r="P563" i="4" l="1"/>
  <c r="K564" i="4"/>
  <c r="L564" i="4"/>
  <c r="P564" i="4" l="1"/>
  <c r="K565" i="4"/>
  <c r="L565" i="4"/>
  <c r="P565" i="4" l="1"/>
  <c r="K566" i="4"/>
  <c r="L566" i="4" s="1"/>
  <c r="P566" i="4" l="1"/>
  <c r="K567" i="4"/>
  <c r="L567" i="4" s="1"/>
  <c r="P567" i="4" l="1"/>
  <c r="K568" i="4"/>
  <c r="L568" i="4"/>
  <c r="P568" i="4" l="1"/>
  <c r="K569" i="4"/>
  <c r="L569" i="4"/>
  <c r="P569" i="4" l="1"/>
  <c r="K570" i="4"/>
  <c r="L570" i="4"/>
  <c r="P570" i="4" l="1"/>
  <c r="K571" i="4"/>
  <c r="L571" i="4"/>
  <c r="P571" i="4" l="1"/>
  <c r="K572" i="4"/>
  <c r="L572" i="4" s="1"/>
  <c r="P572" i="4" l="1"/>
  <c r="K573" i="4"/>
  <c r="L573" i="4"/>
  <c r="P573" i="4" l="1"/>
  <c r="K574" i="4"/>
  <c r="L574" i="4"/>
  <c r="P574" i="4" l="1"/>
  <c r="K575" i="4"/>
  <c r="L575" i="4" s="1"/>
  <c r="P575" i="4" l="1"/>
  <c r="K576" i="4"/>
  <c r="L576" i="4" s="1"/>
  <c r="P576" i="4" l="1"/>
  <c r="K577" i="4"/>
  <c r="K578" i="4"/>
  <c r="K579" i="4"/>
  <c r="L577" i="4"/>
  <c r="L578" i="4"/>
  <c r="L579" i="4"/>
  <c r="K580" i="4"/>
  <c r="L580" i="4"/>
  <c r="K581" i="4"/>
  <c r="L581" i="4"/>
  <c r="K582" i="4"/>
  <c r="L582" i="4"/>
  <c r="K583" i="4"/>
  <c r="L583" i="4"/>
  <c r="K584" i="4"/>
  <c r="L584" i="4"/>
  <c r="K585" i="4"/>
  <c r="L585" i="4"/>
  <c r="K586" i="4"/>
  <c r="L586" i="4"/>
  <c r="K587" i="4"/>
  <c r="L587" i="4"/>
  <c r="K588" i="4"/>
  <c r="L588" i="4"/>
  <c r="K589" i="4"/>
  <c r="L589" i="4"/>
  <c r="K590" i="4"/>
  <c r="L590" i="4"/>
  <c r="K591" i="4"/>
  <c r="L591" i="4"/>
  <c r="K592" i="4"/>
  <c r="L592" i="4"/>
  <c r="K593" i="4"/>
  <c r="L593" i="4"/>
  <c r="K594" i="4"/>
  <c r="L594" i="4"/>
  <c r="K595" i="4"/>
  <c r="L595" i="4"/>
  <c r="K596" i="4"/>
  <c r="L596" i="4"/>
  <c r="K597" i="4"/>
  <c r="L597" i="4"/>
  <c r="K598" i="4"/>
  <c r="L598" i="4"/>
  <c r="K599" i="4"/>
  <c r="L599" i="4"/>
  <c r="K600" i="4"/>
  <c r="L600" i="4"/>
  <c r="K601" i="4"/>
  <c r="L601" i="4"/>
  <c r="K602" i="4"/>
  <c r="L602" i="4"/>
  <c r="K603" i="4"/>
  <c r="L603" i="4"/>
  <c r="K604" i="4"/>
  <c r="L604" i="4"/>
  <c r="K605" i="4"/>
  <c r="L605" i="4"/>
  <c r="K606" i="4"/>
  <c r="L606" i="4"/>
  <c r="K607" i="4"/>
  <c r="L607" i="4"/>
  <c r="K608" i="4"/>
  <c r="L608" i="4"/>
  <c r="K609" i="4"/>
  <c r="L609" i="4"/>
  <c r="K610" i="4"/>
  <c r="L610" i="4"/>
  <c r="K611" i="4"/>
  <c r="L611" i="4"/>
  <c r="K612" i="4"/>
  <c r="L612" i="4"/>
  <c r="K613" i="4"/>
  <c r="L613" i="4"/>
  <c r="K614" i="4"/>
  <c r="L614" i="4"/>
  <c r="K615" i="4"/>
  <c r="L615" i="4"/>
  <c r="K616" i="4"/>
  <c r="L616" i="4"/>
  <c r="K617" i="4"/>
  <c r="L617" i="4"/>
  <c r="K618" i="4"/>
  <c r="L618" i="4"/>
  <c r="K619" i="4"/>
  <c r="L619" i="4"/>
  <c r="K620" i="4"/>
  <c r="L620" i="4"/>
  <c r="K621" i="4"/>
  <c r="L621" i="4"/>
  <c r="K622" i="4"/>
  <c r="L622" i="4"/>
  <c r="K623" i="4"/>
  <c r="L623" i="4"/>
  <c r="K624" i="4"/>
  <c r="L624" i="4"/>
  <c r="K625" i="4"/>
  <c r="L625" i="4"/>
  <c r="K626" i="4"/>
  <c r="L626" i="4"/>
  <c r="K627" i="4"/>
  <c r="L627" i="4"/>
  <c r="K628" i="4"/>
  <c r="L628" i="4"/>
  <c r="K629" i="4"/>
  <c r="L629" i="4"/>
  <c r="K630" i="4"/>
  <c r="L630" i="4"/>
  <c r="K631" i="4"/>
  <c r="L631" i="4"/>
  <c r="K632" i="4"/>
  <c r="L632" i="4"/>
  <c r="K633" i="4"/>
  <c r="L633" i="4"/>
  <c r="K634" i="4"/>
  <c r="L634" i="4"/>
  <c r="K635" i="4"/>
  <c r="L635" i="4"/>
  <c r="K636" i="4"/>
  <c r="L636" i="4"/>
  <c r="K637" i="4"/>
  <c r="L637" i="4"/>
  <c r="K638" i="4"/>
  <c r="L638" i="4"/>
  <c r="K639" i="4"/>
  <c r="L639" i="4"/>
  <c r="K640" i="4"/>
  <c r="L640" i="4"/>
  <c r="K641" i="4"/>
  <c r="L641" i="4"/>
  <c r="K642" i="4"/>
  <c r="L642" i="4"/>
  <c r="K643" i="4"/>
  <c r="L643" i="4"/>
  <c r="K644" i="4"/>
  <c r="L644" i="4"/>
  <c r="K645" i="4"/>
  <c r="L645" i="4"/>
  <c r="K646" i="4"/>
  <c r="L646" i="4"/>
  <c r="K647" i="4"/>
  <c r="L647" i="4"/>
  <c r="K648" i="4"/>
  <c r="L648" i="4"/>
  <c r="K649" i="4"/>
  <c r="L649" i="4"/>
  <c r="K650" i="4"/>
  <c r="L650" i="4"/>
  <c r="K651" i="4"/>
  <c r="L651" i="4"/>
  <c r="K652" i="4"/>
  <c r="L652" i="4"/>
  <c r="K653" i="4"/>
  <c r="L653" i="4"/>
  <c r="K654" i="4"/>
  <c r="L654" i="4"/>
  <c r="K655" i="4"/>
  <c r="L655" i="4"/>
  <c r="K656" i="4"/>
  <c r="L656" i="4"/>
  <c r="K657" i="4"/>
  <c r="L657" i="4"/>
  <c r="K658" i="4"/>
  <c r="L658" i="4"/>
  <c r="K659" i="4"/>
  <c r="L659" i="4"/>
  <c r="K660" i="4"/>
  <c r="L660" i="4"/>
  <c r="K661" i="4"/>
  <c r="L661" i="4"/>
  <c r="K662" i="4"/>
  <c r="L662" i="4"/>
  <c r="K663" i="4"/>
  <c r="L663" i="4"/>
  <c r="K664" i="4"/>
  <c r="L664" i="4"/>
  <c r="K665" i="4"/>
  <c r="L665" i="4"/>
  <c r="K666" i="4"/>
  <c r="L666" i="4"/>
  <c r="K667" i="4"/>
  <c r="L667" i="4"/>
  <c r="K668" i="4"/>
  <c r="L668" i="4"/>
  <c r="K669" i="4"/>
  <c r="L669" i="4"/>
  <c r="K670" i="4"/>
  <c r="L670" i="4"/>
  <c r="K671" i="4"/>
  <c r="L671" i="4"/>
  <c r="K672" i="4"/>
  <c r="L672" i="4"/>
  <c r="K673" i="4"/>
  <c r="L673" i="4"/>
  <c r="K674" i="4"/>
  <c r="L674" i="4"/>
  <c r="K675" i="4"/>
  <c r="L675" i="4"/>
  <c r="K676" i="4"/>
  <c r="L676" i="4"/>
  <c r="K677" i="4"/>
  <c r="L677" i="4"/>
  <c r="K678" i="4"/>
  <c r="L678" i="4"/>
  <c r="K679" i="4"/>
  <c r="L679" i="4"/>
  <c r="K680" i="4"/>
  <c r="L680" i="4"/>
  <c r="K681" i="4"/>
  <c r="L681" i="4"/>
  <c r="K682" i="4"/>
  <c r="L682" i="4"/>
  <c r="K683" i="4"/>
  <c r="L683" i="4"/>
  <c r="K684" i="4"/>
  <c r="L684" i="4"/>
  <c r="K685" i="4"/>
  <c r="L685" i="4"/>
  <c r="K686" i="4"/>
  <c r="L686" i="4"/>
  <c r="K687" i="4"/>
  <c r="L687" i="4"/>
  <c r="K688" i="4"/>
  <c r="L688" i="4"/>
  <c r="K689" i="4"/>
  <c r="L689" i="4"/>
  <c r="K690" i="4"/>
  <c r="L690" i="4"/>
  <c r="K691" i="4"/>
  <c r="L691" i="4"/>
  <c r="K692" i="4"/>
  <c r="L692" i="4"/>
  <c r="K693" i="4"/>
  <c r="L693" i="4"/>
  <c r="K694" i="4"/>
  <c r="L694" i="4"/>
  <c r="K695" i="4"/>
  <c r="L695" i="4"/>
  <c r="K696" i="4"/>
  <c r="L696" i="4"/>
  <c r="K697" i="4"/>
  <c r="L697" i="4"/>
  <c r="K698" i="4"/>
  <c r="L698" i="4"/>
  <c r="K699" i="4"/>
  <c r="L699" i="4"/>
  <c r="K700" i="4"/>
  <c r="L700" i="4"/>
  <c r="K701" i="4"/>
  <c r="L701" i="4"/>
  <c r="K702" i="4"/>
  <c r="L702" i="4"/>
  <c r="K703" i="4"/>
  <c r="L703" i="4"/>
  <c r="K704" i="4"/>
  <c r="L704" i="4"/>
  <c r="K705" i="4"/>
  <c r="L705" i="4"/>
  <c r="K706" i="4"/>
  <c r="L706" i="4"/>
  <c r="K707" i="4"/>
  <c r="L707" i="4"/>
  <c r="K708" i="4"/>
  <c r="L708" i="4"/>
  <c r="K709" i="4"/>
  <c r="L709" i="4"/>
  <c r="K710" i="4"/>
  <c r="L710" i="4"/>
  <c r="K711" i="4"/>
  <c r="L711" i="4"/>
  <c r="K712" i="4"/>
  <c r="L712" i="4"/>
  <c r="K713" i="4"/>
  <c r="L713" i="4"/>
  <c r="K714" i="4"/>
  <c r="L714" i="4"/>
  <c r="K715" i="4"/>
  <c r="L715" i="4"/>
  <c r="K716" i="4"/>
  <c r="L716" i="4"/>
  <c r="K717" i="4"/>
  <c r="L717" i="4"/>
  <c r="K718" i="4"/>
  <c r="L718" i="4"/>
  <c r="K719" i="4"/>
  <c r="L719" i="4"/>
  <c r="K720" i="4"/>
  <c r="L720" i="4"/>
  <c r="K721" i="4"/>
  <c r="L721" i="4"/>
  <c r="K722" i="4"/>
  <c r="L722" i="4"/>
  <c r="K723" i="4"/>
  <c r="L723" i="4"/>
  <c r="K724" i="4"/>
  <c r="L724" i="4"/>
  <c r="K725" i="4"/>
  <c r="L725" i="4"/>
  <c r="K726" i="4"/>
  <c r="L726" i="4"/>
  <c r="K727" i="4"/>
  <c r="L727" i="4"/>
  <c r="K728" i="4"/>
  <c r="L728" i="4"/>
  <c r="K729" i="4"/>
  <c r="L729" i="4"/>
  <c r="K730" i="4"/>
  <c r="L730" i="4"/>
  <c r="K731" i="4"/>
  <c r="L731" i="4"/>
  <c r="K732" i="4"/>
  <c r="L732" i="4"/>
  <c r="K733" i="4"/>
  <c r="L733" i="4"/>
  <c r="K734" i="4"/>
  <c r="L734" i="4"/>
  <c r="K735" i="4"/>
  <c r="L735" i="4"/>
  <c r="K736" i="4"/>
  <c r="L736" i="4"/>
  <c r="K737" i="4"/>
  <c r="L737" i="4"/>
  <c r="K738" i="4"/>
  <c r="L738" i="4"/>
  <c r="K739" i="4"/>
  <c r="L739" i="4"/>
  <c r="K740" i="4"/>
  <c r="L740" i="4"/>
  <c r="K741" i="4"/>
  <c r="L741" i="4"/>
  <c r="K742" i="4"/>
  <c r="L742" i="4"/>
  <c r="K743" i="4"/>
  <c r="L743" i="4"/>
  <c r="K744" i="4"/>
  <c r="L744" i="4"/>
  <c r="K745" i="4"/>
  <c r="L745" i="4"/>
  <c r="K746" i="4"/>
  <c r="L746" i="4"/>
  <c r="K747" i="4"/>
  <c r="L747" i="4"/>
  <c r="K748" i="4"/>
  <c r="L748" i="4"/>
  <c r="K749" i="4"/>
  <c r="L749" i="4"/>
  <c r="K750" i="4"/>
  <c r="L750" i="4"/>
  <c r="K751" i="4"/>
  <c r="L751" i="4"/>
  <c r="K752" i="4"/>
  <c r="L752" i="4"/>
  <c r="K753" i="4"/>
  <c r="L753" i="4"/>
  <c r="K754" i="4"/>
  <c r="L754" i="4"/>
  <c r="K755" i="4"/>
  <c r="L755" i="4"/>
  <c r="K756" i="4"/>
  <c r="L756" i="4"/>
  <c r="K757" i="4"/>
  <c r="L757" i="4"/>
  <c r="K758" i="4"/>
  <c r="L758" i="4"/>
  <c r="K759" i="4"/>
  <c r="L759" i="4"/>
  <c r="K760" i="4"/>
  <c r="L760" i="4"/>
  <c r="K761" i="4"/>
  <c r="L761" i="4"/>
  <c r="K762" i="4"/>
  <c r="L762" i="4"/>
  <c r="K763" i="4"/>
  <c r="L763" i="4"/>
  <c r="K764" i="4"/>
  <c r="L764" i="4"/>
  <c r="K765" i="4"/>
  <c r="L765" i="4"/>
  <c r="K766" i="4"/>
  <c r="L766" i="4"/>
  <c r="K767" i="4"/>
  <c r="L767" i="4"/>
  <c r="K768" i="4"/>
  <c r="L768" i="4"/>
  <c r="K769" i="4"/>
  <c r="L769" i="4"/>
  <c r="K770" i="4"/>
  <c r="L770" i="4"/>
  <c r="K771" i="4"/>
  <c r="L771" i="4"/>
  <c r="K772" i="4"/>
  <c r="L772" i="4"/>
  <c r="K773" i="4"/>
  <c r="L773" i="4"/>
  <c r="K774" i="4"/>
  <c r="L774" i="4"/>
  <c r="K775" i="4"/>
  <c r="L775" i="4"/>
  <c r="K776" i="4"/>
  <c r="L776" i="4"/>
  <c r="K777" i="4"/>
  <c r="L777" i="4"/>
  <c r="K778" i="4"/>
  <c r="L778" i="4"/>
  <c r="K779" i="4"/>
  <c r="L779" i="4"/>
  <c r="K780" i="4"/>
  <c r="L780" i="4"/>
  <c r="K781" i="4"/>
  <c r="L781" i="4"/>
  <c r="K782" i="4"/>
  <c r="L782" i="4"/>
  <c r="K783" i="4"/>
  <c r="L783" i="4"/>
  <c r="K784" i="4"/>
  <c r="L784" i="4"/>
  <c r="K785" i="4"/>
  <c r="L785" i="4"/>
  <c r="K786" i="4"/>
  <c r="L786" i="4"/>
  <c r="K787" i="4"/>
  <c r="L787" i="4"/>
  <c r="K788" i="4"/>
  <c r="L788" i="4"/>
  <c r="K789" i="4"/>
  <c r="L789" i="4"/>
  <c r="K790" i="4"/>
  <c r="L790" i="4"/>
  <c r="K791" i="4"/>
  <c r="L791" i="4"/>
  <c r="K792" i="4"/>
  <c r="L792" i="4"/>
  <c r="K793" i="4"/>
  <c r="L793" i="4"/>
  <c r="K794" i="4"/>
  <c r="L794" i="4"/>
  <c r="K795" i="4"/>
  <c r="L795" i="4"/>
  <c r="K796" i="4"/>
  <c r="L796" i="4"/>
  <c r="K797" i="4"/>
  <c r="L797" i="4"/>
  <c r="K798" i="4"/>
  <c r="L798" i="4"/>
  <c r="K799" i="4"/>
  <c r="L799" i="4"/>
  <c r="K800" i="4"/>
  <c r="L800" i="4"/>
  <c r="K801" i="4"/>
  <c r="L801" i="4"/>
  <c r="K802" i="4"/>
  <c r="L802" i="4"/>
  <c r="K803" i="4"/>
  <c r="L803" i="4"/>
  <c r="K804" i="4"/>
  <c r="L804" i="4"/>
  <c r="K805" i="4"/>
  <c r="L805" i="4"/>
  <c r="K806" i="4"/>
  <c r="L806" i="4"/>
  <c r="K807" i="4"/>
  <c r="L807" i="4"/>
  <c r="K808" i="4"/>
  <c r="L808" i="4"/>
  <c r="K809" i="4"/>
  <c r="L809" i="4"/>
  <c r="K810" i="4"/>
  <c r="L810" i="4"/>
  <c r="K811" i="4"/>
  <c r="L811" i="4"/>
  <c r="K812" i="4"/>
  <c r="L812" i="4"/>
  <c r="K813" i="4"/>
  <c r="L813" i="4"/>
  <c r="K814" i="4"/>
  <c r="L814" i="4"/>
  <c r="K815" i="4"/>
  <c r="L815" i="4"/>
  <c r="K816" i="4"/>
  <c r="L816" i="4"/>
  <c r="K817" i="4"/>
  <c r="L817" i="4"/>
  <c r="K818" i="4"/>
  <c r="L818" i="4"/>
  <c r="K819" i="4"/>
  <c r="L819" i="4"/>
  <c r="K820" i="4"/>
  <c r="L820" i="4"/>
  <c r="K821" i="4"/>
  <c r="L821" i="4"/>
  <c r="K822" i="4"/>
  <c r="L822" i="4"/>
  <c r="K823" i="4"/>
  <c r="L823" i="4"/>
  <c r="K824" i="4"/>
  <c r="L824" i="4"/>
  <c r="K825" i="4"/>
  <c r="L825" i="4"/>
  <c r="K826" i="4"/>
  <c r="L826" i="4"/>
  <c r="K827" i="4"/>
  <c r="L827" i="4"/>
  <c r="K828" i="4"/>
  <c r="L828" i="4"/>
  <c r="K829" i="4"/>
  <c r="L829" i="4"/>
  <c r="K830" i="4"/>
  <c r="L830" i="4"/>
  <c r="K831" i="4"/>
  <c r="L831" i="4"/>
  <c r="K832" i="4"/>
  <c r="L832" i="4"/>
  <c r="K833" i="4"/>
  <c r="L833" i="4"/>
  <c r="K834" i="4"/>
  <c r="L834" i="4"/>
  <c r="K835" i="4"/>
  <c r="L835" i="4"/>
  <c r="K836" i="4"/>
  <c r="L836" i="4"/>
  <c r="K837" i="4"/>
  <c r="L837" i="4"/>
  <c r="K838" i="4"/>
  <c r="L838" i="4"/>
  <c r="K839" i="4"/>
  <c r="L839" i="4"/>
  <c r="K840" i="4"/>
  <c r="L840" i="4"/>
  <c r="K841" i="4"/>
  <c r="L841" i="4"/>
  <c r="K842" i="4"/>
  <c r="L842" i="4"/>
  <c r="K843" i="4"/>
  <c r="L843" i="4"/>
  <c r="K844" i="4"/>
  <c r="L844" i="4"/>
  <c r="K845" i="4"/>
  <c r="L845" i="4"/>
  <c r="K846" i="4"/>
  <c r="L846" i="4"/>
  <c r="K847" i="4"/>
  <c r="L847" i="4"/>
  <c r="K848" i="4"/>
  <c r="L848" i="4"/>
  <c r="K849" i="4"/>
  <c r="L849" i="4"/>
  <c r="K850" i="4"/>
  <c r="L850" i="4"/>
  <c r="K851" i="4"/>
  <c r="L851" i="4"/>
  <c r="K852" i="4"/>
  <c r="L852" i="4"/>
  <c r="K853" i="4"/>
  <c r="L853" i="4"/>
  <c r="K854" i="4"/>
  <c r="L854" i="4"/>
  <c r="K855" i="4"/>
  <c r="L855" i="4"/>
  <c r="K856" i="4"/>
  <c r="L856" i="4"/>
  <c r="K857" i="4"/>
  <c r="L857" i="4"/>
  <c r="K858" i="4"/>
  <c r="L858" i="4"/>
  <c r="K859" i="4"/>
  <c r="L859" i="4"/>
  <c r="K860" i="4"/>
  <c r="L860" i="4"/>
  <c r="K861" i="4"/>
  <c r="L861" i="4"/>
  <c r="K862" i="4"/>
  <c r="L862" i="4"/>
  <c r="K863" i="4"/>
  <c r="L863" i="4"/>
  <c r="K864" i="4"/>
  <c r="L864" i="4"/>
  <c r="K865" i="4"/>
  <c r="L865" i="4"/>
  <c r="K866" i="4"/>
  <c r="L866" i="4"/>
  <c r="K867" i="4"/>
  <c r="L867" i="4"/>
  <c r="K868" i="4"/>
  <c r="L868" i="4"/>
  <c r="K869" i="4"/>
  <c r="L869" i="4"/>
  <c r="K870" i="4"/>
  <c r="L870" i="4"/>
  <c r="K871" i="4"/>
  <c r="L871" i="4"/>
  <c r="K872" i="4"/>
  <c r="L872" i="4"/>
  <c r="K873" i="4"/>
  <c r="L873" i="4"/>
  <c r="K874" i="4"/>
  <c r="L874" i="4"/>
  <c r="K875" i="4"/>
  <c r="L875" i="4"/>
  <c r="K876" i="4"/>
  <c r="L876" i="4"/>
  <c r="K877" i="4"/>
  <c r="L877" i="4"/>
  <c r="K878" i="4"/>
  <c r="L878" i="4"/>
  <c r="K879" i="4"/>
  <c r="L879" i="4"/>
  <c r="K880" i="4"/>
  <c r="L880" i="4"/>
  <c r="K881" i="4"/>
  <c r="L881" i="4"/>
  <c r="K882" i="4"/>
  <c r="L882" i="4"/>
  <c r="K883" i="4"/>
  <c r="L883" i="4"/>
  <c r="K884" i="4"/>
  <c r="L884" i="4"/>
  <c r="K885" i="4"/>
  <c r="L885" i="4"/>
  <c r="K886" i="4"/>
  <c r="L886" i="4"/>
  <c r="K887" i="4"/>
  <c r="L887" i="4"/>
  <c r="K888" i="4"/>
  <c r="L888" i="4"/>
  <c r="K889" i="4"/>
  <c r="L889" i="4"/>
  <c r="K890" i="4"/>
  <c r="L890" i="4"/>
  <c r="K891" i="4"/>
  <c r="L891" i="4"/>
  <c r="K892" i="4"/>
  <c r="L892" i="4"/>
  <c r="K893" i="4"/>
  <c r="L893" i="4"/>
  <c r="K894" i="4"/>
  <c r="L894" i="4"/>
  <c r="K895" i="4"/>
  <c r="L895" i="4"/>
  <c r="K896" i="4"/>
  <c r="L896" i="4"/>
  <c r="K897" i="4"/>
  <c r="L897" i="4"/>
  <c r="K898" i="4"/>
  <c r="L898" i="4"/>
  <c r="K899" i="4"/>
  <c r="L899" i="4"/>
  <c r="K900" i="4"/>
  <c r="L900" i="4"/>
  <c r="K901" i="4"/>
  <c r="L901" i="4"/>
  <c r="K902" i="4"/>
  <c r="L902" i="4"/>
  <c r="K903" i="4"/>
  <c r="L903" i="4"/>
  <c r="K904" i="4"/>
  <c r="L904" i="4"/>
  <c r="K905" i="4"/>
  <c r="L905" i="4"/>
  <c r="K906" i="4"/>
  <c r="L906" i="4"/>
  <c r="K907" i="4"/>
  <c r="L907" i="4"/>
  <c r="K908" i="4"/>
  <c r="L908" i="4"/>
  <c r="K909" i="4"/>
  <c r="L909" i="4"/>
  <c r="K910" i="4"/>
  <c r="L910" i="4"/>
  <c r="K911" i="4"/>
  <c r="L911" i="4"/>
  <c r="K912" i="4"/>
  <c r="L912" i="4"/>
  <c r="K913" i="4"/>
  <c r="L913" i="4"/>
  <c r="K914" i="4"/>
  <c r="L914" i="4"/>
  <c r="K915" i="4"/>
  <c r="L915" i="4"/>
  <c r="K916" i="4"/>
  <c r="L916" i="4"/>
  <c r="K917" i="4"/>
  <c r="L917" i="4"/>
  <c r="K918" i="4"/>
  <c r="L918" i="4"/>
  <c r="K919" i="4"/>
  <c r="L919" i="4"/>
  <c r="K920" i="4"/>
  <c r="L920" i="4"/>
  <c r="K921" i="4"/>
  <c r="L921" i="4"/>
  <c r="K922" i="4"/>
  <c r="L922" i="4"/>
  <c r="K923" i="4"/>
  <c r="L923" i="4"/>
  <c r="K924" i="4"/>
  <c r="L924" i="4"/>
  <c r="K925" i="4"/>
  <c r="L925" i="4"/>
  <c r="K926" i="4"/>
  <c r="L926" i="4"/>
  <c r="K927" i="4"/>
  <c r="L927" i="4"/>
  <c r="K928" i="4"/>
  <c r="L928" i="4"/>
  <c r="K929" i="4"/>
  <c r="L929" i="4"/>
  <c r="K930" i="4"/>
  <c r="L930" i="4"/>
  <c r="O1070" i="4" l="1"/>
  <c r="O519" i="4"/>
  <c r="O1083" i="4"/>
  <c r="O6" i="4"/>
  <c r="O985" i="4"/>
  <c r="O815" i="4"/>
  <c r="O475" i="4"/>
  <c r="O226" i="4"/>
  <c r="O706" i="4"/>
  <c r="O448" i="4"/>
  <c r="O161" i="4"/>
  <c r="O883" i="4"/>
  <c r="O89" i="4"/>
  <c r="O992" i="4"/>
  <c r="O737" i="4"/>
  <c r="O294" i="4"/>
  <c r="O910" i="4"/>
  <c r="O731" i="4"/>
  <c r="O269" i="4"/>
  <c r="O599" i="4"/>
  <c r="O70" i="4"/>
  <c r="O109" i="4"/>
  <c r="O1137" i="4"/>
  <c r="O57" i="4"/>
  <c r="O651" i="4"/>
  <c r="O1045" i="4"/>
  <c r="O924" i="4"/>
  <c r="O1041" i="4"/>
  <c r="O858" i="4"/>
  <c r="O871" i="4"/>
  <c r="O266" i="4"/>
  <c r="O934" i="4"/>
  <c r="O445" i="4"/>
  <c r="O932" i="4"/>
  <c r="O119" i="4"/>
  <c r="O91" i="4"/>
  <c r="O23" i="4"/>
  <c r="O460" i="4"/>
  <c r="O578" i="4"/>
  <c r="O630" i="4"/>
  <c r="O5" i="4"/>
  <c r="O597" i="4"/>
  <c r="O200" i="4"/>
  <c r="O981" i="4"/>
  <c r="O501" i="4"/>
  <c r="O1119" i="4"/>
  <c r="O1136" i="4"/>
  <c r="O1043" i="4"/>
  <c r="O18" i="4"/>
  <c r="O1057" i="4"/>
  <c r="O674" i="4"/>
  <c r="O77" i="4"/>
  <c r="O260" i="4"/>
  <c r="O223" i="4"/>
  <c r="O410" i="4"/>
  <c r="O696" i="4"/>
  <c r="O870" i="4"/>
  <c r="O74" i="4"/>
  <c r="O121" i="4"/>
  <c r="O598" i="4"/>
  <c r="O153" i="4"/>
  <c r="O124" i="4"/>
  <c r="O703" i="4"/>
  <c r="O1101" i="4"/>
  <c r="O604" i="4"/>
  <c r="O868" i="4"/>
  <c r="O232" i="4"/>
  <c r="O174" i="4"/>
  <c r="O732" i="4"/>
  <c r="O767" i="4"/>
  <c r="O864" i="4"/>
  <c r="O1149" i="4"/>
  <c r="O341" i="4"/>
  <c r="O101" i="4"/>
  <c r="O39" i="4"/>
  <c r="O834" i="4"/>
  <c r="O430" i="4"/>
  <c r="O1131" i="4"/>
  <c r="O459" i="4"/>
  <c r="O832" i="4"/>
  <c r="O1039" i="4"/>
  <c r="O419" i="4"/>
  <c r="O826" i="4"/>
  <c r="O329" i="4"/>
  <c r="O357" i="4"/>
  <c r="O185" i="4"/>
  <c r="O552" i="4"/>
  <c r="O786" i="4"/>
  <c r="O339" i="4"/>
  <c r="O406" i="4"/>
  <c r="O434" i="4"/>
  <c r="O1147" i="4"/>
  <c r="O671" i="4"/>
  <c r="O782" i="4"/>
  <c r="O665" i="4"/>
  <c r="O1145" i="4"/>
  <c r="O1097" i="4"/>
  <c r="O317" i="4"/>
  <c r="O596" i="4"/>
  <c r="O614" i="4"/>
  <c r="O69" i="4"/>
  <c r="O305" i="4"/>
  <c r="O446" i="4"/>
  <c r="O539" i="4"/>
  <c r="O1105" i="4"/>
  <c r="O176" i="4"/>
  <c r="O411" i="4"/>
  <c r="O527" i="4"/>
  <c r="O1052" i="4"/>
  <c r="O775" i="4"/>
  <c r="O13" i="4"/>
  <c r="O787" i="4"/>
  <c r="O47" i="4"/>
  <c r="O837" i="4"/>
  <c r="O847" i="4"/>
  <c r="O560" i="4"/>
  <c r="O821" i="4"/>
  <c r="O331" i="4"/>
  <c r="O1141" i="4"/>
  <c r="O116" i="4"/>
  <c r="O610" i="4"/>
  <c r="O432" i="4"/>
  <c r="O212" i="4"/>
  <c r="O802" i="4"/>
  <c r="O1079" i="4"/>
  <c r="O620" i="4"/>
  <c r="O123" i="4"/>
  <c r="O593" i="4"/>
  <c r="O202" i="4"/>
  <c r="O186" i="4"/>
  <c r="O901" i="4"/>
  <c r="O309" i="4"/>
  <c r="O214" i="4"/>
  <c r="O1037" i="4"/>
  <c r="O257" i="4"/>
  <c r="O838" i="4"/>
  <c r="O650" i="4"/>
  <c r="O856" i="4"/>
  <c r="O203" i="4"/>
  <c r="O628" i="4"/>
  <c r="O489" i="4"/>
  <c r="O572" i="4"/>
  <c r="O896" i="4"/>
  <c r="O279" i="4"/>
  <c r="O303" i="4"/>
  <c r="O542" i="4"/>
  <c r="O988" i="4"/>
  <c r="O688" i="4"/>
  <c r="O783" i="4"/>
  <c r="O1063" i="4"/>
  <c r="O601" i="4"/>
  <c r="O80" i="4"/>
  <c r="O906" i="4"/>
  <c r="O400" i="4"/>
  <c r="O218" i="4"/>
  <c r="O333" i="4"/>
  <c r="O653" i="4"/>
  <c r="O524" i="4"/>
  <c r="O512" i="4"/>
  <c r="O693" i="4"/>
  <c r="O207" i="4"/>
  <c r="O1053" i="4"/>
  <c r="O606" i="4"/>
  <c r="O487" i="4"/>
  <c r="O705" i="4"/>
  <c r="O595" i="4"/>
  <c r="O1028" i="4"/>
  <c r="O579" i="4"/>
  <c r="O220" i="4"/>
  <c r="O1071" i="4"/>
  <c r="O127" i="4"/>
  <c r="O215" i="4"/>
  <c r="O1011" i="4"/>
  <c r="O138" i="4"/>
  <c r="O84" i="4"/>
  <c r="O685" i="4"/>
  <c r="O770" i="4"/>
  <c r="O450" i="4"/>
  <c r="O137" i="4"/>
  <c r="O114" i="4"/>
  <c r="O244" i="4"/>
  <c r="O64" i="4"/>
  <c r="O38" i="4"/>
  <c r="O941" i="4"/>
  <c r="O132" i="4"/>
  <c r="O342" i="4"/>
  <c r="O403" i="4"/>
  <c r="O1007" i="4"/>
  <c r="O351" i="4"/>
  <c r="O912" i="4"/>
  <c r="O973" i="4"/>
  <c r="O363" i="4"/>
  <c r="O740" i="4"/>
  <c r="O880" i="4"/>
  <c r="O388" i="4"/>
  <c r="O697" i="4"/>
  <c r="O1107" i="4"/>
  <c r="O1004" i="4"/>
  <c r="O394" i="4"/>
  <c r="O668" i="4"/>
  <c r="O242" i="4"/>
  <c r="O49" i="4"/>
  <c r="O613" i="4"/>
  <c r="O683" i="4"/>
  <c r="O95" i="4"/>
  <c r="O538" i="4"/>
  <c r="O1110" i="4"/>
  <c r="O325" i="4"/>
  <c r="O147" i="4"/>
  <c r="O667" i="4"/>
  <c r="O1012" i="4"/>
  <c r="O360" i="4"/>
  <c r="O1080" i="4"/>
  <c r="O937" i="4"/>
  <c r="O491" i="4"/>
  <c r="O1118" i="4"/>
  <c r="O402" i="4"/>
  <c r="O471" i="4"/>
  <c r="O102" i="4"/>
  <c r="O580" i="4"/>
  <c r="O892" i="4"/>
  <c r="O216" i="4"/>
  <c r="O158" i="4"/>
  <c r="O505" i="4"/>
  <c r="O733" i="4"/>
  <c r="O603" i="4"/>
  <c r="O1152" i="4"/>
  <c r="O532" i="4"/>
  <c r="O482" i="4"/>
  <c r="O1067" i="4"/>
  <c r="O853" i="4"/>
  <c r="O22" i="4"/>
  <c r="O587" i="4"/>
  <c r="O399" i="4"/>
  <c r="O1106" i="4"/>
  <c r="O609" i="4"/>
  <c r="O358" i="4"/>
  <c r="O421" i="4"/>
  <c r="O836" i="4"/>
  <c r="O122" i="4"/>
  <c r="O764" i="4"/>
  <c r="O52" i="4"/>
  <c r="O1005" i="4"/>
  <c r="O884" i="4"/>
  <c r="O520" i="4"/>
  <c r="O531" i="4"/>
  <c r="O328" i="4"/>
  <c r="O762" i="4"/>
  <c r="O252" i="4"/>
  <c r="O717" i="4"/>
  <c r="O319" i="4"/>
  <c r="O511" i="4"/>
  <c r="O438" i="4"/>
  <c r="O311" i="4"/>
  <c r="O982" i="4"/>
  <c r="O700" i="4"/>
  <c r="O709" i="4"/>
  <c r="O623" i="4"/>
  <c r="O1002" i="4"/>
  <c r="O3" i="4"/>
  <c r="O861" i="4"/>
  <c r="O993" i="4"/>
  <c r="O777" i="4"/>
  <c r="O1114" i="4"/>
  <c r="O1142" i="4"/>
  <c r="O1078" i="4"/>
  <c r="O526" i="4"/>
  <c r="O290" i="4"/>
  <c r="O611" i="4"/>
  <c r="O9" i="4"/>
  <c r="O529" i="4"/>
  <c r="O662" i="4"/>
  <c r="O1140" i="4"/>
  <c r="O830" i="4"/>
  <c r="O986" i="4"/>
  <c r="O794" i="4"/>
  <c r="O760" i="4"/>
  <c r="O810" i="4"/>
  <c r="O1132" i="4"/>
  <c r="O689" i="4"/>
  <c r="O263" i="4"/>
  <c r="O131" i="4"/>
  <c r="O994" i="4"/>
  <c r="O268" i="4"/>
  <c r="O383" i="4"/>
  <c r="O392" i="4"/>
  <c r="O718" i="4"/>
  <c r="O472" i="4"/>
  <c r="O79" i="4"/>
  <c r="O478" i="4"/>
  <c r="O893" i="4"/>
  <c r="O65" i="4"/>
  <c r="O563" i="4"/>
  <c r="O594" i="4"/>
  <c r="O791" i="4"/>
  <c r="O256" i="4"/>
  <c r="O585" i="4"/>
  <c r="O682" i="4"/>
  <c r="O103" i="4"/>
  <c r="O761" i="4"/>
  <c r="O126" i="4"/>
  <c r="O852" i="4"/>
  <c r="O464" i="4"/>
  <c r="O1092" i="4"/>
  <c r="O829" i="4"/>
  <c r="O289" i="4"/>
  <c r="O536" i="4"/>
  <c r="O76" i="4"/>
  <c r="O753" i="4"/>
  <c r="O833" i="4"/>
  <c r="O991" i="4"/>
  <c r="O811" i="4"/>
  <c r="O990" i="4"/>
  <c r="O356" i="4"/>
  <c r="O779" i="4"/>
  <c r="O916" i="4"/>
  <c r="O793" i="4"/>
  <c r="O546" i="4"/>
  <c r="O1088" i="4"/>
  <c r="O372" i="4"/>
  <c r="O396" i="4"/>
  <c r="O1068" i="4"/>
  <c r="O42" i="4"/>
  <c r="O276" i="4"/>
  <c r="O1072" i="4"/>
  <c r="O840" i="4"/>
  <c r="O750" i="4"/>
  <c r="O387" i="4"/>
  <c r="O304" i="4"/>
  <c r="O1017" i="4"/>
  <c r="O788" i="4"/>
  <c r="O820" i="4"/>
  <c r="O245" i="4"/>
  <c r="O75" i="4"/>
  <c r="O809" i="4"/>
  <c r="O855" i="4"/>
  <c r="O354" i="4"/>
  <c r="O687" i="4"/>
  <c r="O1100" i="4"/>
  <c r="O105" i="4"/>
  <c r="O469" i="4"/>
  <c r="O246" i="4"/>
  <c r="O213" i="4"/>
  <c r="O825" i="4"/>
  <c r="O645" i="4"/>
  <c r="O797" i="4"/>
  <c r="O785" i="4"/>
  <c r="O600" i="4"/>
  <c r="O17" i="4"/>
  <c r="O521" i="4"/>
  <c r="O692" i="4"/>
  <c r="O484" i="4"/>
  <c r="O778" i="4"/>
  <c r="O684" i="4"/>
  <c r="O814" i="4"/>
  <c r="O1116" i="4"/>
  <c r="O405" i="4"/>
  <c r="O1073" i="4"/>
  <c r="O379" i="4"/>
  <c r="O455" i="4"/>
  <c r="O407" i="4"/>
  <c r="O773" i="4"/>
  <c r="O933" i="4"/>
  <c r="O708" i="4"/>
  <c r="O921" i="4"/>
  <c r="O236" i="4"/>
  <c r="O544" i="4"/>
  <c r="O447" i="4"/>
  <c r="O36" i="4"/>
  <c r="O1082" i="4"/>
  <c r="O12" i="4"/>
  <c r="O208" i="4"/>
  <c r="O380" i="4"/>
  <c r="O891" i="4"/>
  <c r="O375" i="4"/>
  <c r="O936" i="4"/>
  <c r="O337" i="4"/>
  <c r="O496" i="4"/>
  <c r="O555" i="4"/>
  <c r="O730" i="4"/>
  <c r="O15" i="4"/>
  <c r="O490" i="4"/>
  <c r="O568" i="4"/>
  <c r="O498" i="4"/>
  <c r="O1023" i="4"/>
  <c r="O270" i="4"/>
  <c r="O1099" i="4"/>
  <c r="O1086" i="4"/>
  <c r="O1091" i="4"/>
  <c r="O451" i="4"/>
  <c r="O874" i="4"/>
  <c r="O657" i="4"/>
  <c r="O564" i="4"/>
  <c r="O522" i="4"/>
  <c r="O882" i="4"/>
  <c r="O514" i="4"/>
  <c r="O172" i="4"/>
  <c r="O140" i="4"/>
  <c r="O686" i="4"/>
  <c r="O198" i="4"/>
  <c r="O44" i="4"/>
  <c r="O312" i="4"/>
  <c r="O772" i="4"/>
  <c r="O336" i="4"/>
  <c r="O694" i="4"/>
  <c r="O440" i="4"/>
  <c r="O699" i="4"/>
  <c r="O146" i="4"/>
  <c r="O435" i="4"/>
  <c r="O602" i="4"/>
  <c r="O324" i="4"/>
  <c r="O735" i="4"/>
  <c r="O397" i="4"/>
  <c r="O237" i="4"/>
  <c r="O902" i="4"/>
  <c r="O422" i="4"/>
  <c r="O99" i="4"/>
  <c r="O774" i="4"/>
  <c r="O128" i="4"/>
  <c r="O219" i="4"/>
  <c r="O129" i="4"/>
  <c r="O142" i="4"/>
  <c r="O330" i="4"/>
  <c r="O173" i="4"/>
  <c r="O355" i="4"/>
  <c r="O159" i="4"/>
  <c r="O752" i="4"/>
  <c r="O502" i="4"/>
  <c r="O107" i="4"/>
  <c r="O1129" i="4"/>
  <c r="O125" i="4"/>
  <c r="O16" i="4"/>
  <c r="O1075" i="4"/>
  <c r="O666" i="4"/>
  <c r="O559" i="4"/>
  <c r="O557" i="4"/>
  <c r="O494" i="4"/>
  <c r="O68" i="4"/>
  <c r="O659" i="4"/>
  <c r="O1030" i="4"/>
  <c r="O701" i="4"/>
  <c r="O377" i="4"/>
  <c r="O291" i="4"/>
  <c r="O567" i="4"/>
  <c r="O251" i="4"/>
  <c r="O313" i="4"/>
  <c r="O300" i="4"/>
  <c r="O591" i="4"/>
  <c r="O141" i="4"/>
  <c r="O711" i="4"/>
  <c r="O457" i="4"/>
  <c r="O361" i="4"/>
  <c r="O444" i="4"/>
  <c r="O878" i="4"/>
  <c r="O88" i="4"/>
  <c r="O423" i="4"/>
  <c r="O1112" i="4"/>
  <c r="O500" i="4"/>
  <c r="O190" i="4"/>
  <c r="O979" i="4"/>
  <c r="O822" i="4"/>
  <c r="O722" i="4"/>
  <c r="O1126" i="4"/>
  <c r="O854" i="4"/>
  <c r="O150" i="4"/>
  <c r="O1051" i="4"/>
  <c r="O344" i="4"/>
  <c r="O1081" i="4"/>
  <c r="O427" i="4"/>
  <c r="O441" i="4"/>
  <c r="O359" i="4"/>
  <c r="O541" i="4"/>
  <c r="O63" i="4"/>
  <c r="O401" i="4"/>
  <c r="O50" i="4"/>
  <c r="O540" i="4"/>
  <c r="O280" i="4"/>
  <c r="O41" i="4"/>
  <c r="O130" i="4"/>
  <c r="O316" i="4"/>
  <c r="O617" i="4"/>
  <c r="O738" i="4"/>
  <c r="O29" i="4"/>
  <c r="O1096" i="4"/>
  <c r="O769" i="4"/>
  <c r="O915" i="4"/>
  <c r="O274" i="4"/>
  <c r="O803" i="4"/>
  <c r="O889" i="4"/>
  <c r="O965" i="4"/>
  <c r="O1128" i="4"/>
  <c r="O238" i="4"/>
  <c r="O1135" i="4"/>
  <c r="O275" i="4"/>
  <c r="O1133" i="4"/>
  <c r="O409" i="4"/>
  <c r="O1009" i="4"/>
  <c r="O960" i="4"/>
  <c r="O271" i="4"/>
  <c r="O211" i="4"/>
  <c r="O980" i="4"/>
  <c r="O362" i="4"/>
  <c r="O416" i="4"/>
  <c r="O691" i="4"/>
  <c r="O931" i="4"/>
  <c r="O492" i="4"/>
  <c r="O807" i="4"/>
  <c r="O467" i="4"/>
  <c r="O368" i="4"/>
  <c r="O518" i="4"/>
  <c r="O790" i="4"/>
  <c r="O230" i="4"/>
  <c r="O1060" i="4"/>
  <c r="O318" i="4"/>
  <c r="O66" i="4"/>
  <c r="O347" i="4"/>
  <c r="O382" i="4"/>
  <c r="O468" i="4"/>
  <c r="O1008" i="4"/>
  <c r="O301" i="4"/>
  <c r="O655" i="4"/>
  <c r="O759" i="4"/>
  <c r="O876" i="4"/>
  <c r="O433" i="4"/>
  <c r="O384" i="4"/>
  <c r="O947" i="4"/>
  <c r="O507" i="4"/>
  <c r="O669" i="4"/>
  <c r="O40" i="4"/>
  <c r="O917" i="4"/>
  <c r="O297" i="4"/>
  <c r="O635" i="4"/>
  <c r="O818" i="4"/>
  <c r="O1143" i="4"/>
  <c r="O1077" i="4"/>
  <c r="O144" i="4"/>
  <c r="O581" i="4"/>
  <c r="O744" i="4"/>
  <c r="O1102" i="4"/>
  <c r="O970" i="4"/>
  <c r="O115" i="4"/>
  <c r="O134" i="4"/>
  <c r="O720" i="4"/>
  <c r="O1120" i="4"/>
  <c r="O805" i="4"/>
  <c r="O165" i="4"/>
  <c r="O413" i="4"/>
  <c r="O61" i="4"/>
  <c r="O452" i="4"/>
  <c r="O816" i="4"/>
  <c r="O747" i="4"/>
  <c r="O887" i="4"/>
  <c r="O195" i="4"/>
  <c r="O672" i="4"/>
  <c r="O284" i="4"/>
  <c r="O184" i="4"/>
  <c r="O963" i="4"/>
  <c r="O959" i="4"/>
  <c r="O449" i="4"/>
  <c r="O958" i="4"/>
  <c r="O187" i="4"/>
  <c r="O824" i="4"/>
  <c r="O378" i="4"/>
  <c r="O302" i="4"/>
  <c r="O1003" i="4"/>
  <c r="O1122" i="4"/>
  <c r="O1034" i="4"/>
  <c r="O1115" i="4"/>
  <c r="O690" i="4"/>
  <c r="O632" i="4"/>
  <c r="O562" i="4"/>
  <c r="O819" i="4"/>
  <c r="O680" i="4"/>
  <c r="O32" i="4"/>
  <c r="O234" i="4"/>
  <c r="O412" i="4"/>
  <c r="O466" i="4"/>
  <c r="O1044" i="4"/>
  <c r="O565" i="4"/>
  <c r="O476" i="4"/>
  <c r="O277" i="4"/>
  <c r="O1069" i="4"/>
  <c r="O1065" i="4"/>
  <c r="O758" i="4"/>
  <c r="O839" i="4"/>
  <c r="O1150" i="4"/>
  <c r="O624" i="4"/>
  <c r="O554" i="4"/>
  <c r="O704" i="4"/>
  <c r="O461" i="4"/>
  <c r="O573" i="4"/>
  <c r="O338" i="4"/>
  <c r="O1139" i="4"/>
  <c r="O621" i="4"/>
  <c r="O96" i="4"/>
  <c r="O663" i="4"/>
  <c r="O194" i="4"/>
  <c r="O1042" i="4"/>
  <c r="O100" i="4"/>
  <c r="O315" i="4"/>
  <c r="O1050" i="4"/>
  <c r="O31" i="4"/>
  <c r="O638" i="4"/>
  <c r="O154" i="4"/>
  <c r="O857" i="4"/>
  <c r="O715" i="4"/>
  <c r="O1049" i="4"/>
  <c r="O548" i="4"/>
  <c r="O1058" i="4"/>
  <c r="O72" i="4"/>
  <c r="O588" i="4"/>
  <c r="O698" i="4"/>
  <c r="O227" i="4"/>
  <c r="O267" i="4"/>
  <c r="O913" i="4"/>
  <c r="O1014" i="4"/>
  <c r="O1113" i="4"/>
  <c r="O1093" i="4"/>
  <c r="O183" i="4"/>
  <c r="O710" i="4"/>
  <c r="O19" i="4"/>
  <c r="O98" i="4"/>
  <c r="O575" i="4"/>
  <c r="O287" i="4"/>
  <c r="O1134" i="4"/>
  <c r="O661" i="4"/>
  <c r="O206" i="4"/>
  <c r="O428" i="4"/>
  <c r="O398" i="4"/>
  <c r="O675" i="4"/>
  <c r="O719" i="4"/>
  <c r="O217" i="4"/>
  <c r="O110" i="4"/>
  <c r="O928" i="4"/>
  <c r="O1015" i="4"/>
  <c r="O571" i="4"/>
  <c r="O897" i="4"/>
  <c r="O30" i="4"/>
  <c r="O473" i="4"/>
  <c r="O644" i="4"/>
  <c r="O27" i="4"/>
  <c r="O547" i="4"/>
  <c r="O898" i="4"/>
  <c r="O262" i="4"/>
  <c r="O1087" i="4"/>
  <c r="O310" i="4"/>
  <c r="O235" i="4"/>
  <c r="O323" i="4"/>
  <c r="O765" i="4"/>
  <c r="O900" i="4"/>
  <c r="O950" i="4"/>
  <c r="O1016" i="4"/>
  <c r="O104" i="4"/>
  <c r="O53" i="4"/>
  <c r="O248" i="4"/>
  <c r="O163" i="4"/>
  <c r="O264" i="4"/>
  <c r="O984" i="4"/>
  <c r="O831" i="4"/>
  <c r="O695" i="4"/>
  <c r="O273" i="4"/>
  <c r="O350" i="4"/>
  <c r="O533" i="4"/>
  <c r="O1130" i="4"/>
  <c r="O58" i="4"/>
  <c r="O576" i="4"/>
  <c r="O1066" i="4"/>
  <c r="O964" i="4"/>
  <c r="O944" i="4"/>
  <c r="O322" i="4"/>
  <c r="O431" i="4"/>
  <c r="O145" i="4"/>
  <c r="O923" i="4"/>
  <c r="O201" i="4"/>
  <c r="O908" i="4"/>
  <c r="O677" i="4"/>
  <c r="O860" i="4"/>
  <c r="O390" i="4"/>
  <c r="O1124" i="4"/>
  <c r="O1117" i="4"/>
  <c r="O859" i="4"/>
  <c r="O155" i="4"/>
  <c r="O607" i="4"/>
  <c r="O626" i="4"/>
  <c r="O612" i="4"/>
  <c r="O1123" i="4"/>
  <c r="O974" i="4"/>
  <c r="O582" i="4"/>
  <c r="O456" i="4"/>
  <c r="B23" i="6"/>
  <c r="O1109" i="4"/>
  <c r="O634" i="4"/>
  <c r="O483" i="4"/>
  <c r="O927" i="4"/>
  <c r="O1048" i="4"/>
  <c r="O681" i="4"/>
  <c r="O553" i="4"/>
  <c r="O166" i="4"/>
  <c r="O83" i="4"/>
  <c r="O658" i="4"/>
  <c r="O373" i="4"/>
  <c r="O754" i="4"/>
  <c r="O442" i="4"/>
  <c r="O243" i="4"/>
  <c r="O702" i="4"/>
  <c r="O646" i="4"/>
  <c r="O798" i="4"/>
  <c r="O862" i="4"/>
  <c r="O899" i="4"/>
  <c r="O395" i="4"/>
  <c r="O54" i="4"/>
  <c r="O205" i="4"/>
  <c r="O1108" i="4"/>
  <c r="O673" i="4"/>
  <c r="O327" i="4"/>
  <c r="O436" i="4"/>
  <c r="O120" i="4"/>
  <c r="O8" i="4"/>
  <c r="O1144" i="4"/>
  <c r="O1121" i="4"/>
  <c r="O618" i="4"/>
  <c r="O987" i="4"/>
  <c r="O918" i="4"/>
  <c r="O926" i="4"/>
  <c r="O961" i="4"/>
  <c r="O957" i="4"/>
  <c r="O10" i="4"/>
  <c r="O570" i="4"/>
  <c r="O371" i="4"/>
  <c r="O625" i="4"/>
  <c r="O1138" i="4"/>
  <c r="O4" i="4"/>
  <c r="O92" i="4"/>
  <c r="O1021" i="4"/>
  <c r="O633" i="4"/>
  <c r="O463" i="4"/>
  <c r="O429" i="4"/>
  <c r="O45" i="4"/>
  <c r="O801" i="4"/>
  <c r="O20" i="4"/>
  <c r="O34" i="4"/>
  <c r="O46" i="4"/>
  <c r="O827" i="4"/>
  <c r="O1064" i="4"/>
  <c r="O152" i="4"/>
  <c r="O180" i="4"/>
  <c r="O188" i="4"/>
  <c r="O846" i="4"/>
  <c r="O133" i="4"/>
  <c r="O966" i="4"/>
  <c r="O647" i="4"/>
  <c r="O1036" i="4"/>
  <c r="O739" i="4"/>
  <c r="O729" i="4"/>
  <c r="O112" i="4"/>
  <c r="O454" i="4"/>
  <c r="O1006" i="4"/>
  <c r="O955" i="4"/>
  <c r="O639" i="4"/>
  <c r="O259" i="4"/>
  <c r="O139" i="4"/>
  <c r="O288" i="4"/>
  <c r="O656" i="4"/>
  <c r="O975" i="4"/>
  <c r="O295" i="4"/>
  <c r="O157" i="4"/>
  <c r="O424" i="4"/>
  <c r="O1000" i="4"/>
  <c r="O920" i="4"/>
  <c r="O534" i="4"/>
  <c r="O1090" i="4"/>
  <c r="O996" i="4"/>
  <c r="O1103" i="4"/>
  <c r="O477" i="4"/>
  <c r="O1062" i="4"/>
  <c r="O21" i="4"/>
  <c r="O561" i="4"/>
  <c r="O780" i="4"/>
  <c r="O556" i="4"/>
  <c r="O938" i="4"/>
  <c r="O370" i="4"/>
  <c r="O229" i="4"/>
  <c r="O528" i="4"/>
  <c r="O1111" i="4"/>
  <c r="O1027" i="4"/>
  <c r="O721" i="4"/>
  <c r="O485" i="4"/>
  <c r="O1095" i="4"/>
  <c r="O967" i="4"/>
  <c r="O285" i="4"/>
  <c r="O1047" i="4"/>
  <c r="O343" i="4"/>
  <c r="O1059" i="4"/>
  <c r="O308" i="4"/>
  <c r="O741" i="4"/>
  <c r="O771" i="4"/>
  <c r="O1010" i="4"/>
  <c r="O515" i="4"/>
  <c r="O997" i="4"/>
  <c r="O462" i="4"/>
  <c r="O224" i="4"/>
  <c r="O369" i="4"/>
  <c r="O745" i="4"/>
  <c r="O972" i="4"/>
  <c r="O480" i="4"/>
  <c r="O608" i="4"/>
  <c r="O969" i="4"/>
  <c r="O169" i="4"/>
  <c r="O566" i="4"/>
  <c r="O298" i="4"/>
  <c r="O873" i="4"/>
  <c r="O866" i="4"/>
  <c r="O11" i="4"/>
  <c r="O756" i="4"/>
  <c r="O335" i="4"/>
  <c r="O886" i="4"/>
  <c r="O1094" i="4"/>
  <c r="O495" i="4"/>
  <c r="O404" i="4"/>
  <c r="O953" i="4"/>
  <c r="O222" i="4"/>
  <c r="O497" i="4"/>
  <c r="O895" i="4"/>
  <c r="O503" i="4"/>
  <c r="O796" i="4"/>
  <c r="O391" i="4"/>
  <c r="O1033" i="4"/>
  <c r="O951" i="4"/>
  <c r="O488" i="4"/>
  <c r="O364" i="4"/>
  <c r="O948" i="4"/>
  <c r="O781" i="4"/>
  <c r="O168" i="4"/>
  <c r="O1056" i="4"/>
  <c r="O332" i="4"/>
  <c r="O170" i="4"/>
  <c r="O1055" i="4"/>
  <c r="O795" i="4"/>
  <c r="O272" i="4"/>
  <c r="O766" i="4"/>
  <c r="O197" i="4"/>
  <c r="O879" i="4"/>
  <c r="O755" i="4"/>
  <c r="O108" i="4"/>
  <c r="O43" i="4"/>
  <c r="O905" i="4"/>
  <c r="O558" i="4"/>
  <c r="O922" i="4"/>
  <c r="O314" i="4"/>
  <c r="O189" i="4"/>
  <c r="O660" i="4"/>
  <c r="O2" i="4"/>
  <c r="O1148" i="4"/>
  <c r="O508" i="4"/>
  <c r="O848" i="4"/>
  <c r="O60" i="4"/>
  <c r="O340" i="4"/>
  <c r="O939" i="4"/>
  <c r="O148" i="4"/>
  <c r="O909" i="4"/>
  <c r="O389" i="4"/>
  <c r="O976" i="4"/>
  <c r="O1127" i="4"/>
  <c r="O649" i="4"/>
  <c r="O265" i="4"/>
  <c r="O850" i="4"/>
  <c r="O164" i="4"/>
  <c r="O193" i="4"/>
  <c r="O584" i="4"/>
  <c r="O97" i="4"/>
  <c r="O914" i="4"/>
  <c r="O486" i="4"/>
  <c r="O14" i="4"/>
  <c r="O863" i="4"/>
  <c r="O636" i="4"/>
  <c r="O841" i="4"/>
  <c r="O543" i="4"/>
  <c r="O210" i="4"/>
  <c r="O968" i="4"/>
  <c r="O231" i="4"/>
  <c r="O622" i="4"/>
  <c r="O763" i="4"/>
  <c r="O881" i="4"/>
  <c r="O1151" i="4"/>
  <c r="O1025" i="4"/>
  <c r="O1084" i="4"/>
  <c r="O85" i="4"/>
  <c r="O199" i="4"/>
  <c r="O87" i="4"/>
  <c r="O443" i="4"/>
  <c r="O828" i="4"/>
  <c r="O904" i="4"/>
  <c r="O946" i="4"/>
  <c r="O1018" i="4"/>
  <c r="O535" i="4"/>
  <c r="O282" i="4"/>
  <c r="O233" i="4"/>
  <c r="O1019" i="4"/>
  <c r="O426" i="4"/>
  <c r="O415" i="4"/>
  <c r="O320" i="4"/>
  <c r="O345" i="4"/>
  <c r="O346" i="4"/>
  <c r="O723" i="4"/>
  <c r="O757" i="4"/>
  <c r="O808" i="4"/>
  <c r="O813" i="4"/>
  <c r="O135" i="4"/>
  <c r="O1061" i="4"/>
  <c r="O7" i="4"/>
  <c r="O983" i="4"/>
  <c r="O81" i="4"/>
  <c r="O86" i="4"/>
  <c r="O510" i="4"/>
  <c r="O784" i="4"/>
  <c r="O872" i="4"/>
  <c r="O877" i="4"/>
  <c r="O67" i="4"/>
  <c r="O78" i="4"/>
  <c r="O748" i="4"/>
  <c r="O94" i="4"/>
  <c r="O550" i="4"/>
  <c r="O177" i="4"/>
  <c r="O111" i="4"/>
  <c r="O637" i="4"/>
  <c r="O71" i="4"/>
  <c r="O458" i="4"/>
  <c r="O281" i="4"/>
  <c r="O952" i="4"/>
  <c r="O326" i="4"/>
  <c r="O652" i="4"/>
  <c r="O664" i="4"/>
  <c r="O73" i="4"/>
  <c r="O631" i="4"/>
  <c r="O998" i="4"/>
  <c r="O716" i="4"/>
  <c r="O799" i="4"/>
  <c r="O867" i="4"/>
  <c r="O642" i="4"/>
  <c r="O517" i="4"/>
  <c r="O590" i="4"/>
  <c r="O734" i="4"/>
  <c r="O1038" i="4"/>
  <c r="O499" i="4"/>
  <c r="O1098" i="4"/>
  <c r="O136" i="4"/>
  <c r="O929" i="4"/>
  <c r="O1032" i="4"/>
  <c r="O437" i="4"/>
  <c r="O1029" i="4"/>
  <c r="O204" i="4"/>
  <c r="O1146" i="4"/>
  <c r="O386" i="4"/>
  <c r="O1022" i="4"/>
  <c r="O162" i="4"/>
  <c r="O670" i="4"/>
  <c r="O1085" i="4"/>
  <c r="O118" i="4"/>
  <c r="O385" i="4"/>
  <c r="O37" i="4"/>
  <c r="O569" i="4"/>
  <c r="O493" i="4"/>
  <c r="O903" i="4"/>
  <c r="O376" i="4"/>
  <c r="O1026" i="4"/>
  <c r="O930" i="4"/>
  <c r="O299" i="4"/>
  <c r="O907" i="4"/>
  <c r="O643" i="4"/>
  <c r="O583" i="4"/>
  <c r="O776" i="4"/>
  <c r="O549" i="4"/>
  <c r="O192" i="4"/>
  <c r="O481" i="4"/>
  <c r="O156" i="4"/>
  <c r="O842" i="4"/>
  <c r="O707" i="4"/>
  <c r="O348" i="4"/>
  <c r="O249" i="4"/>
  <c r="O59" i="4"/>
  <c r="O678" i="4"/>
  <c r="O751" i="4"/>
  <c r="O978" i="4"/>
  <c r="O33" i="4"/>
  <c r="O175" i="4"/>
  <c r="O641" i="4"/>
  <c r="O474" i="4"/>
  <c r="O1074" i="4"/>
  <c r="O817" i="4"/>
  <c r="O530" i="4"/>
  <c r="O940" i="4"/>
  <c r="O254" i="4"/>
  <c r="O676" i="4"/>
  <c r="O247" i="4"/>
  <c r="O171" i="4"/>
  <c r="O619" i="4"/>
  <c r="O629" i="4"/>
  <c r="O182" i="4"/>
  <c r="O935" i="4"/>
  <c r="O1125" i="4"/>
  <c r="O191" i="4"/>
  <c r="O90" i="4"/>
  <c r="O181" i="4"/>
  <c r="O250" i="4"/>
  <c r="O425" i="4"/>
  <c r="O869" i="4"/>
  <c r="O525" i="4"/>
  <c r="O25" i="4"/>
  <c r="O648" i="4"/>
  <c r="O727" i="4"/>
  <c r="O516" i="4"/>
  <c r="O82" i="4"/>
  <c r="O93" i="4"/>
  <c r="O523" i="4"/>
  <c r="O654" i="4"/>
  <c r="O800" i="4"/>
  <c r="O545" i="4"/>
  <c r="O605" i="4"/>
  <c r="O714" i="4"/>
  <c r="O239" i="4"/>
  <c r="O366" i="4"/>
  <c r="O724" i="4"/>
  <c r="O1001" i="4"/>
  <c r="O888" i="4"/>
  <c r="O35" i="4"/>
  <c r="O945" i="4"/>
  <c r="O306" i="4"/>
  <c r="O286" i="4"/>
  <c r="O228" i="4"/>
  <c r="O1089" i="4"/>
  <c r="O627" i="4"/>
  <c r="O679" i="4"/>
  <c r="O949" i="4"/>
  <c r="O999" i="4"/>
  <c r="O845" i="4"/>
  <c r="O865" i="4"/>
  <c r="O919" i="4"/>
  <c r="O225" i="4"/>
  <c r="O851" i="4"/>
  <c r="O806" i="4"/>
  <c r="O113" i="4"/>
  <c r="O253" i="4"/>
  <c r="O278" i="4"/>
  <c r="O712" i="4"/>
  <c r="O513" i="4"/>
  <c r="O48" i="4"/>
  <c r="O725" i="4"/>
  <c r="O151" i="4"/>
  <c r="O24" i="4"/>
  <c r="O537" i="4"/>
  <c r="O589" i="4"/>
  <c r="O56" i="4"/>
  <c r="O843" i="4"/>
  <c r="O55" i="4"/>
  <c r="O962" i="4"/>
  <c r="O792" i="4"/>
  <c r="O179" i="4"/>
  <c r="O849" i="4"/>
  <c r="O221" i="4"/>
  <c r="O352" i="4"/>
  <c r="O292" i="4"/>
  <c r="O726" i="4"/>
  <c r="O367" i="4"/>
  <c r="O911" i="4"/>
  <c r="O1040" i="4"/>
  <c r="O746" i="4"/>
  <c r="O51" i="4"/>
  <c r="O1020" i="4"/>
  <c r="O1046" i="4"/>
  <c r="O615" i="4"/>
  <c r="O143" i="4"/>
  <c r="O971" i="4"/>
  <c r="O334" i="4"/>
  <c r="O942" i="4"/>
  <c r="O506" i="4"/>
  <c r="O283" i="4"/>
  <c r="O178" i="4"/>
  <c r="O321" i="4"/>
  <c r="O1104" i="4"/>
  <c r="O261" i="4"/>
  <c r="O925" i="4"/>
  <c r="O307" i="4"/>
  <c r="O789" i="4"/>
  <c r="O408" i="4"/>
  <c r="O470" i="4"/>
  <c r="O616" i="4"/>
  <c r="O479" i="4"/>
  <c r="O420" i="4"/>
  <c r="O106" i="4"/>
  <c r="O258" i="4"/>
  <c r="O812" i="4"/>
  <c r="O713" i="4"/>
  <c r="O995" i="4"/>
  <c r="O574" i="4"/>
  <c r="O956" i="4"/>
  <c r="O255" i="4"/>
  <c r="O768" i="4"/>
  <c r="O167" i="4"/>
  <c r="O977" i="4"/>
  <c r="O349" i="4"/>
  <c r="O240" i="4"/>
  <c r="O62" i="4"/>
  <c r="O943" i="4"/>
  <c r="O353" i="4"/>
  <c r="O365" i="4"/>
  <c r="O1054" i="4"/>
  <c r="O1076" i="4"/>
  <c r="O439" i="4"/>
  <c r="O640" i="4"/>
  <c r="O28" i="4"/>
  <c r="O823" i="4"/>
  <c r="O586" i="4"/>
  <c r="O241" i="4"/>
  <c r="O417" i="4"/>
  <c r="O875" i="4"/>
  <c r="O954" i="4"/>
  <c r="O743" i="4"/>
  <c r="O393" i="4"/>
  <c r="O465" i="4"/>
  <c r="O509" i="4"/>
  <c r="O592" i="4"/>
  <c r="O835" i="4"/>
  <c r="O1035" i="4"/>
  <c r="O196" i="4"/>
  <c r="O1024" i="4"/>
  <c r="O1013" i="4"/>
  <c r="O1031" i="4"/>
  <c r="O296" i="4"/>
  <c r="O160" i="4"/>
  <c r="O149" i="4"/>
  <c r="O749" i="4"/>
  <c r="O736" i="4"/>
  <c r="O453" i="4"/>
  <c r="O418" i="4"/>
  <c r="O577" i="4"/>
  <c r="O374" i="4"/>
  <c r="O885" i="4"/>
  <c r="O117" i="4"/>
  <c r="O551" i="4"/>
  <c r="O894" i="4"/>
  <c r="O381" i="4"/>
  <c r="O209" i="4"/>
  <c r="O728" i="4"/>
  <c r="O804" i="4"/>
  <c r="O890" i="4"/>
  <c r="O26" i="4"/>
  <c r="O742" i="4"/>
  <c r="O414" i="4"/>
  <c r="O844" i="4"/>
  <c r="O504" i="4"/>
  <c r="O293" i="4"/>
  <c r="O989" i="4"/>
  <c r="P870" i="4"/>
  <c r="P806" i="4"/>
  <c r="P918" i="4"/>
  <c r="P878" i="4"/>
  <c r="P830" i="4"/>
  <c r="P914" i="4"/>
  <c r="P886" i="4"/>
  <c r="P790" i="4"/>
  <c r="P922" i="4"/>
  <c r="P898" i="4"/>
  <c r="P866" i="4"/>
  <c r="P834" i="4"/>
  <c r="P818" i="4"/>
  <c r="P802" i="4"/>
  <c r="P786" i="4"/>
  <c r="P902" i="4"/>
  <c r="P822" i="4"/>
  <c r="P910" i="4"/>
  <c r="P882" i="4"/>
  <c r="P850" i="4"/>
  <c r="P854" i="4"/>
  <c r="P894" i="4"/>
  <c r="P846" i="4"/>
  <c r="P798" i="4"/>
  <c r="P906" i="4"/>
  <c r="P838" i="4"/>
  <c r="P862" i="4"/>
  <c r="P814" i="4"/>
  <c r="P926" i="4"/>
  <c r="P890" i="4"/>
  <c r="P874" i="4"/>
  <c r="P858" i="4"/>
  <c r="P842" i="4"/>
  <c r="P826" i="4"/>
  <c r="P810" i="4"/>
  <c r="P794" i="4"/>
  <c r="P928" i="4"/>
  <c r="P916" i="4"/>
  <c r="P904" i="4"/>
  <c r="P892" i="4"/>
  <c r="P876" i="4"/>
  <c r="P927" i="4"/>
  <c r="P923" i="4"/>
  <c r="P919" i="4"/>
  <c r="P915" i="4"/>
  <c r="P911" i="4"/>
  <c r="P907" i="4"/>
  <c r="P903" i="4"/>
  <c r="P899" i="4"/>
  <c r="P895" i="4"/>
  <c r="P891" i="4"/>
  <c r="P887" i="4"/>
  <c r="P883" i="4"/>
  <c r="P879" i="4"/>
  <c r="P875" i="4"/>
  <c r="P871" i="4"/>
  <c r="P867" i="4"/>
  <c r="P863" i="4"/>
  <c r="P859" i="4"/>
  <c r="P855" i="4"/>
  <c r="P851" i="4"/>
  <c r="P847" i="4"/>
  <c r="P843" i="4"/>
  <c r="P839" i="4"/>
  <c r="P835" i="4"/>
  <c r="P831" i="4"/>
  <c r="P827" i="4"/>
  <c r="P823" i="4"/>
  <c r="P819" i="4"/>
  <c r="P815" i="4"/>
  <c r="P811" i="4"/>
  <c r="P807" i="4"/>
  <c r="P803" i="4"/>
  <c r="P799" i="4"/>
  <c r="P795" i="4"/>
  <c r="P791" i="4"/>
  <c r="P787" i="4"/>
  <c r="P783" i="4"/>
  <c r="P779" i="4"/>
  <c r="P775" i="4"/>
  <c r="P771" i="4"/>
  <c r="P767" i="4"/>
  <c r="P763" i="4"/>
  <c r="P759" i="4"/>
  <c r="P755" i="4"/>
  <c r="P751" i="4"/>
  <c r="P747" i="4"/>
  <c r="P743" i="4"/>
  <c r="P739" i="4"/>
  <c r="P735" i="4"/>
  <c r="P731" i="4"/>
  <c r="P727" i="4"/>
  <c r="P723" i="4"/>
  <c r="P719" i="4"/>
  <c r="P715" i="4"/>
  <c r="P711" i="4"/>
  <c r="P707" i="4"/>
  <c r="P703" i="4"/>
  <c r="P699" i="4"/>
  <c r="P695" i="4"/>
  <c r="P691" i="4"/>
  <c r="P687" i="4"/>
  <c r="P683" i="4"/>
  <c r="P679" i="4"/>
  <c r="P675" i="4"/>
  <c r="P671" i="4"/>
  <c r="P667" i="4"/>
  <c r="P663" i="4"/>
  <c r="P659" i="4"/>
  <c r="P655" i="4"/>
  <c r="P651" i="4"/>
  <c r="P647" i="4"/>
  <c r="P643" i="4"/>
  <c r="P639" i="4"/>
  <c r="P635" i="4"/>
  <c r="P631" i="4"/>
  <c r="P627" i="4"/>
  <c r="P623" i="4"/>
  <c r="P619" i="4"/>
  <c r="P615" i="4"/>
  <c r="P611" i="4"/>
  <c r="P607" i="4"/>
  <c r="P603" i="4"/>
  <c r="P599" i="4"/>
  <c r="P595" i="4"/>
  <c r="P591" i="4"/>
  <c r="P587" i="4"/>
  <c r="P583" i="4"/>
  <c r="P579" i="4"/>
  <c r="B24" i="6" s="1"/>
  <c r="P778" i="4"/>
  <c r="P770" i="4"/>
  <c r="P762" i="4"/>
  <c r="P754" i="4"/>
  <c r="P746" i="4"/>
  <c r="P738" i="4"/>
  <c r="P730" i="4"/>
  <c r="P722" i="4"/>
  <c r="P714" i="4"/>
  <c r="P706" i="4"/>
  <c r="P698" i="4"/>
  <c r="P694" i="4"/>
  <c r="P686" i="4"/>
  <c r="P678" i="4"/>
  <c r="P670" i="4"/>
  <c r="P662" i="4"/>
  <c r="P654" i="4"/>
  <c r="P646" i="4"/>
  <c r="P642" i="4"/>
  <c r="P638" i="4"/>
  <c r="P634" i="4"/>
  <c r="P630" i="4"/>
  <c r="P626" i="4"/>
  <c r="P618" i="4"/>
  <c r="P614" i="4"/>
  <c r="P610" i="4"/>
  <c r="P606" i="4"/>
  <c r="P602" i="4"/>
  <c r="P598" i="4"/>
  <c r="P594" i="4"/>
  <c r="P590" i="4"/>
  <c r="P586" i="4"/>
  <c r="P582" i="4"/>
  <c r="P578" i="4"/>
  <c r="P930" i="4"/>
  <c r="P577" i="4"/>
  <c r="P782" i="4"/>
  <c r="P774" i="4"/>
  <c r="P766" i="4"/>
  <c r="P758" i="4"/>
  <c r="P750" i="4"/>
  <c r="P742" i="4"/>
  <c r="P734" i="4"/>
  <c r="P726" i="4"/>
  <c r="P718" i="4"/>
  <c r="P710" i="4"/>
  <c r="P702" i="4"/>
  <c r="P690" i="4"/>
  <c r="P682" i="4"/>
  <c r="P674" i="4"/>
  <c r="P666" i="4"/>
  <c r="P658" i="4"/>
  <c r="P650" i="4"/>
  <c r="P622" i="4"/>
  <c r="P929" i="4"/>
  <c r="P925" i="4"/>
  <c r="P921" i="4"/>
  <c r="P917" i="4"/>
  <c r="P913" i="4"/>
  <c r="P909" i="4"/>
  <c r="P905" i="4"/>
  <c r="P901" i="4"/>
  <c r="P897" i="4"/>
  <c r="P893" i="4"/>
  <c r="P889" i="4"/>
  <c r="P885" i="4"/>
  <c r="P881" i="4"/>
  <c r="P877" i="4"/>
  <c r="P873" i="4"/>
  <c r="P869" i="4"/>
  <c r="P865" i="4"/>
  <c r="P861" i="4"/>
  <c r="P857" i="4"/>
  <c r="P853" i="4"/>
  <c r="P849" i="4"/>
  <c r="P845" i="4"/>
  <c r="P841" i="4"/>
  <c r="P837" i="4"/>
  <c r="P833" i="4"/>
  <c r="P829" i="4"/>
  <c r="P825" i="4"/>
  <c r="P821" i="4"/>
  <c r="P817" i="4"/>
  <c r="P813" i="4"/>
  <c r="P809" i="4"/>
  <c r="P805" i="4"/>
  <c r="P801" i="4"/>
  <c r="P797" i="4"/>
  <c r="P793" i="4"/>
  <c r="P789" i="4"/>
  <c r="P785" i="4"/>
  <c r="P781" i="4"/>
  <c r="P777" i="4"/>
  <c r="P773" i="4"/>
  <c r="P769" i="4"/>
  <c r="P765" i="4"/>
  <c r="P761" i="4"/>
  <c r="P757" i="4"/>
  <c r="P753" i="4"/>
  <c r="P749" i="4"/>
  <c r="P745" i="4"/>
  <c r="P741" i="4"/>
  <c r="P737" i="4"/>
  <c r="P733" i="4"/>
  <c r="P729" i="4"/>
  <c r="P725" i="4"/>
  <c r="P721" i="4"/>
  <c r="P717" i="4"/>
  <c r="P713" i="4"/>
  <c r="P709" i="4"/>
  <c r="P705" i="4"/>
  <c r="P701" i="4"/>
  <c r="P697" i="4"/>
  <c r="P693" i="4"/>
  <c r="P689" i="4"/>
  <c r="P685" i="4"/>
  <c r="P681" i="4"/>
  <c r="P677" i="4"/>
  <c r="P673" i="4"/>
  <c r="P669" i="4"/>
  <c r="P665" i="4"/>
  <c r="P661" i="4"/>
  <c r="P657" i="4"/>
  <c r="P653" i="4"/>
  <c r="P649" i="4"/>
  <c r="P645" i="4"/>
  <c r="P641" i="4"/>
  <c r="P637" i="4"/>
  <c r="P633" i="4"/>
  <c r="P629" i="4"/>
  <c r="P625" i="4"/>
  <c r="P621" i="4"/>
  <c r="P617" i="4"/>
  <c r="P613" i="4"/>
  <c r="P609" i="4"/>
  <c r="P605" i="4"/>
  <c r="P601" i="4"/>
  <c r="P597" i="4"/>
  <c r="P593" i="4"/>
  <c r="P589" i="4"/>
  <c r="P585" i="4"/>
  <c r="P581" i="4"/>
  <c r="P924" i="4"/>
  <c r="P912" i="4"/>
  <c r="P896" i="4"/>
  <c r="P884" i="4"/>
  <c r="P872" i="4"/>
  <c r="P864" i="4"/>
  <c r="P856" i="4"/>
  <c r="P848" i="4"/>
  <c r="P836" i="4"/>
  <c r="P828" i="4"/>
  <c r="P820" i="4"/>
  <c r="P812" i="4"/>
  <c r="P804" i="4"/>
  <c r="P796" i="4"/>
  <c r="P788" i="4"/>
  <c r="P780" i="4"/>
  <c r="P776" i="4"/>
  <c r="P772" i="4"/>
  <c r="P768" i="4"/>
  <c r="P764" i="4"/>
  <c r="P760" i="4"/>
  <c r="P756" i="4"/>
  <c r="P748" i="4"/>
  <c r="P744" i="4"/>
  <c r="P740" i="4"/>
  <c r="P736" i="4"/>
  <c r="P732" i="4"/>
  <c r="P728" i="4"/>
  <c r="P724" i="4"/>
  <c r="P720" i="4"/>
  <c r="P716" i="4"/>
  <c r="P712" i="4"/>
  <c r="P708" i="4"/>
  <c r="P704" i="4"/>
  <c r="P700" i="4"/>
  <c r="P696" i="4"/>
  <c r="P692" i="4"/>
  <c r="P688" i="4"/>
  <c r="P684" i="4"/>
  <c r="P680" i="4"/>
  <c r="P676" i="4"/>
  <c r="P672" i="4"/>
  <c r="P668" i="4"/>
  <c r="P664" i="4"/>
  <c r="P660" i="4"/>
  <c r="P656" i="4"/>
  <c r="P652" i="4"/>
  <c r="P648" i="4"/>
  <c r="P644" i="4"/>
  <c r="P640" i="4"/>
  <c r="P636" i="4"/>
  <c r="P632" i="4"/>
  <c r="P628" i="4"/>
  <c r="P624" i="4"/>
  <c r="P620" i="4"/>
  <c r="P616" i="4"/>
  <c r="P612" i="4"/>
  <c r="P608" i="4"/>
  <c r="P604" i="4"/>
  <c r="P600" i="4"/>
  <c r="P596" i="4"/>
  <c r="P592" i="4"/>
  <c r="P588" i="4"/>
  <c r="P584" i="4"/>
  <c r="P580" i="4"/>
  <c r="P920" i="4"/>
  <c r="P908" i="4"/>
  <c r="P900" i="4"/>
  <c r="P888" i="4"/>
  <c r="P880" i="4"/>
  <c r="P868" i="4"/>
  <c r="P860" i="4"/>
  <c r="P852" i="4"/>
  <c r="P844" i="4"/>
  <c r="P840" i="4"/>
  <c r="P832" i="4"/>
  <c r="P824" i="4"/>
  <c r="P816" i="4"/>
  <c r="P808" i="4"/>
  <c r="P800" i="4"/>
  <c r="P792" i="4"/>
  <c r="P784" i="4"/>
  <c r="P752" i="4"/>
  <c r="K931" i="4"/>
  <c r="K932" i="4" l="1"/>
  <c r="K933" i="4" l="1"/>
  <c r="K934" i="4" l="1"/>
  <c r="K935" i="4" l="1"/>
  <c r="K936" i="4" l="1"/>
  <c r="K937" i="4" l="1"/>
  <c r="K938" i="4" l="1"/>
  <c r="K939" i="4" l="1"/>
  <c r="K940" i="4" l="1"/>
  <c r="K941" i="4" l="1"/>
  <c r="K942" i="4" l="1"/>
  <c r="K943" i="4" l="1"/>
  <c r="K944" i="4" l="1"/>
  <c r="K945" i="4" l="1"/>
  <c r="K946" i="4" l="1"/>
  <c r="K947" i="4" l="1"/>
  <c r="K948" i="4" l="1"/>
  <c r="K949" i="4" l="1"/>
  <c r="K950" i="4" l="1"/>
  <c r="K951" i="4" l="1"/>
  <c r="K952" i="4" l="1"/>
  <c r="K953" i="4" l="1"/>
  <c r="K954" i="4" l="1"/>
  <c r="K955" i="4" l="1"/>
  <c r="K956" i="4" l="1"/>
  <c r="K957" i="4" l="1"/>
  <c r="K958" i="4" l="1"/>
  <c r="K959" i="4" l="1"/>
  <c r="K960" i="4" l="1"/>
  <c r="K961" i="4" l="1"/>
  <c r="K962" i="4" l="1"/>
  <c r="K963" i="4" l="1"/>
  <c r="K964" i="4" l="1"/>
  <c r="K965" i="4" l="1"/>
  <c r="K966" i="4" l="1"/>
  <c r="K967" i="4" l="1"/>
  <c r="K968" i="4" l="1"/>
  <c r="K969" i="4" l="1"/>
  <c r="K970" i="4" l="1"/>
  <c r="K971" i="4" l="1"/>
  <c r="K972" i="4" l="1"/>
  <c r="K973" i="4" l="1"/>
  <c r="K974" i="4" l="1"/>
  <c r="K975" i="4" l="1"/>
  <c r="K976" i="4" l="1"/>
  <c r="K977" i="4" l="1"/>
  <c r="K978" i="4" l="1"/>
  <c r="K979" i="4" l="1"/>
  <c r="K980" i="4" l="1"/>
  <c r="K981" i="4" l="1"/>
  <c r="K982" i="4" l="1"/>
  <c r="K983" i="4" l="1"/>
  <c r="K984" i="4" l="1"/>
  <c r="K985" i="4" l="1"/>
  <c r="K986" i="4" l="1"/>
  <c r="K987" i="4" l="1"/>
  <c r="K988" i="4" l="1"/>
  <c r="K989" i="4" l="1"/>
  <c r="K990" i="4" l="1"/>
  <c r="K991" i="4" l="1"/>
  <c r="K992" i="4" l="1"/>
  <c r="K993" i="4" l="1"/>
  <c r="K994" i="4" l="1"/>
  <c r="K995" i="4" l="1"/>
  <c r="K996" i="4" l="1"/>
  <c r="K997" i="4" l="1"/>
  <c r="K998" i="4" l="1"/>
  <c r="K999" i="4" l="1"/>
  <c r="K1000" i="4" l="1"/>
  <c r="K1001" i="4" l="1"/>
  <c r="K1002" i="4" l="1"/>
  <c r="K1003" i="4" l="1"/>
  <c r="K1004" i="4" l="1"/>
  <c r="K1005" i="4" l="1"/>
  <c r="K1006" i="4" l="1"/>
  <c r="K1007" i="4" l="1"/>
  <c r="K1008" i="4" l="1"/>
  <c r="K1009" i="4" l="1"/>
  <c r="K1010" i="4" l="1"/>
  <c r="K1011" i="4" l="1"/>
  <c r="K1012" i="4" l="1"/>
  <c r="K1013" i="4" l="1"/>
  <c r="K1014" i="4" l="1"/>
  <c r="K1015" i="4" l="1"/>
  <c r="K1016" i="4" l="1"/>
  <c r="K1017" i="4" l="1"/>
  <c r="K1018" i="4" l="1"/>
  <c r="K1019" i="4" l="1"/>
  <c r="K1020" i="4" l="1"/>
  <c r="K1021" i="4" l="1"/>
  <c r="K1022" i="4" l="1"/>
  <c r="K1023" i="4" l="1"/>
  <c r="K1024" i="4" l="1"/>
  <c r="K1025" i="4" l="1"/>
  <c r="K1026" i="4" l="1"/>
  <c r="K1027" i="4" l="1"/>
  <c r="K1028" i="4" l="1"/>
  <c r="K1029" i="4" l="1"/>
  <c r="K1030" i="4" l="1"/>
  <c r="K1031" i="4" l="1"/>
  <c r="K1032" i="4" l="1"/>
  <c r="K1033" i="4" l="1"/>
  <c r="K1034" i="4" l="1"/>
  <c r="K1035" i="4" l="1"/>
  <c r="K1036" i="4" l="1"/>
  <c r="K1037" i="4" l="1"/>
  <c r="K1038" i="4" l="1"/>
  <c r="K1039" i="4" l="1"/>
  <c r="K1040" i="4" l="1"/>
  <c r="K1041" i="4" l="1"/>
  <c r="K1042" i="4" l="1"/>
  <c r="K1043" i="4" l="1"/>
  <c r="K1044" i="4" l="1"/>
  <c r="K1045" i="4" l="1"/>
  <c r="K1046" i="4" l="1"/>
  <c r="K1047" i="4" l="1"/>
  <c r="K1048" i="4" l="1"/>
  <c r="K1049" i="4" l="1"/>
  <c r="K1050" i="4" l="1"/>
  <c r="K1051" i="4" l="1"/>
  <c r="K1052" i="4" l="1"/>
  <c r="K1053" i="4" l="1"/>
  <c r="K1054" i="4" l="1"/>
  <c r="K1055" i="4" l="1"/>
  <c r="K1056" i="4" l="1"/>
  <c r="K1057" i="4" l="1"/>
  <c r="K1058" i="4" l="1"/>
  <c r="K1059" i="4" l="1"/>
  <c r="K1060" i="4" l="1"/>
  <c r="K1061" i="4" l="1"/>
  <c r="K1062" i="4" l="1"/>
  <c r="K1063" i="4" l="1"/>
  <c r="K1064" i="4" l="1"/>
  <c r="K1065" i="4" l="1"/>
  <c r="K1066" i="4" l="1"/>
  <c r="K1067" i="4" l="1"/>
  <c r="K1068" i="4" l="1"/>
  <c r="K1069" i="4" l="1"/>
  <c r="K1070" i="4" l="1"/>
  <c r="K1071" i="4" l="1"/>
  <c r="K1072" i="4" l="1"/>
  <c r="K1073" i="4" l="1"/>
  <c r="K1074" i="4" l="1"/>
  <c r="K1075" i="4" l="1"/>
  <c r="K1076" i="4" l="1"/>
  <c r="K1077" i="4" l="1"/>
  <c r="K1078" i="4" l="1"/>
  <c r="K1079" i="4" l="1"/>
  <c r="K1080" i="4" l="1"/>
  <c r="K1081" i="4" l="1"/>
  <c r="K1082" i="4" l="1"/>
  <c r="K1083" i="4" l="1"/>
  <c r="K1084" i="4" l="1"/>
  <c r="K1085" i="4" l="1"/>
  <c r="K1086" i="4" l="1"/>
  <c r="K1087" i="4" l="1"/>
  <c r="K1088" i="4" l="1"/>
  <c r="K1089" i="4" l="1"/>
  <c r="K1090" i="4" l="1"/>
  <c r="K1091" i="4" l="1"/>
  <c r="K1092" i="4" l="1"/>
  <c r="K1093" i="4" l="1"/>
  <c r="K1094" i="4" l="1"/>
  <c r="K1095" i="4" l="1"/>
  <c r="K1096" i="4" l="1"/>
  <c r="K1097" i="4" l="1"/>
  <c r="K1098" i="4" l="1"/>
  <c r="K1099" i="4" l="1"/>
  <c r="K1100" i="4" l="1"/>
  <c r="K1101" i="4" l="1"/>
  <c r="K1102" i="4" l="1"/>
  <c r="K1103" i="4" l="1"/>
  <c r="K1104" i="4" l="1"/>
  <c r="K1105" i="4" l="1"/>
  <c r="K1106" i="4" l="1"/>
  <c r="K1107" i="4" l="1"/>
  <c r="K1108" i="4" l="1"/>
  <c r="K1109" i="4" l="1"/>
  <c r="K1110" i="4" l="1"/>
  <c r="K1111" i="4" l="1"/>
  <c r="K1112" i="4" l="1"/>
  <c r="K1113" i="4" l="1"/>
  <c r="K1114" i="4" l="1"/>
  <c r="K1115" i="4" l="1"/>
  <c r="K1116" i="4" l="1"/>
  <c r="K1117" i="4" l="1"/>
  <c r="K1118" i="4" l="1"/>
  <c r="K1119" i="4" l="1"/>
  <c r="K1120" i="4" l="1"/>
  <c r="K1121" i="4" l="1"/>
  <c r="K1122" i="4" l="1"/>
  <c r="K1123" i="4" l="1"/>
  <c r="K1124" i="4" l="1"/>
  <c r="K1125" i="4" l="1"/>
  <c r="K1126" i="4" l="1"/>
  <c r="K1127" i="4" l="1"/>
  <c r="K1128" i="4" l="1"/>
  <c r="K1129" i="4" l="1"/>
  <c r="K1130" i="4" l="1"/>
  <c r="K1131" i="4" l="1"/>
  <c r="K1132" i="4" l="1"/>
  <c r="K1133" i="4" l="1"/>
  <c r="K1134" i="4" l="1"/>
  <c r="K1135" i="4" l="1"/>
  <c r="K1136" i="4" l="1"/>
  <c r="K1137" i="4" l="1"/>
  <c r="K1138" i="4" l="1"/>
  <c r="K1139" i="4" l="1"/>
  <c r="K1140" i="4" l="1"/>
  <c r="K1141" i="4" l="1"/>
  <c r="K1142" i="4" l="1"/>
  <c r="K1143" i="4" l="1"/>
  <c r="K1144" i="4" l="1"/>
  <c r="K1145" i="4" l="1"/>
  <c r="K1146" i="4" l="1"/>
  <c r="K1147" i="4" l="1"/>
  <c r="K1148" i="4" l="1"/>
  <c r="K1149" i="4" l="1"/>
  <c r="K1150" i="4" l="1"/>
  <c r="K1151" i="4" l="1"/>
  <c r="K1152" i="4" l="1"/>
</calcChain>
</file>

<file path=xl/connections.xml><?xml version="1.0" encoding="utf-8"?>
<connections xmlns="http://schemas.openxmlformats.org/spreadsheetml/2006/main">
  <connection id="1" name="BagOut 220411_Flight2" type="6" refreshedVersion="6" background="1" saveData="1">
    <textPr codePage="850" sourceFile="C:\Users\maag\Documents\Maag\Studium\T3100\Analyse\Parrot\BagOut 220411_Flight2.txt" decimal="," thousands="." semicolon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<sst xmlns="http://schemas.openxmlformats.org/spreadsheetml/2006/main" count="67" uniqueCount="54">
  <si>
    <t>Index</t>
  </si>
  <si>
    <t>Time</t>
  </si>
  <si>
    <t>Δt</t>
  </si>
  <si>
    <t>Integral1_raw</t>
  </si>
  <si>
    <t>Integral2_raw</t>
  </si>
  <si>
    <t>Median</t>
  </si>
  <si>
    <t>Average(Median)</t>
  </si>
  <si>
    <t>Offset</t>
  </si>
  <si>
    <t>Value</t>
  </si>
  <si>
    <t>Value_raw</t>
  </si>
  <si>
    <t>Integral1_filtered</t>
  </si>
  <si>
    <t>Integral2_filtered</t>
  </si>
  <si>
    <t>Parameter</t>
  </si>
  <si>
    <t>Time_Offset</t>
  </si>
  <si>
    <t>State</t>
  </si>
  <si>
    <t>ID</t>
  </si>
  <si>
    <t>ax</t>
  </si>
  <si>
    <t>ay</t>
  </si>
  <si>
    <t>az</t>
  </si>
  <si>
    <t>vx</t>
  </si>
  <si>
    <t>vy</t>
  </si>
  <si>
    <t>vz</t>
  </si>
  <si>
    <t>h</t>
  </si>
  <si>
    <t>Input Bezug</t>
  </si>
  <si>
    <t>G</t>
  </si>
  <si>
    <t>Median_Count</t>
  </si>
  <si>
    <t>Average_Count</t>
  </si>
  <si>
    <t>Offset_Count</t>
  </si>
  <si>
    <t>Data_Offsetted</t>
  </si>
  <si>
    <t>Offset_Error</t>
  </si>
  <si>
    <t>Offset_Sum</t>
  </si>
  <si>
    <t>Integral_raw_Error</t>
  </si>
  <si>
    <t>Integral_filtered_Error</t>
  </si>
  <si>
    <t>Input_Filter</t>
  </si>
  <si>
    <t>q</t>
  </si>
  <si>
    <t>Scissor_low</t>
  </si>
  <si>
    <t>Scissor_high</t>
  </si>
  <si>
    <t>height Adapted</t>
  </si>
  <si>
    <t>Height_Offset</t>
  </si>
  <si>
    <t>Height_Factor</t>
  </si>
  <si>
    <t>Covarianz (Integral2_filtered; Height(t))</t>
  </si>
  <si>
    <t>Time_OffsetID</t>
  </si>
  <si>
    <t>Time_Touchdown</t>
  </si>
  <si>
    <t>Time_Takeoff</t>
  </si>
  <si>
    <t>Integral1_k_D</t>
  </si>
  <si>
    <t>Integral2_k_D</t>
  </si>
  <si>
    <t>Difference</t>
  </si>
  <si>
    <t>Variance Input Value</t>
  </si>
  <si>
    <t>Offset_Variance</t>
  </si>
  <si>
    <t>Integral_raw_Slope</t>
  </si>
  <si>
    <t>Offset_Begin</t>
  </si>
  <si>
    <t>Offset_End</t>
  </si>
  <si>
    <t>Offset_Time_Begin</t>
  </si>
  <si>
    <t>Offset_Time_End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</si>
</sst>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0.0000"/>
  </numFmts>
  <fonts count="2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</font>
  </fonts>
  <fills count="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9" tint="0.7999816888943144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9">
    <xf numFmtId="0" fontId="0" fillId="0" borderId="0" xfId="0"/>
    <xf numFmtId="0" fontId="0" fillId="2" borderId="0" xfId="0" applyFill="1"/>
    <xf numFmtId="0" fontId="0" fillId="3" borderId="0" xfId="0" applyFill="1"/>
    <xf numFmtId="0" fontId="1" fillId="2" borderId="0" xfId="0" applyFont="1" applyFill="1"/>
    <xf numFmtId="3" fontId="0" fillId="0" borderId="0" xfId="0" applyNumberFormat="1"/>
    <xf numFmtId="164" fontId="0" fillId="0" borderId="0" xfId="0" applyNumberFormat="1"/>
    <xf numFmtId="164" fontId="0" fillId="2" borderId="0" xfId="0" applyNumberFormat="1" applyFill="1"/>
    <xf numFmtId="0" fontId="0" fillId="4" borderId="0" xfId="0" applyFill="1"/>
    <xf numFmtId="0" fontId="0" fillId="5" borderId="0" xfId="0" applyFill="1"/>
  </cellXfs>
  <cellStyles count="1">
    <cellStyle name="Standard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connections" Target="connection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raw Data</a:t>
            </a:r>
          </a:p>
        </c:rich>
      </c:tx>
      <c:layout>
        <c:manualLayout>
          <c:xMode val="edge"/>
          <c:yMode val="edge"/>
          <c:x val="0.39543044619422574"/>
          <c:y val="4.629629629629629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1"/>
          <c:tx>
            <c:v>Integral 1</c:v>
          </c:tx>
          <c:spPr>
            <a:ln w="19050" cap="rnd">
              <a:noFill/>
              <a:round/>
            </a:ln>
            <a:effectLst/>
          </c:spPr>
          <c:marker>
            <c:symbol val="circle"/>
            <c:size val="3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'Real Values'!$B$2:$B$1800</c:f>
              <c:numCache>
                <c:formatCode>General</c:formatCode>
                <c:ptCount val="1799"/>
                <c:pt idx="0">
                  <c:v>5.2599999995436519E-2</c:v>
                </c:pt>
                <c:pt idx="1">
                  <c:v>7.1112999998149462E-2</c:v>
                </c:pt>
                <c:pt idx="2">
                  <c:v>9.1904000000795349E-2</c:v>
                </c:pt>
                <c:pt idx="3">
                  <c:v>0.10767899999336805</c:v>
                </c:pt>
                <c:pt idx="4">
                  <c:v>0.13174199999775738</c:v>
                </c:pt>
                <c:pt idx="5">
                  <c:v>0.15130599999974947</c:v>
                </c:pt>
                <c:pt idx="6">
                  <c:v>0.16790099999343511</c:v>
                </c:pt>
                <c:pt idx="7">
                  <c:v>0.1887060000008205</c:v>
                </c:pt>
                <c:pt idx="8">
                  <c:v>0.21346100000664592</c:v>
                </c:pt>
                <c:pt idx="9">
                  <c:v>0.22705699999642093</c:v>
                </c:pt>
                <c:pt idx="10">
                  <c:v>0.24826999999640975</c:v>
                </c:pt>
                <c:pt idx="11">
                  <c:v>0.26694099999440368</c:v>
                </c:pt>
                <c:pt idx="12">
                  <c:v>0.29261899999983143</c:v>
                </c:pt>
                <c:pt idx="13">
                  <c:v>0.31316000000515487</c:v>
                </c:pt>
                <c:pt idx="14">
                  <c:v>0.33193600000231527</c:v>
                </c:pt>
                <c:pt idx="15">
                  <c:v>0.3471949999948265</c:v>
                </c:pt>
                <c:pt idx="16">
                  <c:v>0.36253399999986868</c:v>
                </c:pt>
                <c:pt idx="17">
                  <c:v>0.39266500000667293</c:v>
                </c:pt>
                <c:pt idx="18">
                  <c:v>0.40777599999273662</c:v>
                </c:pt>
                <c:pt idx="19">
                  <c:v>0.43277499999385327</c:v>
                </c:pt>
                <c:pt idx="20">
                  <c:v>0.45146999999997206</c:v>
                </c:pt>
                <c:pt idx="21">
                  <c:v>0.46772000000055414</c:v>
                </c:pt>
                <c:pt idx="22">
                  <c:v>0.48933199999737553</c:v>
                </c:pt>
                <c:pt idx="23">
                  <c:v>0.50939500000094995</c:v>
                </c:pt>
                <c:pt idx="24">
                  <c:v>0.52885000000242144</c:v>
                </c:pt>
                <c:pt idx="25">
                  <c:v>0.54839799999899697</c:v>
                </c:pt>
                <c:pt idx="26">
                  <c:v>0.56978499999968335</c:v>
                </c:pt>
                <c:pt idx="27">
                  <c:v>0.58849900000495836</c:v>
                </c:pt>
                <c:pt idx="28">
                  <c:v>0.61144700000295416</c:v>
                </c:pt>
                <c:pt idx="29">
                  <c:v>0.6288020000065444</c:v>
                </c:pt>
                <c:pt idx="30">
                  <c:v>0.65030599999590777</c:v>
                </c:pt>
                <c:pt idx="31">
                  <c:v>0.67232100000546779</c:v>
                </c:pt>
                <c:pt idx="32">
                  <c:v>0.68908599999849685</c:v>
                </c:pt>
                <c:pt idx="33">
                  <c:v>0.71103900000161957</c:v>
                </c:pt>
                <c:pt idx="34">
                  <c:v>0.73151300000608899</c:v>
                </c:pt>
                <c:pt idx="35">
                  <c:v>0.74727399999392219</c:v>
                </c:pt>
                <c:pt idx="36">
                  <c:v>0.76911399999517016</c:v>
                </c:pt>
                <c:pt idx="37">
                  <c:v>0.79029099999752361</c:v>
                </c:pt>
                <c:pt idx="38">
                  <c:v>0.79935000000114087</c:v>
                </c:pt>
                <c:pt idx="39">
                  <c:v>0.83206099999370053</c:v>
                </c:pt>
                <c:pt idx="40">
                  <c:v>0.85044399999605957</c:v>
                </c:pt>
                <c:pt idx="41">
                  <c:v>0.87058800000522751</c:v>
                </c:pt>
                <c:pt idx="42">
                  <c:v>0.89076300000306219</c:v>
                </c:pt>
                <c:pt idx="43">
                  <c:v>0.91084300000511575</c:v>
                </c:pt>
                <c:pt idx="44">
                  <c:v>0.93167299999913666</c:v>
                </c:pt>
                <c:pt idx="45">
                  <c:v>0.94603799999458715</c:v>
                </c:pt>
                <c:pt idx="46">
                  <c:v>0.97082400000363123</c:v>
                </c:pt>
                <c:pt idx="47">
                  <c:v>0.99126799999794457</c:v>
                </c:pt>
                <c:pt idx="48">
                  <c:v>1.0061920000007376</c:v>
                </c:pt>
                <c:pt idx="49">
                  <c:v>1.0268289999949047</c:v>
                </c:pt>
                <c:pt idx="50">
                  <c:v>1.046040000001085</c:v>
                </c:pt>
                <c:pt idx="51">
                  <c:v>1.0720909999945434</c:v>
                </c:pt>
                <c:pt idx="52">
                  <c:v>1.0898290000041015</c:v>
                </c:pt>
                <c:pt idx="53">
                  <c:v>1.10770500000217</c:v>
                </c:pt>
                <c:pt idx="54">
                  <c:v>1.1321060000045691</c:v>
                </c:pt>
                <c:pt idx="55">
                  <c:v>1.1494200000015553</c:v>
                </c:pt>
                <c:pt idx="56">
                  <c:v>1.1718129999935627</c:v>
                </c:pt>
                <c:pt idx="57">
                  <c:v>1.1912400000001071</c:v>
                </c:pt>
                <c:pt idx="58">
                  <c:v>1.2120719999948051</c:v>
                </c:pt>
                <c:pt idx="59">
                  <c:v>1.2298180000070715</c:v>
                </c:pt>
                <c:pt idx="60">
                  <c:v>1.2522989999997662</c:v>
                </c:pt>
                <c:pt idx="61">
                  <c:v>1.2725670000072569</c:v>
                </c:pt>
                <c:pt idx="62">
                  <c:v>1.2926980000047479</c:v>
                </c:pt>
                <c:pt idx="63">
                  <c:v>1.3091259999928297</c:v>
                </c:pt>
                <c:pt idx="64">
                  <c:v>1.3326839999936055</c:v>
                </c:pt>
                <c:pt idx="65">
                  <c:v>1.3498839999956544</c:v>
                </c:pt>
                <c:pt idx="66">
                  <c:v>1.370003000003635</c:v>
                </c:pt>
                <c:pt idx="67">
                  <c:v>1.388120000003255</c:v>
                </c:pt>
                <c:pt idx="68">
                  <c:v>1.4047730000020238</c:v>
                </c:pt>
                <c:pt idx="69">
                  <c:v>1.4334419999941019</c:v>
                </c:pt>
                <c:pt idx="70">
                  <c:v>1.4489659999962896</c:v>
                </c:pt>
                <c:pt idx="71">
                  <c:v>1.4688380000006873</c:v>
                </c:pt>
                <c:pt idx="72">
                  <c:v>1.4888170000049286</c:v>
                </c:pt>
                <c:pt idx="73">
                  <c:v>1.5088760000071488</c:v>
                </c:pt>
                <c:pt idx="74">
                  <c:v>1.5299470000027213</c:v>
                </c:pt>
                <c:pt idx="75">
                  <c:v>1.5525769999949262</c:v>
                </c:pt>
                <c:pt idx="76">
                  <c:v>1.569312000006903</c:v>
                </c:pt>
                <c:pt idx="77">
                  <c:v>1.5915329999988899</c:v>
                </c:pt>
                <c:pt idx="78">
                  <c:v>1.609452999997302</c:v>
                </c:pt>
                <c:pt idx="79">
                  <c:v>1.629335000005085</c:v>
                </c:pt>
                <c:pt idx="80">
                  <c:v>1.6445709999970859</c:v>
                </c:pt>
                <c:pt idx="81">
                  <c:v>1.6701780000003055</c:v>
                </c:pt>
                <c:pt idx="82">
                  <c:v>1.6902649999974528</c:v>
                </c:pt>
                <c:pt idx="83">
                  <c:v>1.7111560000048485</c:v>
                </c:pt>
                <c:pt idx="84">
                  <c:v>1.7268270000058692</c:v>
                </c:pt>
                <c:pt idx="85">
                  <c:v>1.7516009999962989</c:v>
                </c:pt>
                <c:pt idx="86">
                  <c:v>1.7652260000031674</c:v>
                </c:pt>
                <c:pt idx="87">
                  <c:v>1.7857209999929182</c:v>
                </c:pt>
                <c:pt idx="88">
                  <c:v>1.8108459999930346</c:v>
                </c:pt>
                <c:pt idx="89">
                  <c:v>1.8259269999980461</c:v>
                </c:pt>
                <c:pt idx="90">
                  <c:v>1.8516570000065258</c:v>
                </c:pt>
                <c:pt idx="91">
                  <c:v>1.8665509999991627</c:v>
                </c:pt>
                <c:pt idx="92">
                  <c:v>1.8916880000033416</c:v>
                </c:pt>
                <c:pt idx="93">
                  <c:v>1.9009709999954794</c:v>
                </c:pt>
                <c:pt idx="94">
                  <c:v>1.9325919999973848</c:v>
                </c:pt>
                <c:pt idx="95">
                  <c:v>1.9516719999955967</c:v>
                </c:pt>
                <c:pt idx="96">
                  <c:v>1.9624049999983981</c:v>
                </c:pt>
                <c:pt idx="97">
                  <c:v>1.9868080000014743</c:v>
                </c:pt>
                <c:pt idx="98">
                  <c:v>2.0070249999989755</c:v>
                </c:pt>
                <c:pt idx="99">
                  <c:v>2.0269549999939045</c:v>
                </c:pt>
                <c:pt idx="100">
                  <c:v>2.0515290000039386</c:v>
                </c:pt>
                <c:pt idx="101">
                  <c:v>2.06706000000122</c:v>
                </c:pt>
                <c:pt idx="102">
                  <c:v>2.0930939999961993</c:v>
                </c:pt>
                <c:pt idx="103">
                  <c:v>2.1083260000013979</c:v>
                </c:pt>
                <c:pt idx="104">
                  <c:v>2.1305220000067493</c:v>
                </c:pt>
                <c:pt idx="105">
                  <c:v>2.1532779999979539</c:v>
                </c:pt>
                <c:pt idx="106">
                  <c:v>2.1726889999990817</c:v>
                </c:pt>
                <c:pt idx="107">
                  <c:v>2.1923870000027819</c:v>
                </c:pt>
                <c:pt idx="108">
                  <c:v>2.2102259999956004</c:v>
                </c:pt>
                <c:pt idx="109">
                  <c:v>2.2300249999971129</c:v>
                </c:pt>
                <c:pt idx="110">
                  <c:v>2.24872800000594</c:v>
                </c:pt>
                <c:pt idx="111">
                  <c:v>2.2715969999990193</c:v>
                </c:pt>
                <c:pt idx="112">
                  <c:v>2.2880569999979343</c:v>
                </c:pt>
                <c:pt idx="113">
                  <c:v>2.3085750000027474</c:v>
                </c:pt>
                <c:pt idx="114">
                  <c:v>2.3256039999978384</c:v>
                </c:pt>
                <c:pt idx="115">
                  <c:v>2.3487920000043232</c:v>
                </c:pt>
                <c:pt idx="116">
                  <c:v>2.3692259999952512</c:v>
                </c:pt>
                <c:pt idx="117">
                  <c:v>2.3854379999975208</c:v>
                </c:pt>
                <c:pt idx="118">
                  <c:v>2.4134559999947669</c:v>
                </c:pt>
                <c:pt idx="119">
                  <c:v>2.4298479999997653</c:v>
                </c:pt>
                <c:pt idx="120">
                  <c:v>2.4493689999944763</c:v>
                </c:pt>
                <c:pt idx="121">
                  <c:v>2.4721229999995558</c:v>
                </c:pt>
                <c:pt idx="122">
                  <c:v>2.4891680000000633</c:v>
                </c:pt>
                <c:pt idx="123">
                  <c:v>2.509661000003689</c:v>
                </c:pt>
                <c:pt idx="124">
                  <c:v>2.5303010000061477</c:v>
                </c:pt>
                <c:pt idx="125">
                  <c:v>2.5504150000051595</c:v>
                </c:pt>
                <c:pt idx="126">
                  <c:v>2.5750589999952354</c:v>
                </c:pt>
                <c:pt idx="127">
                  <c:v>2.5918490000040038</c:v>
                </c:pt>
                <c:pt idx="128">
                  <c:v>2.6100290000031237</c:v>
                </c:pt>
                <c:pt idx="129">
                  <c:v>2.6315659999963827</c:v>
                </c:pt>
                <c:pt idx="130">
                  <c:v>2.6451470000029076</c:v>
                </c:pt>
                <c:pt idx="131">
                  <c:v>2.6706280000071274</c:v>
                </c:pt>
                <c:pt idx="132">
                  <c:v>2.6857840000011493</c:v>
                </c:pt>
                <c:pt idx="133">
                  <c:v>2.7118340000015451</c:v>
                </c:pt>
                <c:pt idx="134">
                  <c:v>2.7317559999937657</c:v>
                </c:pt>
                <c:pt idx="135">
                  <c:v>2.7467389999947045</c:v>
                </c:pt>
                <c:pt idx="136">
                  <c:v>2.7717359999951441</c:v>
                </c:pt>
                <c:pt idx="137">
                  <c:v>2.7823230000067269</c:v>
                </c:pt>
                <c:pt idx="138">
                  <c:v>2.8119140000053449</c:v>
                </c:pt>
                <c:pt idx="139">
                  <c:v>2.8209769999957643</c:v>
                </c:pt>
                <c:pt idx="140">
                  <c:v>2.8517180000053486</c:v>
                </c:pt>
                <c:pt idx="141">
                  <c:v>2.8717109999997774</c:v>
                </c:pt>
                <c:pt idx="142">
                  <c:v>2.8814480000000913</c:v>
                </c:pt>
                <c:pt idx="143">
                  <c:v>2.907361999998102</c:v>
                </c:pt>
                <c:pt idx="144">
                  <c:v>2.9234009999927366</c:v>
                </c:pt>
                <c:pt idx="145">
                  <c:v>2.9484079999965616</c:v>
                </c:pt>
                <c:pt idx="146">
                  <c:v>2.9674059999961173</c:v>
                </c:pt>
                <c:pt idx="147">
                  <c:v>2.9871710000006715</c:v>
                </c:pt>
                <c:pt idx="148">
                  <c:v>3.0097939999977825</c:v>
                </c:pt>
                <c:pt idx="149">
                  <c:v>3.0274820000049658</c:v>
                </c:pt>
                <c:pt idx="150">
                  <c:v>3.0492830000002868</c:v>
                </c:pt>
                <c:pt idx="151">
                  <c:v>3.0676649999950314</c:v>
                </c:pt>
                <c:pt idx="152">
                  <c:v>3.0877840000030119</c:v>
                </c:pt>
                <c:pt idx="153">
                  <c:v>3.1087350000016158</c:v>
                </c:pt>
                <c:pt idx="154">
                  <c:v>3.1290100000042003</c:v>
                </c:pt>
                <c:pt idx="155">
                  <c:v>3.1441970000014408</c:v>
                </c:pt>
                <c:pt idx="156">
                  <c:v>3.168403000003309</c:v>
                </c:pt>
                <c:pt idx="157">
                  <c:v>3.1924449999933131</c:v>
                </c:pt>
                <c:pt idx="158">
                  <c:v>3.2133500000054482</c:v>
                </c:pt>
                <c:pt idx="159">
                  <c:v>3.2285600000031991</c:v>
                </c:pt>
                <c:pt idx="160">
                  <c:v>3.2441200000030221</c:v>
                </c:pt>
                <c:pt idx="161">
                  <c:v>3.2694909999991069</c:v>
                </c:pt>
                <c:pt idx="162">
                  <c:v>3.2937539999984438</c:v>
                </c:pt>
                <c:pt idx="163">
                  <c:v>3.3104580000072019</c:v>
                </c:pt>
                <c:pt idx="164">
                  <c:v>3.3294350000069244</c:v>
                </c:pt>
                <c:pt idx="165">
                  <c:v>3.349277000001166</c:v>
                </c:pt>
                <c:pt idx="166">
                  <c:v>3.3719500000006519</c:v>
                </c:pt>
                <c:pt idx="167">
                  <c:v>3.3908150000061141</c:v>
                </c:pt>
                <c:pt idx="168">
                  <c:v>3.4054869999963557</c:v>
                </c:pt>
                <c:pt idx="169">
                  <c:v>3.4302049999969313</c:v>
                </c:pt>
                <c:pt idx="170">
                  <c:v>3.4520959999936167</c:v>
                </c:pt>
                <c:pt idx="171">
                  <c:v>3.4648049999959767</c:v>
                </c:pt>
                <c:pt idx="172">
                  <c:v>3.49079100000381</c:v>
                </c:pt>
                <c:pt idx="173">
                  <c:v>3.5001929999998538</c:v>
                </c:pt>
                <c:pt idx="174">
                  <c:v>3.530681000003824</c:v>
                </c:pt>
                <c:pt idx="175">
                  <c:v>3.5506500000046799</c:v>
                </c:pt>
                <c:pt idx="176">
                  <c:v>3.5687520000064978</c:v>
                </c:pt>
                <c:pt idx="177">
                  <c:v>3.5910089999961201</c:v>
                </c:pt>
                <c:pt idx="178">
                  <c:v>3.6056269999971846</c:v>
                </c:pt>
                <c:pt idx="179">
                  <c:v>3.6308080000017071</c:v>
                </c:pt>
                <c:pt idx="180">
                  <c:v>3.6516960000008112</c:v>
                </c:pt>
                <c:pt idx="181">
                  <c:v>3.667555000007269</c:v>
                </c:pt>
                <c:pt idx="182">
                  <c:v>3.6924319999961881</c:v>
                </c:pt>
                <c:pt idx="183">
                  <c:v>3.7116790000000037</c:v>
                </c:pt>
                <c:pt idx="184">
                  <c:v>3.7264719999948284</c:v>
                </c:pt>
                <c:pt idx="185">
                  <c:v>3.7474039999942761</c:v>
                </c:pt>
                <c:pt idx="186">
                  <c:v>3.7724869999947259</c:v>
                </c:pt>
                <c:pt idx="187">
                  <c:v>3.7934470000036526</c:v>
                </c:pt>
                <c:pt idx="188">
                  <c:v>3.8076810000056867</c:v>
                </c:pt>
                <c:pt idx="189">
                  <c:v>3.832116000005044</c:v>
                </c:pt>
                <c:pt idx="190">
                  <c:v>3.842545000006794</c:v>
                </c:pt>
                <c:pt idx="191">
                  <c:v>3.871406999998726</c:v>
                </c:pt>
                <c:pt idx="192">
                  <c:v>3.8925960000051418</c:v>
                </c:pt>
                <c:pt idx="193">
                  <c:v>3.9126749999995809</c:v>
                </c:pt>
                <c:pt idx="194">
                  <c:v>3.9245519999967655</c:v>
                </c:pt>
                <c:pt idx="195">
                  <c:v>3.9481229999946663</c:v>
                </c:pt>
                <c:pt idx="196">
                  <c:v>3.9634170000063023</c:v>
                </c:pt>
                <c:pt idx="197">
                  <c:v>3.9902120000042487</c:v>
                </c:pt>
                <c:pt idx="198">
                  <c:v>4.0082729999994626</c:v>
                </c:pt>
                <c:pt idx="199">
                  <c:v>4.0329040000069654</c:v>
                </c:pt>
                <c:pt idx="200">
                  <c:v>4.0485679999983404</c:v>
                </c:pt>
                <c:pt idx="201">
                  <c:v>4.0655729999998584</c:v>
                </c:pt>
                <c:pt idx="202">
                  <c:v>4.0885209999978542</c:v>
                </c:pt>
                <c:pt idx="203">
                  <c:v>4.1096580000012182</c:v>
                </c:pt>
                <c:pt idx="204">
                  <c:v>4.1296569999976782</c:v>
                </c:pt>
                <c:pt idx="205">
                  <c:v>4.1485169999941718</c:v>
                </c:pt>
                <c:pt idx="206">
                  <c:v>4.1641729999973904</c:v>
                </c:pt>
                <c:pt idx="207">
                  <c:v>4.1927120000036666</c:v>
                </c:pt>
                <c:pt idx="208">
                  <c:v>4.210573000003933</c:v>
                </c:pt>
                <c:pt idx="209">
                  <c:v>4.2300249999971129</c:v>
                </c:pt>
                <c:pt idx="210">
                  <c:v>4.2491770000051474</c:v>
                </c:pt>
                <c:pt idx="211">
                  <c:v>4.2693810000055237</c:v>
                </c:pt>
                <c:pt idx="212">
                  <c:v>4.2926810000062687</c:v>
                </c:pt>
                <c:pt idx="213">
                  <c:v>4.3123619999969378</c:v>
                </c:pt>
                <c:pt idx="214">
                  <c:v>4.3236270000052173</c:v>
                </c:pt>
                <c:pt idx="215">
                  <c:v>4.3512570000020787</c:v>
                </c:pt>
                <c:pt idx="216">
                  <c:v>4.370452999995905</c:v>
                </c:pt>
                <c:pt idx="217">
                  <c:v>4.3855949999997392</c:v>
                </c:pt>
                <c:pt idx="218">
                  <c:v>4.4116510000021663</c:v>
                </c:pt>
                <c:pt idx="219">
                  <c:v>4.4319560000003548</c:v>
                </c:pt>
                <c:pt idx="220">
                  <c:v>4.450609000006807</c:v>
                </c:pt>
                <c:pt idx="221">
                  <c:v>4.4711410000018077</c:v>
                </c:pt>
                <c:pt idx="222">
                  <c:v>4.4914649999991525</c:v>
                </c:pt>
                <c:pt idx="223">
                  <c:v>4.5113770000025397</c:v>
                </c:pt>
                <c:pt idx="224">
                  <c:v>4.5335110000014538</c:v>
                </c:pt>
                <c:pt idx="225">
                  <c:v>4.5518880000017816</c:v>
                </c:pt>
                <c:pt idx="226">
                  <c:v>4.5727159999951255</c:v>
                </c:pt>
                <c:pt idx="227">
                  <c:v>4.5875990000058664</c:v>
                </c:pt>
                <c:pt idx="228">
                  <c:v>4.6115790000039851</c:v>
                </c:pt>
                <c:pt idx="229">
                  <c:v>4.6289269999979297</c:v>
                </c:pt>
                <c:pt idx="230">
                  <c:v>4.6466459999937797</c:v>
                </c:pt>
                <c:pt idx="231">
                  <c:v>4.6679900000017369</c:v>
                </c:pt>
                <c:pt idx="232">
                  <c:v>4.6924699999945005</c:v>
                </c:pt>
                <c:pt idx="233">
                  <c:v>4.7072829999960959</c:v>
                </c:pt>
                <c:pt idx="234">
                  <c:v>4.7321640000009211</c:v>
                </c:pt>
                <c:pt idx="235">
                  <c:v>4.7488690000027418</c:v>
                </c:pt>
                <c:pt idx="236">
                  <c:v>4.7680560000007972</c:v>
                </c:pt>
                <c:pt idx="237">
                  <c:v>4.7922260000050301</c:v>
                </c:pt>
                <c:pt idx="238">
                  <c:v>4.8123060000070836</c:v>
                </c:pt>
                <c:pt idx="239">
                  <c:v>4.8278129999962403</c:v>
                </c:pt>
                <c:pt idx="240">
                  <c:v>4.8518710000062129</c:v>
                </c:pt>
                <c:pt idx="241">
                  <c:v>4.8685109999933047</c:v>
                </c:pt>
                <c:pt idx="242">
                  <c:v>4.8900969999958761</c:v>
                </c:pt>
                <c:pt idx="243">
                  <c:v>4.9109770000068238</c:v>
                </c:pt>
                <c:pt idx="244">
                  <c:v>4.9282450000027893</c:v>
                </c:pt>
                <c:pt idx="245">
                  <c:v>4.9505219999991823</c:v>
                </c:pt>
                <c:pt idx="246">
                  <c:v>4.9698499999940395</c:v>
                </c:pt>
                <c:pt idx="247">
                  <c:v>4.992593000002671</c:v>
                </c:pt>
                <c:pt idx="248">
                  <c:v>5.0088120000000345</c:v>
                </c:pt>
                <c:pt idx="249">
                  <c:v>5.0316100000054576</c:v>
                </c:pt>
                <c:pt idx="250">
                  <c:v>5.0499969999946188</c:v>
                </c:pt>
                <c:pt idx="251">
                  <c:v>5.0693129999999655</c:v>
                </c:pt>
                <c:pt idx="252">
                  <c:v>5.0893229999928735</c:v>
                </c:pt>
                <c:pt idx="253">
                  <c:v>5.1057020000007469</c:v>
                </c:pt>
                <c:pt idx="254">
                  <c:v>5.1303250000055414</c:v>
                </c:pt>
                <c:pt idx="255">
                  <c:v>5.1522410000034142</c:v>
                </c:pt>
                <c:pt idx="256">
                  <c:v>5.1705280000023777</c:v>
                </c:pt>
                <c:pt idx="257">
                  <c:v>5.1904260000010254</c:v>
                </c:pt>
                <c:pt idx="258">
                  <c:v>5.2120589999976801</c:v>
                </c:pt>
                <c:pt idx="259">
                  <c:v>5.23209499999939</c:v>
                </c:pt>
                <c:pt idx="260">
                  <c:v>5.2414469999930589</c:v>
                </c:pt>
                <c:pt idx="261">
                  <c:v>5.2651409999962198</c:v>
                </c:pt>
                <c:pt idx="262">
                  <c:v>5.2915400000056252</c:v>
                </c:pt>
                <c:pt idx="263">
                  <c:v>5.3114269999932731</c:v>
                </c:pt>
                <c:pt idx="264">
                  <c:v>5.3258539999951608</c:v>
                </c:pt>
                <c:pt idx="265">
                  <c:v>5.3507320000062464</c:v>
                </c:pt>
                <c:pt idx="266">
                  <c:v>5.3712130000058096</c:v>
                </c:pt>
                <c:pt idx="267">
                  <c:v>5.3883910000004107</c:v>
                </c:pt>
                <c:pt idx="268">
                  <c:v>5.411642999999458</c:v>
                </c:pt>
                <c:pt idx="269">
                  <c:v>5.4311230000021169</c:v>
                </c:pt>
                <c:pt idx="270">
                  <c:v>5.4486299999989569</c:v>
                </c:pt>
                <c:pt idx="271">
                  <c:v>5.4724680000072112</c:v>
                </c:pt>
                <c:pt idx="272">
                  <c:v>5.4919269999954849</c:v>
                </c:pt>
                <c:pt idx="273">
                  <c:v>5.511863000006997</c:v>
                </c:pt>
                <c:pt idx="274">
                  <c:v>5.5304809999943245</c:v>
                </c:pt>
                <c:pt idx="275">
                  <c:v>5.5470349999959581</c:v>
                </c:pt>
                <c:pt idx="276">
                  <c:v>5.5724880000052508</c:v>
                </c:pt>
                <c:pt idx="277">
                  <c:v>5.5827129999961471</c:v>
                </c:pt>
                <c:pt idx="278">
                  <c:v>5.6128069999977015</c:v>
                </c:pt>
                <c:pt idx="279">
                  <c:v>5.6301979999989271</c:v>
                </c:pt>
                <c:pt idx="280">
                  <c:v>5.6481090000015683</c:v>
                </c:pt>
                <c:pt idx="281">
                  <c:v>5.6710330000059912</c:v>
                </c:pt>
                <c:pt idx="282">
                  <c:v>5.688586000003852</c:v>
                </c:pt>
                <c:pt idx="283">
                  <c:v>5.7051849999988917</c:v>
                </c:pt>
                <c:pt idx="284">
                  <c:v>5.7317630000034114</c:v>
                </c:pt>
                <c:pt idx="285">
                  <c:v>5.7484459999977844</c:v>
                </c:pt>
                <c:pt idx="286">
                  <c:v>5.770009999992908</c:v>
                </c:pt>
                <c:pt idx="287">
                  <c:v>5.7910430000047199</c:v>
                </c:pt>
                <c:pt idx="288">
                  <c:v>5.811199999996461</c:v>
                </c:pt>
                <c:pt idx="289">
                  <c:v>5.8293629999971017</c:v>
                </c:pt>
                <c:pt idx="290">
                  <c:v>5.8445210000063526</c:v>
                </c:pt>
                <c:pt idx="291">
                  <c:v>5.8717230000038398</c:v>
                </c:pt>
                <c:pt idx="292">
                  <c:v>5.8918779999949038</c:v>
                </c:pt>
                <c:pt idx="293">
                  <c:v>5.9094639999966603</c:v>
                </c:pt>
                <c:pt idx="294">
                  <c:v>5.9309780000039609</c:v>
                </c:pt>
                <c:pt idx="295">
                  <c:v>5.9442010000057053</c:v>
                </c:pt>
                <c:pt idx="296">
                  <c:v>5.9691310000052908</c:v>
                </c:pt>
                <c:pt idx="297">
                  <c:v>5.9892129999934696</c:v>
                </c:pt>
                <c:pt idx="298">
                  <c:v>6.0112450000015087</c:v>
                </c:pt>
                <c:pt idx="299">
                  <c:v>6.0316659999953117</c:v>
                </c:pt>
                <c:pt idx="300">
                  <c:v>6.049723999996786</c:v>
                </c:pt>
                <c:pt idx="301">
                  <c:v>6.0702909999963595</c:v>
                </c:pt>
                <c:pt idx="302">
                  <c:v>6.0916339999967022</c:v>
                </c:pt>
                <c:pt idx="303">
                  <c:v>6.1098610000044573</c:v>
                </c:pt>
                <c:pt idx="304">
                  <c:v>6.1296969999966677</c:v>
                </c:pt>
                <c:pt idx="305">
                  <c:v>6.1473790000018198</c:v>
                </c:pt>
                <c:pt idx="306">
                  <c:v>6.1705170000059297</c:v>
                </c:pt>
                <c:pt idx="307">
                  <c:v>6.1910729999945033</c:v>
                </c:pt>
                <c:pt idx="308">
                  <c:v>6.2112950000009732</c:v>
                </c:pt>
                <c:pt idx="309">
                  <c:v>6.2324990000051912</c:v>
                </c:pt>
                <c:pt idx="310">
                  <c:v>6.2469310000014957</c:v>
                </c:pt>
                <c:pt idx="311">
                  <c:v>6.2678610000002664</c:v>
                </c:pt>
                <c:pt idx="312">
                  <c:v>6.2864479999989271</c:v>
                </c:pt>
                <c:pt idx="313">
                  <c:v>6.3126840000040829</c:v>
                </c:pt>
                <c:pt idx="314">
                  <c:v>6.3321949999954086</c:v>
                </c:pt>
                <c:pt idx="315">
                  <c:v>6.3515110000007553</c:v>
                </c:pt>
                <c:pt idx="316">
                  <c:v>6.3666939999966417</c:v>
                </c:pt>
                <c:pt idx="317">
                  <c:v>6.3825130000041099</c:v>
                </c:pt>
                <c:pt idx="318">
                  <c:v>6.4117300000070827</c:v>
                </c:pt>
                <c:pt idx="319">
                  <c:v>6.42871500000183</c:v>
                </c:pt>
                <c:pt idx="320">
                  <c:v>6.4473149999976158</c:v>
                </c:pt>
                <c:pt idx="321">
                  <c:v>6.4672019999998156</c:v>
                </c:pt>
                <c:pt idx="322">
                  <c:v>6.4927759999991395</c:v>
                </c:pt>
                <c:pt idx="323">
                  <c:v>6.5122140000021318</c:v>
                </c:pt>
                <c:pt idx="324">
                  <c:v>6.5327839999954449</c:v>
                </c:pt>
                <c:pt idx="325">
                  <c:v>6.5528210000047693</c:v>
                </c:pt>
                <c:pt idx="326">
                  <c:v>6.5691119999974035</c:v>
                </c:pt>
                <c:pt idx="327">
                  <c:v>6.5885390000039479</c:v>
                </c:pt>
                <c:pt idx="328">
                  <c:v>6.6088980000058655</c:v>
                </c:pt>
                <c:pt idx="329">
                  <c:v>6.6250469999940833</c:v>
                </c:pt>
                <c:pt idx="330">
                  <c:v>6.6494329999986803</c:v>
                </c:pt>
                <c:pt idx="331">
                  <c:v>6.6683259999990696</c:v>
                </c:pt>
                <c:pt idx="332">
                  <c:v>6.6891250000044238</c:v>
                </c:pt>
                <c:pt idx="333">
                  <c:v>6.7096219999948516</c:v>
                </c:pt>
                <c:pt idx="334">
                  <c:v>6.7310640000068815</c:v>
                </c:pt>
                <c:pt idx="335">
                  <c:v>6.750530000004801</c:v>
                </c:pt>
                <c:pt idx="336">
                  <c:v>6.7719000000070082</c:v>
                </c:pt>
                <c:pt idx="337">
                  <c:v>6.7896100000070874</c:v>
                </c:pt>
                <c:pt idx="338">
                  <c:v>6.8107880000025034</c:v>
                </c:pt>
                <c:pt idx="339">
                  <c:v>6.8291630000021541</c:v>
                </c:pt>
                <c:pt idx="340">
                  <c:v>6.8509550000017043</c:v>
                </c:pt>
                <c:pt idx="341">
                  <c:v>6.8708230000047479</c:v>
                </c:pt>
                <c:pt idx="342">
                  <c:v>6.8905999999988126</c:v>
                </c:pt>
                <c:pt idx="343">
                  <c:v>6.9100480000051903</c:v>
                </c:pt>
                <c:pt idx="344">
                  <c:v>6.9326330000039889</c:v>
                </c:pt>
                <c:pt idx="345">
                  <c:v>6.9449889999959851</c:v>
                </c:pt>
                <c:pt idx="346">
                  <c:v>6.9655269999930169</c:v>
                </c:pt>
                <c:pt idx="347">
                  <c:v>6.9883089999930235</c:v>
                </c:pt>
                <c:pt idx="348">
                  <c:v>7.0150399999984074</c:v>
                </c:pt>
                <c:pt idx="349">
                  <c:v>7.0287379999936093</c:v>
                </c:pt>
                <c:pt idx="350">
                  <c:v>7.0497789999935776</c:v>
                </c:pt>
                <c:pt idx="351">
                  <c:v>7.0709510000015143</c:v>
                </c:pt>
                <c:pt idx="352">
                  <c:v>7.0911889999988489</c:v>
                </c:pt>
                <c:pt idx="353">
                  <c:v>7.1107849999971222</c:v>
                </c:pt>
                <c:pt idx="354">
                  <c:v>7.129413000002387</c:v>
                </c:pt>
                <c:pt idx="355">
                  <c:v>7.1513030000060098</c:v>
                </c:pt>
                <c:pt idx="356">
                  <c:v>7.1711340000038035</c:v>
                </c:pt>
                <c:pt idx="357">
                  <c:v>7.1819510000059381</c:v>
                </c:pt>
                <c:pt idx="358">
                  <c:v>7.2112820000038482</c:v>
                </c:pt>
                <c:pt idx="359">
                  <c:v>7.2316540000028908</c:v>
                </c:pt>
                <c:pt idx="360">
                  <c:v>7.249498000004678</c:v>
                </c:pt>
                <c:pt idx="361">
                  <c:v>7.2723109999933513</c:v>
                </c:pt>
                <c:pt idx="362">
                  <c:v>7.2877690000022994</c:v>
                </c:pt>
                <c:pt idx="363">
                  <c:v>7.3076699999946868</c:v>
                </c:pt>
                <c:pt idx="364">
                  <c:v>7.3309580000059213</c:v>
                </c:pt>
                <c:pt idx="365">
                  <c:v>7.3470830000005662</c:v>
                </c:pt>
                <c:pt idx="366">
                  <c:v>7.3723239999962971</c:v>
                </c:pt>
                <c:pt idx="367">
                  <c:v>7.388491999998223</c:v>
                </c:pt>
                <c:pt idx="368">
                  <c:v>7.4141660000022966</c:v>
                </c:pt>
                <c:pt idx="369">
                  <c:v>7.4282570000068517</c:v>
                </c:pt>
                <c:pt idx="370">
                  <c:v>7.4526329999935115</c:v>
                </c:pt>
                <c:pt idx="371">
                  <c:v>7.4675129999959609</c:v>
                </c:pt>
                <c:pt idx="372">
                  <c:v>7.4838699999963865</c:v>
                </c:pt>
                <c:pt idx="373">
                  <c:v>7.5100749999983236</c:v>
                </c:pt>
                <c:pt idx="374">
                  <c:v>7.528613000002224</c:v>
                </c:pt>
                <c:pt idx="375">
                  <c:v>7.5522110000019893</c:v>
                </c:pt>
                <c:pt idx="376">
                  <c:v>7.5683180000050925</c:v>
                </c:pt>
                <c:pt idx="377">
                  <c:v>7.5886889999965206</c:v>
                </c:pt>
                <c:pt idx="378">
                  <c:v>7.6127379999961704</c:v>
                </c:pt>
                <c:pt idx="379">
                  <c:v>7.6298700000043027</c:v>
                </c:pt>
                <c:pt idx="380">
                  <c:v>7.6484230000060052</c:v>
                </c:pt>
                <c:pt idx="381">
                  <c:v>7.6698239999968791</c:v>
                </c:pt>
                <c:pt idx="382">
                  <c:v>7.6921860000002198</c:v>
                </c:pt>
                <c:pt idx="383">
                  <c:v>7.7091660000005504</c:v>
                </c:pt>
                <c:pt idx="384">
                  <c:v>7.7291450000047917</c:v>
                </c:pt>
                <c:pt idx="385">
                  <c:v>7.7497719999955734</c:v>
                </c:pt>
                <c:pt idx="386">
                  <c:v>7.7715639999951236</c:v>
                </c:pt>
                <c:pt idx="387">
                  <c:v>7.7911140000069281</c:v>
                </c:pt>
                <c:pt idx="388">
                  <c:v>7.8119900000019697</c:v>
                </c:pt>
                <c:pt idx="389">
                  <c:v>7.8302689999982249</c:v>
                </c:pt>
                <c:pt idx="390">
                  <c:v>7.8519539999979315</c:v>
                </c:pt>
                <c:pt idx="391">
                  <c:v>7.8683909999963362</c:v>
                </c:pt>
                <c:pt idx="392">
                  <c:v>7.8853410000010626</c:v>
                </c:pt>
                <c:pt idx="393">
                  <c:v>7.912956000000122</c:v>
                </c:pt>
                <c:pt idx="394">
                  <c:v>7.9313450000045123</c:v>
                </c:pt>
                <c:pt idx="395">
                  <c:v>7.9516210000001593</c:v>
                </c:pt>
                <c:pt idx="396">
                  <c:v>7.9659260000044014</c:v>
                </c:pt>
                <c:pt idx="397">
                  <c:v>7.9909760000009555</c:v>
                </c:pt>
                <c:pt idx="398">
                  <c:v>8.01231099999859</c:v>
                </c:pt>
                <c:pt idx="399">
                  <c:v>8.0322259999957168</c:v>
                </c:pt>
                <c:pt idx="400">
                  <c:v>8.0511189999961061</c:v>
                </c:pt>
                <c:pt idx="401">
                  <c:v>8.0714940000034403</c:v>
                </c:pt>
                <c:pt idx="402">
                  <c:v>8.0898069999966538</c:v>
                </c:pt>
                <c:pt idx="403">
                  <c:v>8.1068789999990258</c:v>
                </c:pt>
                <c:pt idx="404">
                  <c:v>8.1312029999971855</c:v>
                </c:pt>
                <c:pt idx="405">
                  <c:v>8.151650999992853</c:v>
                </c:pt>
                <c:pt idx="406">
                  <c:v>8.1723490000003949</c:v>
                </c:pt>
                <c:pt idx="407">
                  <c:v>8.1932720000040717</c:v>
                </c:pt>
                <c:pt idx="408">
                  <c:v>8.209526000006008</c:v>
                </c:pt>
                <c:pt idx="409">
                  <c:v>8.2299679999996442</c:v>
                </c:pt>
                <c:pt idx="410">
                  <c:v>8.2472580000030575</c:v>
                </c:pt>
                <c:pt idx="411">
                  <c:v>8.2727100000047358</c:v>
                </c:pt>
                <c:pt idx="412">
                  <c:v>8.2902400000020862</c:v>
                </c:pt>
                <c:pt idx="413">
                  <c:v>8.3125600000057602</c:v>
                </c:pt>
                <c:pt idx="414">
                  <c:v>8.32836299999326</c:v>
                </c:pt>
                <c:pt idx="415">
                  <c:v>8.3478409999952419</c:v>
                </c:pt>
                <c:pt idx="416">
                  <c:v>8.3705970000009984</c:v>
                </c:pt>
                <c:pt idx="417">
                  <c:v>8.3892280000000028</c:v>
                </c:pt>
                <c:pt idx="418">
                  <c:v>8.4092459999956191</c:v>
                </c:pt>
                <c:pt idx="419">
                  <c:v>8.4297820000065258</c:v>
                </c:pt>
                <c:pt idx="420">
                  <c:v>8.4489529999991646</c:v>
                </c:pt>
                <c:pt idx="421">
                  <c:v>8.4718020000000251</c:v>
                </c:pt>
                <c:pt idx="422">
                  <c:v>8.4891919999936363</c:v>
                </c:pt>
                <c:pt idx="423">
                  <c:v>8.5079549999936717</c:v>
                </c:pt>
                <c:pt idx="424">
                  <c:v>8.5307969999994384</c:v>
                </c:pt>
                <c:pt idx="425">
                  <c:v>8.5492760000051931</c:v>
                </c:pt>
                <c:pt idx="426">
                  <c:v>8.5697260000015376</c:v>
                </c:pt>
                <c:pt idx="427">
                  <c:v>8.5921099999977741</c:v>
                </c:pt>
                <c:pt idx="428">
                  <c:v>8.6114609999931417</c:v>
                </c:pt>
                <c:pt idx="429">
                  <c:v>8.6322240000008605</c:v>
                </c:pt>
                <c:pt idx="430">
                  <c:v>8.6513730000006035</c:v>
                </c:pt>
                <c:pt idx="431">
                  <c:v>8.6656849999999395</c:v>
                </c:pt>
                <c:pt idx="432">
                  <c:v>8.6921200000069803</c:v>
                </c:pt>
                <c:pt idx="433">
                  <c:v>8.7099770000058925</c:v>
                </c:pt>
                <c:pt idx="434">
                  <c:v>8.7308309999934863</c:v>
                </c:pt>
                <c:pt idx="435">
                  <c:v>8.7502260000037495</c:v>
                </c:pt>
                <c:pt idx="436">
                  <c:v>8.7707749999972293</c:v>
                </c:pt>
                <c:pt idx="437">
                  <c:v>8.7914420000015525</c:v>
                </c:pt>
                <c:pt idx="438">
                  <c:v>8.8122889999940526</c:v>
                </c:pt>
                <c:pt idx="439">
                  <c:v>8.8308479999977862</c:v>
                </c:pt>
                <c:pt idx="440">
                  <c:v>8.8516930000041611</c:v>
                </c:pt>
                <c:pt idx="441">
                  <c:v>8.8710469999932684</c:v>
                </c:pt>
                <c:pt idx="442">
                  <c:v>8.8911879999941448</c:v>
                </c:pt>
                <c:pt idx="443">
                  <c:v>8.9112809999933233</c:v>
                </c:pt>
                <c:pt idx="444">
                  <c:v>8.9323690000019269</c:v>
                </c:pt>
                <c:pt idx="445">
                  <c:v>8.9531209999986459</c:v>
                </c:pt>
                <c:pt idx="446">
                  <c:v>8.9713460000057239</c:v>
                </c:pt>
                <c:pt idx="447">
                  <c:v>8.9924549999996088</c:v>
                </c:pt>
                <c:pt idx="448">
                  <c:v>9.0075380000052974</c:v>
                </c:pt>
                <c:pt idx="449">
                  <c:v>9.0278510000061942</c:v>
                </c:pt>
                <c:pt idx="450">
                  <c:v>9.0519409999978961</c:v>
                </c:pt>
                <c:pt idx="451">
                  <c:v>9.068316999997478</c:v>
                </c:pt>
                <c:pt idx="452">
                  <c:v>9.0950299999967683</c:v>
                </c:pt>
                <c:pt idx="453">
                  <c:v>9.1123260000022128</c:v>
                </c:pt>
                <c:pt idx="454">
                  <c:v>9.132448000003933</c:v>
                </c:pt>
                <c:pt idx="455">
                  <c:v>9.1494289999973262</c:v>
                </c:pt>
                <c:pt idx="456">
                  <c:v>9.1725169999990612</c:v>
                </c:pt>
                <c:pt idx="457">
                  <c:v>9.1901320000033593</c:v>
                </c:pt>
                <c:pt idx="458">
                  <c:v>9.2093480000039563</c:v>
                </c:pt>
                <c:pt idx="459">
                  <c:v>9.2288129999942612</c:v>
                </c:pt>
                <c:pt idx="460">
                  <c:v>9.2517269999952987</c:v>
                </c:pt>
                <c:pt idx="461">
                  <c:v>9.2573379999957979</c:v>
                </c:pt>
                <c:pt idx="462">
                  <c:v>9.2909749999962514</c:v>
                </c:pt>
                <c:pt idx="463">
                  <c:v>9.3134209999989253</c:v>
                </c:pt>
                <c:pt idx="464">
                  <c:v>9.3283890000020619</c:v>
                </c:pt>
                <c:pt idx="465">
                  <c:v>9.3499370000063209</c:v>
                </c:pt>
                <c:pt idx="466">
                  <c:v>9.368570999999065</c:v>
                </c:pt>
                <c:pt idx="467">
                  <c:v>9.3888219999935245</c:v>
                </c:pt>
                <c:pt idx="468">
                  <c:v>9.4126010000036331</c:v>
                </c:pt>
                <c:pt idx="469">
                  <c:v>9.4302449999959208</c:v>
                </c:pt>
                <c:pt idx="470">
                  <c:v>9.4511420000053477</c:v>
                </c:pt>
                <c:pt idx="471">
                  <c:v>9.4722259999980452</c:v>
                </c:pt>
                <c:pt idx="472">
                  <c:v>9.4890560000058031</c:v>
                </c:pt>
                <c:pt idx="473">
                  <c:v>9.5113600000040606</c:v>
                </c:pt>
                <c:pt idx="474">
                  <c:v>9.5310690000042086</c:v>
                </c:pt>
                <c:pt idx="475">
                  <c:v>9.5521520000038436</c:v>
                </c:pt>
                <c:pt idx="476">
                  <c:v>9.5712550000025658</c:v>
                </c:pt>
                <c:pt idx="477">
                  <c:v>9.5938239999959478</c:v>
                </c:pt>
                <c:pt idx="478">
                  <c:v>9.6115509999945061</c:v>
                </c:pt>
                <c:pt idx="479">
                  <c:v>9.6323450000054436</c:v>
                </c:pt>
                <c:pt idx="480">
                  <c:v>9.6483310000039637</c:v>
                </c:pt>
                <c:pt idx="481">
                  <c:v>9.6702510000031907</c:v>
                </c:pt>
                <c:pt idx="482">
                  <c:v>9.691634000002523</c:v>
                </c:pt>
                <c:pt idx="483">
                  <c:v>9.7088930000027176</c:v>
                </c:pt>
                <c:pt idx="484">
                  <c:v>9.7308289999928093</c:v>
                </c:pt>
                <c:pt idx="485">
                  <c:v>9.7508499999967171</c:v>
                </c:pt>
                <c:pt idx="486">
                  <c:v>9.7763399999967078</c:v>
                </c:pt>
                <c:pt idx="487">
                  <c:v>9.7917989999987185</c:v>
                </c:pt>
                <c:pt idx="488">
                  <c:v>9.811400999999023</c:v>
                </c:pt>
                <c:pt idx="489">
                  <c:v>9.8322630000038771</c:v>
                </c:pt>
                <c:pt idx="490">
                  <c:v>9.8472780000010971</c:v>
                </c:pt>
                <c:pt idx="491">
                  <c:v>9.872019000002183</c:v>
                </c:pt>
                <c:pt idx="492">
                  <c:v>9.8817750000016531</c:v>
                </c:pt>
                <c:pt idx="493">
                  <c:v>9.9077549999929033</c:v>
                </c:pt>
                <c:pt idx="494">
                  <c:v>9.9269689999928232</c:v>
                </c:pt>
                <c:pt idx="495">
                  <c:v>9.9470339999970747</c:v>
                </c:pt>
                <c:pt idx="496">
                  <c:v>9.9727089999942109</c:v>
                </c:pt>
                <c:pt idx="497">
                  <c:v>9.9884049999964191</c:v>
                </c:pt>
                <c:pt idx="498">
                  <c:v>10.013143000003765</c:v>
                </c:pt>
                <c:pt idx="499">
                  <c:v>10.027495999995153</c:v>
                </c:pt>
                <c:pt idx="500">
                  <c:v>10.05183300000499</c:v>
                </c:pt>
                <c:pt idx="501">
                  <c:v>10.06832900000154</c:v>
                </c:pt>
                <c:pt idx="502">
                  <c:v>10.089515999992727</c:v>
                </c:pt>
                <c:pt idx="503">
                  <c:v>10.109035000001313</c:v>
                </c:pt>
                <c:pt idx="504">
                  <c:v>10.131200000003446</c:v>
                </c:pt>
                <c:pt idx="505">
                  <c:v>10.148446000006516</c:v>
                </c:pt>
                <c:pt idx="506">
                  <c:v>10.171665000001667</c:v>
                </c:pt>
                <c:pt idx="507">
                  <c:v>10.192116999998689</c:v>
                </c:pt>
                <c:pt idx="508">
                  <c:v>10.209465000007185</c:v>
                </c:pt>
                <c:pt idx="509">
                  <c:v>10.229057999997167</c:v>
                </c:pt>
                <c:pt idx="510">
                  <c:v>10.250962999998592</c:v>
                </c:pt>
                <c:pt idx="511">
                  <c:v>10.269706000006408</c:v>
                </c:pt>
                <c:pt idx="512">
                  <c:v>10.289057000001776</c:v>
                </c:pt>
                <c:pt idx="513">
                  <c:v>10.306614999994054</c:v>
                </c:pt>
                <c:pt idx="514">
                  <c:v>10.331304999999702</c:v>
                </c:pt>
                <c:pt idx="515">
                  <c:v>10.351611999998568</c:v>
                </c:pt>
                <c:pt idx="516">
                  <c:v>10.3717089999991</c:v>
                </c:pt>
                <c:pt idx="517">
                  <c:v>10.391096000006655</c:v>
                </c:pt>
                <c:pt idx="518">
                  <c:v>10.41011399999843</c:v>
                </c:pt>
                <c:pt idx="519">
                  <c:v>10.429852999994182</c:v>
                </c:pt>
                <c:pt idx="520">
                  <c:v>10.445370999994338</c:v>
                </c:pt>
                <c:pt idx="521">
                  <c:v>10.470939999999246</c:v>
                </c:pt>
                <c:pt idx="522">
                  <c:v>10.490499000006821</c:v>
                </c:pt>
                <c:pt idx="523">
                  <c:v>10.510519000003114</c:v>
                </c:pt>
                <c:pt idx="524">
                  <c:v>10.522169000003487</c:v>
                </c:pt>
                <c:pt idx="525">
                  <c:v>10.552653000006103</c:v>
                </c:pt>
                <c:pt idx="526">
                  <c:v>10.571588999999221</c:v>
                </c:pt>
                <c:pt idx="527">
                  <c:v>10.591409000000567</c:v>
                </c:pt>
                <c:pt idx="528">
                  <c:v>10.608141999997315</c:v>
                </c:pt>
                <c:pt idx="529">
                  <c:v>10.629788000005647</c:v>
                </c:pt>
                <c:pt idx="530">
                  <c:v>10.650997000004281</c:v>
                </c:pt>
                <c:pt idx="531">
                  <c:v>10.666129999997793</c:v>
                </c:pt>
                <c:pt idx="532">
                  <c:v>10.691508999996586</c:v>
                </c:pt>
                <c:pt idx="533">
                  <c:v>10.711544999998296</c:v>
                </c:pt>
                <c:pt idx="534">
                  <c:v>10.731562999993912</c:v>
                </c:pt>
                <c:pt idx="535">
                  <c:v>10.752687999993213</c:v>
                </c:pt>
                <c:pt idx="536">
                  <c:v>10.768247999993037</c:v>
                </c:pt>
                <c:pt idx="537">
                  <c:v>10.792191000000457</c:v>
                </c:pt>
                <c:pt idx="538">
                  <c:v>10.812338000003365</c:v>
                </c:pt>
                <c:pt idx="539">
                  <c:v>10.827447999996366</c:v>
                </c:pt>
                <c:pt idx="540">
                  <c:v>10.847934000004898</c:v>
                </c:pt>
                <c:pt idx="541">
                  <c:v>10.869233000004897</c:v>
                </c:pt>
                <c:pt idx="542">
                  <c:v>10.892042000006768</c:v>
                </c:pt>
                <c:pt idx="543">
                  <c:v>10.907489000004716</c:v>
                </c:pt>
                <c:pt idx="544">
                  <c:v>10.928495000000112</c:v>
                </c:pt>
                <c:pt idx="545">
                  <c:v>10.949464000004809</c:v>
                </c:pt>
                <c:pt idx="546">
                  <c:v>10.970774999994319</c:v>
                </c:pt>
                <c:pt idx="547">
                  <c:v>10.988490000003367</c:v>
                </c:pt>
                <c:pt idx="548">
                  <c:v>11.00688899999659</c:v>
                </c:pt>
                <c:pt idx="549">
                  <c:v>11.030119999995804</c:v>
                </c:pt>
                <c:pt idx="550">
                  <c:v>11.045318999997107</c:v>
                </c:pt>
                <c:pt idx="551">
                  <c:v>11.070449999999255</c:v>
                </c:pt>
                <c:pt idx="552">
                  <c:v>11.089344000007259</c:v>
                </c:pt>
                <c:pt idx="553">
                  <c:v>11.109353000007104</c:v>
                </c:pt>
                <c:pt idx="554">
                  <c:v>11.128750999996555</c:v>
                </c:pt>
                <c:pt idx="555">
                  <c:v>11.151285999992979</c:v>
                </c:pt>
                <c:pt idx="556">
                  <c:v>11.171239999996033</c:v>
                </c:pt>
                <c:pt idx="557">
                  <c:v>11.192869000005885</c:v>
                </c:pt>
                <c:pt idx="558">
                  <c:v>11.210768999997526</c:v>
                </c:pt>
                <c:pt idx="559">
                  <c:v>11.231358000004548</c:v>
                </c:pt>
                <c:pt idx="560">
                  <c:v>11.249712999997428</c:v>
                </c:pt>
                <c:pt idx="561">
                  <c:v>11.271143999998458</c:v>
                </c:pt>
                <c:pt idx="562">
                  <c:v>11.291545999993104</c:v>
                </c:pt>
                <c:pt idx="563">
                  <c:v>11.310442000001785</c:v>
                </c:pt>
                <c:pt idx="564">
                  <c:v>11.3300040000031</c:v>
                </c:pt>
                <c:pt idx="565">
                  <c:v>11.350435000000289</c:v>
                </c:pt>
                <c:pt idx="566">
                  <c:v>11.372071999998298</c:v>
                </c:pt>
                <c:pt idx="567">
                  <c:v>11.39077699999325</c:v>
                </c:pt>
                <c:pt idx="568">
                  <c:v>11.410518999997294</c:v>
                </c:pt>
                <c:pt idx="569">
                  <c:v>11.43243000000075</c:v>
                </c:pt>
                <c:pt idx="570">
                  <c:v>11.451625000001513</c:v>
                </c:pt>
                <c:pt idx="571">
                  <c:v>11.471195999998599</c:v>
                </c:pt>
                <c:pt idx="572">
                  <c:v>11.486029000006965</c:v>
                </c:pt>
                <c:pt idx="573">
                  <c:v>11.510118999998667</c:v>
                </c:pt>
                <c:pt idx="574">
                  <c:v>11.528508000003058</c:v>
                </c:pt>
                <c:pt idx="575">
                  <c:v>11.551496000000043</c:v>
                </c:pt>
                <c:pt idx="576">
                  <c:v>11.571083999995608</c:v>
                </c:pt>
                <c:pt idx="577">
                  <c:v>11.587893000003533</c:v>
                </c:pt>
                <c:pt idx="578">
                  <c:v>11.611439000000246</c:v>
                </c:pt>
                <c:pt idx="579">
                  <c:v>11.632140000001527</c:v>
                </c:pt>
                <c:pt idx="580">
                  <c:v>11.647339999995893</c:v>
                </c:pt>
                <c:pt idx="581">
                  <c:v>11.672548999995342</c:v>
                </c:pt>
                <c:pt idx="582">
                  <c:v>11.687829999995301</c:v>
                </c:pt>
                <c:pt idx="583">
                  <c:v>11.70960699999705</c:v>
                </c:pt>
                <c:pt idx="584">
                  <c:v>11.7333409999992</c:v>
                </c:pt>
                <c:pt idx="585">
                  <c:v>11.748265000001993</c:v>
                </c:pt>
                <c:pt idx="586">
                  <c:v>11.772440999993705</c:v>
                </c:pt>
                <c:pt idx="587">
                  <c:v>11.793065000005299</c:v>
                </c:pt>
                <c:pt idx="588">
                  <c:v>11.808170000003884</c:v>
                </c:pt>
                <c:pt idx="589">
                  <c:v>11.828802999996697</c:v>
                </c:pt>
                <c:pt idx="590">
                  <c:v>11.84985400000005</c:v>
                </c:pt>
                <c:pt idx="591">
                  <c:v>11.868373999997857</c:v>
                </c:pt>
                <c:pt idx="592">
                  <c:v>11.888569000002462</c:v>
                </c:pt>
                <c:pt idx="593">
                  <c:v>11.910715999998502</c:v>
                </c:pt>
                <c:pt idx="594">
                  <c:v>11.929113999998663</c:v>
                </c:pt>
                <c:pt idx="595">
                  <c:v>11.950429999997141</c:v>
                </c:pt>
                <c:pt idx="596">
                  <c:v>11.969813999996404</c:v>
                </c:pt>
                <c:pt idx="597">
                  <c:v>11.988750000004075</c:v>
                </c:pt>
                <c:pt idx="598">
                  <c:v>12.009430000005523</c:v>
                </c:pt>
                <c:pt idx="599">
                  <c:v>12.0291819999984</c:v>
                </c:pt>
                <c:pt idx="600">
                  <c:v>12.047955999994883</c:v>
                </c:pt>
                <c:pt idx="601">
                  <c:v>12.069656000006944</c:v>
                </c:pt>
                <c:pt idx="602">
                  <c:v>12.09146700000565</c:v>
                </c:pt>
                <c:pt idx="603">
                  <c:v>12.106241999994381</c:v>
                </c:pt>
                <c:pt idx="604">
                  <c:v>12.129990000001271</c:v>
                </c:pt>
                <c:pt idx="605">
                  <c:v>12.152386999994633</c:v>
                </c:pt>
                <c:pt idx="606">
                  <c:v>12.175002000003587</c:v>
                </c:pt>
                <c:pt idx="607">
                  <c:v>12.18707899999572</c:v>
                </c:pt>
                <c:pt idx="608">
                  <c:v>12.211135999998078</c:v>
                </c:pt>
                <c:pt idx="609">
                  <c:v>12.230676999999559</c:v>
                </c:pt>
                <c:pt idx="610">
                  <c:v>12.251044999997248</c:v>
                </c:pt>
                <c:pt idx="611">
                  <c:v>12.270942000002833</c:v>
                </c:pt>
                <c:pt idx="612">
                  <c:v>12.29207700000552</c:v>
                </c:pt>
                <c:pt idx="613">
                  <c:v>12.30597200000193</c:v>
                </c:pt>
                <c:pt idx="614">
                  <c:v>12.330021999994642</c:v>
                </c:pt>
                <c:pt idx="615">
                  <c:v>12.33946499999729</c:v>
                </c:pt>
                <c:pt idx="616">
                  <c:v>13.351790000000619</c:v>
                </c:pt>
                <c:pt idx="617">
                  <c:v>13.371859999999288</c:v>
                </c:pt>
                <c:pt idx="618">
                  <c:v>13.388863999993191</c:v>
                </c:pt>
                <c:pt idx="619">
                  <c:v>13.407395000001998</c:v>
                </c:pt>
                <c:pt idx="620">
                  <c:v>13.42987500000163</c:v>
                </c:pt>
                <c:pt idx="621">
                  <c:v>13.450874999994994</c:v>
                </c:pt>
                <c:pt idx="622">
                  <c:v>13.467619999995804</c:v>
                </c:pt>
                <c:pt idx="623">
                  <c:v>13.488779000006616</c:v>
                </c:pt>
                <c:pt idx="624">
                  <c:v>13.507763999994495</c:v>
                </c:pt>
                <c:pt idx="625">
                  <c:v>13.528839999999036</c:v>
                </c:pt>
                <c:pt idx="626">
                  <c:v>13.549887999994098</c:v>
                </c:pt>
                <c:pt idx="627">
                  <c:v>13.568274999997811</c:v>
                </c:pt>
                <c:pt idx="628">
                  <c:v>13.584950999997091</c:v>
                </c:pt>
                <c:pt idx="629">
                  <c:v>13.608691999994335</c:v>
                </c:pt>
                <c:pt idx="630">
                  <c:v>13.631886000002851</c:v>
                </c:pt>
                <c:pt idx="631">
                  <c:v>13.651257000004989</c:v>
                </c:pt>
                <c:pt idx="632">
                  <c:v>13.670664999997825</c:v>
                </c:pt>
                <c:pt idx="633">
                  <c:v>13.690228000006755</c:v>
                </c:pt>
                <c:pt idx="634">
                  <c:v>13.707404999993742</c:v>
                </c:pt>
                <c:pt idx="635">
                  <c:v>13.729785000003176</c:v>
                </c:pt>
                <c:pt idx="636">
                  <c:v>13.750499000001582</c:v>
                </c:pt>
                <c:pt idx="637">
                  <c:v>13.769012000004295</c:v>
                </c:pt>
                <c:pt idx="638">
                  <c:v>13.793971000006422</c:v>
                </c:pt>
                <c:pt idx="639">
                  <c:v>13.809563999995589</c:v>
                </c:pt>
                <c:pt idx="640">
                  <c:v>13.831714999992982</c:v>
                </c:pt>
                <c:pt idx="641">
                  <c:v>13.85037800000282</c:v>
                </c:pt>
                <c:pt idx="642">
                  <c:v>13.87075200000254</c:v>
                </c:pt>
                <c:pt idx="643">
                  <c:v>13.889808000007179</c:v>
                </c:pt>
                <c:pt idx="644">
                  <c:v>13.909813999998732</c:v>
                </c:pt>
                <c:pt idx="645">
                  <c:v>13.932627000001958</c:v>
                </c:pt>
                <c:pt idx="646">
                  <c:v>13.950106999996933</c:v>
                </c:pt>
                <c:pt idx="647">
                  <c:v>13.970318000006955</c:v>
                </c:pt>
                <c:pt idx="648">
                  <c:v>13.992660000003525</c:v>
                </c:pt>
                <c:pt idx="649">
                  <c:v>14.01459399999294</c:v>
                </c:pt>
                <c:pt idx="650">
                  <c:v>14.025643000000855</c:v>
                </c:pt>
                <c:pt idx="651">
                  <c:v>14.051489999998012</c:v>
                </c:pt>
                <c:pt idx="652">
                  <c:v>14.072893999997177</c:v>
                </c:pt>
                <c:pt idx="653">
                  <c:v>14.091761999996379</c:v>
                </c:pt>
                <c:pt idx="654">
                  <c:v>14.111357999994652</c:v>
                </c:pt>
                <c:pt idx="655">
                  <c:v>14.127901999992901</c:v>
                </c:pt>
                <c:pt idx="656">
                  <c:v>14.146198000002187</c:v>
                </c:pt>
                <c:pt idx="657">
                  <c:v>14.166505999994115</c:v>
                </c:pt>
                <c:pt idx="658">
                  <c:v>14.191732000006596</c:v>
                </c:pt>
                <c:pt idx="659">
                  <c:v>14.211983999994118</c:v>
                </c:pt>
                <c:pt idx="660">
                  <c:v>14.228550999992876</c:v>
                </c:pt>
                <c:pt idx="661">
                  <c:v>14.247289000006276</c:v>
                </c:pt>
                <c:pt idx="662">
                  <c:v>14.270503000007011</c:v>
                </c:pt>
                <c:pt idx="663">
                  <c:v>14.291073000000324</c:v>
                </c:pt>
                <c:pt idx="664">
                  <c:v>14.311709000001429</c:v>
                </c:pt>
                <c:pt idx="665">
                  <c:v>14.330411999995704</c:v>
                </c:pt>
                <c:pt idx="666">
                  <c:v>14.347850000005565</c:v>
                </c:pt>
                <c:pt idx="667">
                  <c:v>14.369730999998865</c:v>
                </c:pt>
                <c:pt idx="668">
                  <c:v>14.389811000000918</c:v>
                </c:pt>
                <c:pt idx="669">
                  <c:v>14.393049000005703</c:v>
                </c:pt>
                <c:pt idx="670">
                  <c:v>14.420702999996138</c:v>
                </c:pt>
                <c:pt idx="671">
                  <c:v>14.448367999997572</c:v>
                </c:pt>
                <c:pt idx="672">
                  <c:v>14.468385999993188</c:v>
                </c:pt>
                <c:pt idx="673">
                  <c:v>14.490327999999863</c:v>
                </c:pt>
                <c:pt idx="674">
                  <c:v>14.505971999999019</c:v>
                </c:pt>
                <c:pt idx="675">
                  <c:v>14.53057699999772</c:v>
                </c:pt>
                <c:pt idx="676">
                  <c:v>14.550180000005639</c:v>
                </c:pt>
                <c:pt idx="677">
                  <c:v>14.574242999995477</c:v>
                </c:pt>
                <c:pt idx="678">
                  <c:v>14.589649000001373</c:v>
                </c:pt>
                <c:pt idx="679">
                  <c:v>14.611302000004798</c:v>
                </c:pt>
                <c:pt idx="680">
                  <c:v>14.62928799999645</c:v>
                </c:pt>
                <c:pt idx="681">
                  <c:v>14.649248999994597</c:v>
                </c:pt>
                <c:pt idx="682">
                  <c:v>14.669626999995671</c:v>
                </c:pt>
                <c:pt idx="683">
                  <c:v>14.690189999993891</c:v>
                </c:pt>
                <c:pt idx="684">
                  <c:v>14.709805000005872</c:v>
                </c:pt>
                <c:pt idx="685">
                  <c:v>14.731016999998246</c:v>
                </c:pt>
                <c:pt idx="686">
                  <c:v>14.746809999996913</c:v>
                </c:pt>
                <c:pt idx="687">
                  <c:v>14.770151999997324</c:v>
                </c:pt>
                <c:pt idx="688">
                  <c:v>14.790643999993335</c:v>
                </c:pt>
                <c:pt idx="689">
                  <c:v>14.810568999993848</c:v>
                </c:pt>
                <c:pt idx="690">
                  <c:v>14.832399000006262</c:v>
                </c:pt>
                <c:pt idx="691">
                  <c:v>14.853262000004179</c:v>
                </c:pt>
                <c:pt idx="692">
                  <c:v>14.870527999999467</c:v>
                </c:pt>
                <c:pt idx="693">
                  <c:v>14.892261000000872</c:v>
                </c:pt>
                <c:pt idx="694">
                  <c:v>14.912981999994372</c:v>
                </c:pt>
                <c:pt idx="695">
                  <c:v>14.93114400000195</c:v>
                </c:pt>
                <c:pt idx="696">
                  <c:v>14.952296999996179</c:v>
                </c:pt>
                <c:pt idx="697">
                  <c:v>14.958132999992813</c:v>
                </c:pt>
                <c:pt idx="698">
                  <c:v>14.990680999995675</c:v>
                </c:pt>
                <c:pt idx="699">
                  <c:v>15.011146999997436</c:v>
                </c:pt>
                <c:pt idx="700">
                  <c:v>15.032527999996091</c:v>
                </c:pt>
                <c:pt idx="701">
                  <c:v>15.048139999998966</c:v>
                </c:pt>
                <c:pt idx="702">
                  <c:v>15.066653999994742</c:v>
                </c:pt>
                <c:pt idx="703">
                  <c:v>15.078278000000864</c:v>
                </c:pt>
                <c:pt idx="704">
                  <c:v>15.109525000007125</c:v>
                </c:pt>
                <c:pt idx="705">
                  <c:v>15.129438000003574</c:v>
                </c:pt>
                <c:pt idx="706">
                  <c:v>15.149376000001212</c:v>
                </c:pt>
                <c:pt idx="707">
                  <c:v>15.171973999997135</c:v>
                </c:pt>
                <c:pt idx="708">
                  <c:v>15.187661000003573</c:v>
                </c:pt>
                <c:pt idx="709">
                  <c:v>15.21059800000512</c:v>
                </c:pt>
                <c:pt idx="710">
                  <c:v>15.227759000001242</c:v>
                </c:pt>
                <c:pt idx="711">
                  <c:v>15.244133000000147</c:v>
                </c:pt>
                <c:pt idx="712">
                  <c:v>15.269520999994711</c:v>
                </c:pt>
                <c:pt idx="713">
                  <c:v>15.280324999999721</c:v>
                </c:pt>
                <c:pt idx="714">
                  <c:v>15.305550999997649</c:v>
                </c:pt>
                <c:pt idx="715">
                  <c:v>15.331890000001295</c:v>
                </c:pt>
                <c:pt idx="716">
                  <c:v>15.337560999993002</c:v>
                </c:pt>
                <c:pt idx="717">
                  <c:v>15.368329000004451</c:v>
                </c:pt>
                <c:pt idx="718">
                  <c:v>15.384090999999898</c:v>
                </c:pt>
                <c:pt idx="719">
                  <c:v>15.409184000003734</c:v>
                </c:pt>
                <c:pt idx="720">
                  <c:v>15.430563999994774</c:v>
                </c:pt>
                <c:pt idx="721">
                  <c:v>15.449940000005881</c:v>
                </c:pt>
                <c:pt idx="722">
                  <c:v>15.471531999995932</c:v>
                </c:pt>
                <c:pt idx="723">
                  <c:v>15.489065999994637</c:v>
                </c:pt>
                <c:pt idx="724">
                  <c:v>15.510055999999167</c:v>
                </c:pt>
                <c:pt idx="725">
                  <c:v>15.5320950000023</c:v>
                </c:pt>
                <c:pt idx="726">
                  <c:v>15.549629999994067</c:v>
                </c:pt>
                <c:pt idx="727">
                  <c:v>15.569447000001674</c:v>
                </c:pt>
                <c:pt idx="728">
                  <c:v>15.590635000000475</c:v>
                </c:pt>
                <c:pt idx="729">
                  <c:v>15.606226000003517</c:v>
                </c:pt>
                <c:pt idx="730">
                  <c:v>15.632863000006182</c:v>
                </c:pt>
                <c:pt idx="731">
                  <c:v>15.651767999996082</c:v>
                </c:pt>
                <c:pt idx="732">
                  <c:v>15.667258000001311</c:v>
                </c:pt>
                <c:pt idx="733">
                  <c:v>15.68613099999493</c:v>
                </c:pt>
                <c:pt idx="734">
                  <c:v>15.712199000001419</c:v>
                </c:pt>
                <c:pt idx="735">
                  <c:v>15.73123299999861</c:v>
                </c:pt>
                <c:pt idx="736">
                  <c:v>15.747940000001108</c:v>
                </c:pt>
                <c:pt idx="737">
                  <c:v>15.771502999996301</c:v>
                </c:pt>
                <c:pt idx="738">
                  <c:v>15.791205999994418</c:v>
                </c:pt>
                <c:pt idx="739">
                  <c:v>15.811014000006253</c:v>
                </c:pt>
                <c:pt idx="740">
                  <c:v>15.833064000005834</c:v>
                </c:pt>
                <c:pt idx="741">
                  <c:v>15.851758000004338</c:v>
                </c:pt>
                <c:pt idx="742">
                  <c:v>15.872119999999995</c:v>
                </c:pt>
                <c:pt idx="743">
                  <c:v>15.886606000000029</c:v>
                </c:pt>
                <c:pt idx="744">
                  <c:v>15.912100999994436</c:v>
                </c:pt>
                <c:pt idx="745">
                  <c:v>15.931593000001158</c:v>
                </c:pt>
                <c:pt idx="746">
                  <c:v>15.946718999999575</c:v>
                </c:pt>
                <c:pt idx="747">
                  <c:v>15.96976100000029</c:v>
                </c:pt>
                <c:pt idx="748">
                  <c:v>15.988339999996242</c:v>
                </c:pt>
                <c:pt idx="749">
                  <c:v>16.011887999993633</c:v>
                </c:pt>
                <c:pt idx="750">
                  <c:v>16.032540999993216</c:v>
                </c:pt>
                <c:pt idx="751">
                  <c:v>16.046833999993396</c:v>
                </c:pt>
                <c:pt idx="752">
                  <c:v>16.073931000006269</c:v>
                </c:pt>
                <c:pt idx="753">
                  <c:v>16.089105999999447</c:v>
                </c:pt>
                <c:pt idx="754">
                  <c:v>16.108244000002742</c:v>
                </c:pt>
                <c:pt idx="755">
                  <c:v>16.124121999993804</c:v>
                </c:pt>
                <c:pt idx="756">
                  <c:v>16.150970000002417</c:v>
                </c:pt>
                <c:pt idx="757">
                  <c:v>16.168692000006558</c:v>
                </c:pt>
                <c:pt idx="758">
                  <c:v>16.188219999996363</c:v>
                </c:pt>
                <c:pt idx="759">
                  <c:v>16.207978000005824</c:v>
                </c:pt>
                <c:pt idx="760">
                  <c:v>16.231165999997756</c:v>
                </c:pt>
                <c:pt idx="761">
                  <c:v>16.248852000004263</c:v>
                </c:pt>
                <c:pt idx="762">
                  <c:v>16.26906200000667</c:v>
                </c:pt>
                <c:pt idx="763">
                  <c:v>16.288060000006226</c:v>
                </c:pt>
                <c:pt idx="764">
                  <c:v>16.308783000000403</c:v>
                </c:pt>
                <c:pt idx="765">
                  <c:v>16.328875000006519</c:v>
                </c:pt>
                <c:pt idx="766">
                  <c:v>16.336725999994087</c:v>
                </c:pt>
                <c:pt idx="767">
                  <c:v>16.388292999996338</c:v>
                </c:pt>
                <c:pt idx="768">
                  <c:v>16.409929000001284</c:v>
                </c:pt>
                <c:pt idx="769">
                  <c:v>16.429648000004818</c:v>
                </c:pt>
                <c:pt idx="770">
                  <c:v>16.444742000006954</c:v>
                </c:pt>
                <c:pt idx="771">
                  <c:v>16.469893999994383</c:v>
                </c:pt>
                <c:pt idx="772">
                  <c:v>16.491639999992913</c:v>
                </c:pt>
                <c:pt idx="773">
                  <c:v>16.512713999996777</c:v>
                </c:pt>
                <c:pt idx="774">
                  <c:v>16.530939999996917</c:v>
                </c:pt>
                <c:pt idx="775">
                  <c:v>16.54520799999591</c:v>
                </c:pt>
                <c:pt idx="776">
                  <c:v>16.56902799999807</c:v>
                </c:pt>
                <c:pt idx="777">
                  <c:v>16.580289999998058</c:v>
                </c:pt>
                <c:pt idx="778">
                  <c:v>16.612483000004431</c:v>
                </c:pt>
                <c:pt idx="779">
                  <c:v>16.631515999994008</c:v>
                </c:pt>
                <c:pt idx="780">
                  <c:v>16.652646999995341</c:v>
                </c:pt>
                <c:pt idx="781">
                  <c:v>16.666282000005594</c:v>
                </c:pt>
                <c:pt idx="782">
                  <c:v>16.690967000002274</c:v>
                </c:pt>
                <c:pt idx="783">
                  <c:v>16.711506000006921</c:v>
                </c:pt>
                <c:pt idx="784">
                  <c:v>16.730964000002132</c:v>
                </c:pt>
                <c:pt idx="785">
                  <c:v>16.751571999993757</c:v>
                </c:pt>
                <c:pt idx="786">
                  <c:v>16.768802999999025</c:v>
                </c:pt>
                <c:pt idx="787">
                  <c:v>16.786829000004218</c:v>
                </c:pt>
                <c:pt idx="788">
                  <c:v>16.815285999997286</c:v>
                </c:pt>
                <c:pt idx="789">
                  <c:v>16.832154999996419</c:v>
                </c:pt>
                <c:pt idx="790">
                  <c:v>16.852400000003399</c:v>
                </c:pt>
                <c:pt idx="791">
                  <c:v>16.870198999997228</c:v>
                </c:pt>
                <c:pt idx="792">
                  <c:v>16.891808999993373</c:v>
                </c:pt>
                <c:pt idx="793">
                  <c:v>16.910401999994065</c:v>
                </c:pt>
                <c:pt idx="794">
                  <c:v>16.929067999997642</c:v>
                </c:pt>
                <c:pt idx="795">
                  <c:v>16.9520909999992</c:v>
                </c:pt>
                <c:pt idx="796">
                  <c:v>16.966167000005953</c:v>
                </c:pt>
                <c:pt idx="797">
                  <c:v>16.982866000005743</c:v>
                </c:pt>
                <c:pt idx="798">
                  <c:v>17.002632000003359</c:v>
                </c:pt>
                <c:pt idx="799">
                  <c:v>17.025712000002386</c:v>
                </c:pt>
                <c:pt idx="800">
                  <c:v>17.050281000003451</c:v>
                </c:pt>
                <c:pt idx="801">
                  <c:v>17.07241900000372</c:v>
                </c:pt>
                <c:pt idx="802">
                  <c:v>17.091975999996066</c:v>
                </c:pt>
                <c:pt idx="803">
                  <c:v>17.101974999997765</c:v>
                </c:pt>
                <c:pt idx="804">
                  <c:v>17.132593999995152</c:v>
                </c:pt>
                <c:pt idx="805">
                  <c:v>17.14909799999441</c:v>
                </c:pt>
                <c:pt idx="806">
                  <c:v>17.17214999999851</c:v>
                </c:pt>
                <c:pt idx="807">
                  <c:v>17.184187000006204</c:v>
                </c:pt>
                <c:pt idx="808">
                  <c:v>17.209308999998029</c:v>
                </c:pt>
                <c:pt idx="809">
                  <c:v>17.22954000000027</c:v>
                </c:pt>
                <c:pt idx="810">
                  <c:v>17.251128999996581</c:v>
                </c:pt>
                <c:pt idx="811">
                  <c:v>17.26578800000425</c:v>
                </c:pt>
                <c:pt idx="812">
                  <c:v>17.290540000001783</c:v>
                </c:pt>
                <c:pt idx="813">
                  <c:v>17.310494000004837</c:v>
                </c:pt>
                <c:pt idx="814">
                  <c:v>17.330820999995922</c:v>
                </c:pt>
                <c:pt idx="815">
                  <c:v>17.352037000004202</c:v>
                </c:pt>
                <c:pt idx="816">
                  <c:v>17.369202000001678</c:v>
                </c:pt>
                <c:pt idx="817">
                  <c:v>17.387325000003329</c:v>
                </c:pt>
                <c:pt idx="818">
                  <c:v>17.410115999999107</c:v>
                </c:pt>
                <c:pt idx="819">
                  <c:v>17.429189999995288</c:v>
                </c:pt>
                <c:pt idx="820">
                  <c:v>17.450786999994307</c:v>
                </c:pt>
                <c:pt idx="821">
                  <c:v>17.472670999995898</c:v>
                </c:pt>
                <c:pt idx="822">
                  <c:v>17.49282200000016</c:v>
                </c:pt>
                <c:pt idx="823">
                  <c:v>17.498500999994576</c:v>
                </c:pt>
                <c:pt idx="824">
                  <c:v>17.530920999997761</c:v>
                </c:pt>
                <c:pt idx="825">
                  <c:v>17.550405000001774</c:v>
                </c:pt>
                <c:pt idx="826">
                  <c:v>17.566690000006929</c:v>
                </c:pt>
                <c:pt idx="827">
                  <c:v>17.582725999993272</c:v>
                </c:pt>
                <c:pt idx="828">
                  <c:v>17.606815999999526</c:v>
                </c:pt>
                <c:pt idx="829">
                  <c:v>17.632996999993338</c:v>
                </c:pt>
                <c:pt idx="830">
                  <c:v>17.651532000003499</c:v>
                </c:pt>
                <c:pt idx="831">
                  <c:v>17.672609999994165</c:v>
                </c:pt>
                <c:pt idx="832">
                  <c:v>17.712639999997918</c:v>
                </c:pt>
                <c:pt idx="833">
                  <c:v>17.73266500000318</c:v>
                </c:pt>
                <c:pt idx="834">
                  <c:v>17.737426000006963</c:v>
                </c:pt>
                <c:pt idx="835">
                  <c:v>17.773205000004964</c:v>
                </c:pt>
                <c:pt idx="836">
                  <c:v>17.787469999995665</c:v>
                </c:pt>
                <c:pt idx="837">
                  <c:v>17.813957000005757</c:v>
                </c:pt>
                <c:pt idx="838">
                  <c:v>17.824382000006153</c:v>
                </c:pt>
                <c:pt idx="839">
                  <c:v>17.850562000006903</c:v>
                </c:pt>
                <c:pt idx="840">
                  <c:v>17.854382000004989</c:v>
                </c:pt>
                <c:pt idx="841">
                  <c:v>17.892170000006445</c:v>
                </c:pt>
                <c:pt idx="842">
                  <c:v>17.908479999998235</c:v>
                </c:pt>
                <c:pt idx="843">
                  <c:v>17.928702999997768</c:v>
                </c:pt>
                <c:pt idx="844">
                  <c:v>17.949370999995153</c:v>
                </c:pt>
                <c:pt idx="845">
                  <c:v>17.962098000003607</c:v>
                </c:pt>
                <c:pt idx="846">
                  <c:v>17.990875000003143</c:v>
                </c:pt>
                <c:pt idx="847">
                  <c:v>17.994823000000906</c:v>
                </c:pt>
                <c:pt idx="848">
                  <c:v>18.027514000001247</c:v>
                </c:pt>
                <c:pt idx="849">
                  <c:v>18.050101000000723</c:v>
                </c:pt>
                <c:pt idx="850">
                  <c:v>18.062420999995084</c:v>
                </c:pt>
                <c:pt idx="851">
                  <c:v>18.106587999995099</c:v>
                </c:pt>
                <c:pt idx="852">
                  <c:v>18.167728999993415</c:v>
                </c:pt>
                <c:pt idx="853">
                  <c:v>18.180475999994087</c:v>
                </c:pt>
                <c:pt idx="854">
                  <c:v>18.320932000002358</c:v>
                </c:pt>
                <c:pt idx="855">
                  <c:v>18.380057000002125</c:v>
                </c:pt>
                <c:pt idx="856">
                  <c:v>18.405499000000418</c:v>
                </c:pt>
                <c:pt idx="857">
                  <c:v>18.422554000004311</c:v>
                </c:pt>
                <c:pt idx="858">
                  <c:v>18.450954999992973</c:v>
                </c:pt>
                <c:pt idx="859">
                  <c:v>18.457024000003003</c:v>
                </c:pt>
                <c:pt idx="860">
                  <c:v>18.531701999992947</c:v>
                </c:pt>
                <c:pt idx="861">
                  <c:v>18.592285999999149</c:v>
                </c:pt>
                <c:pt idx="862">
                  <c:v>18.600279000005685</c:v>
                </c:pt>
                <c:pt idx="863">
                  <c:v>18.643800000005285</c:v>
                </c:pt>
                <c:pt idx="864">
                  <c:v>18.669360999992932</c:v>
                </c:pt>
                <c:pt idx="865">
                  <c:v>18.70567700000538</c:v>
                </c:pt>
                <c:pt idx="866">
                  <c:v>18.727463999995962</c:v>
                </c:pt>
                <c:pt idx="867">
                  <c:v>18.75185899999633</c:v>
                </c:pt>
                <c:pt idx="868">
                  <c:v>18.771382999999332</c:v>
                </c:pt>
                <c:pt idx="869">
                  <c:v>18.788291000004392</c:v>
                </c:pt>
                <c:pt idx="870">
                  <c:v>18.848809000002802</c:v>
                </c:pt>
                <c:pt idx="871">
                  <c:v>18.853226000006543</c:v>
                </c:pt>
                <c:pt idx="872">
                  <c:v>18.931729999996605</c:v>
                </c:pt>
                <c:pt idx="873">
                  <c:v>18.949353999996674</c:v>
                </c:pt>
                <c:pt idx="874">
                  <c:v>18.969987000004039</c:v>
                </c:pt>
                <c:pt idx="875">
                  <c:v>18.990466999995988</c:v>
                </c:pt>
                <c:pt idx="876">
                  <c:v>19.001478999998653</c:v>
                </c:pt>
                <c:pt idx="877">
                  <c:v>19.030511000004481</c:v>
                </c:pt>
                <c:pt idx="878">
                  <c:v>19.071265000005951</c:v>
                </c:pt>
                <c:pt idx="879">
                  <c:v>19.087696999995387</c:v>
                </c:pt>
                <c:pt idx="880">
                  <c:v>19.109417999992729</c:v>
                </c:pt>
                <c:pt idx="881">
                  <c:v>19.121025999993435</c:v>
                </c:pt>
                <c:pt idx="882">
                  <c:v>19.135913999998593</c:v>
                </c:pt>
                <c:pt idx="883">
                  <c:v>19.192383000001428</c:v>
                </c:pt>
                <c:pt idx="884">
                  <c:v>19.210042999999132</c:v>
                </c:pt>
                <c:pt idx="885">
                  <c:v>19.269948000001023</c:v>
                </c:pt>
                <c:pt idx="886">
                  <c:v>19.277885999996215</c:v>
                </c:pt>
                <c:pt idx="887">
                  <c:v>19.330692000003182</c:v>
                </c:pt>
                <c:pt idx="888">
                  <c:v>19.347475000002305</c:v>
                </c:pt>
                <c:pt idx="889">
                  <c:v>19.412165999994613</c:v>
                </c:pt>
                <c:pt idx="890">
                  <c:v>19.416817000004812</c:v>
                </c:pt>
                <c:pt idx="891">
                  <c:v>19.470014000005904</c:v>
                </c:pt>
                <c:pt idx="892">
                  <c:v>19.473469000004116</c:v>
                </c:pt>
                <c:pt idx="893">
                  <c:v>19.558466000002227</c:v>
                </c:pt>
                <c:pt idx="894">
                  <c:v>19.60882799999672</c:v>
                </c:pt>
                <c:pt idx="895">
                  <c:v>19.616255999993882</c:v>
                </c:pt>
                <c:pt idx="896">
                  <c:v>19.681517000004533</c:v>
                </c:pt>
                <c:pt idx="897">
                  <c:v>19.754574999999022</c:v>
                </c:pt>
                <c:pt idx="898">
                  <c:v>19.829968999998528</c:v>
                </c:pt>
                <c:pt idx="899">
                  <c:v>19.89028999999573</c:v>
                </c:pt>
                <c:pt idx="900">
                  <c:v>19.896116000003531</c:v>
                </c:pt>
                <c:pt idx="901">
                  <c:v>20.026220999992802</c:v>
                </c:pt>
                <c:pt idx="902">
                  <c:v>20.03784099999757</c:v>
                </c:pt>
                <c:pt idx="903">
                  <c:v>20.085686000005808</c:v>
                </c:pt>
                <c:pt idx="904">
                  <c:v>20.106010000003153</c:v>
                </c:pt>
                <c:pt idx="905">
                  <c:v>20.16501199999766</c:v>
                </c:pt>
                <c:pt idx="906">
                  <c:v>20.175933000005898</c:v>
                </c:pt>
                <c:pt idx="907">
                  <c:v>20.24430599999323</c:v>
                </c:pt>
                <c:pt idx="908">
                  <c:v>20.372518000003765</c:v>
                </c:pt>
                <c:pt idx="909">
                  <c:v>20.380502999993041</c:v>
                </c:pt>
                <c:pt idx="910">
                  <c:v>20.444394999998622</c:v>
                </c:pt>
                <c:pt idx="911">
                  <c:v>20.50830099999439</c:v>
                </c:pt>
                <c:pt idx="912">
                  <c:v>20.521355999997468</c:v>
                </c:pt>
                <c:pt idx="913">
                  <c:v>20.557960000005551</c:v>
                </c:pt>
                <c:pt idx="914">
                  <c:v>20.587719999995898</c:v>
                </c:pt>
                <c:pt idx="915">
                  <c:v>20.609152999997605</c:v>
                </c:pt>
                <c:pt idx="916">
                  <c:v>20.619072000001324</c:v>
                </c:pt>
                <c:pt idx="917">
                  <c:v>20.67234799999278</c:v>
                </c:pt>
                <c:pt idx="918">
                  <c:v>20.689606999992975</c:v>
                </c:pt>
                <c:pt idx="919">
                  <c:v>20.710848000002443</c:v>
                </c:pt>
                <c:pt idx="920">
                  <c:v>20.713470999995479</c:v>
                </c:pt>
                <c:pt idx="921">
                  <c:v>20.770128999996814</c:v>
                </c:pt>
                <c:pt idx="922">
                  <c:v>20.781872999999905</c:v>
                </c:pt>
                <c:pt idx="923">
                  <c:v>20.851871999999275</c:v>
                </c:pt>
                <c:pt idx="924">
                  <c:v>20.910011999993003</c:v>
                </c:pt>
                <c:pt idx="925">
                  <c:v>20.917421000005561</c:v>
                </c:pt>
                <c:pt idx="926">
                  <c:v>20.990090000006603</c:v>
                </c:pt>
                <c:pt idx="927">
                  <c:v>21.059141000005184</c:v>
                </c:pt>
                <c:pt idx="928">
                  <c:v>21.123573999997461</c:v>
                </c:pt>
                <c:pt idx="929">
                  <c:v>21.189335000002757</c:v>
                </c:pt>
                <c:pt idx="930">
                  <c:v>21.193016999997781</c:v>
                </c:pt>
                <c:pt idx="931">
                  <c:v>21.267498000001069</c:v>
                </c:pt>
                <c:pt idx="932">
                  <c:v>21.39588100000401</c:v>
                </c:pt>
                <c:pt idx="933">
                  <c:v>21.476766000007046</c:v>
                </c:pt>
                <c:pt idx="934">
                  <c:v>21.671587999997428</c:v>
                </c:pt>
                <c:pt idx="935">
                  <c:v>21.80168699999922</c:v>
                </c:pt>
                <c:pt idx="936">
                  <c:v>21.819898000001558</c:v>
                </c:pt>
                <c:pt idx="937">
                  <c:v>21.929365999996662</c:v>
                </c:pt>
                <c:pt idx="938">
                  <c:v>21.950813999996171</c:v>
                </c:pt>
                <c:pt idx="939">
                  <c:v>21.969597000002977</c:v>
                </c:pt>
                <c:pt idx="940">
                  <c:v>21.988500000006752</c:v>
                </c:pt>
                <c:pt idx="941">
                  <c:v>22.009302000005846</c:v>
                </c:pt>
                <c:pt idx="942">
                  <c:v>22.03289699999732</c:v>
                </c:pt>
                <c:pt idx="943">
                  <c:v>22.050904999996419</c:v>
                </c:pt>
                <c:pt idx="944">
                  <c:v>22.10960100000375</c:v>
                </c:pt>
                <c:pt idx="945">
                  <c:v>22.129606000002241</c:v>
                </c:pt>
                <c:pt idx="946">
                  <c:v>22.153552999996464</c:v>
                </c:pt>
                <c:pt idx="947">
                  <c:v>22.216033999997308</c:v>
                </c:pt>
                <c:pt idx="948">
                  <c:v>22.269459999995888</c:v>
                </c:pt>
                <c:pt idx="949">
                  <c:v>22.339386999999988</c:v>
                </c:pt>
                <c:pt idx="950">
                  <c:v>22.35994500000379</c:v>
                </c:pt>
                <c:pt idx="951">
                  <c:v>22.697455999994418</c:v>
                </c:pt>
                <c:pt idx="952">
                  <c:v>22.752504999996745</c:v>
                </c:pt>
                <c:pt idx="953">
                  <c:v>22.776291000001947</c:v>
                </c:pt>
                <c:pt idx="954">
                  <c:v>22.894717000002856</c:v>
                </c:pt>
                <c:pt idx="955">
                  <c:v>22.936753999994835</c:v>
                </c:pt>
                <c:pt idx="956">
                  <c:v>22.964806000003591</c:v>
                </c:pt>
                <c:pt idx="957">
                  <c:v>23.011020000005374</c:v>
                </c:pt>
                <c:pt idx="958">
                  <c:v>23.041721999994479</c:v>
                </c:pt>
                <c:pt idx="959">
                  <c:v>23.059169000000111</c:v>
                </c:pt>
                <c:pt idx="960">
                  <c:v>23.078345000001718</c:v>
                </c:pt>
                <c:pt idx="961">
                  <c:v>23.101450999994995</c:v>
                </c:pt>
                <c:pt idx="962">
                  <c:v>23.149567999993451</c:v>
                </c:pt>
                <c:pt idx="963">
                  <c:v>23.170113999993191</c:v>
                </c:pt>
                <c:pt idx="964">
                  <c:v>23.187950000006822</c:v>
                </c:pt>
                <c:pt idx="965">
                  <c:v>23.217732000004617</c:v>
                </c:pt>
                <c:pt idx="966">
                  <c:v>23.238828000001376</c:v>
                </c:pt>
                <c:pt idx="967">
                  <c:v>23.273797999994713</c:v>
                </c:pt>
                <c:pt idx="968">
                  <c:v>23.282284999993863</c:v>
                </c:pt>
                <c:pt idx="969">
                  <c:v>23.304826999999932</c:v>
                </c:pt>
                <c:pt idx="970">
                  <c:v>23.322432999993907</c:v>
                </c:pt>
                <c:pt idx="971">
                  <c:v>23.340609000006225</c:v>
                </c:pt>
                <c:pt idx="972">
                  <c:v>23.358603999993647</c:v>
                </c:pt>
                <c:pt idx="973">
                  <c:v>23.387841000003391</c:v>
                </c:pt>
                <c:pt idx="974">
                  <c:v>23.408421999993152</c:v>
                </c:pt>
                <c:pt idx="975">
                  <c:v>23.436639000006835</c:v>
                </c:pt>
                <c:pt idx="976">
                  <c:v>23.466872999997577</c:v>
                </c:pt>
                <c:pt idx="977">
                  <c:v>23.485339000006206</c:v>
                </c:pt>
                <c:pt idx="978">
                  <c:v>23.504153000001679</c:v>
                </c:pt>
                <c:pt idx="979">
                  <c:v>23.521840000001248</c:v>
                </c:pt>
                <c:pt idx="980">
                  <c:v>23.545178999993368</c:v>
                </c:pt>
                <c:pt idx="981">
                  <c:v>23.571225000006962</c:v>
                </c:pt>
                <c:pt idx="982">
                  <c:v>23.592843000005814</c:v>
                </c:pt>
                <c:pt idx="983">
                  <c:v>23.609421000001021</c:v>
                </c:pt>
                <c:pt idx="984">
                  <c:v>23.626527000000351</c:v>
                </c:pt>
                <c:pt idx="985">
                  <c:v>23.645789999995031</c:v>
                </c:pt>
                <c:pt idx="986">
                  <c:v>23.655771000005188</c:v>
                </c:pt>
                <c:pt idx="987">
                  <c:v>23.690142000006745</c:v>
                </c:pt>
                <c:pt idx="988">
                  <c:v>23.70281299999624</c:v>
                </c:pt>
                <c:pt idx="989">
                  <c:v>23.730490999994799</c:v>
                </c:pt>
                <c:pt idx="990">
                  <c:v>23.752940000005765</c:v>
                </c:pt>
                <c:pt idx="991">
                  <c:v>23.771536999993259</c:v>
                </c:pt>
                <c:pt idx="992">
                  <c:v>23.787014999994426</c:v>
                </c:pt>
                <c:pt idx="993">
                  <c:v>23.808394000006956</c:v>
                </c:pt>
                <c:pt idx="994">
                  <c:v>23.829131999998935</c:v>
                </c:pt>
                <c:pt idx="995">
                  <c:v>23.851704000000609</c:v>
                </c:pt>
                <c:pt idx="996">
                  <c:v>23.872075999999652</c:v>
                </c:pt>
                <c:pt idx="997">
                  <c:v>23.891747000001487</c:v>
                </c:pt>
                <c:pt idx="998">
                  <c:v>23.913037999998778</c:v>
                </c:pt>
                <c:pt idx="999">
                  <c:v>23.928671000001486</c:v>
                </c:pt>
                <c:pt idx="1000">
                  <c:v>23.950268999993568</c:v>
                </c:pt>
                <c:pt idx="1001">
                  <c:v>23.969091999999364</c:v>
                </c:pt>
                <c:pt idx="1002">
                  <c:v>23.991341999993892</c:v>
                </c:pt>
                <c:pt idx="1003">
                  <c:v>24.004977999997209</c:v>
                </c:pt>
                <c:pt idx="1004">
                  <c:v>24.030178000000888</c:v>
                </c:pt>
                <c:pt idx="1005">
                  <c:v>24.051252999997814</c:v>
                </c:pt>
                <c:pt idx="1006">
                  <c:v>24.071083000002545</c:v>
                </c:pt>
                <c:pt idx="1007">
                  <c:v>24.08887799999502</c:v>
                </c:pt>
                <c:pt idx="1008">
                  <c:v>24.109505000000354</c:v>
                </c:pt>
                <c:pt idx="1009">
                  <c:v>24.130529000001843</c:v>
                </c:pt>
                <c:pt idx="1010">
                  <c:v>24.149757999999565</c:v>
                </c:pt>
                <c:pt idx="1011">
                  <c:v>24.169351999997161</c:v>
                </c:pt>
                <c:pt idx="1012">
                  <c:v>24.185184999994817</c:v>
                </c:pt>
                <c:pt idx="1013">
                  <c:v>24.210292000003392</c:v>
                </c:pt>
                <c:pt idx="1014">
                  <c:v>24.230257000002894</c:v>
                </c:pt>
                <c:pt idx="1015">
                  <c:v>24.251063000003342</c:v>
                </c:pt>
                <c:pt idx="1016">
                  <c:v>24.260286999997334</c:v>
                </c:pt>
                <c:pt idx="1017">
                  <c:v>24.290764000004856</c:v>
                </c:pt>
                <c:pt idx="1018">
                  <c:v>24.312315999995917</c:v>
                </c:pt>
                <c:pt idx="1019">
                  <c:v>24.332882999995491</c:v>
                </c:pt>
                <c:pt idx="1020">
                  <c:v>24.352180999994744</c:v>
                </c:pt>
                <c:pt idx="1021">
                  <c:v>24.370655000006082</c:v>
                </c:pt>
                <c:pt idx="1022">
                  <c:v>24.386303999999654</c:v>
                </c:pt>
                <c:pt idx="1023">
                  <c:v>24.411489999998594</c:v>
                </c:pt>
                <c:pt idx="1024">
                  <c:v>24.430787000004784</c:v>
                </c:pt>
                <c:pt idx="1025">
                  <c:v>24.451795999993919</c:v>
                </c:pt>
                <c:pt idx="1026">
                  <c:v>24.472370000003139</c:v>
                </c:pt>
                <c:pt idx="1027">
                  <c:v>24.493352999998024</c:v>
                </c:pt>
                <c:pt idx="1028">
                  <c:v>24.513412000000244</c:v>
                </c:pt>
                <c:pt idx="1029">
                  <c:v>24.527015999992727</c:v>
                </c:pt>
                <c:pt idx="1030">
                  <c:v>24.547990999999456</c:v>
                </c:pt>
                <c:pt idx="1031">
                  <c:v>24.568528000003425</c:v>
                </c:pt>
                <c:pt idx="1032">
                  <c:v>24.592092000006232</c:v>
                </c:pt>
                <c:pt idx="1033">
                  <c:v>24.612911000003805</c:v>
                </c:pt>
                <c:pt idx="1034">
                  <c:v>24.630116999993334</c:v>
                </c:pt>
                <c:pt idx="1035">
                  <c:v>24.647140999994008</c:v>
                </c:pt>
                <c:pt idx="1036">
                  <c:v>24.668594000002486</c:v>
                </c:pt>
                <c:pt idx="1037">
                  <c:v>24.690837999994983</c:v>
                </c:pt>
                <c:pt idx="1038">
                  <c:v>24.712589999995544</c:v>
                </c:pt>
                <c:pt idx="1039">
                  <c:v>24.729158999994979</c:v>
                </c:pt>
                <c:pt idx="1040">
                  <c:v>24.748250999997254</c:v>
                </c:pt>
                <c:pt idx="1041">
                  <c:v>24.772182999993674</c:v>
                </c:pt>
                <c:pt idx="1042">
                  <c:v>24.788973999995505</c:v>
                </c:pt>
                <c:pt idx="1043">
                  <c:v>24.810652000000118</c:v>
                </c:pt>
                <c:pt idx="1044">
                  <c:v>24.830902000001515</c:v>
                </c:pt>
                <c:pt idx="1045">
                  <c:v>24.851580000002286</c:v>
                </c:pt>
                <c:pt idx="1046">
                  <c:v>24.863641000003554</c:v>
                </c:pt>
                <c:pt idx="1047">
                  <c:v>24.889215000002878</c:v>
                </c:pt>
                <c:pt idx="1048">
                  <c:v>24.905175000007148</c:v>
                </c:pt>
                <c:pt idx="1049">
                  <c:v>24.923880999995163</c:v>
                </c:pt>
                <c:pt idx="1050">
                  <c:v>24.952577000003657</c:v>
                </c:pt>
                <c:pt idx="1051">
                  <c:v>24.970560000001569</c:v>
                </c:pt>
                <c:pt idx="1052">
                  <c:v>24.990554000003613</c:v>
                </c:pt>
                <c:pt idx="1053">
                  <c:v>25.009464999995544</c:v>
                </c:pt>
                <c:pt idx="1054">
                  <c:v>25.029137999998056</c:v>
                </c:pt>
                <c:pt idx="1055">
                  <c:v>25.049568000002182</c:v>
                </c:pt>
                <c:pt idx="1056">
                  <c:v>25.069510999994236</c:v>
                </c:pt>
                <c:pt idx="1057">
                  <c:v>25.090064000003622</c:v>
                </c:pt>
                <c:pt idx="1058">
                  <c:v>25.112080000006245</c:v>
                </c:pt>
                <c:pt idx="1059">
                  <c:v>25.130132000005688</c:v>
                </c:pt>
                <c:pt idx="1060">
                  <c:v>25.151247000001604</c:v>
                </c:pt>
                <c:pt idx="1061">
                  <c:v>25.170014000002993</c:v>
                </c:pt>
                <c:pt idx="1062">
                  <c:v>25.191411000007065</c:v>
                </c:pt>
                <c:pt idx="1063">
                  <c:v>25.195875000004889</c:v>
                </c:pt>
                <c:pt idx="1064">
                  <c:v>25.233873000004678</c:v>
                </c:pt>
                <c:pt idx="1065">
                  <c:v>25.248592000003555</c:v>
                </c:pt>
                <c:pt idx="1066">
                  <c:v>25.270485000000917</c:v>
                </c:pt>
                <c:pt idx="1067">
                  <c:v>25.291649999999208</c:v>
                </c:pt>
                <c:pt idx="1068">
                  <c:v>25.311413000003085</c:v>
                </c:pt>
                <c:pt idx="1069">
                  <c:v>25.331086000005598</c:v>
                </c:pt>
                <c:pt idx="1070">
                  <c:v>25.346539000005578</c:v>
                </c:pt>
                <c:pt idx="1071">
                  <c:v>25.366806000005454</c:v>
                </c:pt>
                <c:pt idx="1072">
                  <c:v>25.391757999997935</c:v>
                </c:pt>
                <c:pt idx="1073">
                  <c:v>25.409874999997555</c:v>
                </c:pt>
                <c:pt idx="1074">
                  <c:v>25.432696000003489</c:v>
                </c:pt>
                <c:pt idx="1075">
                  <c:v>25.448818999997457</c:v>
                </c:pt>
                <c:pt idx="1076">
                  <c:v>25.467323000004399</c:v>
                </c:pt>
                <c:pt idx="1077">
                  <c:v>25.487355999997817</c:v>
                </c:pt>
                <c:pt idx="1078">
                  <c:v>25.512679000006756</c:v>
                </c:pt>
                <c:pt idx="1079">
                  <c:v>25.532206999996561</c:v>
                </c:pt>
                <c:pt idx="1080">
                  <c:v>25.550080000000889</c:v>
                </c:pt>
                <c:pt idx="1081">
                  <c:v>25.568671999993967</c:v>
                </c:pt>
                <c:pt idx="1082">
                  <c:v>25.591994999995222</c:v>
                </c:pt>
                <c:pt idx="1083">
                  <c:v>25.604158999994979</c:v>
                </c:pt>
                <c:pt idx="1084">
                  <c:v>25.62855199999467</c:v>
                </c:pt>
                <c:pt idx="1085">
                  <c:v>25.64916099999391</c:v>
                </c:pt>
                <c:pt idx="1086">
                  <c:v>25.670091000007233</c:v>
                </c:pt>
                <c:pt idx="1087">
                  <c:v>25.688160000005155</c:v>
                </c:pt>
                <c:pt idx="1088">
                  <c:v>25.709323000002769</c:v>
                </c:pt>
                <c:pt idx="1089">
                  <c:v>25.728407000002335</c:v>
                </c:pt>
                <c:pt idx="1090">
                  <c:v>25.752332000003662</c:v>
                </c:pt>
                <c:pt idx="1091">
                  <c:v>25.768882999997004</c:v>
                </c:pt>
                <c:pt idx="1092">
                  <c:v>25.790080999999191</c:v>
                </c:pt>
                <c:pt idx="1093">
                  <c:v>25.80885099999432</c:v>
                </c:pt>
                <c:pt idx="1094">
                  <c:v>25.829733000005945</c:v>
                </c:pt>
                <c:pt idx="1095">
                  <c:v>25.844184999994468</c:v>
                </c:pt>
                <c:pt idx="1096">
                  <c:v>25.869984999997541</c:v>
                </c:pt>
                <c:pt idx="1097">
                  <c:v>25.889815000002272</c:v>
                </c:pt>
                <c:pt idx="1098">
                  <c:v>25.910757000005106</c:v>
                </c:pt>
                <c:pt idx="1099">
                  <c:v>25.929401000001235</c:v>
                </c:pt>
                <c:pt idx="1100">
                  <c:v>25.94962499999383</c:v>
                </c:pt>
                <c:pt idx="1101">
                  <c:v>25.972777999995742</c:v>
                </c:pt>
                <c:pt idx="1102">
                  <c:v>25.990013999995426</c:v>
                </c:pt>
                <c:pt idx="1103">
                  <c:v>26.010427000001073</c:v>
                </c:pt>
                <c:pt idx="1104">
                  <c:v>26.032560000006924</c:v>
                </c:pt>
                <c:pt idx="1105">
                  <c:v>26.051613999996334</c:v>
                </c:pt>
                <c:pt idx="1106">
                  <c:v>26.072595999998157</c:v>
                </c:pt>
                <c:pt idx="1107">
                  <c:v>26.092378999994253</c:v>
                </c:pt>
                <c:pt idx="1108">
                  <c:v>26.112676999997348</c:v>
                </c:pt>
                <c:pt idx="1109">
                  <c:v>26.130694999999832</c:v>
                </c:pt>
                <c:pt idx="1110">
                  <c:v>26.15151500000502</c:v>
                </c:pt>
                <c:pt idx="1111">
                  <c:v>26.160948999997345</c:v>
                </c:pt>
                <c:pt idx="1112">
                  <c:v>26.192194999995991</c:v>
                </c:pt>
                <c:pt idx="1113">
                  <c:v>26.212463999996544</c:v>
                </c:pt>
                <c:pt idx="1114">
                  <c:v>26.23177100000612</c:v>
                </c:pt>
                <c:pt idx="1115">
                  <c:v>26.252322999993339</c:v>
                </c:pt>
                <c:pt idx="1116">
                  <c:v>26.266526999999769</c:v>
                </c:pt>
                <c:pt idx="1117">
                  <c:v>26.289130999997724</c:v>
                </c:pt>
                <c:pt idx="1118">
                  <c:v>26.307276999999885</c:v>
                </c:pt>
                <c:pt idx="1119">
                  <c:v>26.328584999995655</c:v>
                </c:pt>
                <c:pt idx="1120">
                  <c:v>26.352679000003263</c:v>
                </c:pt>
                <c:pt idx="1121">
                  <c:v>26.372602999996161</c:v>
                </c:pt>
                <c:pt idx="1122">
                  <c:v>26.389469999994617</c:v>
                </c:pt>
                <c:pt idx="1123">
                  <c:v>0</c:v>
                </c:pt>
                <c:pt idx="1124">
                  <c:v>0</c:v>
                </c:pt>
                <c:pt idx="1125">
                  <c:v>0</c:v>
                </c:pt>
                <c:pt idx="1126">
                  <c:v>0</c:v>
                </c:pt>
                <c:pt idx="1127">
                  <c:v>0</c:v>
                </c:pt>
                <c:pt idx="1128">
                  <c:v>0</c:v>
                </c:pt>
                <c:pt idx="1129">
                  <c:v>0</c:v>
                </c:pt>
                <c:pt idx="1130">
                  <c:v>0</c:v>
                </c:pt>
                <c:pt idx="1131">
                  <c:v>0</c:v>
                </c:pt>
                <c:pt idx="1132">
                  <c:v>0</c:v>
                </c:pt>
                <c:pt idx="1133">
                  <c:v>0</c:v>
                </c:pt>
                <c:pt idx="1134">
                  <c:v>0</c:v>
                </c:pt>
                <c:pt idx="1135">
                  <c:v>0</c:v>
                </c:pt>
                <c:pt idx="1136">
                  <c:v>0</c:v>
                </c:pt>
                <c:pt idx="1137">
                  <c:v>0</c:v>
                </c:pt>
                <c:pt idx="1138">
                  <c:v>0</c:v>
                </c:pt>
                <c:pt idx="1139">
                  <c:v>0</c:v>
                </c:pt>
                <c:pt idx="1140">
                  <c:v>0</c:v>
                </c:pt>
                <c:pt idx="1141">
                  <c:v>0</c:v>
                </c:pt>
                <c:pt idx="1142">
                  <c:v>0</c:v>
                </c:pt>
                <c:pt idx="1143">
                  <c:v>0</c:v>
                </c:pt>
                <c:pt idx="1144">
                  <c:v>0</c:v>
                </c:pt>
                <c:pt idx="1145">
                  <c:v>0</c:v>
                </c:pt>
                <c:pt idx="1146">
                  <c:v>0</c:v>
                </c:pt>
                <c:pt idx="1147">
                  <c:v>0</c:v>
                </c:pt>
                <c:pt idx="1148">
                  <c:v>0</c:v>
                </c:pt>
                <c:pt idx="1149">
                  <c:v>0</c:v>
                </c:pt>
                <c:pt idx="1150">
                  <c:v>0</c:v>
                </c:pt>
              </c:numCache>
            </c:numRef>
          </c:xVal>
          <c:yVal>
            <c:numRef>
              <c:f>'Real Values'!$F$2:$F$1800</c:f>
              <c:numCache>
                <c:formatCode>General</c:formatCode>
                <c:ptCount val="1799"/>
                <c:pt idx="1">
                  <c:v>-4.519194307885225E-5</c:v>
                </c:pt>
                <c:pt idx="2">
                  <c:v>-9.6148654289638421E-5</c:v>
                </c:pt>
                <c:pt idx="3">
                  <c:v>-1.2691924893441743E-4</c:v>
                </c:pt>
                <c:pt idx="4">
                  <c:v>-1.9085253133971296E-4</c:v>
                </c:pt>
                <c:pt idx="5">
                  <c:v>-2.4974158722032076E-4</c:v>
                </c:pt>
                <c:pt idx="6">
                  <c:v>-2.9790297175582902E-4</c:v>
                </c:pt>
                <c:pt idx="7">
                  <c:v>-3.6032343041550571E-4</c:v>
                </c:pt>
                <c:pt idx="8">
                  <c:v>-4.3410923233752619E-4</c:v>
                </c:pt>
                <c:pt idx="9">
                  <c:v>-4.7463404598896051E-4</c:v>
                </c:pt>
                <c:pt idx="10">
                  <c:v>-5.4701879193399605E-4</c:v>
                </c:pt>
                <c:pt idx="11">
                  <c:v>-6.6384664397834119E-4</c:v>
                </c:pt>
                <c:pt idx="12">
                  <c:v>-8.0235126910112341E-4</c:v>
                </c:pt>
                <c:pt idx="13">
                  <c:v>-8.5047867541506654E-4</c:v>
                </c:pt>
                <c:pt idx="14">
                  <c:v>-9.0810094961226578E-4</c:v>
                </c:pt>
                <c:pt idx="15">
                  <c:v>-9.5268442679598872E-4</c:v>
                </c:pt>
                <c:pt idx="16">
                  <c:v>-9.964483174757044E-4</c:v>
                </c:pt>
                <c:pt idx="17">
                  <c:v>-2.7042909452948041E-3</c:v>
                </c:pt>
                <c:pt idx="18">
                  <c:v>-2.7407335753558341E-3</c:v>
                </c:pt>
                <c:pt idx="19">
                  <c:v>-2.9187380141870874E-3</c:v>
                </c:pt>
                <c:pt idx="20">
                  <c:v>-2.6221536612738359E-3</c:v>
                </c:pt>
                <c:pt idx="21">
                  <c:v>-1.905887337283843E-3</c:v>
                </c:pt>
                <c:pt idx="22">
                  <c:v>-2.2092444426104877E-3</c:v>
                </c:pt>
                <c:pt idx="23">
                  <c:v>-2.2615659853777127E-3</c:v>
                </c:pt>
                <c:pt idx="24">
                  <c:v>-2.3376854699696027E-3</c:v>
                </c:pt>
                <c:pt idx="25">
                  <c:v>-2.4632608909042745E-3</c:v>
                </c:pt>
                <c:pt idx="26">
                  <c:v>-7.455411524768603E-4</c:v>
                </c:pt>
                <c:pt idx="27">
                  <c:v>-2.5126304092686243E-5</c:v>
                </c:pt>
                <c:pt idx="28">
                  <c:v>1.3474547307382244E-4</c:v>
                </c:pt>
                <c:pt idx="29">
                  <c:v>7.1601540573795243E-4</c:v>
                </c:pt>
                <c:pt idx="30">
                  <c:v>2.9203173895250411E-4</c:v>
                </c:pt>
                <c:pt idx="31">
                  <c:v>6.5085435997007965E-5</c:v>
                </c:pt>
                <c:pt idx="32">
                  <c:v>8.7150483330883214E-5</c:v>
                </c:pt>
                <c:pt idx="33">
                  <c:v>-8.8645267226968461E-6</c:v>
                </c:pt>
                <c:pt idx="34">
                  <c:v>-6.2659600807031171E-5</c:v>
                </c:pt>
                <c:pt idx="35">
                  <c:v>-1.1133827469551118E-4</c:v>
                </c:pt>
                <c:pt idx="36">
                  <c:v>-1.7707825529124856E-4</c:v>
                </c:pt>
                <c:pt idx="37">
                  <c:v>-1.710197775802692E-4</c:v>
                </c:pt>
                <c:pt idx="38">
                  <c:v>-1.6949453523243068E-4</c:v>
                </c:pt>
                <c:pt idx="39">
                  <c:v>-4.8969539531133646E-4</c:v>
                </c:pt>
                <c:pt idx="40">
                  <c:v>-3.9480864311310017E-4</c:v>
                </c:pt>
                <c:pt idx="41">
                  <c:v>-4.840973738037358E-4</c:v>
                </c:pt>
                <c:pt idx="42">
                  <c:v>-5.3354432914193219E-4</c:v>
                </c:pt>
                <c:pt idx="43">
                  <c:v>-5.969413543666502E-4</c:v>
                </c:pt>
                <c:pt idx="44">
                  <c:v>-6.5964116184549163E-4</c:v>
                </c:pt>
                <c:pt idx="45">
                  <c:v>-7.0414913729693993E-4</c:v>
                </c:pt>
                <c:pt idx="46">
                  <c:v>-2.490780588807061E-3</c:v>
                </c:pt>
                <c:pt idx="47">
                  <c:v>-2.5950368596595135E-3</c:v>
                </c:pt>
                <c:pt idx="48">
                  <c:v>-2.4016127513744661E-3</c:v>
                </c:pt>
                <c:pt idx="49">
                  <c:v>-2.21573162670613E-3</c:v>
                </c:pt>
                <c:pt idx="50">
                  <c:v>-2.3487536311663816E-3</c:v>
                </c:pt>
                <c:pt idx="51">
                  <c:v>-2.4867145787097695E-3</c:v>
                </c:pt>
                <c:pt idx="52">
                  <c:v>-3.1719367539833872E-3</c:v>
                </c:pt>
                <c:pt idx="53">
                  <c:v>-2.993914181394245E-3</c:v>
                </c:pt>
                <c:pt idx="54">
                  <c:v>-3.0106313643610935E-3</c:v>
                </c:pt>
                <c:pt idx="55">
                  <c:v>-3.1116646553023706E-3</c:v>
                </c:pt>
                <c:pt idx="56">
                  <c:v>-2.7781617287847508E-3</c:v>
                </c:pt>
                <c:pt idx="57">
                  <c:v>-2.0548838797608149E-3</c:v>
                </c:pt>
                <c:pt idx="58">
                  <c:v>-1.8126817228240441E-3</c:v>
                </c:pt>
                <c:pt idx="59">
                  <c:v>-1.8727138210488832E-3</c:v>
                </c:pt>
                <c:pt idx="60">
                  <c:v>-3.6541887957620067E-3</c:v>
                </c:pt>
                <c:pt idx="61">
                  <c:v>-4.0921768784279531E-3</c:v>
                </c:pt>
                <c:pt idx="62">
                  <c:v>-3.9949820424592915E-3</c:v>
                </c:pt>
                <c:pt idx="63">
                  <c:v>-4.2076852540627683E-3</c:v>
                </c:pt>
                <c:pt idx="64">
                  <c:v>-4.344461173293325E-3</c:v>
                </c:pt>
                <c:pt idx="65">
                  <c:v>-4.3952220260879095E-3</c:v>
                </c:pt>
                <c:pt idx="66">
                  <c:v>-4.4573606112732938E-3</c:v>
                </c:pt>
                <c:pt idx="67">
                  <c:v>-4.4505780117765842E-3</c:v>
                </c:pt>
                <c:pt idx="68">
                  <c:v>-4.4536553591377178E-3</c:v>
                </c:pt>
                <c:pt idx="69">
                  <c:v>-6.4349657162266526E-3</c:v>
                </c:pt>
                <c:pt idx="70">
                  <c:v>-6.9643024841552952E-3</c:v>
                </c:pt>
                <c:pt idx="71">
                  <c:v>-7.0787030519456002E-3</c:v>
                </c:pt>
                <c:pt idx="72">
                  <c:v>-7.2043032805409798E-3</c:v>
                </c:pt>
                <c:pt idx="73">
                  <c:v>-7.2227684399714717E-3</c:v>
                </c:pt>
                <c:pt idx="74">
                  <c:v>-7.3041771412627006E-3</c:v>
                </c:pt>
                <c:pt idx="75">
                  <c:v>-7.3645250685073303E-3</c:v>
                </c:pt>
                <c:pt idx="76">
                  <c:v>-7.4139136075785008E-3</c:v>
                </c:pt>
                <c:pt idx="77">
                  <c:v>-7.8995553927788224E-3</c:v>
                </c:pt>
                <c:pt idx="78">
                  <c:v>-9.0668068911713626E-3</c:v>
                </c:pt>
                <c:pt idx="79">
                  <c:v>-1.0708252134482637E-2</c:v>
                </c:pt>
                <c:pt idx="80">
                  <c:v>-1.200857468433101E-2</c:v>
                </c:pt>
                <c:pt idx="81">
                  <c:v>-1.173999598159238E-2</c:v>
                </c:pt>
                <c:pt idx="82">
                  <c:v>-1.1821149919655665E-2</c:v>
                </c:pt>
                <c:pt idx="83">
                  <c:v>-1.1888542037211005E-2</c:v>
                </c:pt>
                <c:pt idx="84">
                  <c:v>-1.1925412803176029E-2</c:v>
                </c:pt>
                <c:pt idx="85">
                  <c:v>-1.1994151545519202E-2</c:v>
                </c:pt>
                <c:pt idx="86">
                  <c:v>-1.2036767716601371E-2</c:v>
                </c:pt>
                <c:pt idx="87">
                  <c:v>-1.2096448590323923E-2</c:v>
                </c:pt>
                <c:pt idx="88">
                  <c:v>-1.217059780115636E-2</c:v>
                </c:pt>
                <c:pt idx="89">
                  <c:v>-1.2213477644234085E-2</c:v>
                </c:pt>
                <c:pt idx="90">
                  <c:v>-1.3165784372464738E-2</c:v>
                </c:pt>
                <c:pt idx="91">
                  <c:v>-1.3537172553081182E-2</c:v>
                </c:pt>
                <c:pt idx="92">
                  <c:v>-1.3767204567539978E-2</c:v>
                </c:pt>
                <c:pt idx="93">
                  <c:v>-1.3738321741868393E-2</c:v>
                </c:pt>
                <c:pt idx="94">
                  <c:v>-1.3889649804144404E-2</c:v>
                </c:pt>
                <c:pt idx="95">
                  <c:v>-1.3933979748987071E-2</c:v>
                </c:pt>
                <c:pt idx="96">
                  <c:v>-1.3967023890868221E-2</c:v>
                </c:pt>
                <c:pt idx="97">
                  <c:v>-1.4039999900097333E-2</c:v>
                </c:pt>
                <c:pt idx="98">
                  <c:v>-1.410025954691301E-2</c:v>
                </c:pt>
                <c:pt idx="99">
                  <c:v>-1.4159077209460576E-2</c:v>
                </c:pt>
                <c:pt idx="100">
                  <c:v>-1.4232082444185818E-2</c:v>
                </c:pt>
                <c:pt idx="101">
                  <c:v>-1.426938561335993E-2</c:v>
                </c:pt>
                <c:pt idx="102">
                  <c:v>-1.4295649555312607E-2</c:v>
                </c:pt>
                <c:pt idx="103">
                  <c:v>-1.4870317308750321E-2</c:v>
                </c:pt>
                <c:pt idx="104">
                  <c:v>-1.4640780978691145E-2</c:v>
                </c:pt>
                <c:pt idx="105">
                  <c:v>-1.4751469857572573E-2</c:v>
                </c:pt>
                <c:pt idx="106">
                  <c:v>-1.4747059142074059E-2</c:v>
                </c:pt>
                <c:pt idx="107">
                  <c:v>-1.4844999023664818E-2</c:v>
                </c:pt>
                <c:pt idx="108">
                  <c:v>-1.484409552061907E-2</c:v>
                </c:pt>
                <c:pt idx="109">
                  <c:v>-1.4927582010877318E-2</c:v>
                </c:pt>
                <c:pt idx="110">
                  <c:v>-1.4975072525822544E-2</c:v>
                </c:pt>
                <c:pt idx="111">
                  <c:v>-1.5045928974873259E-2</c:v>
                </c:pt>
                <c:pt idx="112">
                  <c:v>-1.5093537094903783E-2</c:v>
                </c:pt>
                <c:pt idx="113">
                  <c:v>-1.5154895196675098E-2</c:v>
                </c:pt>
                <c:pt idx="114">
                  <c:v>-1.5204984337643683E-2</c:v>
                </c:pt>
                <c:pt idx="115">
                  <c:v>-1.5337109848549288E-2</c:v>
                </c:pt>
                <c:pt idx="116">
                  <c:v>-1.5397414922120245E-2</c:v>
                </c:pt>
                <c:pt idx="117">
                  <c:v>-1.5444146699052367E-2</c:v>
                </c:pt>
                <c:pt idx="118">
                  <c:v>-1.5519962352767524E-2</c:v>
                </c:pt>
                <c:pt idx="119">
                  <c:v>-1.5636037749915326E-2</c:v>
                </c:pt>
                <c:pt idx="120">
                  <c:v>-1.5624516502011092E-2</c:v>
                </c:pt>
                <c:pt idx="121">
                  <c:v>-1.5658185877318067E-2</c:v>
                </c:pt>
                <c:pt idx="122">
                  <c:v>-1.5649798073238758E-2</c:v>
                </c:pt>
                <c:pt idx="123">
                  <c:v>-1.5644337352125462E-2</c:v>
                </c:pt>
                <c:pt idx="124">
                  <c:v>-1.5677510834675681E-2</c:v>
                </c:pt>
                <c:pt idx="125">
                  <c:v>-1.5738647385371569E-2</c:v>
                </c:pt>
                <c:pt idx="126">
                  <c:v>-1.5797113362269494E-2</c:v>
                </c:pt>
                <c:pt idx="127">
                  <c:v>-1.5803180804388934E-2</c:v>
                </c:pt>
                <c:pt idx="128">
                  <c:v>-1.5827763479900288E-2</c:v>
                </c:pt>
                <c:pt idx="129">
                  <c:v>-1.5893647798393053E-2</c:v>
                </c:pt>
                <c:pt idx="130">
                  <c:v>-1.5931596539867605E-2</c:v>
                </c:pt>
                <c:pt idx="131">
                  <c:v>-1.6005046602046109E-2</c:v>
                </c:pt>
                <c:pt idx="132">
                  <c:v>-1.6049477816009929E-2</c:v>
                </c:pt>
                <c:pt idx="133">
                  <c:v>-1.6126356898286759E-2</c:v>
                </c:pt>
                <c:pt idx="134">
                  <c:v>-1.6185737255587127E-2</c:v>
                </c:pt>
                <c:pt idx="135">
                  <c:v>-1.6229955270550982E-2</c:v>
                </c:pt>
                <c:pt idx="136">
                  <c:v>-1.6303971946770832E-2</c:v>
                </c:pt>
                <c:pt idx="137">
                  <c:v>-1.6335424149121536E-2</c:v>
                </c:pt>
                <c:pt idx="138">
                  <c:v>-1.6423043762110325E-2</c:v>
                </c:pt>
                <c:pt idx="139">
                  <c:v>-1.6438232555916511E-2</c:v>
                </c:pt>
                <c:pt idx="140">
                  <c:v>-1.6538907559387975E-2</c:v>
                </c:pt>
                <c:pt idx="141">
                  <c:v>-1.659810727964341E-2</c:v>
                </c:pt>
                <c:pt idx="142">
                  <c:v>-1.6629326753725002E-2</c:v>
                </c:pt>
                <c:pt idx="143">
                  <c:v>-1.6707838201832102E-2</c:v>
                </c:pt>
                <c:pt idx="144">
                  <c:v>-1.6755644724811416E-2</c:v>
                </c:pt>
                <c:pt idx="145">
                  <c:v>-1.6830181648605072E-2</c:v>
                </c:pt>
                <c:pt idx="146">
                  <c:v>-1.5260539956534144E-2</c:v>
                </c:pt>
                <c:pt idx="147">
                  <c:v>-1.3787102933715861E-2</c:v>
                </c:pt>
                <c:pt idx="148">
                  <c:v>-1.4033632831463159E-2</c:v>
                </c:pt>
                <c:pt idx="149">
                  <c:v>-1.4054947444057584E-2</c:v>
                </c:pt>
                <c:pt idx="150">
                  <c:v>-1.4830825028670542E-2</c:v>
                </c:pt>
                <c:pt idx="151">
                  <c:v>-1.581772763043994E-2</c:v>
                </c:pt>
                <c:pt idx="152">
                  <c:v>-1.6250719541582446E-2</c:v>
                </c:pt>
                <c:pt idx="153">
                  <c:v>-1.6307001100602445E-2</c:v>
                </c:pt>
                <c:pt idx="154">
                  <c:v>-1.6357488737189552E-2</c:v>
                </c:pt>
                <c:pt idx="155">
                  <c:v>-1.6449685860917655E-2</c:v>
                </c:pt>
                <c:pt idx="156">
                  <c:v>-1.5583627432233564E-2</c:v>
                </c:pt>
                <c:pt idx="157">
                  <c:v>-1.5330283952672722E-2</c:v>
                </c:pt>
                <c:pt idx="158">
                  <c:v>-1.5370240774020577E-2</c:v>
                </c:pt>
                <c:pt idx="159">
                  <c:v>-1.5465860148175824E-2</c:v>
                </c:pt>
                <c:pt idx="160">
                  <c:v>-1.6314838992265573E-2</c:v>
                </c:pt>
                <c:pt idx="161">
                  <c:v>-1.6197322610129163E-2</c:v>
                </c:pt>
                <c:pt idx="162">
                  <c:v>-1.6237509231935957E-2</c:v>
                </c:pt>
                <c:pt idx="163">
                  <c:v>-1.6317121537830021E-2</c:v>
                </c:pt>
                <c:pt idx="164">
                  <c:v>-1.6325654780652461E-2</c:v>
                </c:pt>
                <c:pt idx="165">
                  <c:v>-1.6393361287446659E-2</c:v>
                </c:pt>
                <c:pt idx="166">
                  <c:v>-1.6459384437022526E-2</c:v>
                </c:pt>
                <c:pt idx="167">
                  <c:v>-1.6512468139324856E-2</c:v>
                </c:pt>
                <c:pt idx="168">
                  <c:v>-1.6555624394889727E-2</c:v>
                </c:pt>
                <c:pt idx="169">
                  <c:v>-1.6629299913028358E-2</c:v>
                </c:pt>
                <c:pt idx="170">
                  <c:v>-1.6694334404461407E-2</c:v>
                </c:pt>
                <c:pt idx="171">
                  <c:v>-1.6731966037786854E-2</c:v>
                </c:pt>
                <c:pt idx="172">
                  <c:v>-1.6808911165153938E-2</c:v>
                </c:pt>
                <c:pt idx="173">
                  <c:v>-1.6836935164718295E-2</c:v>
                </c:pt>
                <c:pt idx="174">
                  <c:v>-1.6927210814790102E-2</c:v>
                </c:pt>
                <c:pt idx="175">
                  <c:v>-1.6986731262307663E-2</c:v>
                </c:pt>
                <c:pt idx="176">
                  <c:v>-1.7040154108660593E-2</c:v>
                </c:pt>
                <c:pt idx="177">
                  <c:v>-1.7106057583550702E-2</c:v>
                </c:pt>
                <c:pt idx="178">
                  <c:v>-1.7149341808579365E-2</c:v>
                </c:pt>
                <c:pt idx="179">
                  <c:v>-1.7223903312927648E-2</c:v>
                </c:pt>
                <c:pt idx="180">
                  <c:v>-1.7285343325659373E-2</c:v>
                </c:pt>
                <c:pt idx="181">
                  <c:v>-1.7332613333047069E-2</c:v>
                </c:pt>
                <c:pt idx="182">
                  <c:v>-1.7475583003597368E-2</c:v>
                </c:pt>
                <c:pt idx="183">
                  <c:v>-1.7597714310354434E-2</c:v>
                </c:pt>
                <c:pt idx="184">
                  <c:v>-1.7658640795213617E-2</c:v>
                </c:pt>
                <c:pt idx="185">
                  <c:v>-1.770973774073098E-2</c:v>
                </c:pt>
                <c:pt idx="186">
                  <c:v>-1.7780318101424733E-2</c:v>
                </c:pt>
                <c:pt idx="187">
                  <c:v>-1.7840736189555582E-2</c:v>
                </c:pt>
                <c:pt idx="188">
                  <c:v>-1.810839477912872E-2</c:v>
                </c:pt>
                <c:pt idx="189">
                  <c:v>-2.031773838596641E-2</c:v>
                </c:pt>
                <c:pt idx="190">
                  <c:v>-2.0830901110224138E-2</c:v>
                </c:pt>
                <c:pt idx="191">
                  <c:v>-2.1161558104335836E-2</c:v>
                </c:pt>
                <c:pt idx="192">
                  <c:v>-2.2390624616726147E-2</c:v>
                </c:pt>
                <c:pt idx="193">
                  <c:v>-2.23145601918231E-2</c:v>
                </c:pt>
                <c:pt idx="194">
                  <c:v>-2.2421150950313273E-2</c:v>
                </c:pt>
                <c:pt idx="195">
                  <c:v>-2.2510831118482205E-2</c:v>
                </c:pt>
                <c:pt idx="196">
                  <c:v>-2.2553266346003093E-2</c:v>
                </c:pt>
                <c:pt idx="197">
                  <c:v>-2.2633132658339338E-2</c:v>
                </c:pt>
                <c:pt idx="198">
                  <c:v>-2.2684485542456057E-2</c:v>
                </c:pt>
                <c:pt idx="199">
                  <c:v>-2.2754760553298097E-2</c:v>
                </c:pt>
                <c:pt idx="200">
                  <c:v>-2.2800988343858668E-2</c:v>
                </c:pt>
                <c:pt idx="201">
                  <c:v>-2.285184098643931E-2</c:v>
                </c:pt>
                <c:pt idx="202">
                  <c:v>-2.2920240767572826E-2</c:v>
                </c:pt>
                <c:pt idx="203">
                  <c:v>-2.2982620543477598E-2</c:v>
                </c:pt>
                <c:pt idx="204">
                  <c:v>-2.3042034220063238E-2</c:v>
                </c:pt>
                <c:pt idx="205">
                  <c:v>-2.3098064118577923E-2</c:v>
                </c:pt>
                <c:pt idx="206">
                  <c:v>-2.3144729055554567E-2</c:v>
                </c:pt>
                <c:pt idx="207">
                  <c:v>-2.3287186964174034E-2</c:v>
                </c:pt>
                <c:pt idx="208">
                  <c:v>-2.3326932554000666E-2</c:v>
                </c:pt>
                <c:pt idx="209">
                  <c:v>-2.3387965195308252E-2</c:v>
                </c:pt>
                <c:pt idx="210">
                  <c:v>-2.4768109305624793E-2</c:v>
                </c:pt>
                <c:pt idx="211">
                  <c:v>-2.6291451757805472E-2</c:v>
                </c:pt>
                <c:pt idx="212">
                  <c:v>-2.6605016689069717E-2</c:v>
                </c:pt>
                <c:pt idx="213">
                  <c:v>-2.6834739271932848E-2</c:v>
                </c:pt>
                <c:pt idx="214">
                  <c:v>-2.6905226431398768E-2</c:v>
                </c:pt>
                <c:pt idx="215">
                  <c:v>-2.695885024831517E-2</c:v>
                </c:pt>
                <c:pt idx="216">
                  <c:v>-2.7026423861055353E-2</c:v>
                </c:pt>
                <c:pt idx="217">
                  <c:v>-2.7081806216237531E-2</c:v>
                </c:pt>
                <c:pt idx="218">
                  <c:v>-2.7209058049719258E-2</c:v>
                </c:pt>
                <c:pt idx="219">
                  <c:v>-2.729507657546339E-2</c:v>
                </c:pt>
                <c:pt idx="220">
                  <c:v>-2.8648776685505879E-2</c:v>
                </c:pt>
                <c:pt idx="221">
                  <c:v>-2.9895929835332357E-2</c:v>
                </c:pt>
                <c:pt idx="222">
                  <c:v>-2.9753541158987835E-2</c:v>
                </c:pt>
                <c:pt idx="223">
                  <c:v>-2.9944157985760087E-2</c:v>
                </c:pt>
                <c:pt idx="224">
                  <c:v>-3.0050301413904041E-2</c:v>
                </c:pt>
                <c:pt idx="225">
                  <c:v>-3.0104896400394716E-2</c:v>
                </c:pt>
                <c:pt idx="226">
                  <c:v>-3.0229091314387085E-2</c:v>
                </c:pt>
                <c:pt idx="227">
                  <c:v>-3.0311850801350761E-2</c:v>
                </c:pt>
                <c:pt idx="228">
                  <c:v>-3.044754816280695E-2</c:v>
                </c:pt>
                <c:pt idx="229">
                  <c:v>-3.0527336686838619E-2</c:v>
                </c:pt>
                <c:pt idx="230">
                  <c:v>-3.0575978927646547E-2</c:v>
                </c:pt>
                <c:pt idx="231">
                  <c:v>-3.0962468873446385E-2</c:v>
                </c:pt>
                <c:pt idx="232">
                  <c:v>-3.1405504299367927E-2</c:v>
                </c:pt>
                <c:pt idx="233">
                  <c:v>-3.131509437402611E-2</c:v>
                </c:pt>
                <c:pt idx="234">
                  <c:v>-3.1323109349561125E-2</c:v>
                </c:pt>
                <c:pt idx="235">
                  <c:v>-3.1393385486633466E-2</c:v>
                </c:pt>
                <c:pt idx="236">
                  <c:v>-3.1422153176841126E-2</c:v>
                </c:pt>
                <c:pt idx="237">
                  <c:v>-3.1484236779569401E-2</c:v>
                </c:pt>
                <c:pt idx="238">
                  <c:v>-3.1547042850394065E-2</c:v>
                </c:pt>
                <c:pt idx="239">
                  <c:v>-3.1591133940236937E-2</c:v>
                </c:pt>
                <c:pt idx="240">
                  <c:v>-3.1632397076005819E-2</c:v>
                </c:pt>
                <c:pt idx="241">
                  <c:v>-3.1649837000252805E-2</c:v>
                </c:pt>
                <c:pt idx="242">
                  <c:v>-3.1712059559889851E-2</c:v>
                </c:pt>
                <c:pt idx="243">
                  <c:v>-3.1779416192640561E-2</c:v>
                </c:pt>
                <c:pt idx="244">
                  <c:v>-3.1819705585820944E-2</c:v>
                </c:pt>
                <c:pt idx="245">
                  <c:v>-3.2229209026762899E-2</c:v>
                </c:pt>
                <c:pt idx="246">
                  <c:v>-3.2100434533112093E-2</c:v>
                </c:pt>
                <c:pt idx="247">
                  <c:v>-3.0749920449742885E-2</c:v>
                </c:pt>
                <c:pt idx="248">
                  <c:v>-2.9817837589336559E-2</c:v>
                </c:pt>
                <c:pt idx="249">
                  <c:v>-3.0133816327615501E-2</c:v>
                </c:pt>
                <c:pt idx="250">
                  <c:v>-3.0165893963660036E-2</c:v>
                </c:pt>
                <c:pt idx="251">
                  <c:v>-3.0178558931190043E-2</c:v>
                </c:pt>
                <c:pt idx="252">
                  <c:v>-3.0177938068342514E-2</c:v>
                </c:pt>
                <c:pt idx="253">
                  <c:v>-3.0211654278700338E-2</c:v>
                </c:pt>
                <c:pt idx="254">
                  <c:v>-3.0296882665698601E-2</c:v>
                </c:pt>
                <c:pt idx="255">
                  <c:v>-3.0362421419864415E-2</c:v>
                </c:pt>
                <c:pt idx="256">
                  <c:v>-3.0113391291684825E-2</c:v>
                </c:pt>
                <c:pt idx="257">
                  <c:v>-2.8344657920011694E-2</c:v>
                </c:pt>
                <c:pt idx="258">
                  <c:v>-2.8634091070188005E-2</c:v>
                </c:pt>
                <c:pt idx="259">
                  <c:v>-2.8706390622988069E-2</c:v>
                </c:pt>
                <c:pt idx="260">
                  <c:v>-2.8788852746789832E-2</c:v>
                </c:pt>
                <c:pt idx="261">
                  <c:v>-2.8894574246292486E-2</c:v>
                </c:pt>
                <c:pt idx="262">
                  <c:v>-2.8998380720722746E-2</c:v>
                </c:pt>
                <c:pt idx="263">
                  <c:v>-2.981383129277683E-2</c:v>
                </c:pt>
                <c:pt idx="264">
                  <c:v>-2.9780407430465023E-2</c:v>
                </c:pt>
                <c:pt idx="265">
                  <c:v>-2.9767432866115561E-2</c:v>
                </c:pt>
                <c:pt idx="266">
                  <c:v>-2.9880316403902325E-2</c:v>
                </c:pt>
                <c:pt idx="267">
                  <c:v>-2.99611767262133E-2</c:v>
                </c:pt>
                <c:pt idx="268">
                  <c:v>-3.006857567666928E-2</c:v>
                </c:pt>
                <c:pt idx="269">
                  <c:v>-3.0147086161675388E-2</c:v>
                </c:pt>
                <c:pt idx="270">
                  <c:v>-3.0537088066491552E-2</c:v>
                </c:pt>
                <c:pt idx="271">
                  <c:v>-3.0363298852621477E-2</c:v>
                </c:pt>
                <c:pt idx="272">
                  <c:v>-3.0412518104157397E-2</c:v>
                </c:pt>
                <c:pt idx="273">
                  <c:v>-3.055642736367728E-2</c:v>
                </c:pt>
                <c:pt idx="274">
                  <c:v>-3.0351472644407997E-2</c:v>
                </c:pt>
                <c:pt idx="275">
                  <c:v>-3.0085768402598377E-2</c:v>
                </c:pt>
                <c:pt idx="276">
                  <c:v>-3.0012317722711505E-2</c:v>
                </c:pt>
                <c:pt idx="277">
                  <c:v>-3.0111806178870753E-2</c:v>
                </c:pt>
                <c:pt idx="278">
                  <c:v>-2.8212594073118352E-2</c:v>
                </c:pt>
                <c:pt idx="279">
                  <c:v>-2.6839019717453023E-2</c:v>
                </c:pt>
                <c:pt idx="280">
                  <c:v>-2.6979556630348355E-2</c:v>
                </c:pt>
                <c:pt idx="281">
                  <c:v>-2.711759905249754E-2</c:v>
                </c:pt>
                <c:pt idx="282">
                  <c:v>-2.6249364172369005E-2</c:v>
                </c:pt>
                <c:pt idx="283">
                  <c:v>-2.5502896558595355E-2</c:v>
                </c:pt>
                <c:pt idx="284">
                  <c:v>-2.5429849646410693E-2</c:v>
                </c:pt>
                <c:pt idx="285">
                  <c:v>-2.5509198204696451E-2</c:v>
                </c:pt>
                <c:pt idx="286">
                  <c:v>-2.5649205113482242E-2</c:v>
                </c:pt>
                <c:pt idx="287">
                  <c:v>-2.5769876742678229E-2</c:v>
                </c:pt>
                <c:pt idx="288">
                  <c:v>-2.5880381294263788E-2</c:v>
                </c:pt>
                <c:pt idx="289">
                  <c:v>-2.597157993989925E-2</c:v>
                </c:pt>
                <c:pt idx="290">
                  <c:v>-2.5824045342795282E-2</c:v>
                </c:pt>
                <c:pt idx="291">
                  <c:v>-2.5478962739474729E-2</c:v>
                </c:pt>
                <c:pt idx="292">
                  <c:v>-2.5604878529564997E-2</c:v>
                </c:pt>
                <c:pt idx="293">
                  <c:v>-2.5563618473924785E-2</c:v>
                </c:pt>
                <c:pt idx="294">
                  <c:v>-2.5729049137159777E-2</c:v>
                </c:pt>
                <c:pt idx="295">
                  <c:v>-2.5800113272966534E-2</c:v>
                </c:pt>
                <c:pt idx="296">
                  <c:v>-2.5900588960384531E-2</c:v>
                </c:pt>
                <c:pt idx="297">
                  <c:v>-2.6399766076793684E-2</c:v>
                </c:pt>
                <c:pt idx="298">
                  <c:v>-2.6326461478934183E-2</c:v>
                </c:pt>
                <c:pt idx="299">
                  <c:v>-2.6563419255519156E-2</c:v>
                </c:pt>
                <c:pt idx="300">
                  <c:v>-2.6587305517844342E-2</c:v>
                </c:pt>
                <c:pt idx="301">
                  <c:v>-2.6658494740726024E-2</c:v>
                </c:pt>
                <c:pt idx="302">
                  <c:v>-2.6745769946650771E-2</c:v>
                </c:pt>
                <c:pt idx="303">
                  <c:v>-2.6856064665511662E-2</c:v>
                </c:pt>
                <c:pt idx="304">
                  <c:v>-2.6967922891907345E-2</c:v>
                </c:pt>
                <c:pt idx="305">
                  <c:v>-2.7050288342162911E-2</c:v>
                </c:pt>
                <c:pt idx="306">
                  <c:v>-2.712265920206583E-2</c:v>
                </c:pt>
                <c:pt idx="307">
                  <c:v>-2.725591989309881E-2</c:v>
                </c:pt>
                <c:pt idx="308">
                  <c:v>-2.7372930499691226E-2</c:v>
                </c:pt>
                <c:pt idx="309">
                  <c:v>-2.7496455300159546E-2</c:v>
                </c:pt>
                <c:pt idx="310">
                  <c:v>-2.7582228462682004E-2</c:v>
                </c:pt>
                <c:pt idx="311">
                  <c:v>-2.802671996878987E-2</c:v>
                </c:pt>
                <c:pt idx="312">
                  <c:v>-2.9820171464458339E-2</c:v>
                </c:pt>
                <c:pt idx="313">
                  <c:v>-3.1193226027944939E-2</c:v>
                </c:pt>
                <c:pt idx="314">
                  <c:v>-3.1111657216990104E-2</c:v>
                </c:pt>
                <c:pt idx="315">
                  <c:v>-3.1106510128275179E-2</c:v>
                </c:pt>
                <c:pt idx="316">
                  <c:v>-3.1148637371559137E-2</c:v>
                </c:pt>
                <c:pt idx="317">
                  <c:v>-3.0887591954569495E-2</c:v>
                </c:pt>
                <c:pt idx="318">
                  <c:v>-3.0796687126556217E-2</c:v>
                </c:pt>
                <c:pt idx="319">
                  <c:v>-3.1239543525997952E-2</c:v>
                </c:pt>
                <c:pt idx="320">
                  <c:v>-3.1181854554119554E-2</c:v>
                </c:pt>
                <c:pt idx="321">
                  <c:v>-3.1174604397689324E-2</c:v>
                </c:pt>
                <c:pt idx="322">
                  <c:v>-3.1352438126391498E-2</c:v>
                </c:pt>
                <c:pt idx="323">
                  <c:v>-3.1396837091434135E-2</c:v>
                </c:pt>
                <c:pt idx="324">
                  <c:v>-3.0109776766032787E-2</c:v>
                </c:pt>
                <c:pt idx="325">
                  <c:v>-3.013313574778995E-2</c:v>
                </c:pt>
                <c:pt idx="326">
                  <c:v>-3.0179296171991981E-2</c:v>
                </c:pt>
                <c:pt idx="327">
                  <c:v>-3.035707522063158E-2</c:v>
                </c:pt>
                <c:pt idx="328">
                  <c:v>-3.0459899416371158E-2</c:v>
                </c:pt>
                <c:pt idx="329">
                  <c:v>-3.0576630401712174E-2</c:v>
                </c:pt>
                <c:pt idx="330">
                  <c:v>-3.0707209198326379E-2</c:v>
                </c:pt>
                <c:pt idx="331">
                  <c:v>-3.0479581089085064E-2</c:v>
                </c:pt>
                <c:pt idx="332">
                  <c:v>-3.0464244995754407E-2</c:v>
                </c:pt>
                <c:pt idx="333">
                  <c:v>-3.0921659170697943E-2</c:v>
                </c:pt>
                <c:pt idx="334">
                  <c:v>-3.1156160726777623E-2</c:v>
                </c:pt>
                <c:pt idx="335">
                  <c:v>-3.1216473448693369E-2</c:v>
                </c:pt>
                <c:pt idx="336">
                  <c:v>-3.1330064024782521E-2</c:v>
                </c:pt>
                <c:pt idx="337">
                  <c:v>-3.142628497618092E-2</c:v>
                </c:pt>
                <c:pt idx="338">
                  <c:v>-3.1475489356252342E-2</c:v>
                </c:pt>
                <c:pt idx="339">
                  <c:v>-3.1529537624826284E-2</c:v>
                </c:pt>
                <c:pt idx="340">
                  <c:v>-3.1594491783383062E-2</c:v>
                </c:pt>
                <c:pt idx="341">
                  <c:v>-3.1653321375867578E-2</c:v>
                </c:pt>
                <c:pt idx="342">
                  <c:v>-3.1723910282226098E-2</c:v>
                </c:pt>
                <c:pt idx="343">
                  <c:v>-3.1797331390369672E-2</c:v>
                </c:pt>
                <c:pt idx="344">
                  <c:v>-3.1868194139924567E-2</c:v>
                </c:pt>
                <c:pt idx="345">
                  <c:v>-3.1901992648044004E-2</c:v>
                </c:pt>
                <c:pt idx="346">
                  <c:v>-3.1247962962162874E-2</c:v>
                </c:pt>
                <c:pt idx="347">
                  <c:v>-2.966493683712829E-2</c:v>
                </c:pt>
                <c:pt idx="348">
                  <c:v>-2.7561800628295285E-2</c:v>
                </c:pt>
                <c:pt idx="349">
                  <c:v>-2.6571686208485899E-2</c:v>
                </c:pt>
                <c:pt idx="350">
                  <c:v>-2.6842671824512648E-2</c:v>
                </c:pt>
                <c:pt idx="351">
                  <c:v>-2.6889369896537989E-2</c:v>
                </c:pt>
                <c:pt idx="352">
                  <c:v>-2.7004686270895747E-2</c:v>
                </c:pt>
                <c:pt idx="353">
                  <c:v>-2.7113845443436608E-2</c:v>
                </c:pt>
                <c:pt idx="354">
                  <c:v>-2.7229490533284228E-2</c:v>
                </c:pt>
                <c:pt idx="355">
                  <c:v>-2.7360662251116444E-2</c:v>
                </c:pt>
                <c:pt idx="356">
                  <c:v>-2.7476577666091323E-2</c:v>
                </c:pt>
                <c:pt idx="357">
                  <c:v>-2.7540653705635704E-2</c:v>
                </c:pt>
                <c:pt idx="358">
                  <c:v>-2.7620885499276271E-2</c:v>
                </c:pt>
                <c:pt idx="359">
                  <c:v>-2.7369442507838803E-2</c:v>
                </c:pt>
                <c:pt idx="360">
                  <c:v>-2.590687425740805E-2</c:v>
                </c:pt>
                <c:pt idx="361">
                  <c:v>-2.4287229560901583E-2</c:v>
                </c:pt>
                <c:pt idx="362">
                  <c:v>-2.419394443200509E-2</c:v>
                </c:pt>
                <c:pt idx="363">
                  <c:v>-2.4094345944536955E-2</c:v>
                </c:pt>
                <c:pt idx="364">
                  <c:v>-2.3826102240113334E-2</c:v>
                </c:pt>
                <c:pt idx="365">
                  <c:v>-2.3538968434697927E-2</c:v>
                </c:pt>
                <c:pt idx="366">
                  <c:v>-2.3464891460177627E-2</c:v>
                </c:pt>
                <c:pt idx="367">
                  <c:v>-2.357430520493187E-2</c:v>
                </c:pt>
                <c:pt idx="368">
                  <c:v>-2.3758375265585122E-2</c:v>
                </c:pt>
                <c:pt idx="369">
                  <c:v>-2.3879168141979962E-2</c:v>
                </c:pt>
                <c:pt idx="370">
                  <c:v>-2.4016388991550792E-2</c:v>
                </c:pt>
                <c:pt idx="371">
                  <c:v>-2.4108766001252828E-2</c:v>
                </c:pt>
                <c:pt idx="372">
                  <c:v>-2.4161210998433626E-2</c:v>
                </c:pt>
                <c:pt idx="373">
                  <c:v>-2.423340609763221E-2</c:v>
                </c:pt>
                <c:pt idx="374">
                  <c:v>-2.431303018845048E-2</c:v>
                </c:pt>
                <c:pt idx="375">
                  <c:v>-2.4456983235969964E-2</c:v>
                </c:pt>
                <c:pt idx="376">
                  <c:v>-2.4555081508055427E-2</c:v>
                </c:pt>
                <c:pt idx="377">
                  <c:v>-2.3976313742047322E-2</c:v>
                </c:pt>
                <c:pt idx="378">
                  <c:v>-2.4131275214005484E-2</c:v>
                </c:pt>
                <c:pt idx="379">
                  <c:v>-2.436032032950149E-2</c:v>
                </c:pt>
                <c:pt idx="380">
                  <c:v>-2.4897023227317783E-2</c:v>
                </c:pt>
                <c:pt idx="381">
                  <c:v>-2.5118269812114319E-2</c:v>
                </c:pt>
                <c:pt idx="382">
                  <c:v>-2.5575842450932532E-2</c:v>
                </c:pt>
                <c:pt idx="383">
                  <c:v>-2.6627229148819823E-2</c:v>
                </c:pt>
                <c:pt idx="384">
                  <c:v>-2.6572710900566999E-2</c:v>
                </c:pt>
                <c:pt idx="385">
                  <c:v>-2.6600400015460053E-2</c:v>
                </c:pt>
                <c:pt idx="386">
                  <c:v>-2.6754500233855019E-2</c:v>
                </c:pt>
                <c:pt idx="387">
                  <c:v>-2.6867814230784853E-2</c:v>
                </c:pt>
                <c:pt idx="388">
                  <c:v>-2.6994343298740703E-2</c:v>
                </c:pt>
                <c:pt idx="389">
                  <c:v>-2.7101007704716139E-2</c:v>
                </c:pt>
                <c:pt idx="390">
                  <c:v>-2.7228610970138803E-2</c:v>
                </c:pt>
                <c:pt idx="391">
                  <c:v>-2.7324687904028627E-2</c:v>
                </c:pt>
                <c:pt idx="392">
                  <c:v>-2.7425426201252392E-2</c:v>
                </c:pt>
                <c:pt idx="393">
                  <c:v>-2.7553790175834921E-2</c:v>
                </c:pt>
                <c:pt idx="394">
                  <c:v>-2.7617260220738231E-2</c:v>
                </c:pt>
                <c:pt idx="395">
                  <c:v>-2.7668744885250247E-2</c:v>
                </c:pt>
                <c:pt idx="396">
                  <c:v>-2.7709979653885743E-2</c:v>
                </c:pt>
                <c:pt idx="397">
                  <c:v>-2.7862544483768983E-2</c:v>
                </c:pt>
                <c:pt idx="398">
                  <c:v>-2.7973437463851055E-2</c:v>
                </c:pt>
                <c:pt idx="399">
                  <c:v>-2.8021270353821133E-2</c:v>
                </c:pt>
                <c:pt idx="400">
                  <c:v>-2.8138375258386913E-2</c:v>
                </c:pt>
                <c:pt idx="401">
                  <c:v>-2.8281855649256366E-2</c:v>
                </c:pt>
                <c:pt idx="402">
                  <c:v>-2.8393209720443062E-2</c:v>
                </c:pt>
                <c:pt idx="403">
                  <c:v>-2.8541398988948651E-2</c:v>
                </c:pt>
                <c:pt idx="404">
                  <c:v>-2.8757309816414892E-2</c:v>
                </c:pt>
                <c:pt idx="405">
                  <c:v>-2.8908726282473755E-2</c:v>
                </c:pt>
                <c:pt idx="406">
                  <c:v>-2.9019150989517767E-2</c:v>
                </c:pt>
                <c:pt idx="407">
                  <c:v>-2.9514807493872253E-2</c:v>
                </c:pt>
                <c:pt idx="408">
                  <c:v>-3.0488553302313412E-2</c:v>
                </c:pt>
                <c:pt idx="409">
                  <c:v>-3.0464456321197601E-2</c:v>
                </c:pt>
                <c:pt idx="410">
                  <c:v>-3.046239331939915E-2</c:v>
                </c:pt>
                <c:pt idx="411">
                  <c:v>-3.0562475988683287E-2</c:v>
                </c:pt>
                <c:pt idx="412">
                  <c:v>-3.0646197031341717E-2</c:v>
                </c:pt>
                <c:pt idx="413">
                  <c:v>-3.0708345785082192E-2</c:v>
                </c:pt>
                <c:pt idx="414">
                  <c:v>-3.0759324562187527E-2</c:v>
                </c:pt>
                <c:pt idx="415">
                  <c:v>-3.0853304400147736E-2</c:v>
                </c:pt>
                <c:pt idx="416">
                  <c:v>-3.0958189133738465E-2</c:v>
                </c:pt>
                <c:pt idx="417">
                  <c:v>-3.129061819839276E-2</c:v>
                </c:pt>
                <c:pt idx="418">
                  <c:v>-3.2840193809504648E-2</c:v>
                </c:pt>
                <c:pt idx="419">
                  <c:v>-3.2901404281276768E-2</c:v>
                </c:pt>
                <c:pt idx="420">
                  <c:v>-3.288256690214663E-2</c:v>
                </c:pt>
                <c:pt idx="421">
                  <c:v>-3.1636263681484443E-2</c:v>
                </c:pt>
                <c:pt idx="422">
                  <c:v>-3.1866881555438847E-2</c:v>
                </c:pt>
                <c:pt idx="423">
                  <c:v>-3.1908818405973989E-2</c:v>
                </c:pt>
                <c:pt idx="424">
                  <c:v>-3.2715245905125707E-2</c:v>
                </c:pt>
                <c:pt idx="425">
                  <c:v>-3.3042787517579303E-2</c:v>
                </c:pt>
                <c:pt idx="426">
                  <c:v>-3.3596852094975926E-2</c:v>
                </c:pt>
                <c:pt idx="427">
                  <c:v>-3.3673452210605061E-2</c:v>
                </c:pt>
                <c:pt idx="428">
                  <c:v>-3.4107949741380546E-2</c:v>
                </c:pt>
                <c:pt idx="429">
                  <c:v>-3.539072488923535E-2</c:v>
                </c:pt>
                <c:pt idx="430">
                  <c:v>-3.530728814588692E-2</c:v>
                </c:pt>
                <c:pt idx="431">
                  <c:v>-3.5370586005343853E-2</c:v>
                </c:pt>
                <c:pt idx="432">
                  <c:v>-3.5507468612868957E-2</c:v>
                </c:pt>
                <c:pt idx="433">
                  <c:v>-3.5579788255221116E-2</c:v>
                </c:pt>
                <c:pt idx="434">
                  <c:v>-3.5695341361306081E-2</c:v>
                </c:pt>
                <c:pt idx="435">
                  <c:v>-3.5799765832905138E-2</c:v>
                </c:pt>
                <c:pt idx="436">
                  <c:v>-3.5922498688406627E-2</c:v>
                </c:pt>
                <c:pt idx="437">
                  <c:v>-3.6044111632242345E-2</c:v>
                </c:pt>
                <c:pt idx="438">
                  <c:v>-3.616760180471508E-2</c:v>
                </c:pt>
                <c:pt idx="439">
                  <c:v>-3.6264794218205949E-2</c:v>
                </c:pt>
                <c:pt idx="440">
                  <c:v>-3.6366801151219555E-2</c:v>
                </c:pt>
                <c:pt idx="441">
                  <c:v>-3.641290687651022E-2</c:v>
                </c:pt>
                <c:pt idx="442">
                  <c:v>-3.6481238489336106E-2</c:v>
                </c:pt>
                <c:pt idx="443">
                  <c:v>-3.6610117851999899E-2</c:v>
                </c:pt>
                <c:pt idx="444">
                  <c:v>-3.6731518776618073E-2</c:v>
                </c:pt>
                <c:pt idx="445">
                  <c:v>-3.6853428317490652E-2</c:v>
                </c:pt>
                <c:pt idx="446">
                  <c:v>-3.693617769749203E-2</c:v>
                </c:pt>
                <c:pt idx="447">
                  <c:v>-3.7049002186167815E-2</c:v>
                </c:pt>
                <c:pt idx="448">
                  <c:v>-3.714189962561109E-2</c:v>
                </c:pt>
                <c:pt idx="449">
                  <c:v>-3.7198260732974373E-2</c:v>
                </c:pt>
                <c:pt idx="450">
                  <c:v>-3.7271718667976753E-2</c:v>
                </c:pt>
                <c:pt idx="451">
                  <c:v>-3.7319244478970032E-2</c:v>
                </c:pt>
                <c:pt idx="452">
                  <c:v>-3.7396507887865867E-2</c:v>
                </c:pt>
                <c:pt idx="453">
                  <c:v>-3.7457393135141237E-2</c:v>
                </c:pt>
                <c:pt idx="454">
                  <c:v>-3.7572838127368953E-2</c:v>
                </c:pt>
                <c:pt idx="455">
                  <c:v>-3.7681090344496029E-2</c:v>
                </c:pt>
                <c:pt idx="456">
                  <c:v>-3.7818308386137832E-2</c:v>
                </c:pt>
                <c:pt idx="457">
                  <c:v>-3.7908310685082477E-2</c:v>
                </c:pt>
                <c:pt idx="458">
                  <c:v>-3.8016295619135158E-2</c:v>
                </c:pt>
                <c:pt idx="459">
                  <c:v>-3.81331269310368E-2</c:v>
                </c:pt>
                <c:pt idx="460">
                  <c:v>-3.8267287767961754E-2</c:v>
                </c:pt>
                <c:pt idx="461">
                  <c:v>-3.8300855588770819E-2</c:v>
                </c:pt>
                <c:pt idx="462">
                  <c:v>-3.8500109147221233E-2</c:v>
                </c:pt>
                <c:pt idx="463">
                  <c:v>-3.8632630833386063E-2</c:v>
                </c:pt>
                <c:pt idx="464">
                  <c:v>-3.8711898403298188E-2</c:v>
                </c:pt>
                <c:pt idx="465">
                  <c:v>-3.8834045016261851E-2</c:v>
                </c:pt>
                <c:pt idx="466">
                  <c:v>-3.8935286191171592E-2</c:v>
                </c:pt>
                <c:pt idx="467">
                  <c:v>-3.8986906038181217E-2</c:v>
                </c:pt>
                <c:pt idx="468">
                  <c:v>-3.9059182365102113E-2</c:v>
                </c:pt>
                <c:pt idx="469">
                  <c:v>-3.9168199389695887E-2</c:v>
                </c:pt>
                <c:pt idx="470">
                  <c:v>-3.9233560866911071E-2</c:v>
                </c:pt>
                <c:pt idx="471">
                  <c:v>-3.9313158287882649E-2</c:v>
                </c:pt>
                <c:pt idx="472">
                  <c:v>-3.9417641155741923E-2</c:v>
                </c:pt>
                <c:pt idx="473">
                  <c:v>-3.910800035265842E-2</c:v>
                </c:pt>
                <c:pt idx="474">
                  <c:v>-3.8302685732140837E-2</c:v>
                </c:pt>
                <c:pt idx="475">
                  <c:v>-3.8499135067834228E-2</c:v>
                </c:pt>
                <c:pt idx="476">
                  <c:v>-3.8515595786174472E-2</c:v>
                </c:pt>
                <c:pt idx="477">
                  <c:v>-3.8608991326847787E-2</c:v>
                </c:pt>
                <c:pt idx="478">
                  <c:v>-3.8719390693127083E-2</c:v>
                </c:pt>
                <c:pt idx="479">
                  <c:v>-3.9556120924758652E-2</c:v>
                </c:pt>
                <c:pt idx="480">
                  <c:v>-3.9516732897411921E-2</c:v>
                </c:pt>
                <c:pt idx="481">
                  <c:v>-3.950164541339414E-2</c:v>
                </c:pt>
                <c:pt idx="482">
                  <c:v>-3.9629149727138359E-2</c:v>
                </c:pt>
                <c:pt idx="483">
                  <c:v>-3.9710560643657716E-2</c:v>
                </c:pt>
                <c:pt idx="484">
                  <c:v>-4.1716331720531338E-2</c:v>
                </c:pt>
                <c:pt idx="485">
                  <c:v>-4.162025719550095E-2</c:v>
                </c:pt>
                <c:pt idx="486">
                  <c:v>-4.18217623333485E-2</c:v>
                </c:pt>
                <c:pt idx="487">
                  <c:v>-4.1916823934950734E-2</c:v>
                </c:pt>
                <c:pt idx="488">
                  <c:v>-4.1651040071391317E-2</c:v>
                </c:pt>
                <c:pt idx="489">
                  <c:v>-4.1529440946955744E-2</c:v>
                </c:pt>
                <c:pt idx="490">
                  <c:v>-4.1374018465341507E-2</c:v>
                </c:pt>
                <c:pt idx="491">
                  <c:v>-4.1408686355444493E-2</c:v>
                </c:pt>
                <c:pt idx="492">
                  <c:v>-4.0544825163667059E-2</c:v>
                </c:pt>
                <c:pt idx="493">
                  <c:v>-4.1236484010243768E-2</c:v>
                </c:pt>
                <c:pt idx="494">
                  <c:v>-4.0397864239751877E-2</c:v>
                </c:pt>
                <c:pt idx="495">
                  <c:v>-3.8798919952045735E-2</c:v>
                </c:pt>
                <c:pt idx="496">
                  <c:v>-3.8183052504250817E-2</c:v>
                </c:pt>
                <c:pt idx="497">
                  <c:v>-3.7780375585416075E-2</c:v>
                </c:pt>
                <c:pt idx="498">
                  <c:v>-3.7725490432984135E-2</c:v>
                </c:pt>
                <c:pt idx="499">
                  <c:v>-3.8133232787256582E-2</c:v>
                </c:pt>
                <c:pt idx="500">
                  <c:v>-3.7790115946741296E-2</c:v>
                </c:pt>
                <c:pt idx="501">
                  <c:v>-3.6826255365901901E-2</c:v>
                </c:pt>
                <c:pt idx="502">
                  <c:v>-3.5672476864455252E-2</c:v>
                </c:pt>
                <c:pt idx="503">
                  <c:v>-3.4781482772281221E-2</c:v>
                </c:pt>
                <c:pt idx="504">
                  <c:v>-3.4761877882342029E-2</c:v>
                </c:pt>
                <c:pt idx="505">
                  <c:v>-3.4374928213950787E-2</c:v>
                </c:pt>
                <c:pt idx="506">
                  <c:v>-3.4345735484698998E-2</c:v>
                </c:pt>
                <c:pt idx="507">
                  <c:v>-3.3476957070525934E-2</c:v>
                </c:pt>
                <c:pt idx="508">
                  <c:v>-3.3901027584033135E-2</c:v>
                </c:pt>
                <c:pt idx="509">
                  <c:v>-3.4118382771815378E-2</c:v>
                </c:pt>
                <c:pt idx="510">
                  <c:v>-3.4809857520706457E-2</c:v>
                </c:pt>
                <c:pt idx="511">
                  <c:v>-3.4145509493287041E-2</c:v>
                </c:pt>
                <c:pt idx="512">
                  <c:v>-3.5388507091158955E-2</c:v>
                </c:pt>
                <c:pt idx="513">
                  <c:v>-3.4686757065785112E-2</c:v>
                </c:pt>
                <c:pt idx="514">
                  <c:v>-3.3090560968970451E-2</c:v>
                </c:pt>
                <c:pt idx="515">
                  <c:v>-3.2520783149758814E-2</c:v>
                </c:pt>
                <c:pt idx="516">
                  <c:v>-3.2020380357544148E-2</c:v>
                </c:pt>
                <c:pt idx="517">
                  <c:v>-3.2494103881273599E-2</c:v>
                </c:pt>
                <c:pt idx="518">
                  <c:v>-3.4593880354565225E-2</c:v>
                </c:pt>
                <c:pt idx="519">
                  <c:v>-3.520400716693349E-2</c:v>
                </c:pt>
                <c:pt idx="520">
                  <c:v>-3.5421521302755478E-2</c:v>
                </c:pt>
                <c:pt idx="521">
                  <c:v>-3.6207085932621223E-2</c:v>
                </c:pt>
                <c:pt idx="522">
                  <c:v>-3.6355373124331396E-2</c:v>
                </c:pt>
                <c:pt idx="523">
                  <c:v>-3.5427565491179168E-2</c:v>
                </c:pt>
                <c:pt idx="524">
                  <c:v>-3.6600240655343785E-2</c:v>
                </c:pt>
                <c:pt idx="525">
                  <c:v>-3.8547592789881485E-2</c:v>
                </c:pt>
                <c:pt idx="526">
                  <c:v>-3.9449995110138865E-2</c:v>
                </c:pt>
                <c:pt idx="527">
                  <c:v>-3.8519790232277369E-2</c:v>
                </c:pt>
                <c:pt idx="528">
                  <c:v>-3.9038808107317559E-2</c:v>
                </c:pt>
                <c:pt idx="529">
                  <c:v>-3.8266678887392276E-2</c:v>
                </c:pt>
                <c:pt idx="530">
                  <c:v>-3.7175368782308142E-2</c:v>
                </c:pt>
                <c:pt idx="531">
                  <c:v>-3.6420006939478812E-2</c:v>
                </c:pt>
                <c:pt idx="532">
                  <c:v>-3.6037053624661461E-2</c:v>
                </c:pt>
                <c:pt idx="533">
                  <c:v>-3.6977725038415649E-2</c:v>
                </c:pt>
                <c:pt idx="534">
                  <c:v>-3.6333185121668013E-2</c:v>
                </c:pt>
                <c:pt idx="535">
                  <c:v>-3.4232604741833865E-2</c:v>
                </c:pt>
                <c:pt idx="536">
                  <c:v>-3.5420910308719751E-2</c:v>
                </c:pt>
                <c:pt idx="537">
                  <c:v>-3.7346659982465669E-2</c:v>
                </c:pt>
                <c:pt idx="538">
                  <c:v>-3.5580893541407983E-2</c:v>
                </c:pt>
                <c:pt idx="539">
                  <c:v>-3.5333030346155037E-2</c:v>
                </c:pt>
                <c:pt idx="540">
                  <c:v>-3.3683856998489269E-2</c:v>
                </c:pt>
                <c:pt idx="541">
                  <c:v>-3.2794769697148299E-2</c:v>
                </c:pt>
                <c:pt idx="542">
                  <c:v>-3.0192223847634703E-2</c:v>
                </c:pt>
                <c:pt idx="543">
                  <c:v>-2.920252362702758E-2</c:v>
                </c:pt>
                <c:pt idx="544">
                  <c:v>-2.9617924888910706E-2</c:v>
                </c:pt>
                <c:pt idx="545">
                  <c:v>-3.0479799067530223E-2</c:v>
                </c:pt>
                <c:pt idx="546">
                  <c:v>-2.8853062080558451E-2</c:v>
                </c:pt>
                <c:pt idx="547">
                  <c:v>-2.8810630445946582E-2</c:v>
                </c:pt>
                <c:pt idx="548">
                  <c:v>-2.9150832599203168E-2</c:v>
                </c:pt>
                <c:pt idx="549">
                  <c:v>-2.9476914818092736E-2</c:v>
                </c:pt>
                <c:pt idx="550">
                  <c:v>-2.8011216007910403E-2</c:v>
                </c:pt>
                <c:pt idx="551">
                  <c:v>-2.8963787523028098E-2</c:v>
                </c:pt>
                <c:pt idx="552">
                  <c:v>-2.9813217029413662E-2</c:v>
                </c:pt>
                <c:pt idx="553">
                  <c:v>-3.0012221388522036E-2</c:v>
                </c:pt>
                <c:pt idx="554">
                  <c:v>-2.9774512717232231E-2</c:v>
                </c:pt>
                <c:pt idx="555">
                  <c:v>-2.9584579002052479E-2</c:v>
                </c:pt>
                <c:pt idx="556">
                  <c:v>-3.0509264170873442E-2</c:v>
                </c:pt>
                <c:pt idx="557">
                  <c:v>-2.9485246570558579E-2</c:v>
                </c:pt>
                <c:pt idx="558">
                  <c:v>-2.7840382140775197E-2</c:v>
                </c:pt>
                <c:pt idx="559">
                  <c:v>-3.1328914818870145E-2</c:v>
                </c:pt>
                <c:pt idx="560">
                  <c:v>-3.0740621143775848E-2</c:v>
                </c:pt>
                <c:pt idx="561">
                  <c:v>-2.5037457694753774E-2</c:v>
                </c:pt>
                <c:pt idx="562">
                  <c:v>-2.7862052008254475E-2</c:v>
                </c:pt>
                <c:pt idx="563">
                  <c:v>-3.077862962464482E-2</c:v>
                </c:pt>
                <c:pt idx="564">
                  <c:v>-2.8201913836721444E-2</c:v>
                </c:pt>
                <c:pt idx="565">
                  <c:v>-3.0635679734967135E-2</c:v>
                </c:pt>
                <c:pt idx="566">
                  <c:v>-3.0249546100683214E-2</c:v>
                </c:pt>
                <c:pt idx="567">
                  <c:v>-3.2269807726995545E-2</c:v>
                </c:pt>
                <c:pt idx="568">
                  <c:v>-2.9480942298041005E-2</c:v>
                </c:pt>
                <c:pt idx="569">
                  <c:v>-3.0430757687841162E-2</c:v>
                </c:pt>
                <c:pt idx="570">
                  <c:v>-2.9598427982327574E-2</c:v>
                </c:pt>
                <c:pt idx="571">
                  <c:v>-3.0122725528870721E-2</c:v>
                </c:pt>
                <c:pt idx="572">
                  <c:v>-3.1682151042535633E-2</c:v>
                </c:pt>
                <c:pt idx="573">
                  <c:v>-3.0906973443930355E-2</c:v>
                </c:pt>
                <c:pt idx="574">
                  <c:v>-3.0090471361603598E-2</c:v>
                </c:pt>
                <c:pt idx="575">
                  <c:v>-3.1101631698705355E-2</c:v>
                </c:pt>
                <c:pt idx="576">
                  <c:v>-3.0068365333030807E-2</c:v>
                </c:pt>
                <c:pt idx="577">
                  <c:v>-2.8487477745516795E-2</c:v>
                </c:pt>
                <c:pt idx="578">
                  <c:v>-3.2542865894008323E-2</c:v>
                </c:pt>
                <c:pt idx="579">
                  <c:v>-3.0182471058723105E-2</c:v>
                </c:pt>
                <c:pt idx="580">
                  <c:v>-2.6242460400229303E-2</c:v>
                </c:pt>
                <c:pt idx="581">
                  <c:v>-3.9280586014705909E-2</c:v>
                </c:pt>
                <c:pt idx="582">
                  <c:v>-3.9426270826263279E-2</c:v>
                </c:pt>
                <c:pt idx="583">
                  <c:v>-3.250497451089026E-2</c:v>
                </c:pt>
                <c:pt idx="584">
                  <c:v>-3.6863989963048654E-2</c:v>
                </c:pt>
                <c:pt idx="585">
                  <c:v>-3.4736563202001663E-2</c:v>
                </c:pt>
                <c:pt idx="586">
                  <c:v>-3.4835660199779329E-2</c:v>
                </c:pt>
                <c:pt idx="587">
                  <c:v>-3.9506622338193464E-2</c:v>
                </c:pt>
                <c:pt idx="588">
                  <c:v>-3.7396958834361574E-2</c:v>
                </c:pt>
                <c:pt idx="589">
                  <c:v>-2.9226454712157214E-2</c:v>
                </c:pt>
                <c:pt idx="590">
                  <c:v>-2.6374926719543827E-2</c:v>
                </c:pt>
                <c:pt idx="591">
                  <c:v>-2.6904679510599914E-2</c:v>
                </c:pt>
                <c:pt idx="592">
                  <c:v>-3.0798953505528956E-2</c:v>
                </c:pt>
                <c:pt idx="593">
                  <c:v>-2.347457922031889E-2</c:v>
                </c:pt>
                <c:pt idx="594">
                  <c:v>-1.9283161070371712E-2</c:v>
                </c:pt>
                <c:pt idx="595">
                  <c:v>-2.6399138953613045E-2</c:v>
                </c:pt>
                <c:pt idx="596">
                  <c:v>-1.6120169188371433E-2</c:v>
                </c:pt>
                <c:pt idx="597">
                  <c:v>-1.0519967095888316E-2</c:v>
                </c:pt>
                <c:pt idx="598">
                  <c:v>2.389546431174611E-3</c:v>
                </c:pt>
                <c:pt idx="599">
                  <c:v>1.9152952834049171E-2</c:v>
                </c:pt>
                <c:pt idx="600">
                  <c:v>3.3819779075020685E-2</c:v>
                </c:pt>
                <c:pt idx="601">
                  <c:v>5.3011952566227566E-2</c:v>
                </c:pt>
                <c:pt idx="602">
                  <c:v>7.2896909256774986E-2</c:v>
                </c:pt>
                <c:pt idx="603">
                  <c:v>9.0656623062941699E-2</c:v>
                </c:pt>
                <c:pt idx="604">
                  <c:v>0.12222497359198387</c:v>
                </c:pt>
                <c:pt idx="605">
                  <c:v>0.15291517993171447</c:v>
                </c:pt>
                <c:pt idx="606">
                  <c:v>0.18211774620814777</c:v>
                </c:pt>
                <c:pt idx="607">
                  <c:v>0.19654771013319733</c:v>
                </c:pt>
                <c:pt idx="608">
                  <c:v>0.22562426230921803</c:v>
                </c:pt>
                <c:pt idx="609">
                  <c:v>0.24896687939752798</c:v>
                </c:pt>
                <c:pt idx="610">
                  <c:v>0.27148131193979158</c:v>
                </c:pt>
                <c:pt idx="611">
                  <c:v>0.30074650634526212</c:v>
                </c:pt>
                <c:pt idx="612">
                  <c:v>0.3335829104622165</c:v>
                </c:pt>
                <c:pt idx="613">
                  <c:v>0.352835349994291</c:v>
                </c:pt>
                <c:pt idx="614">
                  <c:v>0.38284692766066414</c:v>
                </c:pt>
                <c:pt idx="615">
                  <c:v>0.39468941462176133</c:v>
                </c:pt>
                <c:pt idx="616">
                  <c:v>-0.42569136768584093</c:v>
                </c:pt>
                <c:pt idx="617">
                  <c:v>-0.44272794177130498</c:v>
                </c:pt>
                <c:pt idx="618">
                  <c:v>-0.45475219185707766</c:v>
                </c:pt>
                <c:pt idx="619">
                  <c:v>-0.46579621426739104</c:v>
                </c:pt>
                <c:pt idx="620">
                  <c:v>-0.48034203747166265</c:v>
                </c:pt>
                <c:pt idx="621">
                  <c:v>-0.49262905834758014</c:v>
                </c:pt>
                <c:pt idx="622">
                  <c:v>-0.4998103554242872</c:v>
                </c:pt>
                <c:pt idx="623">
                  <c:v>-0.51078017745737947</c:v>
                </c:pt>
                <c:pt idx="624">
                  <c:v>-0.5197024833356545</c:v>
                </c:pt>
                <c:pt idx="625">
                  <c:v>-0.52695481444371728</c:v>
                </c:pt>
                <c:pt idx="626">
                  <c:v>-0.53311389898490613</c:v>
                </c:pt>
                <c:pt idx="627">
                  <c:v>-0.5367381740217515</c:v>
                </c:pt>
                <c:pt idx="628">
                  <c:v>-0.54138300254257665</c:v>
                </c:pt>
                <c:pt idx="629">
                  <c:v>-0.54160957554458034</c:v>
                </c:pt>
                <c:pt idx="630">
                  <c:v>-0.54324618436580407</c:v>
                </c:pt>
                <c:pt idx="631">
                  <c:v>-0.54330411241869736</c:v>
                </c:pt>
                <c:pt idx="632">
                  <c:v>-0.53920378896415555</c:v>
                </c:pt>
                <c:pt idx="633">
                  <c:v>-0.5352568743329662</c:v>
                </c:pt>
                <c:pt idx="634">
                  <c:v>-0.53205488885018604</c:v>
                </c:pt>
                <c:pt idx="635">
                  <c:v>-0.52915133343903453</c:v>
                </c:pt>
                <c:pt idx="636">
                  <c:v>-0.52482853442126876</c:v>
                </c:pt>
                <c:pt idx="637">
                  <c:v>-0.51870035324368291</c:v>
                </c:pt>
                <c:pt idx="638">
                  <c:v>-0.51162200860675811</c:v>
                </c:pt>
                <c:pt idx="639">
                  <c:v>-0.50591247810665241</c:v>
                </c:pt>
                <c:pt idx="640">
                  <c:v>-0.49556390243266973</c:v>
                </c:pt>
                <c:pt idx="641">
                  <c:v>-0.48892689344109919</c:v>
                </c:pt>
                <c:pt idx="642">
                  <c:v>-0.48006107445061663</c:v>
                </c:pt>
                <c:pt idx="643">
                  <c:v>-0.47047890628899391</c:v>
                </c:pt>
                <c:pt idx="644">
                  <c:v>-0.46029460956801627</c:v>
                </c:pt>
                <c:pt idx="645">
                  <c:v>-0.4469102576522434</c:v>
                </c:pt>
                <c:pt idx="646">
                  <c:v>-0.43588397141006535</c:v>
                </c:pt>
                <c:pt idx="647">
                  <c:v>-0.41978581030978168</c:v>
                </c:pt>
                <c:pt idx="648">
                  <c:v>-0.40189890123611022</c:v>
                </c:pt>
                <c:pt idx="649">
                  <c:v>-0.38122336718018318</c:v>
                </c:pt>
                <c:pt idx="650">
                  <c:v>-0.3701674991400648</c:v>
                </c:pt>
                <c:pt idx="651">
                  <c:v>-0.34974327475990585</c:v>
                </c:pt>
                <c:pt idx="652">
                  <c:v>-0.33345477644513888</c:v>
                </c:pt>
                <c:pt idx="653">
                  <c:v>-0.31512255938849842</c:v>
                </c:pt>
                <c:pt idx="654">
                  <c:v>-0.29576390187755464</c:v>
                </c:pt>
                <c:pt idx="655">
                  <c:v>-0.28191786219953369</c:v>
                </c:pt>
                <c:pt idx="656">
                  <c:v>-0.26492395159637599</c:v>
                </c:pt>
                <c:pt idx="657">
                  <c:v>-0.24407419594914201</c:v>
                </c:pt>
                <c:pt idx="658">
                  <c:v>-0.22059002657586474</c:v>
                </c:pt>
                <c:pt idx="659">
                  <c:v>-0.19806633731804837</c:v>
                </c:pt>
                <c:pt idx="660">
                  <c:v>-0.17927434833825401</c:v>
                </c:pt>
                <c:pt idx="661">
                  <c:v>-0.167792567295319</c:v>
                </c:pt>
                <c:pt idx="662">
                  <c:v>-0.16725349486017224</c:v>
                </c:pt>
                <c:pt idx="663">
                  <c:v>-0.16383955001746228</c:v>
                </c:pt>
                <c:pt idx="664">
                  <c:v>-0.16247467223200598</c:v>
                </c:pt>
                <c:pt idx="665">
                  <c:v>-0.1704872415236362</c:v>
                </c:pt>
                <c:pt idx="666">
                  <c:v>-0.17350893726781785</c:v>
                </c:pt>
                <c:pt idx="667">
                  <c:v>-0.1691765686838036</c:v>
                </c:pt>
                <c:pt idx="668">
                  <c:v>-0.16950569820425548</c:v>
                </c:pt>
                <c:pt idx="669">
                  <c:v>-0.16968306756291629</c:v>
                </c:pt>
                <c:pt idx="670">
                  <c:v>-0.1715567939876276</c:v>
                </c:pt>
                <c:pt idx="671">
                  <c:v>-0.1777901191427563</c:v>
                </c:pt>
                <c:pt idx="672">
                  <c:v>-0.18176219624421769</c:v>
                </c:pt>
                <c:pt idx="673">
                  <c:v>-0.17872389304082725</c:v>
                </c:pt>
                <c:pt idx="674">
                  <c:v>-0.17281029947572482</c:v>
                </c:pt>
                <c:pt idx="675">
                  <c:v>-0.1594822540309275</c:v>
                </c:pt>
                <c:pt idx="676">
                  <c:v>-0.15162443053421026</c:v>
                </c:pt>
                <c:pt idx="677">
                  <c:v>-0.14278213040646831</c:v>
                </c:pt>
                <c:pt idx="678">
                  <c:v>-0.1371589054692304</c:v>
                </c:pt>
                <c:pt idx="679">
                  <c:v>-0.12612768679727379</c:v>
                </c:pt>
                <c:pt idx="680">
                  <c:v>-0.11808628383655875</c:v>
                </c:pt>
                <c:pt idx="681">
                  <c:v>-0.11243809457277897</c:v>
                </c:pt>
                <c:pt idx="682">
                  <c:v>-0.11011852740364166</c:v>
                </c:pt>
                <c:pt idx="683">
                  <c:v>-0.10986835799442693</c:v>
                </c:pt>
                <c:pt idx="684">
                  <c:v>-0.10841264552630327</c:v>
                </c:pt>
                <c:pt idx="685">
                  <c:v>-0.10823989716986805</c:v>
                </c:pt>
                <c:pt idx="686">
                  <c:v>-0.11030662920054549</c:v>
                </c:pt>
                <c:pt idx="687">
                  <c:v>-0.11083371542474865</c:v>
                </c:pt>
                <c:pt idx="688">
                  <c:v>-0.11416449109537558</c:v>
                </c:pt>
                <c:pt idx="689">
                  <c:v>-0.11816854442397919</c:v>
                </c:pt>
                <c:pt idx="690">
                  <c:v>-0.12018646667179499</c:v>
                </c:pt>
                <c:pt idx="691">
                  <c:v>-0.12298421797029067</c:v>
                </c:pt>
                <c:pt idx="692">
                  <c:v>-0.12415341679769669</c:v>
                </c:pt>
                <c:pt idx="693">
                  <c:v>-0.12374062546312824</c:v>
                </c:pt>
                <c:pt idx="694">
                  <c:v>-0.1205859985174661</c:v>
                </c:pt>
                <c:pt idx="695">
                  <c:v>-0.12051292012110545</c:v>
                </c:pt>
                <c:pt idx="696">
                  <c:v>-0.12150001582020892</c:v>
                </c:pt>
                <c:pt idx="697">
                  <c:v>-0.12162750482969505</c:v>
                </c:pt>
                <c:pt idx="698">
                  <c:v>-0.12069638604391836</c:v>
                </c:pt>
                <c:pt idx="699">
                  <c:v>-0.11534218005111123</c:v>
                </c:pt>
                <c:pt idx="700">
                  <c:v>-0.10588651388639946</c:v>
                </c:pt>
                <c:pt idx="701">
                  <c:v>-0.10218200676417996</c:v>
                </c:pt>
                <c:pt idx="702">
                  <c:v>-0.10026731447784144</c:v>
                </c:pt>
                <c:pt idx="703">
                  <c:v>-9.9426998225204316E-2</c:v>
                </c:pt>
                <c:pt idx="704">
                  <c:v>-9.4784811491094231E-2</c:v>
                </c:pt>
                <c:pt idx="705">
                  <c:v>-8.8279544883146252E-2</c:v>
                </c:pt>
                <c:pt idx="706">
                  <c:v>-8.1222952791623976E-2</c:v>
                </c:pt>
                <c:pt idx="707">
                  <c:v>-7.3605772672987527E-2</c:v>
                </c:pt>
                <c:pt idx="708">
                  <c:v>-7.1331261243454736E-2</c:v>
                </c:pt>
                <c:pt idx="709">
                  <c:v>-6.8036149309745761E-2</c:v>
                </c:pt>
                <c:pt idx="710">
                  <c:v>-6.5501453176454616E-2</c:v>
                </c:pt>
                <c:pt idx="711">
                  <c:v>-6.4959946860180598E-2</c:v>
                </c:pt>
                <c:pt idx="712">
                  <c:v>-6.1965004533227674E-2</c:v>
                </c:pt>
                <c:pt idx="713">
                  <c:v>-6.0729176053475546E-2</c:v>
                </c:pt>
                <c:pt idx="714">
                  <c:v>-5.3287306323988176E-2</c:v>
                </c:pt>
                <c:pt idx="715">
                  <c:v>-4.4636773075241963E-2</c:v>
                </c:pt>
                <c:pt idx="716">
                  <c:v>-4.2340087108118693E-2</c:v>
                </c:pt>
                <c:pt idx="717">
                  <c:v>-2.5833939447260826E-2</c:v>
                </c:pt>
                <c:pt idx="718">
                  <c:v>-1.815058708585832E-2</c:v>
                </c:pt>
                <c:pt idx="719">
                  <c:v>-2.4316052496820284E-3</c:v>
                </c:pt>
                <c:pt idx="720">
                  <c:v>8.9213262790594095E-3</c:v>
                </c:pt>
                <c:pt idx="721">
                  <c:v>1.6967002527002704E-2</c:v>
                </c:pt>
                <c:pt idx="722">
                  <c:v>2.5650284433877693E-2</c:v>
                </c:pt>
                <c:pt idx="723">
                  <c:v>3.5208310988170934E-2</c:v>
                </c:pt>
                <c:pt idx="724">
                  <c:v>5.0271829570146295E-2</c:v>
                </c:pt>
                <c:pt idx="725">
                  <c:v>6.8994144266583929E-2</c:v>
                </c:pt>
                <c:pt idx="726">
                  <c:v>7.7218025553939751E-2</c:v>
                </c:pt>
                <c:pt idx="727">
                  <c:v>7.9666390888464902E-2</c:v>
                </c:pt>
                <c:pt idx="728">
                  <c:v>8.0415323709816744E-2</c:v>
                </c:pt>
                <c:pt idx="729">
                  <c:v>6.9598427722003517E-2</c:v>
                </c:pt>
                <c:pt idx="730">
                  <c:v>3.8456973775169663E-2</c:v>
                </c:pt>
                <c:pt idx="731">
                  <c:v>3.4532526184384509E-2</c:v>
                </c:pt>
                <c:pt idx="732">
                  <c:v>4.0256919313483651E-2</c:v>
                </c:pt>
                <c:pt idx="733">
                  <c:v>4.3186299889397227E-2</c:v>
                </c:pt>
                <c:pt idx="734">
                  <c:v>2.5183666554057245E-2</c:v>
                </c:pt>
                <c:pt idx="735">
                  <c:v>-3.4761257399711434E-3</c:v>
                </c:pt>
                <c:pt idx="736">
                  <c:v>-3.1735482161025536E-2</c:v>
                </c:pt>
                <c:pt idx="737">
                  <c:v>-4.4330279659143802E-2</c:v>
                </c:pt>
                <c:pt idx="738">
                  <c:v>-3.7904440816332201E-2</c:v>
                </c:pt>
                <c:pt idx="739">
                  <c:v>-3.6065786635646815E-2</c:v>
                </c:pt>
                <c:pt idx="740">
                  <c:v>-3.374300925898089E-2</c:v>
                </c:pt>
                <c:pt idx="741">
                  <c:v>-3.1000226371291798E-2</c:v>
                </c:pt>
                <c:pt idx="742">
                  <c:v>-2.1922899151854747E-2</c:v>
                </c:pt>
                <c:pt idx="743">
                  <c:v>-1.7911745197437955E-2</c:v>
                </c:pt>
                <c:pt idx="744">
                  <c:v>-1.3379284440991715E-2</c:v>
                </c:pt>
                <c:pt idx="745">
                  <c:v>-1.3192243543391088E-2</c:v>
                </c:pt>
                <c:pt idx="746">
                  <c:v>-1.0315162060622253E-2</c:v>
                </c:pt>
                <c:pt idx="747">
                  <c:v>-2.5989548531054939E-3</c:v>
                </c:pt>
                <c:pt idx="748">
                  <c:v>6.2600039012457838E-3</c:v>
                </c:pt>
                <c:pt idx="749">
                  <c:v>1.7489006341879051E-2</c:v>
                </c:pt>
                <c:pt idx="750">
                  <c:v>2.5460772259321307E-2</c:v>
                </c:pt>
                <c:pt idx="751">
                  <c:v>2.8678994396426988E-2</c:v>
                </c:pt>
                <c:pt idx="752">
                  <c:v>3.3746660100255878E-2</c:v>
                </c:pt>
                <c:pt idx="753">
                  <c:v>3.8655714290062614E-2</c:v>
                </c:pt>
                <c:pt idx="754">
                  <c:v>4.6283962391971634E-2</c:v>
                </c:pt>
                <c:pt idx="755">
                  <c:v>5.3117941514591198E-2</c:v>
                </c:pt>
                <c:pt idx="756">
                  <c:v>5.3859132576280937E-2</c:v>
                </c:pt>
                <c:pt idx="757">
                  <c:v>5.9050579948687766E-2</c:v>
                </c:pt>
                <c:pt idx="758">
                  <c:v>7.3481363564364521E-2</c:v>
                </c:pt>
                <c:pt idx="759">
                  <c:v>8.7852622424291038E-2</c:v>
                </c:pt>
                <c:pt idx="760">
                  <c:v>0.10130799060170124</c:v>
                </c:pt>
                <c:pt idx="761">
                  <c:v>0.11145375847891259</c:v>
                </c:pt>
                <c:pt idx="762">
                  <c:v>0.12753228835870137</c:v>
                </c:pt>
                <c:pt idx="763">
                  <c:v>0.14554315223322783</c:v>
                </c:pt>
                <c:pt idx="764">
                  <c:v>0.16221907648246928</c:v>
                </c:pt>
                <c:pt idx="765">
                  <c:v>0.17571826597589174</c:v>
                </c:pt>
                <c:pt idx="766">
                  <c:v>0.1805681985102037</c:v>
                </c:pt>
                <c:pt idx="767">
                  <c:v>0.19084608780515505</c:v>
                </c:pt>
                <c:pt idx="768">
                  <c:v>0.19273025816519762</c:v>
                </c:pt>
                <c:pt idx="769">
                  <c:v>0.19349806648388307</c:v>
                </c:pt>
                <c:pt idx="770">
                  <c:v>0.19299434917813749</c:v>
                </c:pt>
                <c:pt idx="771">
                  <c:v>0.19827909066721</c:v>
                </c:pt>
                <c:pt idx="772">
                  <c:v>0.20526306598464863</c:v>
                </c:pt>
                <c:pt idx="773">
                  <c:v>0.2145112251947289</c:v>
                </c:pt>
                <c:pt idx="774">
                  <c:v>0.22353406914901691</c:v>
                </c:pt>
                <c:pt idx="775">
                  <c:v>0.23058405456492348</c:v>
                </c:pt>
                <c:pt idx="776">
                  <c:v>0.23921999003061944</c:v>
                </c:pt>
                <c:pt idx="777">
                  <c:v>0.24100614173985052</c:v>
                </c:pt>
                <c:pt idx="778">
                  <c:v>0.24033887960588504</c:v>
                </c:pt>
                <c:pt idx="779">
                  <c:v>0.24710989671456154</c:v>
                </c:pt>
                <c:pt idx="780">
                  <c:v>0.25732128759329498</c:v>
                </c:pt>
                <c:pt idx="781">
                  <c:v>0.25796990846559836</c:v>
                </c:pt>
                <c:pt idx="782">
                  <c:v>0.22250588003517963</c:v>
                </c:pt>
                <c:pt idx="783">
                  <c:v>0.19212400212107986</c:v>
                </c:pt>
                <c:pt idx="784">
                  <c:v>0.18825426255514902</c:v>
                </c:pt>
                <c:pt idx="785">
                  <c:v>0.19573882885459717</c:v>
                </c:pt>
                <c:pt idx="786">
                  <c:v>0.19707812948327455</c:v>
                </c:pt>
                <c:pt idx="787">
                  <c:v>0.19526365373094448</c:v>
                </c:pt>
                <c:pt idx="788">
                  <c:v>0.18950735463066296</c:v>
                </c:pt>
                <c:pt idx="789">
                  <c:v>0.19137140338192354</c:v>
                </c:pt>
                <c:pt idx="790">
                  <c:v>0.19517151413952422</c:v>
                </c:pt>
                <c:pt idx="791">
                  <c:v>0.19953430280954257</c:v>
                </c:pt>
                <c:pt idx="792">
                  <c:v>0.19842603217969376</c:v>
                </c:pt>
                <c:pt idx="793">
                  <c:v>0.18896000525170953</c:v>
                </c:pt>
                <c:pt idx="794">
                  <c:v>0.18018798477006337</c:v>
                </c:pt>
                <c:pt idx="795">
                  <c:v>0.17624616324160924</c:v>
                </c:pt>
                <c:pt idx="796">
                  <c:v>0.17536892816672817</c:v>
                </c:pt>
                <c:pt idx="797">
                  <c:v>0.17163441436514479</c:v>
                </c:pt>
                <c:pt idx="798">
                  <c:v>0.15963098425347849</c:v>
                </c:pt>
                <c:pt idx="799">
                  <c:v>0.14366040037981939</c:v>
                </c:pt>
                <c:pt idx="800">
                  <c:v>0.14096918920809909</c:v>
                </c:pt>
                <c:pt idx="801">
                  <c:v>0.13541391928393315</c:v>
                </c:pt>
                <c:pt idx="802">
                  <c:v>0.1323475453308452</c:v>
                </c:pt>
                <c:pt idx="803">
                  <c:v>0.1307159290847961</c:v>
                </c:pt>
                <c:pt idx="804">
                  <c:v>0.10799460893536461</c:v>
                </c:pt>
                <c:pt idx="805">
                  <c:v>8.9534637667135791E-2</c:v>
                </c:pt>
                <c:pt idx="806">
                  <c:v>7.4690837016229764E-2</c:v>
                </c:pt>
                <c:pt idx="807">
                  <c:v>7.0581450805287993E-2</c:v>
                </c:pt>
                <c:pt idx="808">
                  <c:v>5.2336786415430166E-2</c:v>
                </c:pt>
                <c:pt idx="809">
                  <c:v>3.1779897527086973E-2</c:v>
                </c:pt>
                <c:pt idx="810">
                  <c:v>1.571707612307496E-2</c:v>
                </c:pt>
                <c:pt idx="811">
                  <c:v>6.1237381920036769E-3</c:v>
                </c:pt>
                <c:pt idx="812">
                  <c:v>-8.8483258812021483E-3</c:v>
                </c:pt>
                <c:pt idx="813">
                  <c:v>-2.1014078194983472E-2</c:v>
                </c:pt>
                <c:pt idx="814">
                  <c:v>-3.0700482408858951E-2</c:v>
                </c:pt>
                <c:pt idx="815">
                  <c:v>-3.843681008875053E-2</c:v>
                </c:pt>
                <c:pt idx="816">
                  <c:v>-4.5725822156934312E-2</c:v>
                </c:pt>
                <c:pt idx="817">
                  <c:v>-5.4110921821195673E-2</c:v>
                </c:pt>
                <c:pt idx="818">
                  <c:v>-6.2486404924401093E-2</c:v>
                </c:pt>
                <c:pt idx="819">
                  <c:v>-6.7549918902559777E-2</c:v>
                </c:pt>
                <c:pt idx="820">
                  <c:v>-7.5711832140884866E-2</c:v>
                </c:pt>
                <c:pt idx="821">
                  <c:v>-8.4450000253136689E-2</c:v>
                </c:pt>
                <c:pt idx="822">
                  <c:v>-8.9170004699191535E-2</c:v>
                </c:pt>
                <c:pt idx="823">
                  <c:v>-8.9151276733637277E-2</c:v>
                </c:pt>
                <c:pt idx="824">
                  <c:v>-9.2976612464494707E-2</c:v>
                </c:pt>
                <c:pt idx="825">
                  <c:v>-9.550285281149988E-2</c:v>
                </c:pt>
                <c:pt idx="826">
                  <c:v>-9.4752453566431041E-2</c:v>
                </c:pt>
                <c:pt idx="827">
                  <c:v>-9.4017618177125048E-2</c:v>
                </c:pt>
                <c:pt idx="828">
                  <c:v>-9.5004227798008864E-2</c:v>
                </c:pt>
                <c:pt idx="829">
                  <c:v>-9.6449913618843502E-2</c:v>
                </c:pt>
                <c:pt idx="830">
                  <c:v>-9.3411350448282152E-2</c:v>
                </c:pt>
                <c:pt idx="831">
                  <c:v>-8.8806847067266048E-2</c:v>
                </c:pt>
                <c:pt idx="832">
                  <c:v>-7.2256289144842473E-2</c:v>
                </c:pt>
                <c:pt idx="833">
                  <c:v>-6.2739270568329522E-2</c:v>
                </c:pt>
                <c:pt idx="834">
                  <c:v>-6.0368636464766673E-2</c:v>
                </c:pt>
                <c:pt idx="835">
                  <c:v>-4.1434316403721576E-2</c:v>
                </c:pt>
                <c:pt idx="836">
                  <c:v>-3.5957755414370088E-2</c:v>
                </c:pt>
                <c:pt idx="837">
                  <c:v>-2.7269527610281501E-2</c:v>
                </c:pt>
                <c:pt idx="838">
                  <c:v>-2.4259215581139318E-2</c:v>
                </c:pt>
                <c:pt idx="839">
                  <c:v>-1.2654499981890934E-2</c:v>
                </c:pt>
                <c:pt idx="840">
                  <c:v>-1.0867349281845167E-2</c:v>
                </c:pt>
                <c:pt idx="841">
                  <c:v>5.1128587601988948E-3</c:v>
                </c:pt>
                <c:pt idx="842">
                  <c:v>1.1431808256640301E-2</c:v>
                </c:pt>
                <c:pt idx="843">
                  <c:v>1.9624257746143563E-2</c:v>
                </c:pt>
                <c:pt idx="844">
                  <c:v>2.572107588075977E-2</c:v>
                </c:pt>
                <c:pt idx="845">
                  <c:v>3.0229746946213415E-2</c:v>
                </c:pt>
                <c:pt idx="846">
                  <c:v>3.9218864986565981E-2</c:v>
                </c:pt>
                <c:pt idx="847">
                  <c:v>3.9944127026472639E-2</c:v>
                </c:pt>
                <c:pt idx="848">
                  <c:v>4.6927072966161124E-2</c:v>
                </c:pt>
                <c:pt idx="849">
                  <c:v>5.6210360630702193E-2</c:v>
                </c:pt>
                <c:pt idx="850">
                  <c:v>6.0411929540363049E-2</c:v>
                </c:pt>
                <c:pt idx="851">
                  <c:v>7.1277752557888097E-2</c:v>
                </c:pt>
                <c:pt idx="852">
                  <c:v>7.586087015598042E-2</c:v>
                </c:pt>
                <c:pt idx="853">
                  <c:v>7.6345826936437433E-2</c:v>
                </c:pt>
                <c:pt idx="854">
                  <c:v>8.7275342825119881E-2</c:v>
                </c:pt>
                <c:pt idx="855">
                  <c:v>9.3099380451136318E-2</c:v>
                </c:pt>
                <c:pt idx="856">
                  <c:v>9.44312121006331E-2</c:v>
                </c:pt>
                <c:pt idx="857">
                  <c:v>9.6065519032961455E-2</c:v>
                </c:pt>
                <c:pt idx="858">
                  <c:v>9.431419799824968E-2</c:v>
                </c:pt>
                <c:pt idx="859">
                  <c:v>9.3623341621555806E-2</c:v>
                </c:pt>
                <c:pt idx="860">
                  <c:v>7.0506546247475141E-2</c:v>
                </c:pt>
                <c:pt idx="861">
                  <c:v>5.7306000729413345E-2</c:v>
                </c:pt>
                <c:pt idx="862">
                  <c:v>5.5614759521105582E-2</c:v>
                </c:pt>
                <c:pt idx="863">
                  <c:v>4.548437276631169E-2</c:v>
                </c:pt>
                <c:pt idx="864">
                  <c:v>4.8153432898045787E-2</c:v>
                </c:pt>
                <c:pt idx="865">
                  <c:v>5.0517632012895469E-2</c:v>
                </c:pt>
                <c:pt idx="866">
                  <c:v>5.5410598468023986E-2</c:v>
                </c:pt>
                <c:pt idx="867">
                  <c:v>5.7192337244949876E-2</c:v>
                </c:pt>
                <c:pt idx="868">
                  <c:v>5.5503261486430353E-2</c:v>
                </c:pt>
                <c:pt idx="869">
                  <c:v>5.092849753188522E-2</c:v>
                </c:pt>
                <c:pt idx="870">
                  <c:v>4.6560285151645987E-2</c:v>
                </c:pt>
                <c:pt idx="871">
                  <c:v>4.6611032540084377E-2</c:v>
                </c:pt>
                <c:pt idx="872">
                  <c:v>3.457796671184115E-2</c:v>
                </c:pt>
                <c:pt idx="873">
                  <c:v>3.1684656620035827E-2</c:v>
                </c:pt>
                <c:pt idx="874">
                  <c:v>3.7921540596622408E-2</c:v>
                </c:pt>
                <c:pt idx="875">
                  <c:v>3.7076952721187627E-2</c:v>
                </c:pt>
                <c:pt idx="876">
                  <c:v>3.6793829660084952E-2</c:v>
                </c:pt>
                <c:pt idx="877">
                  <c:v>3.6522173102703177E-2</c:v>
                </c:pt>
                <c:pt idx="878">
                  <c:v>3.5256481733572362E-2</c:v>
                </c:pt>
                <c:pt idx="879">
                  <c:v>3.5939181176566179E-2</c:v>
                </c:pt>
                <c:pt idx="880">
                  <c:v>3.8742962123893332E-2</c:v>
                </c:pt>
                <c:pt idx="881">
                  <c:v>3.9783679541949092E-2</c:v>
                </c:pt>
                <c:pt idx="882">
                  <c:v>4.2177921961312738E-2</c:v>
                </c:pt>
                <c:pt idx="883">
                  <c:v>4.8982313790012284E-2</c:v>
                </c:pt>
                <c:pt idx="884">
                  <c:v>5.5169772892328536E-2</c:v>
                </c:pt>
                <c:pt idx="885">
                  <c:v>7.4897297369340796E-2</c:v>
                </c:pt>
                <c:pt idx="886">
                  <c:v>7.7208466608536697E-2</c:v>
                </c:pt>
                <c:pt idx="887">
                  <c:v>9.6754222430149944E-2</c:v>
                </c:pt>
                <c:pt idx="888">
                  <c:v>0.10154333334113994</c:v>
                </c:pt>
                <c:pt idx="889">
                  <c:v>5.6262122502793964E-2</c:v>
                </c:pt>
                <c:pt idx="890">
                  <c:v>5.7667648415996559E-2</c:v>
                </c:pt>
                <c:pt idx="891">
                  <c:v>5.8484448327110569E-2</c:v>
                </c:pt>
                <c:pt idx="892">
                  <c:v>5.867388489776925E-2</c:v>
                </c:pt>
                <c:pt idx="893">
                  <c:v>7.9715482774887603E-2</c:v>
                </c:pt>
                <c:pt idx="894">
                  <c:v>8.4011338592088133E-2</c:v>
                </c:pt>
                <c:pt idx="895">
                  <c:v>8.4872221044464291E-2</c:v>
                </c:pt>
                <c:pt idx="896">
                  <c:v>7.6581600496449562E-2</c:v>
                </c:pt>
                <c:pt idx="897">
                  <c:v>6.8792632701945314E-2</c:v>
                </c:pt>
                <c:pt idx="898">
                  <c:v>5.76423153029871E-2</c:v>
                </c:pt>
                <c:pt idx="899">
                  <c:v>5.1771077996592564E-2</c:v>
                </c:pt>
                <c:pt idx="900">
                  <c:v>5.3478992198643459E-2</c:v>
                </c:pt>
                <c:pt idx="901">
                  <c:v>0.10858474996231481</c:v>
                </c:pt>
                <c:pt idx="902">
                  <c:v>0.11320453041805459</c:v>
                </c:pt>
                <c:pt idx="903">
                  <c:v>0.13503498423930221</c:v>
                </c:pt>
                <c:pt idx="904">
                  <c:v>0.14269354134578482</c:v>
                </c:pt>
                <c:pt idx="905">
                  <c:v>0.15678938628361364</c:v>
                </c:pt>
                <c:pt idx="906">
                  <c:v>0.15880772018622785</c:v>
                </c:pt>
                <c:pt idx="907">
                  <c:v>0.14402876343320445</c:v>
                </c:pt>
                <c:pt idx="908">
                  <c:v>0.11322391720358782</c:v>
                </c:pt>
                <c:pt idx="909">
                  <c:v>0.11335098584318132</c:v>
                </c:pt>
                <c:pt idx="910">
                  <c:v>0.105862314265252</c:v>
                </c:pt>
                <c:pt idx="911">
                  <c:v>6.8870501118593205E-2</c:v>
                </c:pt>
                <c:pt idx="912">
                  <c:v>7.2064960762037389E-2</c:v>
                </c:pt>
                <c:pt idx="913">
                  <c:v>7.5272368606021933E-2</c:v>
                </c:pt>
                <c:pt idx="914">
                  <c:v>9.027141329218312E-2</c:v>
                </c:pt>
                <c:pt idx="915">
                  <c:v>0.1069375265039338</c:v>
                </c:pt>
                <c:pt idx="916">
                  <c:v>0.11256091814641042</c:v>
                </c:pt>
                <c:pt idx="917">
                  <c:v>0.13177159205150943</c:v>
                </c:pt>
                <c:pt idx="918">
                  <c:v>5.1815106978949227E-2</c:v>
                </c:pt>
                <c:pt idx="919">
                  <c:v>-3.6307979527781656E-2</c:v>
                </c:pt>
                <c:pt idx="920">
                  <c:v>-4.6393873663376037E-2</c:v>
                </c:pt>
                <c:pt idx="921">
                  <c:v>-0.13360448839887057</c:v>
                </c:pt>
                <c:pt idx="922">
                  <c:v>-0.14736752419162308</c:v>
                </c:pt>
                <c:pt idx="923">
                  <c:v>-0.22774655916856767</c:v>
                </c:pt>
                <c:pt idx="924">
                  <c:v>-0.30859006824992058</c:v>
                </c:pt>
                <c:pt idx="925">
                  <c:v>-0.31764249028335395</c:v>
                </c:pt>
                <c:pt idx="926">
                  <c:v>-0.37018469471059673</c:v>
                </c:pt>
                <c:pt idx="927">
                  <c:v>-0.42684828382308143</c:v>
                </c:pt>
                <c:pt idx="928">
                  <c:v>-0.44727852048969097</c:v>
                </c:pt>
                <c:pt idx="929">
                  <c:v>-0.45590167311420271</c:v>
                </c:pt>
                <c:pt idx="930">
                  <c:v>-0.45629758315481928</c:v>
                </c:pt>
                <c:pt idx="931">
                  <c:v>-0.43689482477243879</c:v>
                </c:pt>
                <c:pt idx="932">
                  <c:v>-0.37812298132479327</c:v>
                </c:pt>
                <c:pt idx="933">
                  <c:v>-0.3087058859326004</c:v>
                </c:pt>
                <c:pt idx="934">
                  <c:v>-1.3955899165918773E-2</c:v>
                </c:pt>
                <c:pt idx="935">
                  <c:v>0.18829245162366665</c:v>
                </c:pt>
                <c:pt idx="936">
                  <c:v>0.21770343675524742</c:v>
                </c:pt>
                <c:pt idx="937">
                  <c:v>0.36438180671185194</c:v>
                </c:pt>
                <c:pt idx="938">
                  <c:v>0.41671479475459205</c:v>
                </c:pt>
                <c:pt idx="939">
                  <c:v>0.40305332864323928</c:v>
                </c:pt>
                <c:pt idx="940">
                  <c:v>0.38361607348359089</c:v>
                </c:pt>
                <c:pt idx="941">
                  <c:v>0.41578124498045932</c:v>
                </c:pt>
                <c:pt idx="942">
                  <c:v>0.41521858652125881</c:v>
                </c:pt>
                <c:pt idx="943">
                  <c:v>0.41512569293087881</c:v>
                </c:pt>
                <c:pt idx="944">
                  <c:v>0.41395516952905942</c:v>
                </c:pt>
                <c:pt idx="945">
                  <c:v>0.41410062203565806</c:v>
                </c:pt>
                <c:pt idx="946">
                  <c:v>0.41484982039711882</c:v>
                </c:pt>
                <c:pt idx="947">
                  <c:v>0.41826092358324579</c:v>
                </c:pt>
                <c:pt idx="948">
                  <c:v>0.41890094610039302</c:v>
                </c:pt>
                <c:pt idx="949">
                  <c:v>0.41841812517325788</c:v>
                </c:pt>
                <c:pt idx="950">
                  <c:v>0.418282431428741</c:v>
                </c:pt>
                <c:pt idx="951">
                  <c:v>0.41639571038731082</c:v>
                </c:pt>
                <c:pt idx="952">
                  <c:v>0.41587898896481434</c:v>
                </c:pt>
                <c:pt idx="953">
                  <c:v>0.41568815430608586</c:v>
                </c:pt>
                <c:pt idx="954">
                  <c:v>0.41497850872118197</c:v>
                </c:pt>
                <c:pt idx="955">
                  <c:v>0.41473444516250091</c:v>
                </c:pt>
                <c:pt idx="956">
                  <c:v>0.41457267818856713</c:v>
                </c:pt>
                <c:pt idx="957">
                  <c:v>0.41069426286752442</c:v>
                </c:pt>
                <c:pt idx="958">
                  <c:v>0.41002507524851434</c:v>
                </c:pt>
                <c:pt idx="959">
                  <c:v>0.40959327888059066</c:v>
                </c:pt>
                <c:pt idx="960">
                  <c:v>0.4094561725444647</c:v>
                </c:pt>
                <c:pt idx="961">
                  <c:v>0.4093134074475121</c:v>
                </c:pt>
                <c:pt idx="962">
                  <c:v>0.40902979563084518</c:v>
                </c:pt>
                <c:pt idx="963">
                  <c:v>0.40890546824330348</c:v>
                </c:pt>
                <c:pt idx="964">
                  <c:v>0.40880138889832718</c:v>
                </c:pt>
                <c:pt idx="965">
                  <c:v>0.40863081420963399</c:v>
                </c:pt>
                <c:pt idx="966">
                  <c:v>0.40890567985044418</c:v>
                </c:pt>
                <c:pt idx="967">
                  <c:v>0.40992289586982156</c:v>
                </c:pt>
                <c:pt idx="968">
                  <c:v>0.41010574283299694</c:v>
                </c:pt>
                <c:pt idx="969">
                  <c:v>0.40961463352518801</c:v>
                </c:pt>
                <c:pt idx="970">
                  <c:v>0.40917441147504729</c:v>
                </c:pt>
                <c:pt idx="971">
                  <c:v>0.40908671368596483</c:v>
                </c:pt>
                <c:pt idx="972">
                  <c:v>0.40898205958201411</c:v>
                </c:pt>
                <c:pt idx="973">
                  <c:v>0.408751793870894</c:v>
                </c:pt>
                <c:pt idx="974">
                  <c:v>0.40856587721097015</c:v>
                </c:pt>
                <c:pt idx="975">
                  <c:v>0.4083306348366415</c:v>
                </c:pt>
                <c:pt idx="976">
                  <c:v>0.40817200452549235</c:v>
                </c:pt>
                <c:pt idx="977">
                  <c:v>0.40806823424067312</c:v>
                </c:pt>
                <c:pt idx="978">
                  <c:v>0.4063503301141505</c:v>
                </c:pt>
                <c:pt idx="979">
                  <c:v>0.40607742797510371</c:v>
                </c:pt>
                <c:pt idx="980">
                  <c:v>0.40607677839538719</c:v>
                </c:pt>
                <c:pt idx="981">
                  <c:v>0.40578400410310822</c:v>
                </c:pt>
                <c:pt idx="982">
                  <c:v>0.40565806752812938</c:v>
                </c:pt>
                <c:pt idx="983">
                  <c:v>0.40545366787741494</c:v>
                </c:pt>
                <c:pt idx="984">
                  <c:v>0.40576145848967726</c:v>
                </c:pt>
                <c:pt idx="985">
                  <c:v>0.40570404237569235</c:v>
                </c:pt>
                <c:pt idx="986">
                  <c:v>0.40559782205466505</c:v>
                </c:pt>
                <c:pt idx="987">
                  <c:v>0.40532105258903423</c:v>
                </c:pt>
                <c:pt idx="988">
                  <c:v>0.4052515877295535</c:v>
                </c:pt>
                <c:pt idx="989">
                  <c:v>0.4031774816548051</c:v>
                </c:pt>
                <c:pt idx="990">
                  <c:v>0.40135559865870901</c:v>
                </c:pt>
                <c:pt idx="991">
                  <c:v>0.40117483372905915</c:v>
                </c:pt>
                <c:pt idx="992">
                  <c:v>0.40123529045079881</c:v>
                </c:pt>
                <c:pt idx="993">
                  <c:v>0.40031084362603825</c:v>
                </c:pt>
                <c:pt idx="994">
                  <c:v>0.40011720208717444</c:v>
                </c:pt>
                <c:pt idx="995">
                  <c:v>0.39979704846010283</c:v>
                </c:pt>
                <c:pt idx="996">
                  <c:v>0.39967797081227774</c:v>
                </c:pt>
                <c:pt idx="997">
                  <c:v>0.39959656784000186</c:v>
                </c:pt>
                <c:pt idx="998">
                  <c:v>0.39948318831759627</c:v>
                </c:pt>
                <c:pt idx="999">
                  <c:v>0.39827550541936452</c:v>
                </c:pt>
                <c:pt idx="1000">
                  <c:v>0.39655404433807756</c:v>
                </c:pt>
                <c:pt idx="1001">
                  <c:v>0.39552573834445359</c:v>
                </c:pt>
                <c:pt idx="1002">
                  <c:v>0.39546793167920358</c:v>
                </c:pt>
                <c:pt idx="1003">
                  <c:v>0.39533699345679496</c:v>
                </c:pt>
                <c:pt idx="1004">
                  <c:v>0.39515063586900784</c:v>
                </c:pt>
                <c:pt idx="1005">
                  <c:v>0.39503303120729716</c:v>
                </c:pt>
                <c:pt idx="1006">
                  <c:v>0.39524529762762239</c:v>
                </c:pt>
                <c:pt idx="1007">
                  <c:v>0.39524619890217244</c:v>
                </c:pt>
                <c:pt idx="1008">
                  <c:v>0.39500846958414554</c:v>
                </c:pt>
                <c:pt idx="1009">
                  <c:v>0.39483711321203652</c:v>
                </c:pt>
                <c:pt idx="1010">
                  <c:v>0.39474716432711698</c:v>
                </c:pt>
                <c:pt idx="1011">
                  <c:v>0.39462014010152685</c:v>
                </c:pt>
                <c:pt idx="1012">
                  <c:v>0.39449808251701812</c:v>
                </c:pt>
                <c:pt idx="1013">
                  <c:v>0.39473703330866033</c:v>
                </c:pt>
                <c:pt idx="1014">
                  <c:v>0.39473471492551487</c:v>
                </c:pt>
                <c:pt idx="1015">
                  <c:v>0.39457085035719147</c:v>
                </c:pt>
                <c:pt idx="1016">
                  <c:v>0.39430953736716762</c:v>
                </c:pt>
                <c:pt idx="1017">
                  <c:v>0.39392539756754885</c:v>
                </c:pt>
                <c:pt idx="1018">
                  <c:v>0.39384974180671128</c:v>
                </c:pt>
                <c:pt idx="1019">
                  <c:v>0.39337119456070807</c:v>
                </c:pt>
                <c:pt idx="1020">
                  <c:v>0.39271374002302967</c:v>
                </c:pt>
                <c:pt idx="1021">
                  <c:v>0.3917072184502422</c:v>
                </c:pt>
                <c:pt idx="1022">
                  <c:v>0.39189576194677428</c:v>
                </c:pt>
                <c:pt idx="1023">
                  <c:v>0.39098854403316574</c:v>
                </c:pt>
                <c:pt idx="1024">
                  <c:v>0.39114001771865292</c:v>
                </c:pt>
                <c:pt idx="1025">
                  <c:v>0.3910757486167849</c:v>
                </c:pt>
                <c:pt idx="1026">
                  <c:v>0.39091310574868232</c:v>
                </c:pt>
                <c:pt idx="1027">
                  <c:v>0.39076390293000907</c:v>
                </c:pt>
                <c:pt idx="1028">
                  <c:v>0.39064960649983793</c:v>
                </c:pt>
                <c:pt idx="1029">
                  <c:v>0.39056902126906157</c:v>
                </c:pt>
                <c:pt idx="1030">
                  <c:v>0.39044539016453117</c:v>
                </c:pt>
                <c:pt idx="1031">
                  <c:v>0.39032736274458635</c:v>
                </c:pt>
                <c:pt idx="1032">
                  <c:v>0.39019147664116988</c:v>
                </c:pt>
                <c:pt idx="1033">
                  <c:v>0.39007387089357287</c:v>
                </c:pt>
                <c:pt idx="1034">
                  <c:v>0.38997532452019007</c:v>
                </c:pt>
                <c:pt idx="1035">
                  <c:v>0.38987665150317496</c:v>
                </c:pt>
                <c:pt idx="1036">
                  <c:v>0.3897525179583517</c:v>
                </c:pt>
                <c:pt idx="1037">
                  <c:v>0.3896238074484451</c:v>
                </c:pt>
                <c:pt idx="1038">
                  <c:v>0.38948578073341827</c:v>
                </c:pt>
                <c:pt idx="1039">
                  <c:v>0.3893889322380894</c:v>
                </c:pt>
                <c:pt idx="1040">
                  <c:v>0.38928239329612141</c:v>
                </c:pt>
                <c:pt idx="1041">
                  <c:v>0.38914250687026936</c:v>
                </c:pt>
                <c:pt idx="1042">
                  <c:v>0.38904584322627017</c:v>
                </c:pt>
                <c:pt idx="1043">
                  <c:v>0.3889072227702729</c:v>
                </c:pt>
                <c:pt idx="1044">
                  <c:v>0.38878746766474326</c:v>
                </c:pt>
                <c:pt idx="1045">
                  <c:v>0.38867248408144262</c:v>
                </c:pt>
                <c:pt idx="1046">
                  <c:v>0.38860305044376353</c:v>
                </c:pt>
                <c:pt idx="1047">
                  <c:v>0.38845732947538053</c:v>
                </c:pt>
                <c:pt idx="1048">
                  <c:v>0.38836576292750807</c:v>
                </c:pt>
                <c:pt idx="1049">
                  <c:v>0.38824945009758272</c:v>
                </c:pt>
                <c:pt idx="1050">
                  <c:v>0.38809410365956631</c:v>
                </c:pt>
                <c:pt idx="1051">
                  <c:v>0.38798422694744367</c:v>
                </c:pt>
                <c:pt idx="1052">
                  <c:v>0.38784421411645503</c:v>
                </c:pt>
                <c:pt idx="1053">
                  <c:v>0.38769917010565086</c:v>
                </c:pt>
                <c:pt idx="1054">
                  <c:v>0.38758842405316363</c:v>
                </c:pt>
                <c:pt idx="1055">
                  <c:v>0.38747742495449294</c:v>
                </c:pt>
                <c:pt idx="1056">
                  <c:v>0.38732290056036117</c:v>
                </c:pt>
                <c:pt idx="1057">
                  <c:v>0.38720962018570954</c:v>
                </c:pt>
                <c:pt idx="1058">
                  <c:v>0.38708719642276562</c:v>
                </c:pt>
                <c:pt idx="1059">
                  <c:v>0.3869813253713999</c:v>
                </c:pt>
                <c:pt idx="1060">
                  <c:v>0.38685914759685086</c:v>
                </c:pt>
                <c:pt idx="1061">
                  <c:v>0.3864408926780753</c:v>
                </c:pt>
                <c:pt idx="1062">
                  <c:v>0.38659877509920393</c:v>
                </c:pt>
                <c:pt idx="1063">
                  <c:v>0.38658306096046552</c:v>
                </c:pt>
                <c:pt idx="1064">
                  <c:v>0.38631622523507753</c:v>
                </c:pt>
                <c:pt idx="1065">
                  <c:v>0.38622441455453949</c:v>
                </c:pt>
                <c:pt idx="1066">
                  <c:v>0.38610396337630631</c:v>
                </c:pt>
                <c:pt idx="1067">
                  <c:v>0.38593145778197896</c:v>
                </c:pt>
                <c:pt idx="1068">
                  <c:v>0.38545261803171849</c:v>
                </c:pt>
                <c:pt idx="1069">
                  <c:v>0.38406252714929789</c:v>
                </c:pt>
                <c:pt idx="1070">
                  <c:v>0.38422475734255201</c:v>
                </c:pt>
                <c:pt idx="1071">
                  <c:v>0.38402199406629151</c:v>
                </c:pt>
                <c:pt idx="1072">
                  <c:v>0.38383428834533623</c:v>
                </c:pt>
                <c:pt idx="1073">
                  <c:v>0.38373550064945516</c:v>
                </c:pt>
                <c:pt idx="1074">
                  <c:v>0.38361710775761604</c:v>
                </c:pt>
                <c:pt idx="1075">
                  <c:v>0.38351827937246852</c:v>
                </c:pt>
                <c:pt idx="1076">
                  <c:v>0.38335402949772601</c:v>
                </c:pt>
                <c:pt idx="1077">
                  <c:v>0.38323221679045921</c:v>
                </c:pt>
                <c:pt idx="1078">
                  <c:v>0.38308345448778508</c:v>
                </c:pt>
                <c:pt idx="1079">
                  <c:v>0.38297007643577508</c:v>
                </c:pt>
                <c:pt idx="1080">
                  <c:v>0.38286613185107538</c:v>
                </c:pt>
                <c:pt idx="1081">
                  <c:v>0.38276110634270494</c:v>
                </c:pt>
                <c:pt idx="1082">
                  <c:v>0.38262912679467903</c:v>
                </c:pt>
                <c:pt idx="1083">
                  <c:v>0.38237354385295813</c:v>
                </c:pt>
                <c:pt idx="1084">
                  <c:v>0.38017852676184971</c:v>
                </c:pt>
                <c:pt idx="1085">
                  <c:v>0.37833533668551494</c:v>
                </c:pt>
                <c:pt idx="1086">
                  <c:v>0.37838813821201461</c:v>
                </c:pt>
                <c:pt idx="1087">
                  <c:v>0.37825362910007077</c:v>
                </c:pt>
                <c:pt idx="1088">
                  <c:v>0.37810646810843085</c:v>
                </c:pt>
                <c:pt idx="1089">
                  <c:v>0.37797713369593749</c:v>
                </c:pt>
                <c:pt idx="1090">
                  <c:v>0.37785770745594449</c:v>
                </c:pt>
                <c:pt idx="1091">
                  <c:v>0.37776096417357391</c:v>
                </c:pt>
                <c:pt idx="1092">
                  <c:v>0.37762520513595044</c:v>
                </c:pt>
                <c:pt idx="1093">
                  <c:v>0.37745288598028343</c:v>
                </c:pt>
                <c:pt idx="1094">
                  <c:v>0.37548613125644842</c:v>
                </c:pt>
                <c:pt idx="1095">
                  <c:v>0.37536706408467113</c:v>
                </c:pt>
                <c:pt idx="1096">
                  <c:v>0.37498391493144267</c:v>
                </c:pt>
                <c:pt idx="1097">
                  <c:v>0.37482773717548007</c:v>
                </c:pt>
                <c:pt idx="1098">
                  <c:v>0.37431190823172789</c:v>
                </c:pt>
                <c:pt idx="1099">
                  <c:v>0.37274670001511995</c:v>
                </c:pt>
                <c:pt idx="1100">
                  <c:v>0.37157638582742875</c:v>
                </c:pt>
                <c:pt idx="1101">
                  <c:v>0.37120074825907207</c:v>
                </c:pt>
                <c:pt idx="1102">
                  <c:v>0.37128616380159657</c:v>
                </c:pt>
                <c:pt idx="1103">
                  <c:v>0.37096238968988909</c:v>
                </c:pt>
                <c:pt idx="1104">
                  <c:v>0.36935483354885729</c:v>
                </c:pt>
                <c:pt idx="1105">
                  <c:v>0.36787296429217575</c:v>
                </c:pt>
                <c:pt idx="1106">
                  <c:v>0.36747491597930393</c:v>
                </c:pt>
                <c:pt idx="1107">
                  <c:v>0.36717374903628941</c:v>
                </c:pt>
                <c:pt idx="1108">
                  <c:v>0.36709871195068272</c:v>
                </c:pt>
                <c:pt idx="1109">
                  <c:v>0.36699144949267953</c:v>
                </c:pt>
                <c:pt idx="1110">
                  <c:v>0.36647270248717717</c:v>
                </c:pt>
                <c:pt idx="1111">
                  <c:v>0.36606356488519798</c:v>
                </c:pt>
                <c:pt idx="1112">
                  <c:v>0.36593947288440576</c:v>
                </c:pt>
                <c:pt idx="1113">
                  <c:v>0.36580011920484551</c:v>
                </c:pt>
                <c:pt idx="1114">
                  <c:v>0.36566889469288527</c:v>
                </c:pt>
                <c:pt idx="1115">
                  <c:v>0.36477375639510434</c:v>
                </c:pt>
                <c:pt idx="1116">
                  <c:v>0.36456100501424427</c:v>
                </c:pt>
                <c:pt idx="1117">
                  <c:v>0.36295272290146607</c:v>
                </c:pt>
                <c:pt idx="1118">
                  <c:v>0.36241052654800959</c:v>
                </c:pt>
                <c:pt idx="1119">
                  <c:v>0.36265679967367037</c:v>
                </c:pt>
                <c:pt idx="1120">
                  <c:v>0.36259018404343224</c:v>
                </c:pt>
                <c:pt idx="1121">
                  <c:v>0.36248408411370175</c:v>
                </c:pt>
                <c:pt idx="1122">
                  <c:v>0.3624073351756299</c:v>
                </c:pt>
                <c:pt idx="1123">
                  <c:v>0</c:v>
                </c:pt>
                <c:pt idx="1124">
                  <c:v>0</c:v>
                </c:pt>
                <c:pt idx="1125">
                  <c:v>0</c:v>
                </c:pt>
                <c:pt idx="1126">
                  <c:v>0</c:v>
                </c:pt>
                <c:pt idx="1127">
                  <c:v>0</c:v>
                </c:pt>
                <c:pt idx="1128">
                  <c:v>0</c:v>
                </c:pt>
                <c:pt idx="1129">
                  <c:v>0</c:v>
                </c:pt>
                <c:pt idx="1130">
                  <c:v>0</c:v>
                </c:pt>
                <c:pt idx="1131">
                  <c:v>0</c:v>
                </c:pt>
                <c:pt idx="1132">
                  <c:v>0</c:v>
                </c:pt>
                <c:pt idx="1133">
                  <c:v>0</c:v>
                </c:pt>
                <c:pt idx="1134">
                  <c:v>0</c:v>
                </c:pt>
                <c:pt idx="1135">
                  <c:v>0</c:v>
                </c:pt>
                <c:pt idx="1136">
                  <c:v>0</c:v>
                </c:pt>
                <c:pt idx="1137">
                  <c:v>0</c:v>
                </c:pt>
                <c:pt idx="1138">
                  <c:v>0</c:v>
                </c:pt>
                <c:pt idx="1139">
                  <c:v>0</c:v>
                </c:pt>
                <c:pt idx="1140">
                  <c:v>0</c:v>
                </c:pt>
                <c:pt idx="1141">
                  <c:v>0</c:v>
                </c:pt>
                <c:pt idx="1142">
                  <c:v>0</c:v>
                </c:pt>
                <c:pt idx="1143">
                  <c:v>0</c:v>
                </c:pt>
                <c:pt idx="1144">
                  <c:v>0</c:v>
                </c:pt>
                <c:pt idx="1145">
                  <c:v>0</c:v>
                </c:pt>
                <c:pt idx="1146">
                  <c:v>0</c:v>
                </c:pt>
                <c:pt idx="1147">
                  <c:v>0</c:v>
                </c:pt>
                <c:pt idx="1148">
                  <c:v>0</c:v>
                </c:pt>
                <c:pt idx="1149">
                  <c:v>0</c:v>
                </c:pt>
                <c:pt idx="115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8DC-4090-B73F-076D065C5A88}"/>
            </c:ext>
          </c:extLst>
        </c:ser>
        <c:ser>
          <c:idx val="1"/>
          <c:order val="2"/>
          <c:tx>
            <c:v>Integral 2</c:v>
          </c:tx>
          <c:spPr>
            <a:ln w="19050" cap="rnd">
              <a:noFill/>
              <a:round/>
            </a:ln>
            <a:effectLst/>
          </c:spPr>
          <c:marker>
            <c:symbol val="circle"/>
            <c:size val="3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'Real Values'!$B$2:$B$1800</c:f>
              <c:numCache>
                <c:formatCode>General</c:formatCode>
                <c:ptCount val="1799"/>
                <c:pt idx="0">
                  <c:v>5.2599999995436519E-2</c:v>
                </c:pt>
                <c:pt idx="1">
                  <c:v>7.1112999998149462E-2</c:v>
                </c:pt>
                <c:pt idx="2">
                  <c:v>9.1904000000795349E-2</c:v>
                </c:pt>
                <c:pt idx="3">
                  <c:v>0.10767899999336805</c:v>
                </c:pt>
                <c:pt idx="4">
                  <c:v>0.13174199999775738</c:v>
                </c:pt>
                <c:pt idx="5">
                  <c:v>0.15130599999974947</c:v>
                </c:pt>
                <c:pt idx="6">
                  <c:v>0.16790099999343511</c:v>
                </c:pt>
                <c:pt idx="7">
                  <c:v>0.1887060000008205</c:v>
                </c:pt>
                <c:pt idx="8">
                  <c:v>0.21346100000664592</c:v>
                </c:pt>
                <c:pt idx="9">
                  <c:v>0.22705699999642093</c:v>
                </c:pt>
                <c:pt idx="10">
                  <c:v>0.24826999999640975</c:v>
                </c:pt>
                <c:pt idx="11">
                  <c:v>0.26694099999440368</c:v>
                </c:pt>
                <c:pt idx="12">
                  <c:v>0.29261899999983143</c:v>
                </c:pt>
                <c:pt idx="13">
                  <c:v>0.31316000000515487</c:v>
                </c:pt>
                <c:pt idx="14">
                  <c:v>0.33193600000231527</c:v>
                </c:pt>
                <c:pt idx="15">
                  <c:v>0.3471949999948265</c:v>
                </c:pt>
                <c:pt idx="16">
                  <c:v>0.36253399999986868</c:v>
                </c:pt>
                <c:pt idx="17">
                  <c:v>0.39266500000667293</c:v>
                </c:pt>
                <c:pt idx="18">
                  <c:v>0.40777599999273662</c:v>
                </c:pt>
                <c:pt idx="19">
                  <c:v>0.43277499999385327</c:v>
                </c:pt>
                <c:pt idx="20">
                  <c:v>0.45146999999997206</c:v>
                </c:pt>
                <c:pt idx="21">
                  <c:v>0.46772000000055414</c:v>
                </c:pt>
                <c:pt idx="22">
                  <c:v>0.48933199999737553</c:v>
                </c:pt>
                <c:pt idx="23">
                  <c:v>0.50939500000094995</c:v>
                </c:pt>
                <c:pt idx="24">
                  <c:v>0.52885000000242144</c:v>
                </c:pt>
                <c:pt idx="25">
                  <c:v>0.54839799999899697</c:v>
                </c:pt>
                <c:pt idx="26">
                  <c:v>0.56978499999968335</c:v>
                </c:pt>
                <c:pt idx="27">
                  <c:v>0.58849900000495836</c:v>
                </c:pt>
                <c:pt idx="28">
                  <c:v>0.61144700000295416</c:v>
                </c:pt>
                <c:pt idx="29">
                  <c:v>0.6288020000065444</c:v>
                </c:pt>
                <c:pt idx="30">
                  <c:v>0.65030599999590777</c:v>
                </c:pt>
                <c:pt idx="31">
                  <c:v>0.67232100000546779</c:v>
                </c:pt>
                <c:pt idx="32">
                  <c:v>0.68908599999849685</c:v>
                </c:pt>
                <c:pt idx="33">
                  <c:v>0.71103900000161957</c:v>
                </c:pt>
                <c:pt idx="34">
                  <c:v>0.73151300000608899</c:v>
                </c:pt>
                <c:pt idx="35">
                  <c:v>0.74727399999392219</c:v>
                </c:pt>
                <c:pt idx="36">
                  <c:v>0.76911399999517016</c:v>
                </c:pt>
                <c:pt idx="37">
                  <c:v>0.79029099999752361</c:v>
                </c:pt>
                <c:pt idx="38">
                  <c:v>0.79935000000114087</c:v>
                </c:pt>
                <c:pt idx="39">
                  <c:v>0.83206099999370053</c:v>
                </c:pt>
                <c:pt idx="40">
                  <c:v>0.85044399999605957</c:v>
                </c:pt>
                <c:pt idx="41">
                  <c:v>0.87058800000522751</c:v>
                </c:pt>
                <c:pt idx="42">
                  <c:v>0.89076300000306219</c:v>
                </c:pt>
                <c:pt idx="43">
                  <c:v>0.91084300000511575</c:v>
                </c:pt>
                <c:pt idx="44">
                  <c:v>0.93167299999913666</c:v>
                </c:pt>
                <c:pt idx="45">
                  <c:v>0.94603799999458715</c:v>
                </c:pt>
                <c:pt idx="46">
                  <c:v>0.97082400000363123</c:v>
                </c:pt>
                <c:pt idx="47">
                  <c:v>0.99126799999794457</c:v>
                </c:pt>
                <c:pt idx="48">
                  <c:v>1.0061920000007376</c:v>
                </c:pt>
                <c:pt idx="49">
                  <c:v>1.0268289999949047</c:v>
                </c:pt>
                <c:pt idx="50">
                  <c:v>1.046040000001085</c:v>
                </c:pt>
                <c:pt idx="51">
                  <c:v>1.0720909999945434</c:v>
                </c:pt>
                <c:pt idx="52">
                  <c:v>1.0898290000041015</c:v>
                </c:pt>
                <c:pt idx="53">
                  <c:v>1.10770500000217</c:v>
                </c:pt>
                <c:pt idx="54">
                  <c:v>1.1321060000045691</c:v>
                </c:pt>
                <c:pt idx="55">
                  <c:v>1.1494200000015553</c:v>
                </c:pt>
                <c:pt idx="56">
                  <c:v>1.1718129999935627</c:v>
                </c:pt>
                <c:pt idx="57">
                  <c:v>1.1912400000001071</c:v>
                </c:pt>
                <c:pt idx="58">
                  <c:v>1.2120719999948051</c:v>
                </c:pt>
                <c:pt idx="59">
                  <c:v>1.2298180000070715</c:v>
                </c:pt>
                <c:pt idx="60">
                  <c:v>1.2522989999997662</c:v>
                </c:pt>
                <c:pt idx="61">
                  <c:v>1.2725670000072569</c:v>
                </c:pt>
                <c:pt idx="62">
                  <c:v>1.2926980000047479</c:v>
                </c:pt>
                <c:pt idx="63">
                  <c:v>1.3091259999928297</c:v>
                </c:pt>
                <c:pt idx="64">
                  <c:v>1.3326839999936055</c:v>
                </c:pt>
                <c:pt idx="65">
                  <c:v>1.3498839999956544</c:v>
                </c:pt>
                <c:pt idx="66">
                  <c:v>1.370003000003635</c:v>
                </c:pt>
                <c:pt idx="67">
                  <c:v>1.388120000003255</c:v>
                </c:pt>
                <c:pt idx="68">
                  <c:v>1.4047730000020238</c:v>
                </c:pt>
                <c:pt idx="69">
                  <c:v>1.4334419999941019</c:v>
                </c:pt>
                <c:pt idx="70">
                  <c:v>1.4489659999962896</c:v>
                </c:pt>
                <c:pt idx="71">
                  <c:v>1.4688380000006873</c:v>
                </c:pt>
                <c:pt idx="72">
                  <c:v>1.4888170000049286</c:v>
                </c:pt>
                <c:pt idx="73">
                  <c:v>1.5088760000071488</c:v>
                </c:pt>
                <c:pt idx="74">
                  <c:v>1.5299470000027213</c:v>
                </c:pt>
                <c:pt idx="75">
                  <c:v>1.5525769999949262</c:v>
                </c:pt>
                <c:pt idx="76">
                  <c:v>1.569312000006903</c:v>
                </c:pt>
                <c:pt idx="77">
                  <c:v>1.5915329999988899</c:v>
                </c:pt>
                <c:pt idx="78">
                  <c:v>1.609452999997302</c:v>
                </c:pt>
                <c:pt idx="79">
                  <c:v>1.629335000005085</c:v>
                </c:pt>
                <c:pt idx="80">
                  <c:v>1.6445709999970859</c:v>
                </c:pt>
                <c:pt idx="81">
                  <c:v>1.6701780000003055</c:v>
                </c:pt>
                <c:pt idx="82">
                  <c:v>1.6902649999974528</c:v>
                </c:pt>
                <c:pt idx="83">
                  <c:v>1.7111560000048485</c:v>
                </c:pt>
                <c:pt idx="84">
                  <c:v>1.7268270000058692</c:v>
                </c:pt>
                <c:pt idx="85">
                  <c:v>1.7516009999962989</c:v>
                </c:pt>
                <c:pt idx="86">
                  <c:v>1.7652260000031674</c:v>
                </c:pt>
                <c:pt idx="87">
                  <c:v>1.7857209999929182</c:v>
                </c:pt>
                <c:pt idx="88">
                  <c:v>1.8108459999930346</c:v>
                </c:pt>
                <c:pt idx="89">
                  <c:v>1.8259269999980461</c:v>
                </c:pt>
                <c:pt idx="90">
                  <c:v>1.8516570000065258</c:v>
                </c:pt>
                <c:pt idx="91">
                  <c:v>1.8665509999991627</c:v>
                </c:pt>
                <c:pt idx="92">
                  <c:v>1.8916880000033416</c:v>
                </c:pt>
                <c:pt idx="93">
                  <c:v>1.9009709999954794</c:v>
                </c:pt>
                <c:pt idx="94">
                  <c:v>1.9325919999973848</c:v>
                </c:pt>
                <c:pt idx="95">
                  <c:v>1.9516719999955967</c:v>
                </c:pt>
                <c:pt idx="96">
                  <c:v>1.9624049999983981</c:v>
                </c:pt>
                <c:pt idx="97">
                  <c:v>1.9868080000014743</c:v>
                </c:pt>
                <c:pt idx="98">
                  <c:v>2.0070249999989755</c:v>
                </c:pt>
                <c:pt idx="99">
                  <c:v>2.0269549999939045</c:v>
                </c:pt>
                <c:pt idx="100">
                  <c:v>2.0515290000039386</c:v>
                </c:pt>
                <c:pt idx="101">
                  <c:v>2.06706000000122</c:v>
                </c:pt>
                <c:pt idx="102">
                  <c:v>2.0930939999961993</c:v>
                </c:pt>
                <c:pt idx="103">
                  <c:v>2.1083260000013979</c:v>
                </c:pt>
                <c:pt idx="104">
                  <c:v>2.1305220000067493</c:v>
                </c:pt>
                <c:pt idx="105">
                  <c:v>2.1532779999979539</c:v>
                </c:pt>
                <c:pt idx="106">
                  <c:v>2.1726889999990817</c:v>
                </c:pt>
                <c:pt idx="107">
                  <c:v>2.1923870000027819</c:v>
                </c:pt>
                <c:pt idx="108">
                  <c:v>2.2102259999956004</c:v>
                </c:pt>
                <c:pt idx="109">
                  <c:v>2.2300249999971129</c:v>
                </c:pt>
                <c:pt idx="110">
                  <c:v>2.24872800000594</c:v>
                </c:pt>
                <c:pt idx="111">
                  <c:v>2.2715969999990193</c:v>
                </c:pt>
                <c:pt idx="112">
                  <c:v>2.2880569999979343</c:v>
                </c:pt>
                <c:pt idx="113">
                  <c:v>2.3085750000027474</c:v>
                </c:pt>
                <c:pt idx="114">
                  <c:v>2.3256039999978384</c:v>
                </c:pt>
                <c:pt idx="115">
                  <c:v>2.3487920000043232</c:v>
                </c:pt>
                <c:pt idx="116">
                  <c:v>2.3692259999952512</c:v>
                </c:pt>
                <c:pt idx="117">
                  <c:v>2.3854379999975208</c:v>
                </c:pt>
                <c:pt idx="118">
                  <c:v>2.4134559999947669</c:v>
                </c:pt>
                <c:pt idx="119">
                  <c:v>2.4298479999997653</c:v>
                </c:pt>
                <c:pt idx="120">
                  <c:v>2.4493689999944763</c:v>
                </c:pt>
                <c:pt idx="121">
                  <c:v>2.4721229999995558</c:v>
                </c:pt>
                <c:pt idx="122">
                  <c:v>2.4891680000000633</c:v>
                </c:pt>
                <c:pt idx="123">
                  <c:v>2.509661000003689</c:v>
                </c:pt>
                <c:pt idx="124">
                  <c:v>2.5303010000061477</c:v>
                </c:pt>
                <c:pt idx="125">
                  <c:v>2.5504150000051595</c:v>
                </c:pt>
                <c:pt idx="126">
                  <c:v>2.5750589999952354</c:v>
                </c:pt>
                <c:pt idx="127">
                  <c:v>2.5918490000040038</c:v>
                </c:pt>
                <c:pt idx="128">
                  <c:v>2.6100290000031237</c:v>
                </c:pt>
                <c:pt idx="129">
                  <c:v>2.6315659999963827</c:v>
                </c:pt>
                <c:pt idx="130">
                  <c:v>2.6451470000029076</c:v>
                </c:pt>
                <c:pt idx="131">
                  <c:v>2.6706280000071274</c:v>
                </c:pt>
                <c:pt idx="132">
                  <c:v>2.6857840000011493</c:v>
                </c:pt>
                <c:pt idx="133">
                  <c:v>2.7118340000015451</c:v>
                </c:pt>
                <c:pt idx="134">
                  <c:v>2.7317559999937657</c:v>
                </c:pt>
                <c:pt idx="135">
                  <c:v>2.7467389999947045</c:v>
                </c:pt>
                <c:pt idx="136">
                  <c:v>2.7717359999951441</c:v>
                </c:pt>
                <c:pt idx="137">
                  <c:v>2.7823230000067269</c:v>
                </c:pt>
                <c:pt idx="138">
                  <c:v>2.8119140000053449</c:v>
                </c:pt>
                <c:pt idx="139">
                  <c:v>2.8209769999957643</c:v>
                </c:pt>
                <c:pt idx="140">
                  <c:v>2.8517180000053486</c:v>
                </c:pt>
                <c:pt idx="141">
                  <c:v>2.8717109999997774</c:v>
                </c:pt>
                <c:pt idx="142">
                  <c:v>2.8814480000000913</c:v>
                </c:pt>
                <c:pt idx="143">
                  <c:v>2.907361999998102</c:v>
                </c:pt>
                <c:pt idx="144">
                  <c:v>2.9234009999927366</c:v>
                </c:pt>
                <c:pt idx="145">
                  <c:v>2.9484079999965616</c:v>
                </c:pt>
                <c:pt idx="146">
                  <c:v>2.9674059999961173</c:v>
                </c:pt>
                <c:pt idx="147">
                  <c:v>2.9871710000006715</c:v>
                </c:pt>
                <c:pt idx="148">
                  <c:v>3.0097939999977825</c:v>
                </c:pt>
                <c:pt idx="149">
                  <c:v>3.0274820000049658</c:v>
                </c:pt>
                <c:pt idx="150">
                  <c:v>3.0492830000002868</c:v>
                </c:pt>
                <c:pt idx="151">
                  <c:v>3.0676649999950314</c:v>
                </c:pt>
                <c:pt idx="152">
                  <c:v>3.0877840000030119</c:v>
                </c:pt>
                <c:pt idx="153">
                  <c:v>3.1087350000016158</c:v>
                </c:pt>
                <c:pt idx="154">
                  <c:v>3.1290100000042003</c:v>
                </c:pt>
                <c:pt idx="155">
                  <c:v>3.1441970000014408</c:v>
                </c:pt>
                <c:pt idx="156">
                  <c:v>3.168403000003309</c:v>
                </c:pt>
                <c:pt idx="157">
                  <c:v>3.1924449999933131</c:v>
                </c:pt>
                <c:pt idx="158">
                  <c:v>3.2133500000054482</c:v>
                </c:pt>
                <c:pt idx="159">
                  <c:v>3.2285600000031991</c:v>
                </c:pt>
                <c:pt idx="160">
                  <c:v>3.2441200000030221</c:v>
                </c:pt>
                <c:pt idx="161">
                  <c:v>3.2694909999991069</c:v>
                </c:pt>
                <c:pt idx="162">
                  <c:v>3.2937539999984438</c:v>
                </c:pt>
                <c:pt idx="163">
                  <c:v>3.3104580000072019</c:v>
                </c:pt>
                <c:pt idx="164">
                  <c:v>3.3294350000069244</c:v>
                </c:pt>
                <c:pt idx="165">
                  <c:v>3.349277000001166</c:v>
                </c:pt>
                <c:pt idx="166">
                  <c:v>3.3719500000006519</c:v>
                </c:pt>
                <c:pt idx="167">
                  <c:v>3.3908150000061141</c:v>
                </c:pt>
                <c:pt idx="168">
                  <c:v>3.4054869999963557</c:v>
                </c:pt>
                <c:pt idx="169">
                  <c:v>3.4302049999969313</c:v>
                </c:pt>
                <c:pt idx="170">
                  <c:v>3.4520959999936167</c:v>
                </c:pt>
                <c:pt idx="171">
                  <c:v>3.4648049999959767</c:v>
                </c:pt>
                <c:pt idx="172">
                  <c:v>3.49079100000381</c:v>
                </c:pt>
                <c:pt idx="173">
                  <c:v>3.5001929999998538</c:v>
                </c:pt>
                <c:pt idx="174">
                  <c:v>3.530681000003824</c:v>
                </c:pt>
                <c:pt idx="175">
                  <c:v>3.5506500000046799</c:v>
                </c:pt>
                <c:pt idx="176">
                  <c:v>3.5687520000064978</c:v>
                </c:pt>
                <c:pt idx="177">
                  <c:v>3.5910089999961201</c:v>
                </c:pt>
                <c:pt idx="178">
                  <c:v>3.6056269999971846</c:v>
                </c:pt>
                <c:pt idx="179">
                  <c:v>3.6308080000017071</c:v>
                </c:pt>
                <c:pt idx="180">
                  <c:v>3.6516960000008112</c:v>
                </c:pt>
                <c:pt idx="181">
                  <c:v>3.667555000007269</c:v>
                </c:pt>
                <c:pt idx="182">
                  <c:v>3.6924319999961881</c:v>
                </c:pt>
                <c:pt idx="183">
                  <c:v>3.7116790000000037</c:v>
                </c:pt>
                <c:pt idx="184">
                  <c:v>3.7264719999948284</c:v>
                </c:pt>
                <c:pt idx="185">
                  <c:v>3.7474039999942761</c:v>
                </c:pt>
                <c:pt idx="186">
                  <c:v>3.7724869999947259</c:v>
                </c:pt>
                <c:pt idx="187">
                  <c:v>3.7934470000036526</c:v>
                </c:pt>
                <c:pt idx="188">
                  <c:v>3.8076810000056867</c:v>
                </c:pt>
                <c:pt idx="189">
                  <c:v>3.832116000005044</c:v>
                </c:pt>
                <c:pt idx="190">
                  <c:v>3.842545000006794</c:v>
                </c:pt>
                <c:pt idx="191">
                  <c:v>3.871406999998726</c:v>
                </c:pt>
                <c:pt idx="192">
                  <c:v>3.8925960000051418</c:v>
                </c:pt>
                <c:pt idx="193">
                  <c:v>3.9126749999995809</c:v>
                </c:pt>
                <c:pt idx="194">
                  <c:v>3.9245519999967655</c:v>
                </c:pt>
                <c:pt idx="195">
                  <c:v>3.9481229999946663</c:v>
                </c:pt>
                <c:pt idx="196">
                  <c:v>3.9634170000063023</c:v>
                </c:pt>
                <c:pt idx="197">
                  <c:v>3.9902120000042487</c:v>
                </c:pt>
                <c:pt idx="198">
                  <c:v>4.0082729999994626</c:v>
                </c:pt>
                <c:pt idx="199">
                  <c:v>4.0329040000069654</c:v>
                </c:pt>
                <c:pt idx="200">
                  <c:v>4.0485679999983404</c:v>
                </c:pt>
                <c:pt idx="201">
                  <c:v>4.0655729999998584</c:v>
                </c:pt>
                <c:pt idx="202">
                  <c:v>4.0885209999978542</c:v>
                </c:pt>
                <c:pt idx="203">
                  <c:v>4.1096580000012182</c:v>
                </c:pt>
                <c:pt idx="204">
                  <c:v>4.1296569999976782</c:v>
                </c:pt>
                <c:pt idx="205">
                  <c:v>4.1485169999941718</c:v>
                </c:pt>
                <c:pt idx="206">
                  <c:v>4.1641729999973904</c:v>
                </c:pt>
                <c:pt idx="207">
                  <c:v>4.1927120000036666</c:v>
                </c:pt>
                <c:pt idx="208">
                  <c:v>4.210573000003933</c:v>
                </c:pt>
                <c:pt idx="209">
                  <c:v>4.2300249999971129</c:v>
                </c:pt>
                <c:pt idx="210">
                  <c:v>4.2491770000051474</c:v>
                </c:pt>
                <c:pt idx="211">
                  <c:v>4.2693810000055237</c:v>
                </c:pt>
                <c:pt idx="212">
                  <c:v>4.2926810000062687</c:v>
                </c:pt>
                <c:pt idx="213">
                  <c:v>4.3123619999969378</c:v>
                </c:pt>
                <c:pt idx="214">
                  <c:v>4.3236270000052173</c:v>
                </c:pt>
                <c:pt idx="215">
                  <c:v>4.3512570000020787</c:v>
                </c:pt>
                <c:pt idx="216">
                  <c:v>4.370452999995905</c:v>
                </c:pt>
                <c:pt idx="217">
                  <c:v>4.3855949999997392</c:v>
                </c:pt>
                <c:pt idx="218">
                  <c:v>4.4116510000021663</c:v>
                </c:pt>
                <c:pt idx="219">
                  <c:v>4.4319560000003548</c:v>
                </c:pt>
                <c:pt idx="220">
                  <c:v>4.450609000006807</c:v>
                </c:pt>
                <c:pt idx="221">
                  <c:v>4.4711410000018077</c:v>
                </c:pt>
                <c:pt idx="222">
                  <c:v>4.4914649999991525</c:v>
                </c:pt>
                <c:pt idx="223">
                  <c:v>4.5113770000025397</c:v>
                </c:pt>
                <c:pt idx="224">
                  <c:v>4.5335110000014538</c:v>
                </c:pt>
                <c:pt idx="225">
                  <c:v>4.5518880000017816</c:v>
                </c:pt>
                <c:pt idx="226">
                  <c:v>4.5727159999951255</c:v>
                </c:pt>
                <c:pt idx="227">
                  <c:v>4.5875990000058664</c:v>
                </c:pt>
                <c:pt idx="228">
                  <c:v>4.6115790000039851</c:v>
                </c:pt>
                <c:pt idx="229">
                  <c:v>4.6289269999979297</c:v>
                </c:pt>
                <c:pt idx="230">
                  <c:v>4.6466459999937797</c:v>
                </c:pt>
                <c:pt idx="231">
                  <c:v>4.6679900000017369</c:v>
                </c:pt>
                <c:pt idx="232">
                  <c:v>4.6924699999945005</c:v>
                </c:pt>
                <c:pt idx="233">
                  <c:v>4.7072829999960959</c:v>
                </c:pt>
                <c:pt idx="234">
                  <c:v>4.7321640000009211</c:v>
                </c:pt>
                <c:pt idx="235">
                  <c:v>4.7488690000027418</c:v>
                </c:pt>
                <c:pt idx="236">
                  <c:v>4.7680560000007972</c:v>
                </c:pt>
                <c:pt idx="237">
                  <c:v>4.7922260000050301</c:v>
                </c:pt>
                <c:pt idx="238">
                  <c:v>4.8123060000070836</c:v>
                </c:pt>
                <c:pt idx="239">
                  <c:v>4.8278129999962403</c:v>
                </c:pt>
                <c:pt idx="240">
                  <c:v>4.8518710000062129</c:v>
                </c:pt>
                <c:pt idx="241">
                  <c:v>4.8685109999933047</c:v>
                </c:pt>
                <c:pt idx="242">
                  <c:v>4.8900969999958761</c:v>
                </c:pt>
                <c:pt idx="243">
                  <c:v>4.9109770000068238</c:v>
                </c:pt>
                <c:pt idx="244">
                  <c:v>4.9282450000027893</c:v>
                </c:pt>
                <c:pt idx="245">
                  <c:v>4.9505219999991823</c:v>
                </c:pt>
                <c:pt idx="246">
                  <c:v>4.9698499999940395</c:v>
                </c:pt>
                <c:pt idx="247">
                  <c:v>4.992593000002671</c:v>
                </c:pt>
                <c:pt idx="248">
                  <c:v>5.0088120000000345</c:v>
                </c:pt>
                <c:pt idx="249">
                  <c:v>5.0316100000054576</c:v>
                </c:pt>
                <c:pt idx="250">
                  <c:v>5.0499969999946188</c:v>
                </c:pt>
                <c:pt idx="251">
                  <c:v>5.0693129999999655</c:v>
                </c:pt>
                <c:pt idx="252">
                  <c:v>5.0893229999928735</c:v>
                </c:pt>
                <c:pt idx="253">
                  <c:v>5.1057020000007469</c:v>
                </c:pt>
                <c:pt idx="254">
                  <c:v>5.1303250000055414</c:v>
                </c:pt>
                <c:pt idx="255">
                  <c:v>5.1522410000034142</c:v>
                </c:pt>
                <c:pt idx="256">
                  <c:v>5.1705280000023777</c:v>
                </c:pt>
                <c:pt idx="257">
                  <c:v>5.1904260000010254</c:v>
                </c:pt>
                <c:pt idx="258">
                  <c:v>5.2120589999976801</c:v>
                </c:pt>
                <c:pt idx="259">
                  <c:v>5.23209499999939</c:v>
                </c:pt>
                <c:pt idx="260">
                  <c:v>5.2414469999930589</c:v>
                </c:pt>
                <c:pt idx="261">
                  <c:v>5.2651409999962198</c:v>
                </c:pt>
                <c:pt idx="262">
                  <c:v>5.2915400000056252</c:v>
                </c:pt>
                <c:pt idx="263">
                  <c:v>5.3114269999932731</c:v>
                </c:pt>
                <c:pt idx="264">
                  <c:v>5.3258539999951608</c:v>
                </c:pt>
                <c:pt idx="265">
                  <c:v>5.3507320000062464</c:v>
                </c:pt>
                <c:pt idx="266">
                  <c:v>5.3712130000058096</c:v>
                </c:pt>
                <c:pt idx="267">
                  <c:v>5.3883910000004107</c:v>
                </c:pt>
                <c:pt idx="268">
                  <c:v>5.411642999999458</c:v>
                </c:pt>
                <c:pt idx="269">
                  <c:v>5.4311230000021169</c:v>
                </c:pt>
                <c:pt idx="270">
                  <c:v>5.4486299999989569</c:v>
                </c:pt>
                <c:pt idx="271">
                  <c:v>5.4724680000072112</c:v>
                </c:pt>
                <c:pt idx="272">
                  <c:v>5.4919269999954849</c:v>
                </c:pt>
                <c:pt idx="273">
                  <c:v>5.511863000006997</c:v>
                </c:pt>
                <c:pt idx="274">
                  <c:v>5.5304809999943245</c:v>
                </c:pt>
                <c:pt idx="275">
                  <c:v>5.5470349999959581</c:v>
                </c:pt>
                <c:pt idx="276">
                  <c:v>5.5724880000052508</c:v>
                </c:pt>
                <c:pt idx="277">
                  <c:v>5.5827129999961471</c:v>
                </c:pt>
                <c:pt idx="278">
                  <c:v>5.6128069999977015</c:v>
                </c:pt>
                <c:pt idx="279">
                  <c:v>5.6301979999989271</c:v>
                </c:pt>
                <c:pt idx="280">
                  <c:v>5.6481090000015683</c:v>
                </c:pt>
                <c:pt idx="281">
                  <c:v>5.6710330000059912</c:v>
                </c:pt>
                <c:pt idx="282">
                  <c:v>5.688586000003852</c:v>
                </c:pt>
                <c:pt idx="283">
                  <c:v>5.7051849999988917</c:v>
                </c:pt>
                <c:pt idx="284">
                  <c:v>5.7317630000034114</c:v>
                </c:pt>
                <c:pt idx="285">
                  <c:v>5.7484459999977844</c:v>
                </c:pt>
                <c:pt idx="286">
                  <c:v>5.770009999992908</c:v>
                </c:pt>
                <c:pt idx="287">
                  <c:v>5.7910430000047199</c:v>
                </c:pt>
                <c:pt idx="288">
                  <c:v>5.811199999996461</c:v>
                </c:pt>
                <c:pt idx="289">
                  <c:v>5.8293629999971017</c:v>
                </c:pt>
                <c:pt idx="290">
                  <c:v>5.8445210000063526</c:v>
                </c:pt>
                <c:pt idx="291">
                  <c:v>5.8717230000038398</c:v>
                </c:pt>
                <c:pt idx="292">
                  <c:v>5.8918779999949038</c:v>
                </c:pt>
                <c:pt idx="293">
                  <c:v>5.9094639999966603</c:v>
                </c:pt>
                <c:pt idx="294">
                  <c:v>5.9309780000039609</c:v>
                </c:pt>
                <c:pt idx="295">
                  <c:v>5.9442010000057053</c:v>
                </c:pt>
                <c:pt idx="296">
                  <c:v>5.9691310000052908</c:v>
                </c:pt>
                <c:pt idx="297">
                  <c:v>5.9892129999934696</c:v>
                </c:pt>
                <c:pt idx="298">
                  <c:v>6.0112450000015087</c:v>
                </c:pt>
                <c:pt idx="299">
                  <c:v>6.0316659999953117</c:v>
                </c:pt>
                <c:pt idx="300">
                  <c:v>6.049723999996786</c:v>
                </c:pt>
                <c:pt idx="301">
                  <c:v>6.0702909999963595</c:v>
                </c:pt>
                <c:pt idx="302">
                  <c:v>6.0916339999967022</c:v>
                </c:pt>
                <c:pt idx="303">
                  <c:v>6.1098610000044573</c:v>
                </c:pt>
                <c:pt idx="304">
                  <c:v>6.1296969999966677</c:v>
                </c:pt>
                <c:pt idx="305">
                  <c:v>6.1473790000018198</c:v>
                </c:pt>
                <c:pt idx="306">
                  <c:v>6.1705170000059297</c:v>
                </c:pt>
                <c:pt idx="307">
                  <c:v>6.1910729999945033</c:v>
                </c:pt>
                <c:pt idx="308">
                  <c:v>6.2112950000009732</c:v>
                </c:pt>
                <c:pt idx="309">
                  <c:v>6.2324990000051912</c:v>
                </c:pt>
                <c:pt idx="310">
                  <c:v>6.2469310000014957</c:v>
                </c:pt>
                <c:pt idx="311">
                  <c:v>6.2678610000002664</c:v>
                </c:pt>
                <c:pt idx="312">
                  <c:v>6.2864479999989271</c:v>
                </c:pt>
                <c:pt idx="313">
                  <c:v>6.3126840000040829</c:v>
                </c:pt>
                <c:pt idx="314">
                  <c:v>6.3321949999954086</c:v>
                </c:pt>
                <c:pt idx="315">
                  <c:v>6.3515110000007553</c:v>
                </c:pt>
                <c:pt idx="316">
                  <c:v>6.3666939999966417</c:v>
                </c:pt>
                <c:pt idx="317">
                  <c:v>6.3825130000041099</c:v>
                </c:pt>
                <c:pt idx="318">
                  <c:v>6.4117300000070827</c:v>
                </c:pt>
                <c:pt idx="319">
                  <c:v>6.42871500000183</c:v>
                </c:pt>
                <c:pt idx="320">
                  <c:v>6.4473149999976158</c:v>
                </c:pt>
                <c:pt idx="321">
                  <c:v>6.4672019999998156</c:v>
                </c:pt>
                <c:pt idx="322">
                  <c:v>6.4927759999991395</c:v>
                </c:pt>
                <c:pt idx="323">
                  <c:v>6.5122140000021318</c:v>
                </c:pt>
                <c:pt idx="324">
                  <c:v>6.5327839999954449</c:v>
                </c:pt>
                <c:pt idx="325">
                  <c:v>6.5528210000047693</c:v>
                </c:pt>
                <c:pt idx="326">
                  <c:v>6.5691119999974035</c:v>
                </c:pt>
                <c:pt idx="327">
                  <c:v>6.5885390000039479</c:v>
                </c:pt>
                <c:pt idx="328">
                  <c:v>6.6088980000058655</c:v>
                </c:pt>
                <c:pt idx="329">
                  <c:v>6.6250469999940833</c:v>
                </c:pt>
                <c:pt idx="330">
                  <c:v>6.6494329999986803</c:v>
                </c:pt>
                <c:pt idx="331">
                  <c:v>6.6683259999990696</c:v>
                </c:pt>
                <c:pt idx="332">
                  <c:v>6.6891250000044238</c:v>
                </c:pt>
                <c:pt idx="333">
                  <c:v>6.7096219999948516</c:v>
                </c:pt>
                <c:pt idx="334">
                  <c:v>6.7310640000068815</c:v>
                </c:pt>
                <c:pt idx="335">
                  <c:v>6.750530000004801</c:v>
                </c:pt>
                <c:pt idx="336">
                  <c:v>6.7719000000070082</c:v>
                </c:pt>
                <c:pt idx="337">
                  <c:v>6.7896100000070874</c:v>
                </c:pt>
                <c:pt idx="338">
                  <c:v>6.8107880000025034</c:v>
                </c:pt>
                <c:pt idx="339">
                  <c:v>6.8291630000021541</c:v>
                </c:pt>
                <c:pt idx="340">
                  <c:v>6.8509550000017043</c:v>
                </c:pt>
                <c:pt idx="341">
                  <c:v>6.8708230000047479</c:v>
                </c:pt>
                <c:pt idx="342">
                  <c:v>6.8905999999988126</c:v>
                </c:pt>
                <c:pt idx="343">
                  <c:v>6.9100480000051903</c:v>
                </c:pt>
                <c:pt idx="344">
                  <c:v>6.9326330000039889</c:v>
                </c:pt>
                <c:pt idx="345">
                  <c:v>6.9449889999959851</c:v>
                </c:pt>
                <c:pt idx="346">
                  <c:v>6.9655269999930169</c:v>
                </c:pt>
                <c:pt idx="347">
                  <c:v>6.9883089999930235</c:v>
                </c:pt>
                <c:pt idx="348">
                  <c:v>7.0150399999984074</c:v>
                </c:pt>
                <c:pt idx="349">
                  <c:v>7.0287379999936093</c:v>
                </c:pt>
                <c:pt idx="350">
                  <c:v>7.0497789999935776</c:v>
                </c:pt>
                <c:pt idx="351">
                  <c:v>7.0709510000015143</c:v>
                </c:pt>
                <c:pt idx="352">
                  <c:v>7.0911889999988489</c:v>
                </c:pt>
                <c:pt idx="353">
                  <c:v>7.1107849999971222</c:v>
                </c:pt>
                <c:pt idx="354">
                  <c:v>7.129413000002387</c:v>
                </c:pt>
                <c:pt idx="355">
                  <c:v>7.1513030000060098</c:v>
                </c:pt>
                <c:pt idx="356">
                  <c:v>7.1711340000038035</c:v>
                </c:pt>
                <c:pt idx="357">
                  <c:v>7.1819510000059381</c:v>
                </c:pt>
                <c:pt idx="358">
                  <c:v>7.2112820000038482</c:v>
                </c:pt>
                <c:pt idx="359">
                  <c:v>7.2316540000028908</c:v>
                </c:pt>
                <c:pt idx="360">
                  <c:v>7.249498000004678</c:v>
                </c:pt>
                <c:pt idx="361">
                  <c:v>7.2723109999933513</c:v>
                </c:pt>
                <c:pt idx="362">
                  <c:v>7.2877690000022994</c:v>
                </c:pt>
                <c:pt idx="363">
                  <c:v>7.3076699999946868</c:v>
                </c:pt>
                <c:pt idx="364">
                  <c:v>7.3309580000059213</c:v>
                </c:pt>
                <c:pt idx="365">
                  <c:v>7.3470830000005662</c:v>
                </c:pt>
                <c:pt idx="366">
                  <c:v>7.3723239999962971</c:v>
                </c:pt>
                <c:pt idx="367">
                  <c:v>7.388491999998223</c:v>
                </c:pt>
                <c:pt idx="368">
                  <c:v>7.4141660000022966</c:v>
                </c:pt>
                <c:pt idx="369">
                  <c:v>7.4282570000068517</c:v>
                </c:pt>
                <c:pt idx="370">
                  <c:v>7.4526329999935115</c:v>
                </c:pt>
                <c:pt idx="371">
                  <c:v>7.4675129999959609</c:v>
                </c:pt>
                <c:pt idx="372">
                  <c:v>7.4838699999963865</c:v>
                </c:pt>
                <c:pt idx="373">
                  <c:v>7.5100749999983236</c:v>
                </c:pt>
                <c:pt idx="374">
                  <c:v>7.528613000002224</c:v>
                </c:pt>
                <c:pt idx="375">
                  <c:v>7.5522110000019893</c:v>
                </c:pt>
                <c:pt idx="376">
                  <c:v>7.5683180000050925</c:v>
                </c:pt>
                <c:pt idx="377">
                  <c:v>7.5886889999965206</c:v>
                </c:pt>
                <c:pt idx="378">
                  <c:v>7.6127379999961704</c:v>
                </c:pt>
                <c:pt idx="379">
                  <c:v>7.6298700000043027</c:v>
                </c:pt>
                <c:pt idx="380">
                  <c:v>7.6484230000060052</c:v>
                </c:pt>
                <c:pt idx="381">
                  <c:v>7.6698239999968791</c:v>
                </c:pt>
                <c:pt idx="382">
                  <c:v>7.6921860000002198</c:v>
                </c:pt>
                <c:pt idx="383">
                  <c:v>7.7091660000005504</c:v>
                </c:pt>
                <c:pt idx="384">
                  <c:v>7.7291450000047917</c:v>
                </c:pt>
                <c:pt idx="385">
                  <c:v>7.7497719999955734</c:v>
                </c:pt>
                <c:pt idx="386">
                  <c:v>7.7715639999951236</c:v>
                </c:pt>
                <c:pt idx="387">
                  <c:v>7.7911140000069281</c:v>
                </c:pt>
                <c:pt idx="388">
                  <c:v>7.8119900000019697</c:v>
                </c:pt>
                <c:pt idx="389">
                  <c:v>7.8302689999982249</c:v>
                </c:pt>
                <c:pt idx="390">
                  <c:v>7.8519539999979315</c:v>
                </c:pt>
                <c:pt idx="391">
                  <c:v>7.8683909999963362</c:v>
                </c:pt>
                <c:pt idx="392">
                  <c:v>7.8853410000010626</c:v>
                </c:pt>
                <c:pt idx="393">
                  <c:v>7.912956000000122</c:v>
                </c:pt>
                <c:pt idx="394">
                  <c:v>7.9313450000045123</c:v>
                </c:pt>
                <c:pt idx="395">
                  <c:v>7.9516210000001593</c:v>
                </c:pt>
                <c:pt idx="396">
                  <c:v>7.9659260000044014</c:v>
                </c:pt>
                <c:pt idx="397">
                  <c:v>7.9909760000009555</c:v>
                </c:pt>
                <c:pt idx="398">
                  <c:v>8.01231099999859</c:v>
                </c:pt>
                <c:pt idx="399">
                  <c:v>8.0322259999957168</c:v>
                </c:pt>
                <c:pt idx="400">
                  <c:v>8.0511189999961061</c:v>
                </c:pt>
                <c:pt idx="401">
                  <c:v>8.0714940000034403</c:v>
                </c:pt>
                <c:pt idx="402">
                  <c:v>8.0898069999966538</c:v>
                </c:pt>
                <c:pt idx="403">
                  <c:v>8.1068789999990258</c:v>
                </c:pt>
                <c:pt idx="404">
                  <c:v>8.1312029999971855</c:v>
                </c:pt>
                <c:pt idx="405">
                  <c:v>8.151650999992853</c:v>
                </c:pt>
                <c:pt idx="406">
                  <c:v>8.1723490000003949</c:v>
                </c:pt>
                <c:pt idx="407">
                  <c:v>8.1932720000040717</c:v>
                </c:pt>
                <c:pt idx="408">
                  <c:v>8.209526000006008</c:v>
                </c:pt>
                <c:pt idx="409">
                  <c:v>8.2299679999996442</c:v>
                </c:pt>
                <c:pt idx="410">
                  <c:v>8.2472580000030575</c:v>
                </c:pt>
                <c:pt idx="411">
                  <c:v>8.2727100000047358</c:v>
                </c:pt>
                <c:pt idx="412">
                  <c:v>8.2902400000020862</c:v>
                </c:pt>
                <c:pt idx="413">
                  <c:v>8.3125600000057602</c:v>
                </c:pt>
                <c:pt idx="414">
                  <c:v>8.32836299999326</c:v>
                </c:pt>
                <c:pt idx="415">
                  <c:v>8.3478409999952419</c:v>
                </c:pt>
                <c:pt idx="416">
                  <c:v>8.3705970000009984</c:v>
                </c:pt>
                <c:pt idx="417">
                  <c:v>8.3892280000000028</c:v>
                </c:pt>
                <c:pt idx="418">
                  <c:v>8.4092459999956191</c:v>
                </c:pt>
                <c:pt idx="419">
                  <c:v>8.4297820000065258</c:v>
                </c:pt>
                <c:pt idx="420">
                  <c:v>8.4489529999991646</c:v>
                </c:pt>
                <c:pt idx="421">
                  <c:v>8.4718020000000251</c:v>
                </c:pt>
                <c:pt idx="422">
                  <c:v>8.4891919999936363</c:v>
                </c:pt>
                <c:pt idx="423">
                  <c:v>8.5079549999936717</c:v>
                </c:pt>
                <c:pt idx="424">
                  <c:v>8.5307969999994384</c:v>
                </c:pt>
                <c:pt idx="425">
                  <c:v>8.5492760000051931</c:v>
                </c:pt>
                <c:pt idx="426">
                  <c:v>8.5697260000015376</c:v>
                </c:pt>
                <c:pt idx="427">
                  <c:v>8.5921099999977741</c:v>
                </c:pt>
                <c:pt idx="428">
                  <c:v>8.6114609999931417</c:v>
                </c:pt>
                <c:pt idx="429">
                  <c:v>8.6322240000008605</c:v>
                </c:pt>
                <c:pt idx="430">
                  <c:v>8.6513730000006035</c:v>
                </c:pt>
                <c:pt idx="431">
                  <c:v>8.6656849999999395</c:v>
                </c:pt>
                <c:pt idx="432">
                  <c:v>8.6921200000069803</c:v>
                </c:pt>
                <c:pt idx="433">
                  <c:v>8.7099770000058925</c:v>
                </c:pt>
                <c:pt idx="434">
                  <c:v>8.7308309999934863</c:v>
                </c:pt>
                <c:pt idx="435">
                  <c:v>8.7502260000037495</c:v>
                </c:pt>
                <c:pt idx="436">
                  <c:v>8.7707749999972293</c:v>
                </c:pt>
                <c:pt idx="437">
                  <c:v>8.7914420000015525</c:v>
                </c:pt>
                <c:pt idx="438">
                  <c:v>8.8122889999940526</c:v>
                </c:pt>
                <c:pt idx="439">
                  <c:v>8.8308479999977862</c:v>
                </c:pt>
                <c:pt idx="440">
                  <c:v>8.8516930000041611</c:v>
                </c:pt>
                <c:pt idx="441">
                  <c:v>8.8710469999932684</c:v>
                </c:pt>
                <c:pt idx="442">
                  <c:v>8.8911879999941448</c:v>
                </c:pt>
                <c:pt idx="443">
                  <c:v>8.9112809999933233</c:v>
                </c:pt>
                <c:pt idx="444">
                  <c:v>8.9323690000019269</c:v>
                </c:pt>
                <c:pt idx="445">
                  <c:v>8.9531209999986459</c:v>
                </c:pt>
                <c:pt idx="446">
                  <c:v>8.9713460000057239</c:v>
                </c:pt>
                <c:pt idx="447">
                  <c:v>8.9924549999996088</c:v>
                </c:pt>
                <c:pt idx="448">
                  <c:v>9.0075380000052974</c:v>
                </c:pt>
                <c:pt idx="449">
                  <c:v>9.0278510000061942</c:v>
                </c:pt>
                <c:pt idx="450">
                  <c:v>9.0519409999978961</c:v>
                </c:pt>
                <c:pt idx="451">
                  <c:v>9.068316999997478</c:v>
                </c:pt>
                <c:pt idx="452">
                  <c:v>9.0950299999967683</c:v>
                </c:pt>
                <c:pt idx="453">
                  <c:v>9.1123260000022128</c:v>
                </c:pt>
                <c:pt idx="454">
                  <c:v>9.132448000003933</c:v>
                </c:pt>
                <c:pt idx="455">
                  <c:v>9.1494289999973262</c:v>
                </c:pt>
                <c:pt idx="456">
                  <c:v>9.1725169999990612</c:v>
                </c:pt>
                <c:pt idx="457">
                  <c:v>9.1901320000033593</c:v>
                </c:pt>
                <c:pt idx="458">
                  <c:v>9.2093480000039563</c:v>
                </c:pt>
                <c:pt idx="459">
                  <c:v>9.2288129999942612</c:v>
                </c:pt>
                <c:pt idx="460">
                  <c:v>9.2517269999952987</c:v>
                </c:pt>
                <c:pt idx="461">
                  <c:v>9.2573379999957979</c:v>
                </c:pt>
                <c:pt idx="462">
                  <c:v>9.2909749999962514</c:v>
                </c:pt>
                <c:pt idx="463">
                  <c:v>9.3134209999989253</c:v>
                </c:pt>
                <c:pt idx="464">
                  <c:v>9.3283890000020619</c:v>
                </c:pt>
                <c:pt idx="465">
                  <c:v>9.3499370000063209</c:v>
                </c:pt>
                <c:pt idx="466">
                  <c:v>9.368570999999065</c:v>
                </c:pt>
                <c:pt idx="467">
                  <c:v>9.3888219999935245</c:v>
                </c:pt>
                <c:pt idx="468">
                  <c:v>9.4126010000036331</c:v>
                </c:pt>
                <c:pt idx="469">
                  <c:v>9.4302449999959208</c:v>
                </c:pt>
                <c:pt idx="470">
                  <c:v>9.4511420000053477</c:v>
                </c:pt>
                <c:pt idx="471">
                  <c:v>9.4722259999980452</c:v>
                </c:pt>
                <c:pt idx="472">
                  <c:v>9.4890560000058031</c:v>
                </c:pt>
                <c:pt idx="473">
                  <c:v>9.5113600000040606</c:v>
                </c:pt>
                <c:pt idx="474">
                  <c:v>9.5310690000042086</c:v>
                </c:pt>
                <c:pt idx="475">
                  <c:v>9.5521520000038436</c:v>
                </c:pt>
                <c:pt idx="476">
                  <c:v>9.5712550000025658</c:v>
                </c:pt>
                <c:pt idx="477">
                  <c:v>9.5938239999959478</c:v>
                </c:pt>
                <c:pt idx="478">
                  <c:v>9.6115509999945061</c:v>
                </c:pt>
                <c:pt idx="479">
                  <c:v>9.6323450000054436</c:v>
                </c:pt>
                <c:pt idx="480">
                  <c:v>9.6483310000039637</c:v>
                </c:pt>
                <c:pt idx="481">
                  <c:v>9.6702510000031907</c:v>
                </c:pt>
                <c:pt idx="482">
                  <c:v>9.691634000002523</c:v>
                </c:pt>
                <c:pt idx="483">
                  <c:v>9.7088930000027176</c:v>
                </c:pt>
                <c:pt idx="484">
                  <c:v>9.7308289999928093</c:v>
                </c:pt>
                <c:pt idx="485">
                  <c:v>9.7508499999967171</c:v>
                </c:pt>
                <c:pt idx="486">
                  <c:v>9.7763399999967078</c:v>
                </c:pt>
                <c:pt idx="487">
                  <c:v>9.7917989999987185</c:v>
                </c:pt>
                <c:pt idx="488">
                  <c:v>9.811400999999023</c:v>
                </c:pt>
                <c:pt idx="489">
                  <c:v>9.8322630000038771</c:v>
                </c:pt>
                <c:pt idx="490">
                  <c:v>9.8472780000010971</c:v>
                </c:pt>
                <c:pt idx="491">
                  <c:v>9.872019000002183</c:v>
                </c:pt>
                <c:pt idx="492">
                  <c:v>9.8817750000016531</c:v>
                </c:pt>
                <c:pt idx="493">
                  <c:v>9.9077549999929033</c:v>
                </c:pt>
                <c:pt idx="494">
                  <c:v>9.9269689999928232</c:v>
                </c:pt>
                <c:pt idx="495">
                  <c:v>9.9470339999970747</c:v>
                </c:pt>
                <c:pt idx="496">
                  <c:v>9.9727089999942109</c:v>
                </c:pt>
                <c:pt idx="497">
                  <c:v>9.9884049999964191</c:v>
                </c:pt>
                <c:pt idx="498">
                  <c:v>10.013143000003765</c:v>
                </c:pt>
                <c:pt idx="499">
                  <c:v>10.027495999995153</c:v>
                </c:pt>
                <c:pt idx="500">
                  <c:v>10.05183300000499</c:v>
                </c:pt>
                <c:pt idx="501">
                  <c:v>10.06832900000154</c:v>
                </c:pt>
                <c:pt idx="502">
                  <c:v>10.089515999992727</c:v>
                </c:pt>
                <c:pt idx="503">
                  <c:v>10.109035000001313</c:v>
                </c:pt>
                <c:pt idx="504">
                  <c:v>10.131200000003446</c:v>
                </c:pt>
                <c:pt idx="505">
                  <c:v>10.148446000006516</c:v>
                </c:pt>
                <c:pt idx="506">
                  <c:v>10.171665000001667</c:v>
                </c:pt>
                <c:pt idx="507">
                  <c:v>10.192116999998689</c:v>
                </c:pt>
                <c:pt idx="508">
                  <c:v>10.209465000007185</c:v>
                </c:pt>
                <c:pt idx="509">
                  <c:v>10.229057999997167</c:v>
                </c:pt>
                <c:pt idx="510">
                  <c:v>10.250962999998592</c:v>
                </c:pt>
                <c:pt idx="511">
                  <c:v>10.269706000006408</c:v>
                </c:pt>
                <c:pt idx="512">
                  <c:v>10.289057000001776</c:v>
                </c:pt>
                <c:pt idx="513">
                  <c:v>10.306614999994054</c:v>
                </c:pt>
                <c:pt idx="514">
                  <c:v>10.331304999999702</c:v>
                </c:pt>
                <c:pt idx="515">
                  <c:v>10.351611999998568</c:v>
                </c:pt>
                <c:pt idx="516">
                  <c:v>10.3717089999991</c:v>
                </c:pt>
                <c:pt idx="517">
                  <c:v>10.391096000006655</c:v>
                </c:pt>
                <c:pt idx="518">
                  <c:v>10.41011399999843</c:v>
                </c:pt>
                <c:pt idx="519">
                  <c:v>10.429852999994182</c:v>
                </c:pt>
                <c:pt idx="520">
                  <c:v>10.445370999994338</c:v>
                </c:pt>
                <c:pt idx="521">
                  <c:v>10.470939999999246</c:v>
                </c:pt>
                <c:pt idx="522">
                  <c:v>10.490499000006821</c:v>
                </c:pt>
                <c:pt idx="523">
                  <c:v>10.510519000003114</c:v>
                </c:pt>
                <c:pt idx="524">
                  <c:v>10.522169000003487</c:v>
                </c:pt>
                <c:pt idx="525">
                  <c:v>10.552653000006103</c:v>
                </c:pt>
                <c:pt idx="526">
                  <c:v>10.571588999999221</c:v>
                </c:pt>
                <c:pt idx="527">
                  <c:v>10.591409000000567</c:v>
                </c:pt>
                <c:pt idx="528">
                  <c:v>10.608141999997315</c:v>
                </c:pt>
                <c:pt idx="529">
                  <c:v>10.629788000005647</c:v>
                </c:pt>
                <c:pt idx="530">
                  <c:v>10.650997000004281</c:v>
                </c:pt>
                <c:pt idx="531">
                  <c:v>10.666129999997793</c:v>
                </c:pt>
                <c:pt idx="532">
                  <c:v>10.691508999996586</c:v>
                </c:pt>
                <c:pt idx="533">
                  <c:v>10.711544999998296</c:v>
                </c:pt>
                <c:pt idx="534">
                  <c:v>10.731562999993912</c:v>
                </c:pt>
                <c:pt idx="535">
                  <c:v>10.752687999993213</c:v>
                </c:pt>
                <c:pt idx="536">
                  <c:v>10.768247999993037</c:v>
                </c:pt>
                <c:pt idx="537">
                  <c:v>10.792191000000457</c:v>
                </c:pt>
                <c:pt idx="538">
                  <c:v>10.812338000003365</c:v>
                </c:pt>
                <c:pt idx="539">
                  <c:v>10.827447999996366</c:v>
                </c:pt>
                <c:pt idx="540">
                  <c:v>10.847934000004898</c:v>
                </c:pt>
                <c:pt idx="541">
                  <c:v>10.869233000004897</c:v>
                </c:pt>
                <c:pt idx="542">
                  <c:v>10.892042000006768</c:v>
                </c:pt>
                <c:pt idx="543">
                  <c:v>10.907489000004716</c:v>
                </c:pt>
                <c:pt idx="544">
                  <c:v>10.928495000000112</c:v>
                </c:pt>
                <c:pt idx="545">
                  <c:v>10.949464000004809</c:v>
                </c:pt>
                <c:pt idx="546">
                  <c:v>10.970774999994319</c:v>
                </c:pt>
                <c:pt idx="547">
                  <c:v>10.988490000003367</c:v>
                </c:pt>
                <c:pt idx="548">
                  <c:v>11.00688899999659</c:v>
                </c:pt>
                <c:pt idx="549">
                  <c:v>11.030119999995804</c:v>
                </c:pt>
                <c:pt idx="550">
                  <c:v>11.045318999997107</c:v>
                </c:pt>
                <c:pt idx="551">
                  <c:v>11.070449999999255</c:v>
                </c:pt>
                <c:pt idx="552">
                  <c:v>11.089344000007259</c:v>
                </c:pt>
                <c:pt idx="553">
                  <c:v>11.109353000007104</c:v>
                </c:pt>
                <c:pt idx="554">
                  <c:v>11.128750999996555</c:v>
                </c:pt>
                <c:pt idx="555">
                  <c:v>11.151285999992979</c:v>
                </c:pt>
                <c:pt idx="556">
                  <c:v>11.171239999996033</c:v>
                </c:pt>
                <c:pt idx="557">
                  <c:v>11.192869000005885</c:v>
                </c:pt>
                <c:pt idx="558">
                  <c:v>11.210768999997526</c:v>
                </c:pt>
                <c:pt idx="559">
                  <c:v>11.231358000004548</c:v>
                </c:pt>
                <c:pt idx="560">
                  <c:v>11.249712999997428</c:v>
                </c:pt>
                <c:pt idx="561">
                  <c:v>11.271143999998458</c:v>
                </c:pt>
                <c:pt idx="562">
                  <c:v>11.291545999993104</c:v>
                </c:pt>
                <c:pt idx="563">
                  <c:v>11.310442000001785</c:v>
                </c:pt>
                <c:pt idx="564">
                  <c:v>11.3300040000031</c:v>
                </c:pt>
                <c:pt idx="565">
                  <c:v>11.350435000000289</c:v>
                </c:pt>
                <c:pt idx="566">
                  <c:v>11.372071999998298</c:v>
                </c:pt>
                <c:pt idx="567">
                  <c:v>11.39077699999325</c:v>
                </c:pt>
                <c:pt idx="568">
                  <c:v>11.410518999997294</c:v>
                </c:pt>
                <c:pt idx="569">
                  <c:v>11.43243000000075</c:v>
                </c:pt>
                <c:pt idx="570">
                  <c:v>11.451625000001513</c:v>
                </c:pt>
                <c:pt idx="571">
                  <c:v>11.471195999998599</c:v>
                </c:pt>
                <c:pt idx="572">
                  <c:v>11.486029000006965</c:v>
                </c:pt>
                <c:pt idx="573">
                  <c:v>11.510118999998667</c:v>
                </c:pt>
                <c:pt idx="574">
                  <c:v>11.528508000003058</c:v>
                </c:pt>
                <c:pt idx="575">
                  <c:v>11.551496000000043</c:v>
                </c:pt>
                <c:pt idx="576">
                  <c:v>11.571083999995608</c:v>
                </c:pt>
                <c:pt idx="577">
                  <c:v>11.587893000003533</c:v>
                </c:pt>
                <c:pt idx="578">
                  <c:v>11.611439000000246</c:v>
                </c:pt>
                <c:pt idx="579">
                  <c:v>11.632140000001527</c:v>
                </c:pt>
                <c:pt idx="580">
                  <c:v>11.647339999995893</c:v>
                </c:pt>
                <c:pt idx="581">
                  <c:v>11.672548999995342</c:v>
                </c:pt>
                <c:pt idx="582">
                  <c:v>11.687829999995301</c:v>
                </c:pt>
                <c:pt idx="583">
                  <c:v>11.70960699999705</c:v>
                </c:pt>
                <c:pt idx="584">
                  <c:v>11.7333409999992</c:v>
                </c:pt>
                <c:pt idx="585">
                  <c:v>11.748265000001993</c:v>
                </c:pt>
                <c:pt idx="586">
                  <c:v>11.772440999993705</c:v>
                </c:pt>
                <c:pt idx="587">
                  <c:v>11.793065000005299</c:v>
                </c:pt>
                <c:pt idx="588">
                  <c:v>11.808170000003884</c:v>
                </c:pt>
                <c:pt idx="589">
                  <c:v>11.828802999996697</c:v>
                </c:pt>
                <c:pt idx="590">
                  <c:v>11.84985400000005</c:v>
                </c:pt>
                <c:pt idx="591">
                  <c:v>11.868373999997857</c:v>
                </c:pt>
                <c:pt idx="592">
                  <c:v>11.888569000002462</c:v>
                </c:pt>
                <c:pt idx="593">
                  <c:v>11.910715999998502</c:v>
                </c:pt>
                <c:pt idx="594">
                  <c:v>11.929113999998663</c:v>
                </c:pt>
                <c:pt idx="595">
                  <c:v>11.950429999997141</c:v>
                </c:pt>
                <c:pt idx="596">
                  <c:v>11.969813999996404</c:v>
                </c:pt>
                <c:pt idx="597">
                  <c:v>11.988750000004075</c:v>
                </c:pt>
                <c:pt idx="598">
                  <c:v>12.009430000005523</c:v>
                </c:pt>
                <c:pt idx="599">
                  <c:v>12.0291819999984</c:v>
                </c:pt>
                <c:pt idx="600">
                  <c:v>12.047955999994883</c:v>
                </c:pt>
                <c:pt idx="601">
                  <c:v>12.069656000006944</c:v>
                </c:pt>
                <c:pt idx="602">
                  <c:v>12.09146700000565</c:v>
                </c:pt>
                <c:pt idx="603">
                  <c:v>12.106241999994381</c:v>
                </c:pt>
                <c:pt idx="604">
                  <c:v>12.129990000001271</c:v>
                </c:pt>
                <c:pt idx="605">
                  <c:v>12.152386999994633</c:v>
                </c:pt>
                <c:pt idx="606">
                  <c:v>12.175002000003587</c:v>
                </c:pt>
                <c:pt idx="607">
                  <c:v>12.18707899999572</c:v>
                </c:pt>
                <c:pt idx="608">
                  <c:v>12.211135999998078</c:v>
                </c:pt>
                <c:pt idx="609">
                  <c:v>12.230676999999559</c:v>
                </c:pt>
                <c:pt idx="610">
                  <c:v>12.251044999997248</c:v>
                </c:pt>
                <c:pt idx="611">
                  <c:v>12.270942000002833</c:v>
                </c:pt>
                <c:pt idx="612">
                  <c:v>12.29207700000552</c:v>
                </c:pt>
                <c:pt idx="613">
                  <c:v>12.30597200000193</c:v>
                </c:pt>
                <c:pt idx="614">
                  <c:v>12.330021999994642</c:v>
                </c:pt>
                <c:pt idx="615">
                  <c:v>12.33946499999729</c:v>
                </c:pt>
                <c:pt idx="616">
                  <c:v>13.351790000000619</c:v>
                </c:pt>
                <c:pt idx="617">
                  <c:v>13.371859999999288</c:v>
                </c:pt>
                <c:pt idx="618">
                  <c:v>13.388863999993191</c:v>
                </c:pt>
                <c:pt idx="619">
                  <c:v>13.407395000001998</c:v>
                </c:pt>
                <c:pt idx="620">
                  <c:v>13.42987500000163</c:v>
                </c:pt>
                <c:pt idx="621">
                  <c:v>13.450874999994994</c:v>
                </c:pt>
                <c:pt idx="622">
                  <c:v>13.467619999995804</c:v>
                </c:pt>
                <c:pt idx="623">
                  <c:v>13.488779000006616</c:v>
                </c:pt>
                <c:pt idx="624">
                  <c:v>13.507763999994495</c:v>
                </c:pt>
                <c:pt idx="625">
                  <c:v>13.528839999999036</c:v>
                </c:pt>
                <c:pt idx="626">
                  <c:v>13.549887999994098</c:v>
                </c:pt>
                <c:pt idx="627">
                  <c:v>13.568274999997811</c:v>
                </c:pt>
                <c:pt idx="628">
                  <c:v>13.584950999997091</c:v>
                </c:pt>
                <c:pt idx="629">
                  <c:v>13.608691999994335</c:v>
                </c:pt>
                <c:pt idx="630">
                  <c:v>13.631886000002851</c:v>
                </c:pt>
                <c:pt idx="631">
                  <c:v>13.651257000004989</c:v>
                </c:pt>
                <c:pt idx="632">
                  <c:v>13.670664999997825</c:v>
                </c:pt>
                <c:pt idx="633">
                  <c:v>13.690228000006755</c:v>
                </c:pt>
                <c:pt idx="634">
                  <c:v>13.707404999993742</c:v>
                </c:pt>
                <c:pt idx="635">
                  <c:v>13.729785000003176</c:v>
                </c:pt>
                <c:pt idx="636">
                  <c:v>13.750499000001582</c:v>
                </c:pt>
                <c:pt idx="637">
                  <c:v>13.769012000004295</c:v>
                </c:pt>
                <c:pt idx="638">
                  <c:v>13.793971000006422</c:v>
                </c:pt>
                <c:pt idx="639">
                  <c:v>13.809563999995589</c:v>
                </c:pt>
                <c:pt idx="640">
                  <c:v>13.831714999992982</c:v>
                </c:pt>
                <c:pt idx="641">
                  <c:v>13.85037800000282</c:v>
                </c:pt>
                <c:pt idx="642">
                  <c:v>13.87075200000254</c:v>
                </c:pt>
                <c:pt idx="643">
                  <c:v>13.889808000007179</c:v>
                </c:pt>
                <c:pt idx="644">
                  <c:v>13.909813999998732</c:v>
                </c:pt>
                <c:pt idx="645">
                  <c:v>13.932627000001958</c:v>
                </c:pt>
                <c:pt idx="646">
                  <c:v>13.950106999996933</c:v>
                </c:pt>
                <c:pt idx="647">
                  <c:v>13.970318000006955</c:v>
                </c:pt>
                <c:pt idx="648">
                  <c:v>13.992660000003525</c:v>
                </c:pt>
                <c:pt idx="649">
                  <c:v>14.01459399999294</c:v>
                </c:pt>
                <c:pt idx="650">
                  <c:v>14.025643000000855</c:v>
                </c:pt>
                <c:pt idx="651">
                  <c:v>14.051489999998012</c:v>
                </c:pt>
                <c:pt idx="652">
                  <c:v>14.072893999997177</c:v>
                </c:pt>
                <c:pt idx="653">
                  <c:v>14.091761999996379</c:v>
                </c:pt>
                <c:pt idx="654">
                  <c:v>14.111357999994652</c:v>
                </c:pt>
                <c:pt idx="655">
                  <c:v>14.127901999992901</c:v>
                </c:pt>
                <c:pt idx="656">
                  <c:v>14.146198000002187</c:v>
                </c:pt>
                <c:pt idx="657">
                  <c:v>14.166505999994115</c:v>
                </c:pt>
                <c:pt idx="658">
                  <c:v>14.191732000006596</c:v>
                </c:pt>
                <c:pt idx="659">
                  <c:v>14.211983999994118</c:v>
                </c:pt>
                <c:pt idx="660">
                  <c:v>14.228550999992876</c:v>
                </c:pt>
                <c:pt idx="661">
                  <c:v>14.247289000006276</c:v>
                </c:pt>
                <c:pt idx="662">
                  <c:v>14.270503000007011</c:v>
                </c:pt>
                <c:pt idx="663">
                  <c:v>14.291073000000324</c:v>
                </c:pt>
                <c:pt idx="664">
                  <c:v>14.311709000001429</c:v>
                </c:pt>
                <c:pt idx="665">
                  <c:v>14.330411999995704</c:v>
                </c:pt>
                <c:pt idx="666">
                  <c:v>14.347850000005565</c:v>
                </c:pt>
                <c:pt idx="667">
                  <c:v>14.369730999998865</c:v>
                </c:pt>
                <c:pt idx="668">
                  <c:v>14.389811000000918</c:v>
                </c:pt>
                <c:pt idx="669">
                  <c:v>14.393049000005703</c:v>
                </c:pt>
                <c:pt idx="670">
                  <c:v>14.420702999996138</c:v>
                </c:pt>
                <c:pt idx="671">
                  <c:v>14.448367999997572</c:v>
                </c:pt>
                <c:pt idx="672">
                  <c:v>14.468385999993188</c:v>
                </c:pt>
                <c:pt idx="673">
                  <c:v>14.490327999999863</c:v>
                </c:pt>
                <c:pt idx="674">
                  <c:v>14.505971999999019</c:v>
                </c:pt>
                <c:pt idx="675">
                  <c:v>14.53057699999772</c:v>
                </c:pt>
                <c:pt idx="676">
                  <c:v>14.550180000005639</c:v>
                </c:pt>
                <c:pt idx="677">
                  <c:v>14.574242999995477</c:v>
                </c:pt>
                <c:pt idx="678">
                  <c:v>14.589649000001373</c:v>
                </c:pt>
                <c:pt idx="679">
                  <c:v>14.611302000004798</c:v>
                </c:pt>
                <c:pt idx="680">
                  <c:v>14.62928799999645</c:v>
                </c:pt>
                <c:pt idx="681">
                  <c:v>14.649248999994597</c:v>
                </c:pt>
                <c:pt idx="682">
                  <c:v>14.669626999995671</c:v>
                </c:pt>
                <c:pt idx="683">
                  <c:v>14.690189999993891</c:v>
                </c:pt>
                <c:pt idx="684">
                  <c:v>14.709805000005872</c:v>
                </c:pt>
                <c:pt idx="685">
                  <c:v>14.731016999998246</c:v>
                </c:pt>
                <c:pt idx="686">
                  <c:v>14.746809999996913</c:v>
                </c:pt>
                <c:pt idx="687">
                  <c:v>14.770151999997324</c:v>
                </c:pt>
                <c:pt idx="688">
                  <c:v>14.790643999993335</c:v>
                </c:pt>
                <c:pt idx="689">
                  <c:v>14.810568999993848</c:v>
                </c:pt>
                <c:pt idx="690">
                  <c:v>14.832399000006262</c:v>
                </c:pt>
                <c:pt idx="691">
                  <c:v>14.853262000004179</c:v>
                </c:pt>
                <c:pt idx="692">
                  <c:v>14.870527999999467</c:v>
                </c:pt>
                <c:pt idx="693">
                  <c:v>14.892261000000872</c:v>
                </c:pt>
                <c:pt idx="694">
                  <c:v>14.912981999994372</c:v>
                </c:pt>
                <c:pt idx="695">
                  <c:v>14.93114400000195</c:v>
                </c:pt>
                <c:pt idx="696">
                  <c:v>14.952296999996179</c:v>
                </c:pt>
                <c:pt idx="697">
                  <c:v>14.958132999992813</c:v>
                </c:pt>
                <c:pt idx="698">
                  <c:v>14.990680999995675</c:v>
                </c:pt>
                <c:pt idx="699">
                  <c:v>15.011146999997436</c:v>
                </c:pt>
                <c:pt idx="700">
                  <c:v>15.032527999996091</c:v>
                </c:pt>
                <c:pt idx="701">
                  <c:v>15.048139999998966</c:v>
                </c:pt>
                <c:pt idx="702">
                  <c:v>15.066653999994742</c:v>
                </c:pt>
                <c:pt idx="703">
                  <c:v>15.078278000000864</c:v>
                </c:pt>
                <c:pt idx="704">
                  <c:v>15.109525000007125</c:v>
                </c:pt>
                <c:pt idx="705">
                  <c:v>15.129438000003574</c:v>
                </c:pt>
                <c:pt idx="706">
                  <c:v>15.149376000001212</c:v>
                </c:pt>
                <c:pt idx="707">
                  <c:v>15.171973999997135</c:v>
                </c:pt>
                <c:pt idx="708">
                  <c:v>15.187661000003573</c:v>
                </c:pt>
                <c:pt idx="709">
                  <c:v>15.21059800000512</c:v>
                </c:pt>
                <c:pt idx="710">
                  <c:v>15.227759000001242</c:v>
                </c:pt>
                <c:pt idx="711">
                  <c:v>15.244133000000147</c:v>
                </c:pt>
                <c:pt idx="712">
                  <c:v>15.269520999994711</c:v>
                </c:pt>
                <c:pt idx="713">
                  <c:v>15.280324999999721</c:v>
                </c:pt>
                <c:pt idx="714">
                  <c:v>15.305550999997649</c:v>
                </c:pt>
                <c:pt idx="715">
                  <c:v>15.331890000001295</c:v>
                </c:pt>
                <c:pt idx="716">
                  <c:v>15.337560999993002</c:v>
                </c:pt>
                <c:pt idx="717">
                  <c:v>15.368329000004451</c:v>
                </c:pt>
                <c:pt idx="718">
                  <c:v>15.384090999999898</c:v>
                </c:pt>
                <c:pt idx="719">
                  <c:v>15.409184000003734</c:v>
                </c:pt>
                <c:pt idx="720">
                  <c:v>15.430563999994774</c:v>
                </c:pt>
                <c:pt idx="721">
                  <c:v>15.449940000005881</c:v>
                </c:pt>
                <c:pt idx="722">
                  <c:v>15.471531999995932</c:v>
                </c:pt>
                <c:pt idx="723">
                  <c:v>15.489065999994637</c:v>
                </c:pt>
                <c:pt idx="724">
                  <c:v>15.510055999999167</c:v>
                </c:pt>
                <c:pt idx="725">
                  <c:v>15.5320950000023</c:v>
                </c:pt>
                <c:pt idx="726">
                  <c:v>15.549629999994067</c:v>
                </c:pt>
                <c:pt idx="727">
                  <c:v>15.569447000001674</c:v>
                </c:pt>
                <c:pt idx="728">
                  <c:v>15.590635000000475</c:v>
                </c:pt>
                <c:pt idx="729">
                  <c:v>15.606226000003517</c:v>
                </c:pt>
                <c:pt idx="730">
                  <c:v>15.632863000006182</c:v>
                </c:pt>
                <c:pt idx="731">
                  <c:v>15.651767999996082</c:v>
                </c:pt>
                <c:pt idx="732">
                  <c:v>15.667258000001311</c:v>
                </c:pt>
                <c:pt idx="733">
                  <c:v>15.68613099999493</c:v>
                </c:pt>
                <c:pt idx="734">
                  <c:v>15.712199000001419</c:v>
                </c:pt>
                <c:pt idx="735">
                  <c:v>15.73123299999861</c:v>
                </c:pt>
                <c:pt idx="736">
                  <c:v>15.747940000001108</c:v>
                </c:pt>
                <c:pt idx="737">
                  <c:v>15.771502999996301</c:v>
                </c:pt>
                <c:pt idx="738">
                  <c:v>15.791205999994418</c:v>
                </c:pt>
                <c:pt idx="739">
                  <c:v>15.811014000006253</c:v>
                </c:pt>
                <c:pt idx="740">
                  <c:v>15.833064000005834</c:v>
                </c:pt>
                <c:pt idx="741">
                  <c:v>15.851758000004338</c:v>
                </c:pt>
                <c:pt idx="742">
                  <c:v>15.872119999999995</c:v>
                </c:pt>
                <c:pt idx="743">
                  <c:v>15.886606000000029</c:v>
                </c:pt>
                <c:pt idx="744">
                  <c:v>15.912100999994436</c:v>
                </c:pt>
                <c:pt idx="745">
                  <c:v>15.931593000001158</c:v>
                </c:pt>
                <c:pt idx="746">
                  <c:v>15.946718999999575</c:v>
                </c:pt>
                <c:pt idx="747">
                  <c:v>15.96976100000029</c:v>
                </c:pt>
                <c:pt idx="748">
                  <c:v>15.988339999996242</c:v>
                </c:pt>
                <c:pt idx="749">
                  <c:v>16.011887999993633</c:v>
                </c:pt>
                <c:pt idx="750">
                  <c:v>16.032540999993216</c:v>
                </c:pt>
                <c:pt idx="751">
                  <c:v>16.046833999993396</c:v>
                </c:pt>
                <c:pt idx="752">
                  <c:v>16.073931000006269</c:v>
                </c:pt>
                <c:pt idx="753">
                  <c:v>16.089105999999447</c:v>
                </c:pt>
                <c:pt idx="754">
                  <c:v>16.108244000002742</c:v>
                </c:pt>
                <c:pt idx="755">
                  <c:v>16.124121999993804</c:v>
                </c:pt>
                <c:pt idx="756">
                  <c:v>16.150970000002417</c:v>
                </c:pt>
                <c:pt idx="757">
                  <c:v>16.168692000006558</c:v>
                </c:pt>
                <c:pt idx="758">
                  <c:v>16.188219999996363</c:v>
                </c:pt>
                <c:pt idx="759">
                  <c:v>16.207978000005824</c:v>
                </c:pt>
                <c:pt idx="760">
                  <c:v>16.231165999997756</c:v>
                </c:pt>
                <c:pt idx="761">
                  <c:v>16.248852000004263</c:v>
                </c:pt>
                <c:pt idx="762">
                  <c:v>16.26906200000667</c:v>
                </c:pt>
                <c:pt idx="763">
                  <c:v>16.288060000006226</c:v>
                </c:pt>
                <c:pt idx="764">
                  <c:v>16.308783000000403</c:v>
                </c:pt>
                <c:pt idx="765">
                  <c:v>16.328875000006519</c:v>
                </c:pt>
                <c:pt idx="766">
                  <c:v>16.336725999994087</c:v>
                </c:pt>
                <c:pt idx="767">
                  <c:v>16.388292999996338</c:v>
                </c:pt>
                <c:pt idx="768">
                  <c:v>16.409929000001284</c:v>
                </c:pt>
                <c:pt idx="769">
                  <c:v>16.429648000004818</c:v>
                </c:pt>
                <c:pt idx="770">
                  <c:v>16.444742000006954</c:v>
                </c:pt>
                <c:pt idx="771">
                  <c:v>16.469893999994383</c:v>
                </c:pt>
                <c:pt idx="772">
                  <c:v>16.491639999992913</c:v>
                </c:pt>
                <c:pt idx="773">
                  <c:v>16.512713999996777</c:v>
                </c:pt>
                <c:pt idx="774">
                  <c:v>16.530939999996917</c:v>
                </c:pt>
                <c:pt idx="775">
                  <c:v>16.54520799999591</c:v>
                </c:pt>
                <c:pt idx="776">
                  <c:v>16.56902799999807</c:v>
                </c:pt>
                <c:pt idx="777">
                  <c:v>16.580289999998058</c:v>
                </c:pt>
                <c:pt idx="778">
                  <c:v>16.612483000004431</c:v>
                </c:pt>
                <c:pt idx="779">
                  <c:v>16.631515999994008</c:v>
                </c:pt>
                <c:pt idx="780">
                  <c:v>16.652646999995341</c:v>
                </c:pt>
                <c:pt idx="781">
                  <c:v>16.666282000005594</c:v>
                </c:pt>
                <c:pt idx="782">
                  <c:v>16.690967000002274</c:v>
                </c:pt>
                <c:pt idx="783">
                  <c:v>16.711506000006921</c:v>
                </c:pt>
                <c:pt idx="784">
                  <c:v>16.730964000002132</c:v>
                </c:pt>
                <c:pt idx="785">
                  <c:v>16.751571999993757</c:v>
                </c:pt>
                <c:pt idx="786">
                  <c:v>16.768802999999025</c:v>
                </c:pt>
                <c:pt idx="787">
                  <c:v>16.786829000004218</c:v>
                </c:pt>
                <c:pt idx="788">
                  <c:v>16.815285999997286</c:v>
                </c:pt>
                <c:pt idx="789">
                  <c:v>16.832154999996419</c:v>
                </c:pt>
                <c:pt idx="790">
                  <c:v>16.852400000003399</c:v>
                </c:pt>
                <c:pt idx="791">
                  <c:v>16.870198999997228</c:v>
                </c:pt>
                <c:pt idx="792">
                  <c:v>16.891808999993373</c:v>
                </c:pt>
                <c:pt idx="793">
                  <c:v>16.910401999994065</c:v>
                </c:pt>
                <c:pt idx="794">
                  <c:v>16.929067999997642</c:v>
                </c:pt>
                <c:pt idx="795">
                  <c:v>16.9520909999992</c:v>
                </c:pt>
                <c:pt idx="796">
                  <c:v>16.966167000005953</c:v>
                </c:pt>
                <c:pt idx="797">
                  <c:v>16.982866000005743</c:v>
                </c:pt>
                <c:pt idx="798">
                  <c:v>17.002632000003359</c:v>
                </c:pt>
                <c:pt idx="799">
                  <c:v>17.025712000002386</c:v>
                </c:pt>
                <c:pt idx="800">
                  <c:v>17.050281000003451</c:v>
                </c:pt>
                <c:pt idx="801">
                  <c:v>17.07241900000372</c:v>
                </c:pt>
                <c:pt idx="802">
                  <c:v>17.091975999996066</c:v>
                </c:pt>
                <c:pt idx="803">
                  <c:v>17.101974999997765</c:v>
                </c:pt>
                <c:pt idx="804">
                  <c:v>17.132593999995152</c:v>
                </c:pt>
                <c:pt idx="805">
                  <c:v>17.14909799999441</c:v>
                </c:pt>
                <c:pt idx="806">
                  <c:v>17.17214999999851</c:v>
                </c:pt>
                <c:pt idx="807">
                  <c:v>17.184187000006204</c:v>
                </c:pt>
                <c:pt idx="808">
                  <c:v>17.209308999998029</c:v>
                </c:pt>
                <c:pt idx="809">
                  <c:v>17.22954000000027</c:v>
                </c:pt>
                <c:pt idx="810">
                  <c:v>17.251128999996581</c:v>
                </c:pt>
                <c:pt idx="811">
                  <c:v>17.26578800000425</c:v>
                </c:pt>
                <c:pt idx="812">
                  <c:v>17.290540000001783</c:v>
                </c:pt>
                <c:pt idx="813">
                  <c:v>17.310494000004837</c:v>
                </c:pt>
                <c:pt idx="814">
                  <c:v>17.330820999995922</c:v>
                </c:pt>
                <c:pt idx="815">
                  <c:v>17.352037000004202</c:v>
                </c:pt>
                <c:pt idx="816">
                  <c:v>17.369202000001678</c:v>
                </c:pt>
                <c:pt idx="817">
                  <c:v>17.387325000003329</c:v>
                </c:pt>
                <c:pt idx="818">
                  <c:v>17.410115999999107</c:v>
                </c:pt>
                <c:pt idx="819">
                  <c:v>17.429189999995288</c:v>
                </c:pt>
                <c:pt idx="820">
                  <c:v>17.450786999994307</c:v>
                </c:pt>
                <c:pt idx="821">
                  <c:v>17.472670999995898</c:v>
                </c:pt>
                <c:pt idx="822">
                  <c:v>17.49282200000016</c:v>
                </c:pt>
                <c:pt idx="823">
                  <c:v>17.498500999994576</c:v>
                </c:pt>
                <c:pt idx="824">
                  <c:v>17.530920999997761</c:v>
                </c:pt>
                <c:pt idx="825">
                  <c:v>17.550405000001774</c:v>
                </c:pt>
                <c:pt idx="826">
                  <c:v>17.566690000006929</c:v>
                </c:pt>
                <c:pt idx="827">
                  <c:v>17.582725999993272</c:v>
                </c:pt>
                <c:pt idx="828">
                  <c:v>17.606815999999526</c:v>
                </c:pt>
                <c:pt idx="829">
                  <c:v>17.632996999993338</c:v>
                </c:pt>
                <c:pt idx="830">
                  <c:v>17.651532000003499</c:v>
                </c:pt>
                <c:pt idx="831">
                  <c:v>17.672609999994165</c:v>
                </c:pt>
                <c:pt idx="832">
                  <c:v>17.712639999997918</c:v>
                </c:pt>
                <c:pt idx="833">
                  <c:v>17.73266500000318</c:v>
                </c:pt>
                <c:pt idx="834">
                  <c:v>17.737426000006963</c:v>
                </c:pt>
                <c:pt idx="835">
                  <c:v>17.773205000004964</c:v>
                </c:pt>
                <c:pt idx="836">
                  <c:v>17.787469999995665</c:v>
                </c:pt>
                <c:pt idx="837">
                  <c:v>17.813957000005757</c:v>
                </c:pt>
                <c:pt idx="838">
                  <c:v>17.824382000006153</c:v>
                </c:pt>
                <c:pt idx="839">
                  <c:v>17.850562000006903</c:v>
                </c:pt>
                <c:pt idx="840">
                  <c:v>17.854382000004989</c:v>
                </c:pt>
                <c:pt idx="841">
                  <c:v>17.892170000006445</c:v>
                </c:pt>
                <c:pt idx="842">
                  <c:v>17.908479999998235</c:v>
                </c:pt>
                <c:pt idx="843">
                  <c:v>17.928702999997768</c:v>
                </c:pt>
                <c:pt idx="844">
                  <c:v>17.949370999995153</c:v>
                </c:pt>
                <c:pt idx="845">
                  <c:v>17.962098000003607</c:v>
                </c:pt>
                <c:pt idx="846">
                  <c:v>17.990875000003143</c:v>
                </c:pt>
                <c:pt idx="847">
                  <c:v>17.994823000000906</c:v>
                </c:pt>
                <c:pt idx="848">
                  <c:v>18.027514000001247</c:v>
                </c:pt>
                <c:pt idx="849">
                  <c:v>18.050101000000723</c:v>
                </c:pt>
                <c:pt idx="850">
                  <c:v>18.062420999995084</c:v>
                </c:pt>
                <c:pt idx="851">
                  <c:v>18.106587999995099</c:v>
                </c:pt>
                <c:pt idx="852">
                  <c:v>18.167728999993415</c:v>
                </c:pt>
                <c:pt idx="853">
                  <c:v>18.180475999994087</c:v>
                </c:pt>
                <c:pt idx="854">
                  <c:v>18.320932000002358</c:v>
                </c:pt>
                <c:pt idx="855">
                  <c:v>18.380057000002125</c:v>
                </c:pt>
                <c:pt idx="856">
                  <c:v>18.405499000000418</c:v>
                </c:pt>
                <c:pt idx="857">
                  <c:v>18.422554000004311</c:v>
                </c:pt>
                <c:pt idx="858">
                  <c:v>18.450954999992973</c:v>
                </c:pt>
                <c:pt idx="859">
                  <c:v>18.457024000003003</c:v>
                </c:pt>
                <c:pt idx="860">
                  <c:v>18.531701999992947</c:v>
                </c:pt>
                <c:pt idx="861">
                  <c:v>18.592285999999149</c:v>
                </c:pt>
                <c:pt idx="862">
                  <c:v>18.600279000005685</c:v>
                </c:pt>
                <c:pt idx="863">
                  <c:v>18.643800000005285</c:v>
                </c:pt>
                <c:pt idx="864">
                  <c:v>18.669360999992932</c:v>
                </c:pt>
                <c:pt idx="865">
                  <c:v>18.70567700000538</c:v>
                </c:pt>
                <c:pt idx="866">
                  <c:v>18.727463999995962</c:v>
                </c:pt>
                <c:pt idx="867">
                  <c:v>18.75185899999633</c:v>
                </c:pt>
                <c:pt idx="868">
                  <c:v>18.771382999999332</c:v>
                </c:pt>
                <c:pt idx="869">
                  <c:v>18.788291000004392</c:v>
                </c:pt>
                <c:pt idx="870">
                  <c:v>18.848809000002802</c:v>
                </c:pt>
                <c:pt idx="871">
                  <c:v>18.853226000006543</c:v>
                </c:pt>
                <c:pt idx="872">
                  <c:v>18.931729999996605</c:v>
                </c:pt>
                <c:pt idx="873">
                  <c:v>18.949353999996674</c:v>
                </c:pt>
                <c:pt idx="874">
                  <c:v>18.969987000004039</c:v>
                </c:pt>
                <c:pt idx="875">
                  <c:v>18.990466999995988</c:v>
                </c:pt>
                <c:pt idx="876">
                  <c:v>19.001478999998653</c:v>
                </c:pt>
                <c:pt idx="877">
                  <c:v>19.030511000004481</c:v>
                </c:pt>
                <c:pt idx="878">
                  <c:v>19.071265000005951</c:v>
                </c:pt>
                <c:pt idx="879">
                  <c:v>19.087696999995387</c:v>
                </c:pt>
                <c:pt idx="880">
                  <c:v>19.109417999992729</c:v>
                </c:pt>
                <c:pt idx="881">
                  <c:v>19.121025999993435</c:v>
                </c:pt>
                <c:pt idx="882">
                  <c:v>19.135913999998593</c:v>
                </c:pt>
                <c:pt idx="883">
                  <c:v>19.192383000001428</c:v>
                </c:pt>
                <c:pt idx="884">
                  <c:v>19.210042999999132</c:v>
                </c:pt>
                <c:pt idx="885">
                  <c:v>19.269948000001023</c:v>
                </c:pt>
                <c:pt idx="886">
                  <c:v>19.277885999996215</c:v>
                </c:pt>
                <c:pt idx="887">
                  <c:v>19.330692000003182</c:v>
                </c:pt>
                <c:pt idx="888">
                  <c:v>19.347475000002305</c:v>
                </c:pt>
                <c:pt idx="889">
                  <c:v>19.412165999994613</c:v>
                </c:pt>
                <c:pt idx="890">
                  <c:v>19.416817000004812</c:v>
                </c:pt>
                <c:pt idx="891">
                  <c:v>19.470014000005904</c:v>
                </c:pt>
                <c:pt idx="892">
                  <c:v>19.473469000004116</c:v>
                </c:pt>
                <c:pt idx="893">
                  <c:v>19.558466000002227</c:v>
                </c:pt>
                <c:pt idx="894">
                  <c:v>19.60882799999672</c:v>
                </c:pt>
                <c:pt idx="895">
                  <c:v>19.616255999993882</c:v>
                </c:pt>
                <c:pt idx="896">
                  <c:v>19.681517000004533</c:v>
                </c:pt>
                <c:pt idx="897">
                  <c:v>19.754574999999022</c:v>
                </c:pt>
                <c:pt idx="898">
                  <c:v>19.829968999998528</c:v>
                </c:pt>
                <c:pt idx="899">
                  <c:v>19.89028999999573</c:v>
                </c:pt>
                <c:pt idx="900">
                  <c:v>19.896116000003531</c:v>
                </c:pt>
                <c:pt idx="901">
                  <c:v>20.026220999992802</c:v>
                </c:pt>
                <c:pt idx="902">
                  <c:v>20.03784099999757</c:v>
                </c:pt>
                <c:pt idx="903">
                  <c:v>20.085686000005808</c:v>
                </c:pt>
                <c:pt idx="904">
                  <c:v>20.106010000003153</c:v>
                </c:pt>
                <c:pt idx="905">
                  <c:v>20.16501199999766</c:v>
                </c:pt>
                <c:pt idx="906">
                  <c:v>20.175933000005898</c:v>
                </c:pt>
                <c:pt idx="907">
                  <c:v>20.24430599999323</c:v>
                </c:pt>
                <c:pt idx="908">
                  <c:v>20.372518000003765</c:v>
                </c:pt>
                <c:pt idx="909">
                  <c:v>20.380502999993041</c:v>
                </c:pt>
                <c:pt idx="910">
                  <c:v>20.444394999998622</c:v>
                </c:pt>
                <c:pt idx="911">
                  <c:v>20.50830099999439</c:v>
                </c:pt>
                <c:pt idx="912">
                  <c:v>20.521355999997468</c:v>
                </c:pt>
                <c:pt idx="913">
                  <c:v>20.557960000005551</c:v>
                </c:pt>
                <c:pt idx="914">
                  <c:v>20.587719999995898</c:v>
                </c:pt>
                <c:pt idx="915">
                  <c:v>20.609152999997605</c:v>
                </c:pt>
                <c:pt idx="916">
                  <c:v>20.619072000001324</c:v>
                </c:pt>
                <c:pt idx="917">
                  <c:v>20.67234799999278</c:v>
                </c:pt>
                <c:pt idx="918">
                  <c:v>20.689606999992975</c:v>
                </c:pt>
                <c:pt idx="919">
                  <c:v>20.710848000002443</c:v>
                </c:pt>
                <c:pt idx="920">
                  <c:v>20.713470999995479</c:v>
                </c:pt>
                <c:pt idx="921">
                  <c:v>20.770128999996814</c:v>
                </c:pt>
                <c:pt idx="922">
                  <c:v>20.781872999999905</c:v>
                </c:pt>
                <c:pt idx="923">
                  <c:v>20.851871999999275</c:v>
                </c:pt>
                <c:pt idx="924">
                  <c:v>20.910011999993003</c:v>
                </c:pt>
                <c:pt idx="925">
                  <c:v>20.917421000005561</c:v>
                </c:pt>
                <c:pt idx="926">
                  <c:v>20.990090000006603</c:v>
                </c:pt>
                <c:pt idx="927">
                  <c:v>21.059141000005184</c:v>
                </c:pt>
                <c:pt idx="928">
                  <c:v>21.123573999997461</c:v>
                </c:pt>
                <c:pt idx="929">
                  <c:v>21.189335000002757</c:v>
                </c:pt>
                <c:pt idx="930">
                  <c:v>21.193016999997781</c:v>
                </c:pt>
                <c:pt idx="931">
                  <c:v>21.267498000001069</c:v>
                </c:pt>
                <c:pt idx="932">
                  <c:v>21.39588100000401</c:v>
                </c:pt>
                <c:pt idx="933">
                  <c:v>21.476766000007046</c:v>
                </c:pt>
                <c:pt idx="934">
                  <c:v>21.671587999997428</c:v>
                </c:pt>
                <c:pt idx="935">
                  <c:v>21.80168699999922</c:v>
                </c:pt>
                <c:pt idx="936">
                  <c:v>21.819898000001558</c:v>
                </c:pt>
                <c:pt idx="937">
                  <c:v>21.929365999996662</c:v>
                </c:pt>
                <c:pt idx="938">
                  <c:v>21.950813999996171</c:v>
                </c:pt>
                <c:pt idx="939">
                  <c:v>21.969597000002977</c:v>
                </c:pt>
                <c:pt idx="940">
                  <c:v>21.988500000006752</c:v>
                </c:pt>
                <c:pt idx="941">
                  <c:v>22.009302000005846</c:v>
                </c:pt>
                <c:pt idx="942">
                  <c:v>22.03289699999732</c:v>
                </c:pt>
                <c:pt idx="943">
                  <c:v>22.050904999996419</c:v>
                </c:pt>
                <c:pt idx="944">
                  <c:v>22.10960100000375</c:v>
                </c:pt>
                <c:pt idx="945">
                  <c:v>22.129606000002241</c:v>
                </c:pt>
                <c:pt idx="946">
                  <c:v>22.153552999996464</c:v>
                </c:pt>
                <c:pt idx="947">
                  <c:v>22.216033999997308</c:v>
                </c:pt>
                <c:pt idx="948">
                  <c:v>22.269459999995888</c:v>
                </c:pt>
                <c:pt idx="949">
                  <c:v>22.339386999999988</c:v>
                </c:pt>
                <c:pt idx="950">
                  <c:v>22.35994500000379</c:v>
                </c:pt>
                <c:pt idx="951">
                  <c:v>22.697455999994418</c:v>
                </c:pt>
                <c:pt idx="952">
                  <c:v>22.752504999996745</c:v>
                </c:pt>
                <c:pt idx="953">
                  <c:v>22.776291000001947</c:v>
                </c:pt>
                <c:pt idx="954">
                  <c:v>22.894717000002856</c:v>
                </c:pt>
                <c:pt idx="955">
                  <c:v>22.936753999994835</c:v>
                </c:pt>
                <c:pt idx="956">
                  <c:v>22.964806000003591</c:v>
                </c:pt>
                <c:pt idx="957">
                  <c:v>23.011020000005374</c:v>
                </c:pt>
                <c:pt idx="958">
                  <c:v>23.041721999994479</c:v>
                </c:pt>
                <c:pt idx="959">
                  <c:v>23.059169000000111</c:v>
                </c:pt>
                <c:pt idx="960">
                  <c:v>23.078345000001718</c:v>
                </c:pt>
                <c:pt idx="961">
                  <c:v>23.101450999994995</c:v>
                </c:pt>
                <c:pt idx="962">
                  <c:v>23.149567999993451</c:v>
                </c:pt>
                <c:pt idx="963">
                  <c:v>23.170113999993191</c:v>
                </c:pt>
                <c:pt idx="964">
                  <c:v>23.187950000006822</c:v>
                </c:pt>
                <c:pt idx="965">
                  <c:v>23.217732000004617</c:v>
                </c:pt>
                <c:pt idx="966">
                  <c:v>23.238828000001376</c:v>
                </c:pt>
                <c:pt idx="967">
                  <c:v>23.273797999994713</c:v>
                </c:pt>
                <c:pt idx="968">
                  <c:v>23.282284999993863</c:v>
                </c:pt>
                <c:pt idx="969">
                  <c:v>23.304826999999932</c:v>
                </c:pt>
                <c:pt idx="970">
                  <c:v>23.322432999993907</c:v>
                </c:pt>
                <c:pt idx="971">
                  <c:v>23.340609000006225</c:v>
                </c:pt>
                <c:pt idx="972">
                  <c:v>23.358603999993647</c:v>
                </c:pt>
                <c:pt idx="973">
                  <c:v>23.387841000003391</c:v>
                </c:pt>
                <c:pt idx="974">
                  <c:v>23.408421999993152</c:v>
                </c:pt>
                <c:pt idx="975">
                  <c:v>23.436639000006835</c:v>
                </c:pt>
                <c:pt idx="976">
                  <c:v>23.466872999997577</c:v>
                </c:pt>
                <c:pt idx="977">
                  <c:v>23.485339000006206</c:v>
                </c:pt>
                <c:pt idx="978">
                  <c:v>23.504153000001679</c:v>
                </c:pt>
                <c:pt idx="979">
                  <c:v>23.521840000001248</c:v>
                </c:pt>
                <c:pt idx="980">
                  <c:v>23.545178999993368</c:v>
                </c:pt>
                <c:pt idx="981">
                  <c:v>23.571225000006962</c:v>
                </c:pt>
                <c:pt idx="982">
                  <c:v>23.592843000005814</c:v>
                </c:pt>
                <c:pt idx="983">
                  <c:v>23.609421000001021</c:v>
                </c:pt>
                <c:pt idx="984">
                  <c:v>23.626527000000351</c:v>
                </c:pt>
                <c:pt idx="985">
                  <c:v>23.645789999995031</c:v>
                </c:pt>
                <c:pt idx="986">
                  <c:v>23.655771000005188</c:v>
                </c:pt>
                <c:pt idx="987">
                  <c:v>23.690142000006745</c:v>
                </c:pt>
                <c:pt idx="988">
                  <c:v>23.70281299999624</c:v>
                </c:pt>
                <c:pt idx="989">
                  <c:v>23.730490999994799</c:v>
                </c:pt>
                <c:pt idx="990">
                  <c:v>23.752940000005765</c:v>
                </c:pt>
                <c:pt idx="991">
                  <c:v>23.771536999993259</c:v>
                </c:pt>
                <c:pt idx="992">
                  <c:v>23.787014999994426</c:v>
                </c:pt>
                <c:pt idx="993">
                  <c:v>23.808394000006956</c:v>
                </c:pt>
                <c:pt idx="994">
                  <c:v>23.829131999998935</c:v>
                </c:pt>
                <c:pt idx="995">
                  <c:v>23.851704000000609</c:v>
                </c:pt>
                <c:pt idx="996">
                  <c:v>23.872075999999652</c:v>
                </c:pt>
                <c:pt idx="997">
                  <c:v>23.891747000001487</c:v>
                </c:pt>
                <c:pt idx="998">
                  <c:v>23.913037999998778</c:v>
                </c:pt>
                <c:pt idx="999">
                  <c:v>23.928671000001486</c:v>
                </c:pt>
                <c:pt idx="1000">
                  <c:v>23.950268999993568</c:v>
                </c:pt>
                <c:pt idx="1001">
                  <c:v>23.969091999999364</c:v>
                </c:pt>
                <c:pt idx="1002">
                  <c:v>23.991341999993892</c:v>
                </c:pt>
                <c:pt idx="1003">
                  <c:v>24.004977999997209</c:v>
                </c:pt>
                <c:pt idx="1004">
                  <c:v>24.030178000000888</c:v>
                </c:pt>
                <c:pt idx="1005">
                  <c:v>24.051252999997814</c:v>
                </c:pt>
                <c:pt idx="1006">
                  <c:v>24.071083000002545</c:v>
                </c:pt>
                <c:pt idx="1007">
                  <c:v>24.08887799999502</c:v>
                </c:pt>
                <c:pt idx="1008">
                  <c:v>24.109505000000354</c:v>
                </c:pt>
                <c:pt idx="1009">
                  <c:v>24.130529000001843</c:v>
                </c:pt>
                <c:pt idx="1010">
                  <c:v>24.149757999999565</c:v>
                </c:pt>
                <c:pt idx="1011">
                  <c:v>24.169351999997161</c:v>
                </c:pt>
                <c:pt idx="1012">
                  <c:v>24.185184999994817</c:v>
                </c:pt>
                <c:pt idx="1013">
                  <c:v>24.210292000003392</c:v>
                </c:pt>
                <c:pt idx="1014">
                  <c:v>24.230257000002894</c:v>
                </c:pt>
                <c:pt idx="1015">
                  <c:v>24.251063000003342</c:v>
                </c:pt>
                <c:pt idx="1016">
                  <c:v>24.260286999997334</c:v>
                </c:pt>
                <c:pt idx="1017">
                  <c:v>24.290764000004856</c:v>
                </c:pt>
                <c:pt idx="1018">
                  <c:v>24.312315999995917</c:v>
                </c:pt>
                <c:pt idx="1019">
                  <c:v>24.332882999995491</c:v>
                </c:pt>
                <c:pt idx="1020">
                  <c:v>24.352180999994744</c:v>
                </c:pt>
                <c:pt idx="1021">
                  <c:v>24.370655000006082</c:v>
                </c:pt>
                <c:pt idx="1022">
                  <c:v>24.386303999999654</c:v>
                </c:pt>
                <c:pt idx="1023">
                  <c:v>24.411489999998594</c:v>
                </c:pt>
                <c:pt idx="1024">
                  <c:v>24.430787000004784</c:v>
                </c:pt>
                <c:pt idx="1025">
                  <c:v>24.451795999993919</c:v>
                </c:pt>
                <c:pt idx="1026">
                  <c:v>24.472370000003139</c:v>
                </c:pt>
                <c:pt idx="1027">
                  <c:v>24.493352999998024</c:v>
                </c:pt>
                <c:pt idx="1028">
                  <c:v>24.513412000000244</c:v>
                </c:pt>
                <c:pt idx="1029">
                  <c:v>24.527015999992727</c:v>
                </c:pt>
                <c:pt idx="1030">
                  <c:v>24.547990999999456</c:v>
                </c:pt>
                <c:pt idx="1031">
                  <c:v>24.568528000003425</c:v>
                </c:pt>
                <c:pt idx="1032">
                  <c:v>24.592092000006232</c:v>
                </c:pt>
                <c:pt idx="1033">
                  <c:v>24.612911000003805</c:v>
                </c:pt>
                <c:pt idx="1034">
                  <c:v>24.630116999993334</c:v>
                </c:pt>
                <c:pt idx="1035">
                  <c:v>24.647140999994008</c:v>
                </c:pt>
                <c:pt idx="1036">
                  <c:v>24.668594000002486</c:v>
                </c:pt>
                <c:pt idx="1037">
                  <c:v>24.690837999994983</c:v>
                </c:pt>
                <c:pt idx="1038">
                  <c:v>24.712589999995544</c:v>
                </c:pt>
                <c:pt idx="1039">
                  <c:v>24.729158999994979</c:v>
                </c:pt>
                <c:pt idx="1040">
                  <c:v>24.748250999997254</c:v>
                </c:pt>
                <c:pt idx="1041">
                  <c:v>24.772182999993674</c:v>
                </c:pt>
                <c:pt idx="1042">
                  <c:v>24.788973999995505</c:v>
                </c:pt>
                <c:pt idx="1043">
                  <c:v>24.810652000000118</c:v>
                </c:pt>
                <c:pt idx="1044">
                  <c:v>24.830902000001515</c:v>
                </c:pt>
                <c:pt idx="1045">
                  <c:v>24.851580000002286</c:v>
                </c:pt>
                <c:pt idx="1046">
                  <c:v>24.863641000003554</c:v>
                </c:pt>
                <c:pt idx="1047">
                  <c:v>24.889215000002878</c:v>
                </c:pt>
                <c:pt idx="1048">
                  <c:v>24.905175000007148</c:v>
                </c:pt>
                <c:pt idx="1049">
                  <c:v>24.923880999995163</c:v>
                </c:pt>
                <c:pt idx="1050">
                  <c:v>24.952577000003657</c:v>
                </c:pt>
                <c:pt idx="1051">
                  <c:v>24.970560000001569</c:v>
                </c:pt>
                <c:pt idx="1052">
                  <c:v>24.990554000003613</c:v>
                </c:pt>
                <c:pt idx="1053">
                  <c:v>25.009464999995544</c:v>
                </c:pt>
                <c:pt idx="1054">
                  <c:v>25.029137999998056</c:v>
                </c:pt>
                <c:pt idx="1055">
                  <c:v>25.049568000002182</c:v>
                </c:pt>
                <c:pt idx="1056">
                  <c:v>25.069510999994236</c:v>
                </c:pt>
                <c:pt idx="1057">
                  <c:v>25.090064000003622</c:v>
                </c:pt>
                <c:pt idx="1058">
                  <c:v>25.112080000006245</c:v>
                </c:pt>
                <c:pt idx="1059">
                  <c:v>25.130132000005688</c:v>
                </c:pt>
                <c:pt idx="1060">
                  <c:v>25.151247000001604</c:v>
                </c:pt>
                <c:pt idx="1061">
                  <c:v>25.170014000002993</c:v>
                </c:pt>
                <c:pt idx="1062">
                  <c:v>25.191411000007065</c:v>
                </c:pt>
                <c:pt idx="1063">
                  <c:v>25.195875000004889</c:v>
                </c:pt>
                <c:pt idx="1064">
                  <c:v>25.233873000004678</c:v>
                </c:pt>
                <c:pt idx="1065">
                  <c:v>25.248592000003555</c:v>
                </c:pt>
                <c:pt idx="1066">
                  <c:v>25.270485000000917</c:v>
                </c:pt>
                <c:pt idx="1067">
                  <c:v>25.291649999999208</c:v>
                </c:pt>
                <c:pt idx="1068">
                  <c:v>25.311413000003085</c:v>
                </c:pt>
                <c:pt idx="1069">
                  <c:v>25.331086000005598</c:v>
                </c:pt>
                <c:pt idx="1070">
                  <c:v>25.346539000005578</c:v>
                </c:pt>
                <c:pt idx="1071">
                  <c:v>25.366806000005454</c:v>
                </c:pt>
                <c:pt idx="1072">
                  <c:v>25.391757999997935</c:v>
                </c:pt>
                <c:pt idx="1073">
                  <c:v>25.409874999997555</c:v>
                </c:pt>
                <c:pt idx="1074">
                  <c:v>25.432696000003489</c:v>
                </c:pt>
                <c:pt idx="1075">
                  <c:v>25.448818999997457</c:v>
                </c:pt>
                <c:pt idx="1076">
                  <c:v>25.467323000004399</c:v>
                </c:pt>
                <c:pt idx="1077">
                  <c:v>25.487355999997817</c:v>
                </c:pt>
                <c:pt idx="1078">
                  <c:v>25.512679000006756</c:v>
                </c:pt>
                <c:pt idx="1079">
                  <c:v>25.532206999996561</c:v>
                </c:pt>
                <c:pt idx="1080">
                  <c:v>25.550080000000889</c:v>
                </c:pt>
                <c:pt idx="1081">
                  <c:v>25.568671999993967</c:v>
                </c:pt>
                <c:pt idx="1082">
                  <c:v>25.591994999995222</c:v>
                </c:pt>
                <c:pt idx="1083">
                  <c:v>25.604158999994979</c:v>
                </c:pt>
                <c:pt idx="1084">
                  <c:v>25.62855199999467</c:v>
                </c:pt>
                <c:pt idx="1085">
                  <c:v>25.64916099999391</c:v>
                </c:pt>
                <c:pt idx="1086">
                  <c:v>25.670091000007233</c:v>
                </c:pt>
                <c:pt idx="1087">
                  <c:v>25.688160000005155</c:v>
                </c:pt>
                <c:pt idx="1088">
                  <c:v>25.709323000002769</c:v>
                </c:pt>
                <c:pt idx="1089">
                  <c:v>25.728407000002335</c:v>
                </c:pt>
                <c:pt idx="1090">
                  <c:v>25.752332000003662</c:v>
                </c:pt>
                <c:pt idx="1091">
                  <c:v>25.768882999997004</c:v>
                </c:pt>
                <c:pt idx="1092">
                  <c:v>25.790080999999191</c:v>
                </c:pt>
                <c:pt idx="1093">
                  <c:v>25.80885099999432</c:v>
                </c:pt>
                <c:pt idx="1094">
                  <c:v>25.829733000005945</c:v>
                </c:pt>
                <c:pt idx="1095">
                  <c:v>25.844184999994468</c:v>
                </c:pt>
                <c:pt idx="1096">
                  <c:v>25.869984999997541</c:v>
                </c:pt>
                <c:pt idx="1097">
                  <c:v>25.889815000002272</c:v>
                </c:pt>
                <c:pt idx="1098">
                  <c:v>25.910757000005106</c:v>
                </c:pt>
                <c:pt idx="1099">
                  <c:v>25.929401000001235</c:v>
                </c:pt>
                <c:pt idx="1100">
                  <c:v>25.94962499999383</c:v>
                </c:pt>
                <c:pt idx="1101">
                  <c:v>25.972777999995742</c:v>
                </c:pt>
                <c:pt idx="1102">
                  <c:v>25.990013999995426</c:v>
                </c:pt>
                <c:pt idx="1103">
                  <c:v>26.010427000001073</c:v>
                </c:pt>
                <c:pt idx="1104">
                  <c:v>26.032560000006924</c:v>
                </c:pt>
                <c:pt idx="1105">
                  <c:v>26.051613999996334</c:v>
                </c:pt>
                <c:pt idx="1106">
                  <c:v>26.072595999998157</c:v>
                </c:pt>
                <c:pt idx="1107">
                  <c:v>26.092378999994253</c:v>
                </c:pt>
                <c:pt idx="1108">
                  <c:v>26.112676999997348</c:v>
                </c:pt>
                <c:pt idx="1109">
                  <c:v>26.130694999999832</c:v>
                </c:pt>
                <c:pt idx="1110">
                  <c:v>26.15151500000502</c:v>
                </c:pt>
                <c:pt idx="1111">
                  <c:v>26.160948999997345</c:v>
                </c:pt>
                <c:pt idx="1112">
                  <c:v>26.192194999995991</c:v>
                </c:pt>
                <c:pt idx="1113">
                  <c:v>26.212463999996544</c:v>
                </c:pt>
                <c:pt idx="1114">
                  <c:v>26.23177100000612</c:v>
                </c:pt>
                <c:pt idx="1115">
                  <c:v>26.252322999993339</c:v>
                </c:pt>
                <c:pt idx="1116">
                  <c:v>26.266526999999769</c:v>
                </c:pt>
                <c:pt idx="1117">
                  <c:v>26.289130999997724</c:v>
                </c:pt>
                <c:pt idx="1118">
                  <c:v>26.307276999999885</c:v>
                </c:pt>
                <c:pt idx="1119">
                  <c:v>26.328584999995655</c:v>
                </c:pt>
                <c:pt idx="1120">
                  <c:v>26.352679000003263</c:v>
                </c:pt>
                <c:pt idx="1121">
                  <c:v>26.372602999996161</c:v>
                </c:pt>
                <c:pt idx="1122">
                  <c:v>26.389469999994617</c:v>
                </c:pt>
                <c:pt idx="1123">
                  <c:v>0</c:v>
                </c:pt>
                <c:pt idx="1124">
                  <c:v>0</c:v>
                </c:pt>
                <c:pt idx="1125">
                  <c:v>0</c:v>
                </c:pt>
                <c:pt idx="1126">
                  <c:v>0</c:v>
                </c:pt>
                <c:pt idx="1127">
                  <c:v>0</c:v>
                </c:pt>
                <c:pt idx="1128">
                  <c:v>0</c:v>
                </c:pt>
                <c:pt idx="1129">
                  <c:v>0</c:v>
                </c:pt>
                <c:pt idx="1130">
                  <c:v>0</c:v>
                </c:pt>
                <c:pt idx="1131">
                  <c:v>0</c:v>
                </c:pt>
                <c:pt idx="1132">
                  <c:v>0</c:v>
                </c:pt>
                <c:pt idx="1133">
                  <c:v>0</c:v>
                </c:pt>
                <c:pt idx="1134">
                  <c:v>0</c:v>
                </c:pt>
                <c:pt idx="1135">
                  <c:v>0</c:v>
                </c:pt>
                <c:pt idx="1136">
                  <c:v>0</c:v>
                </c:pt>
                <c:pt idx="1137">
                  <c:v>0</c:v>
                </c:pt>
                <c:pt idx="1138">
                  <c:v>0</c:v>
                </c:pt>
                <c:pt idx="1139">
                  <c:v>0</c:v>
                </c:pt>
                <c:pt idx="1140">
                  <c:v>0</c:v>
                </c:pt>
                <c:pt idx="1141">
                  <c:v>0</c:v>
                </c:pt>
                <c:pt idx="1142">
                  <c:v>0</c:v>
                </c:pt>
                <c:pt idx="1143">
                  <c:v>0</c:v>
                </c:pt>
                <c:pt idx="1144">
                  <c:v>0</c:v>
                </c:pt>
                <c:pt idx="1145">
                  <c:v>0</c:v>
                </c:pt>
                <c:pt idx="1146">
                  <c:v>0</c:v>
                </c:pt>
                <c:pt idx="1147">
                  <c:v>0</c:v>
                </c:pt>
                <c:pt idx="1148">
                  <c:v>0</c:v>
                </c:pt>
                <c:pt idx="1149">
                  <c:v>0</c:v>
                </c:pt>
                <c:pt idx="1150">
                  <c:v>0</c:v>
                </c:pt>
              </c:numCache>
            </c:numRef>
          </c:xVal>
          <c:yVal>
            <c:numRef>
              <c:f>'Real Values'!$G$2:$G$1800</c:f>
              <c:numCache>
                <c:formatCode>General</c:formatCode>
                <c:ptCount val="1799"/>
                <c:pt idx="1">
                  <c:v>-8.366384423413949E-7</c:v>
                </c:pt>
                <c:pt idx="2">
                  <c:v>-2.8356651139316661E-6</c:v>
                </c:pt>
                <c:pt idx="3">
                  <c:v>-4.8378162649294342E-6</c:v>
                </c:pt>
                <c:pt idx="4">
                  <c:v>-9.4303007273946597E-6</c:v>
                </c:pt>
                <c:pt idx="5">
                  <c:v>-1.4316245140270525E-5</c:v>
                </c:pt>
                <c:pt idx="6">
                  <c:v>-1.925994495467744E-5</c:v>
                </c:pt>
                <c:pt idx="7">
                  <c:v>-2.6756473927133167E-5</c:v>
                </c:pt>
                <c:pt idx="8">
                  <c:v>-3.7502847976177497E-5</c:v>
                </c:pt>
                <c:pt idx="9">
                  <c:v>-4.3955972460590273E-5</c:v>
                </c:pt>
                <c:pt idx="10">
                  <c:v>-5.5559882093880016E-5</c:v>
                </c:pt>
                <c:pt idx="11">
                  <c:v>-6.7954562782267898E-5</c:v>
                </c:pt>
                <c:pt idx="12">
                  <c:v>-8.8557338674601506E-5</c:v>
                </c:pt>
                <c:pt idx="13">
                  <c:v>-1.0602702115082986E-4</c:v>
                </c:pt>
                <c:pt idx="14">
                  <c:v>-1.2307752457817113E-4</c:v>
                </c:pt>
                <c:pt idx="15">
                  <c:v>-1.376145362395167E-4</c:v>
                </c:pt>
                <c:pt idx="16">
                  <c:v>-1.5289905698630081E-4</c:v>
                </c:pt>
                <c:pt idx="17">
                  <c:v>-2.343820474773792E-4</c:v>
                </c:pt>
                <c:pt idx="18">
                  <c:v>-2.7579727249638547E-4</c:v>
                </c:pt>
                <c:pt idx="19">
                  <c:v>-3.4876280411630768E-4</c:v>
                </c:pt>
                <c:pt idx="20">
                  <c:v>-3.9778396682986646E-4</c:v>
                </c:pt>
                <c:pt idx="21">
                  <c:v>-4.2875463606183829E-4</c:v>
                </c:pt>
                <c:pt idx="22">
                  <c:v>-4.7650082694851382E-4</c:v>
                </c:pt>
                <c:pt idx="23">
                  <c:v>-5.2187462532123064E-4</c:v>
                </c:pt>
                <c:pt idx="24">
                  <c:v>-5.6735429614292914E-4</c:v>
                </c:pt>
                <c:pt idx="25">
                  <c:v>-6.1550612002989058E-4</c:v>
                </c:pt>
                <c:pt idx="26">
                  <c:v>-6.3145100865842488E-4</c:v>
                </c:pt>
                <c:pt idx="27">
                  <c:v>-6.3192122231334798E-4</c:v>
                </c:pt>
                <c:pt idx="28">
                  <c:v>-6.2882908319751997E-4</c:v>
                </c:pt>
                <c:pt idx="29">
                  <c:v>-6.1640263582836711E-4</c:v>
                </c:pt>
                <c:pt idx="30">
                  <c:v>-6.1012278531703866E-4</c:v>
                </c:pt>
                <c:pt idx="31">
                  <c:v>-6.0868992944294235E-4</c:v>
                </c:pt>
                <c:pt idx="32">
                  <c:v>-6.0722885159050766E-4</c:v>
                </c:pt>
                <c:pt idx="33">
                  <c:v>-6.0742345454567871E-4</c:v>
                </c:pt>
                <c:pt idx="34">
                  <c:v>-6.0870634721288191E-4</c:v>
                </c:pt>
                <c:pt idx="35">
                  <c:v>-6.1046114975900324E-4</c:v>
                </c:pt>
                <c:pt idx="36">
                  <c:v>-6.1432853885478504E-4</c:v>
                </c:pt>
                <c:pt idx="37">
                  <c:v>-6.179502246850049E-4</c:v>
                </c:pt>
                <c:pt idx="38">
                  <c:v>-6.1948567568028854E-4</c:v>
                </c:pt>
                <c:pt idx="39">
                  <c:v>-6.3550410175267416E-4</c:v>
                </c:pt>
                <c:pt idx="40">
                  <c:v>-6.4276186903995365E-4</c:v>
                </c:pt>
                <c:pt idx="41">
                  <c:v>-6.5251352654229432E-4</c:v>
                </c:pt>
                <c:pt idx="42">
                  <c:v>-6.6327778338157747E-4</c:v>
                </c:pt>
                <c:pt idx="43">
                  <c:v>-6.752643657784857E-4</c:v>
                </c:pt>
                <c:pt idx="44">
                  <c:v>-6.8900469117578328E-4</c:v>
                </c:pt>
                <c:pt idx="45">
                  <c:v>-6.9911979352985034E-4</c:v>
                </c:pt>
                <c:pt idx="46">
                  <c:v>-7.6085628122654896E-4</c:v>
                </c:pt>
                <c:pt idx="47">
                  <c:v>-8.13909214770671E-4</c:v>
                </c:pt>
                <c:pt idx="48">
                  <c:v>-8.4975088347889131E-4</c:v>
                </c:pt>
                <c:pt idx="49">
                  <c:v>-8.9547693704630164E-4</c:v>
                </c:pt>
                <c:pt idx="50">
                  <c:v>-9.4059884306915492E-4</c:v>
                </c:pt>
                <c:pt idx="51">
                  <c:v>-1.005380244542856E-3</c:v>
                </c:pt>
                <c:pt idx="52">
                  <c:v>-1.0616440587153313E-3</c:v>
                </c:pt>
                <c:pt idx="53">
                  <c:v>-1.1151632686161519E-3</c:v>
                </c:pt>
                <c:pt idx="54">
                  <c:v>-1.1886256845451497E-3</c:v>
                </c:pt>
                <c:pt idx="55">
                  <c:v>-1.2425010463776771E-3</c:v>
                </c:pt>
                <c:pt idx="56">
                  <c:v>-1.3047124219481494E-3</c:v>
                </c:pt>
                <c:pt idx="57">
                  <c:v>-1.3446326510937107E-3</c:v>
                </c:pt>
                <c:pt idx="58">
                  <c:v>-1.3823944367339703E-3</c:v>
                </c:pt>
                <c:pt idx="59">
                  <c:v>-1.4156276162252753E-3</c:v>
                </c:pt>
                <c:pt idx="60">
                  <c:v>-1.4977774345161061E-3</c:v>
                </c:pt>
                <c:pt idx="61">
                  <c:v>-1.5807176755187368E-3</c:v>
                </c:pt>
                <c:pt idx="62">
                  <c:v>-1.6611406590054615E-3</c:v>
                </c:pt>
                <c:pt idx="63">
                  <c:v>-1.730264512309057E-3</c:v>
                </c:pt>
                <c:pt idx="64">
                  <c:v>-1.8326113286328714E-3</c:v>
                </c:pt>
                <c:pt idx="65">
                  <c:v>-1.9082091474905889E-3</c:v>
                </c:pt>
                <c:pt idx="66">
                  <c:v>-1.9978867856643681E-3</c:v>
                </c:pt>
                <c:pt idx="67">
                  <c:v>-2.0785179075020334E-3</c:v>
                </c:pt>
                <c:pt idx="68">
                  <c:v>-2.1526846301922705E-3</c:v>
                </c:pt>
                <c:pt idx="69">
                  <c:v>-2.3371686622597958E-3</c:v>
                </c:pt>
                <c:pt idx="70">
                  <c:v>-2.4452824940390584E-3</c:v>
                </c:pt>
                <c:pt idx="71">
                  <c:v>-2.5859504811184516E-3</c:v>
                </c:pt>
                <c:pt idx="72">
                  <c:v>-2.729885256390935E-3</c:v>
                </c:pt>
                <c:pt idx="73">
                  <c:v>-2.8747667685443592E-3</c:v>
                </c:pt>
                <c:pt idx="74">
                  <c:v>-3.0286730850555663E-3</c:v>
                </c:pt>
                <c:pt idx="75">
                  <c:v>-3.1953322872984797E-3</c:v>
                </c:pt>
                <c:pt idx="76">
                  <c:v>-3.319404131610101E-3</c:v>
                </c:pt>
                <c:pt idx="77">
                  <c:v>-3.4949401519297394E-3</c:v>
                </c:pt>
                <c:pt idx="78">
                  <c:v>-3.657417331405133E-3</c:v>
                </c:pt>
                <c:pt idx="79">
                  <c:v>-3.8703188004262598E-3</c:v>
                </c:pt>
                <c:pt idx="80">
                  <c:v>-4.0532814442206687E-3</c:v>
                </c:pt>
                <c:pt idx="81">
                  <c:v>-4.3539075213591023E-3</c:v>
                </c:pt>
                <c:pt idx="82">
                  <c:v>-4.591358959761504E-3</c:v>
                </c:pt>
                <c:pt idx="83">
                  <c:v>-4.8397224915488028E-3</c:v>
                </c:pt>
                <c:pt idx="84">
                  <c:v>-5.0266056355995469E-3</c:v>
                </c:pt>
                <c:pt idx="85">
                  <c:v>-5.3237487458734521E-3</c:v>
                </c:pt>
                <c:pt idx="86">
                  <c:v>-5.4877497060948207E-3</c:v>
                </c:pt>
                <c:pt idx="87">
                  <c:v>-5.7356664198295309E-3</c:v>
                </c:pt>
                <c:pt idx="88">
                  <c:v>-6.0414526895850012E-3</c:v>
                </c:pt>
                <c:pt idx="89">
                  <c:v>-6.2256441459989029E-3</c:v>
                </c:pt>
                <c:pt idx="90">
                  <c:v>-6.5643997780140623E-3</c:v>
                </c:pt>
                <c:pt idx="91">
                  <c:v>-6.766022425919979E-3</c:v>
                </c:pt>
                <c:pt idx="92">
                  <c:v>-7.1120886471917628E-3</c:v>
                </c:pt>
                <c:pt idx="93">
                  <c:v>-7.2396214878135134E-3</c:v>
                </c:pt>
                <c:pt idx="94">
                  <c:v>-7.6788261042968304E-3</c:v>
                </c:pt>
                <c:pt idx="95">
                  <c:v>-7.9446864378825872E-3</c:v>
                </c:pt>
                <c:pt idx="96">
                  <c:v>-8.0945945053424034E-3</c:v>
                </c:pt>
                <c:pt idx="97">
                  <c:v>-8.4372126229476686E-3</c:v>
                </c:pt>
                <c:pt idx="98">
                  <c:v>-8.7222775701723768E-3</c:v>
                </c:pt>
                <c:pt idx="99">
                  <c:v>-9.0044679788851244E-3</c:v>
                </c:pt>
                <c:pt idx="100">
                  <c:v>-9.3542071730113516E-3</c:v>
                </c:pt>
                <c:pt idx="101">
                  <c:v>-9.5758250009336521E-3</c:v>
                </c:pt>
                <c:pt idx="102">
                  <c:v>-9.9479979413848851E-3</c:v>
                </c:pt>
                <c:pt idx="103">
                  <c:v>-1.0174502614709076E-2</c:v>
                </c:pt>
                <c:pt idx="104">
                  <c:v>-1.0499469389390453E-2</c:v>
                </c:pt>
                <c:pt idx="105">
                  <c:v>-1.083515383733963E-2</c:v>
                </c:pt>
                <c:pt idx="106">
                  <c:v>-1.1121409002363062E-2</c:v>
                </c:pt>
                <c:pt idx="107">
                  <c:v>-1.1413825793186141E-2</c:v>
                </c:pt>
                <c:pt idx="108">
                  <c:v>-1.1678629613071862E-2</c:v>
                </c:pt>
                <c:pt idx="109">
                  <c:v>-1.19741808093278E-2</c:v>
                </c:pt>
                <c:pt idx="110">
                  <c:v>-1.2254259590910446E-2</c:v>
                </c:pt>
                <c:pt idx="111">
                  <c:v>-1.2598344940532694E-2</c:v>
                </c:pt>
                <c:pt idx="112">
                  <c:v>-1.2846784561098435E-2</c:v>
                </c:pt>
                <c:pt idx="113">
                  <c:v>-1.3157732700816757E-2</c:v>
                </c:pt>
                <c:pt idx="114">
                  <c:v>-1.341665837902785E-2</c:v>
                </c:pt>
                <c:pt idx="115">
                  <c:v>-1.3772295282295469E-2</c:v>
                </c:pt>
                <c:pt idx="116">
                  <c:v>-1.4086926058674388E-2</c:v>
                </c:pt>
                <c:pt idx="117">
                  <c:v>-1.4337306564994478E-2</c:v>
                </c:pt>
                <c:pt idx="118">
                  <c:v>-1.4772144870151577E-2</c:v>
                </c:pt>
                <c:pt idx="119">
                  <c:v>-1.5028450801026345E-2</c:v>
                </c:pt>
                <c:pt idx="120">
                  <c:v>-1.5333456987579465E-2</c:v>
                </c:pt>
                <c:pt idx="121">
                  <c:v>-1.5689743349111496E-2</c:v>
                </c:pt>
                <c:pt idx="122">
                  <c:v>-1.5956494157277793E-2</c:v>
                </c:pt>
                <c:pt idx="123">
                  <c:v>-1.6277093562691622E-2</c:v>
                </c:pt>
                <c:pt idx="124">
                  <c:v>-1.6600677386357874E-2</c:v>
                </c:pt>
                <c:pt idx="125">
                  <c:v>-1.6917244539851686E-2</c:v>
                </c:pt>
                <c:pt idx="126">
                  <c:v>-1.7306548601394682E-2</c:v>
                </c:pt>
                <c:pt idx="127">
                  <c:v>-1.7571884007238942E-2</c:v>
                </c:pt>
                <c:pt idx="128">
                  <c:v>-1.7859632747289599E-2</c:v>
                </c:pt>
                <c:pt idx="129">
                  <c:v>-1.8201934239816451E-2</c:v>
                </c:pt>
                <c:pt idx="130">
                  <c:v>-1.8418301252528343E-2</c:v>
                </c:pt>
                <c:pt idx="131">
                  <c:v>-1.882612584506262E-2</c:v>
                </c:pt>
                <c:pt idx="132">
                  <c:v>-1.9069371730746121E-2</c:v>
                </c:pt>
                <c:pt idx="133">
                  <c:v>-1.9489463327952875E-2</c:v>
                </c:pt>
                <c:pt idx="134">
                  <c:v>-1.9811915585432768E-2</c:v>
                </c:pt>
                <c:pt idx="135">
                  <c:v>-2.0055089005266671E-2</c:v>
                </c:pt>
                <c:pt idx="136">
                  <c:v>-2.046263939202727E-2</c:v>
                </c:pt>
                <c:pt idx="137">
                  <c:v>-2.063558252768323E-2</c:v>
                </c:pt>
                <c:pt idx="138">
                  <c:v>-2.112155681562514E-2</c:v>
                </c:pt>
                <c:pt idx="139">
                  <c:v>-2.1270536517121925E-2</c:v>
                </c:pt>
                <c:pt idx="140">
                  <c:v>-2.1778959074563585E-2</c:v>
                </c:pt>
                <c:pt idx="141">
                  <c:v>-2.2110805033313023E-2</c:v>
                </c:pt>
                <c:pt idx="142">
                  <c:v>-2.2272724787919262E-2</c:v>
                </c:pt>
                <c:pt idx="143">
                  <c:v>-2.2705691707048302E-2</c:v>
                </c:pt>
                <c:pt idx="144">
                  <c:v>-2.2974435492699653E-2</c:v>
                </c:pt>
                <c:pt idx="145">
                  <c:v>-2.3395307845250696E-2</c:v>
                </c:pt>
                <c:pt idx="146">
                  <c:v>-2.3685227583338152E-2</c:v>
                </c:pt>
                <c:pt idx="147">
                  <c:v>-2.3957729672885834E-2</c:v>
                </c:pt>
                <c:pt idx="148">
                  <c:v>-2.4275212548391482E-2</c:v>
                </c:pt>
                <c:pt idx="149">
                  <c:v>-2.4523816458882935E-2</c:v>
                </c:pt>
                <c:pt idx="150">
                  <c:v>-2.4847143275263588E-2</c:v>
                </c:pt>
                <c:pt idx="151">
                  <c:v>-2.5137904744483207E-2</c:v>
                </c:pt>
                <c:pt idx="152">
                  <c:v>-2.5464852971069991E-2</c:v>
                </c:pt>
                <c:pt idx="153">
                  <c:v>-2.5806500951105947E-2</c:v>
                </c:pt>
                <c:pt idx="154">
                  <c:v>-2.6138149035294739E-2</c:v>
                </c:pt>
                <c:pt idx="155">
                  <c:v>-2.6387970414419103E-2</c:v>
                </c:pt>
                <c:pt idx="156">
                  <c:v>-2.6765187700072864E-2</c:v>
                </c:pt>
                <c:pt idx="157">
                  <c:v>-2.7133758386709783E-2</c:v>
                </c:pt>
                <c:pt idx="158">
                  <c:v>-2.7455073270277203E-2</c:v>
                </c:pt>
                <c:pt idx="159">
                  <c:v>-2.7690309003096172E-2</c:v>
                </c:pt>
                <c:pt idx="160">
                  <c:v>-2.7944167897812938E-2</c:v>
                </c:pt>
                <c:pt idx="161">
                  <c:v>-2.8355110169691108E-2</c:v>
                </c:pt>
                <c:pt idx="162">
                  <c:v>-2.8749080856174804E-2</c:v>
                </c:pt>
                <c:pt idx="163">
                  <c:v>-2.9021642054485625E-2</c:v>
                </c:pt>
                <c:pt idx="164">
                  <c:v>-2.9331454005253537E-2</c:v>
                </c:pt>
                <c:pt idx="165">
                  <c:v>-2.9656731079824656E-2</c:v>
                </c:pt>
                <c:pt idx="166">
                  <c:v>-3.0029914703156805E-2</c:v>
                </c:pt>
                <c:pt idx="167">
                  <c:v>-3.0341422414695361E-2</c:v>
                </c:pt>
                <c:pt idx="168">
                  <c:v>-3.0584326535655626E-2</c:v>
                </c:pt>
                <c:pt idx="169">
                  <c:v>-3.0995369570915431E-2</c:v>
                </c:pt>
                <c:pt idx="170">
                  <c:v>-3.1360825245308165E-2</c:v>
                </c:pt>
                <c:pt idx="171">
                  <c:v>-3.1573471801721882E-2</c:v>
                </c:pt>
                <c:pt idx="172">
                  <c:v>-3.2010268167391241E-2</c:v>
                </c:pt>
                <c:pt idx="173">
                  <c:v>-3.216856903174331E-2</c:v>
                </c:pt>
                <c:pt idx="174">
                  <c:v>-3.2684645835131837E-2</c:v>
                </c:pt>
                <c:pt idx="175">
                  <c:v>-3.3023853871723401E-2</c:v>
                </c:pt>
                <c:pt idx="176">
                  <c:v>-3.333231474142935E-2</c:v>
                </c:pt>
                <c:pt idx="177">
                  <c:v>-3.3713044264888914E-2</c:v>
                </c:pt>
                <c:pt idx="178">
                  <c:v>-3.3963733343464982E-2</c:v>
                </c:pt>
                <c:pt idx="179">
                  <c:v>-3.4397448452865707E-2</c:v>
                </c:pt>
                <c:pt idx="180">
                  <c:v>-3.4758504704236595E-2</c:v>
                </c:pt>
                <c:pt idx="181">
                  <c:v>-3.503338261919732E-2</c:v>
                </c:pt>
                <c:pt idx="182">
                  <c:v>-3.5468122697384169E-2</c:v>
                </c:pt>
                <c:pt idx="183">
                  <c:v>-3.5806825904782708E-2</c:v>
                </c:pt>
                <c:pt idx="184">
                  <c:v>-3.606805017797491E-2</c:v>
                </c:pt>
                <c:pt idx="185">
                  <c:v>-3.6438750408354113E-2</c:v>
                </c:pt>
                <c:pt idx="186">
                  <c:v>-3.6884734127300145E-2</c:v>
                </c:pt>
                <c:pt idx="187">
                  <c:v>-3.7258675957992489E-2</c:v>
                </c:pt>
                <c:pt idx="188">
                  <c:v>-3.7516430849315441E-2</c:v>
                </c:pt>
                <c:pt idx="189">
                  <c:v>-3.8012894786763472E-2</c:v>
                </c:pt>
                <c:pt idx="190">
                  <c:v>-3.8230140254478455E-2</c:v>
                </c:pt>
                <c:pt idx="191">
                  <c:v>-3.8840905144315062E-2</c:v>
                </c:pt>
                <c:pt idx="192">
                  <c:v>-3.9315340089462525E-2</c:v>
                </c:pt>
                <c:pt idx="193">
                  <c:v>-3.9763394143430053E-2</c:v>
                </c:pt>
                <c:pt idx="194">
                  <c:v>-4.0029690153203797E-2</c:v>
                </c:pt>
                <c:pt idx="195">
                  <c:v>-4.0560292953450289E-2</c:v>
                </c:pt>
                <c:pt idx="196">
                  <c:v>-4.0905222609208487E-2</c:v>
                </c:pt>
                <c:pt idx="197">
                  <c:v>-4.151167739874221E-2</c:v>
                </c:pt>
                <c:pt idx="198">
                  <c:v>-4.1921381892015941E-2</c:v>
                </c:pt>
                <c:pt idx="199">
                  <c:v>-4.2481854399374949E-2</c:v>
                </c:pt>
                <c:pt idx="200">
                  <c:v>-4.2839009080596492E-2</c:v>
                </c:pt>
                <c:pt idx="201">
                  <c:v>-4.3227604636605584E-2</c:v>
                </c:pt>
                <c:pt idx="202">
                  <c:v>-4.3753578321693909E-2</c:v>
                </c:pt>
                <c:pt idx="203">
                  <c:v>-4.4239361972198708E-2</c:v>
                </c:pt>
                <c:pt idx="204">
                  <c:v>-4.4700179614484185E-2</c:v>
                </c:pt>
                <c:pt idx="205">
                  <c:v>-4.5135809103679571E-2</c:v>
                </c:pt>
                <c:pt idx="206">
                  <c:v>-4.5498162981847827E-2</c:v>
                </c:pt>
                <c:pt idx="207">
                  <c:v>-4.6162756010764541E-2</c:v>
                </c:pt>
                <c:pt idx="208">
                  <c:v>-4.6579398353117758E-2</c:v>
                </c:pt>
                <c:pt idx="209">
                  <c:v>-4.7034341051937385E-2</c:v>
                </c:pt>
                <c:pt idx="210">
                  <c:v>-4.750869988155771E-2</c:v>
                </c:pt>
                <c:pt idx="211">
                  <c:v>-4.8039892372882302E-2</c:v>
                </c:pt>
                <c:pt idx="212">
                  <c:v>-4.8659789261757451E-2</c:v>
                </c:pt>
                <c:pt idx="213">
                  <c:v>-4.918792376511797E-2</c:v>
                </c:pt>
                <c:pt idx="214">
                  <c:v>-4.9491011141090439E-2</c:v>
                </c:pt>
                <c:pt idx="215">
                  <c:v>-5.0235884173366774E-2</c:v>
                </c:pt>
                <c:pt idx="216">
                  <c:v>-5.0754683405636741E-2</c:v>
                </c:pt>
                <c:pt idx="217">
                  <c:v>-5.116475611546685E-2</c:v>
                </c:pt>
                <c:pt idx="218">
                  <c:v>-5.1873715332076374E-2</c:v>
                </c:pt>
                <c:pt idx="219">
                  <c:v>-5.2427941861891716E-2</c:v>
                </c:pt>
                <c:pt idx="220">
                  <c:v>-5.2962327493591303E-2</c:v>
                </c:pt>
                <c:pt idx="221">
                  <c:v>-5.3576150724820887E-2</c:v>
                </c:pt>
                <c:pt idx="222">
                  <c:v>-5.4180861695257154E-2</c:v>
                </c:pt>
                <c:pt idx="223">
                  <c:v>-5.4777109769171037E-2</c:v>
                </c:pt>
                <c:pt idx="224">
                  <c:v>-5.5442243140633757E-2</c:v>
                </c:pt>
                <c:pt idx="225">
                  <c:v>-5.5995480821793682E-2</c:v>
                </c:pt>
                <c:pt idx="226">
                  <c:v>-5.6625092335488528E-2</c:v>
                </c:pt>
                <c:pt idx="227">
                  <c:v>-5.7076223611290611E-2</c:v>
                </c:pt>
                <c:pt idx="228">
                  <c:v>-5.7806355816177442E-2</c:v>
                </c:pt>
                <c:pt idx="229">
                  <c:v>-5.8335944052835861E-2</c:v>
                </c:pt>
                <c:pt idx="230">
                  <c:v>-5.8877719823327943E-2</c:v>
                </c:pt>
                <c:pt idx="231">
                  <c:v>-5.953858275920916E-2</c:v>
                </c:pt>
                <c:pt idx="232">
                  <c:v>-6.0307389504230424E-2</c:v>
                </c:pt>
                <c:pt idx="233">
                  <c:v>-6.0771259997242831E-2</c:v>
                </c:pt>
                <c:pt idx="234">
                  <c:v>-6.1550610281120403E-2</c:v>
                </c:pt>
                <c:pt idx="235">
                  <c:v>-6.2075036785731771E-2</c:v>
                </c:pt>
                <c:pt idx="236">
                  <c:v>-6.2677933638674715E-2</c:v>
                </c:pt>
                <c:pt idx="237">
                  <c:v>-6.3438907641770181E-2</c:v>
                </c:pt>
                <c:pt idx="238">
                  <c:v>-6.4072372262270874E-2</c:v>
                </c:pt>
                <c:pt idx="239">
                  <c:v>-6.4562255975939578E-2</c:v>
                </c:pt>
                <c:pt idx="240">
                  <c:v>-6.5323268185109584E-2</c:v>
                </c:pt>
                <c:pt idx="241">
                  <c:v>-6.5849921472385248E-2</c:v>
                </c:pt>
                <c:pt idx="242">
                  <c:v>-6.6534457990126569E-2</c:v>
                </c:pt>
                <c:pt idx="243">
                  <c:v>-6.719801220057682E-2</c:v>
                </c:pt>
                <c:pt idx="244">
                  <c:v>-6.7747474876504399E-2</c:v>
                </c:pt>
                <c:pt idx="245">
                  <c:v>-6.8465444965877351E-2</c:v>
                </c:pt>
                <c:pt idx="246">
                  <c:v>-6.9085882164368256E-2</c:v>
                </c:pt>
                <c:pt idx="247">
                  <c:v>-6.9785227605422176E-2</c:v>
                </c:pt>
                <c:pt idx="248">
                  <c:v>-7.0268843113205012E-2</c:v>
                </c:pt>
                <c:pt idx="249">
                  <c:v>-7.0955833858005413E-2</c:v>
                </c:pt>
                <c:pt idx="250">
                  <c:v>-7.1510494149988266E-2</c:v>
                </c:pt>
                <c:pt idx="251">
                  <c:v>-7.209342319446449E-2</c:v>
                </c:pt>
                <c:pt idx="252">
                  <c:v>-7.2697283734997994E-2</c:v>
                </c:pt>
                <c:pt idx="253">
                  <c:v>-7.3192120420666695E-2</c:v>
                </c:pt>
                <c:pt idx="254">
                  <c:v>-7.3938120562689447E-2</c:v>
                </c:pt>
                <c:pt idx="255">
                  <c:v>-7.4603543390462615E-2</c:v>
                </c:pt>
                <c:pt idx="256">
                  <c:v>-7.5154226976982444E-2</c:v>
                </c:pt>
                <c:pt idx="257">
                  <c:v>-7.5718228980236502E-2</c:v>
                </c:pt>
                <c:pt idx="258">
                  <c:v>-7.6337670272262084E-2</c:v>
                </c:pt>
                <c:pt idx="259">
                  <c:v>-7.6912831514833357E-2</c:v>
                </c:pt>
                <c:pt idx="260">
                  <c:v>-7.7182064865539066E-2</c:v>
                </c:pt>
                <c:pt idx="261">
                  <c:v>-7.7866692907822055E-2</c:v>
                </c:pt>
                <c:pt idx="262">
                  <c:v>-7.8632221160741159E-2</c:v>
                </c:pt>
                <c:pt idx="263">
                  <c:v>-7.9225128823292343E-2</c:v>
                </c:pt>
                <c:pt idx="264">
                  <c:v>-7.9654770761347887E-2</c:v>
                </c:pt>
                <c:pt idx="265">
                  <c:v>-8.0395324956521103E-2</c:v>
                </c:pt>
                <c:pt idx="266">
                  <c:v>-8.1007303716776377E-2</c:v>
                </c:pt>
                <c:pt idx="267">
                  <c:v>-8.1521976810417507E-2</c:v>
                </c:pt>
                <c:pt idx="268">
                  <c:v>-8.2221131332022773E-2</c:v>
                </c:pt>
                <c:pt idx="269">
                  <c:v>-8.2808396570532364E-2</c:v>
                </c:pt>
                <c:pt idx="270">
                  <c:v>-8.3343009371215929E-2</c:v>
                </c:pt>
                <c:pt idx="271">
                  <c:v>-8.4066809689515354E-2</c:v>
                </c:pt>
                <c:pt idx="272">
                  <c:v>-8.4658606878947523E-2</c:v>
                </c:pt>
                <c:pt idx="273">
                  <c:v>-8.5267779815221559E-2</c:v>
                </c:pt>
                <c:pt idx="274">
                  <c:v>-8.5832863532530515E-2</c:v>
                </c:pt>
                <c:pt idx="275">
                  <c:v>-8.6330903342716273E-2</c:v>
                </c:pt>
                <c:pt idx="276">
                  <c:v>-8.7094806865991345E-2</c:v>
                </c:pt>
                <c:pt idx="277">
                  <c:v>-8.7402700083896168E-2</c:v>
                </c:pt>
                <c:pt idx="278">
                  <c:v>-8.8251729889976441E-2</c:v>
                </c:pt>
                <c:pt idx="279">
                  <c:v>-8.8718487281915559E-2</c:v>
                </c:pt>
                <c:pt idx="280">
                  <c:v>-8.9201718120792986E-2</c:v>
                </c:pt>
                <c:pt idx="281">
                  <c:v>-8.982336196159238E-2</c:v>
                </c:pt>
                <c:pt idx="282">
                  <c:v>-9.0284117050853818E-2</c:v>
                </c:pt>
                <c:pt idx="283">
                  <c:v>-9.0707439630703449E-2</c:v>
                </c:pt>
                <c:pt idx="284">
                  <c:v>-9.138331417472069E-2</c:v>
                </c:pt>
                <c:pt idx="285">
                  <c:v>-9.1808884128226104E-2</c:v>
                </c:pt>
                <c:pt idx="286">
                  <c:v>-9.2361983587168156E-2</c:v>
                </c:pt>
                <c:pt idx="287">
                  <c:v>-9.2904001405001296E-2</c:v>
                </c:pt>
                <c:pt idx="288">
                  <c:v>-9.3425672250536024E-2</c:v>
                </c:pt>
                <c:pt idx="289">
                  <c:v>-9.3897394057001052E-2</c:v>
                </c:pt>
                <c:pt idx="290">
                  <c:v>-9.4288834936546037E-2</c:v>
                </c:pt>
                <c:pt idx="291">
                  <c:v>-9.4981913680921209E-2</c:v>
                </c:pt>
                <c:pt idx="292">
                  <c:v>-9.5497980007455782E-2</c:v>
                </c:pt>
                <c:pt idx="293">
                  <c:v>-9.594754180198313E-2</c:v>
                </c:pt>
                <c:pt idx="294">
                  <c:v>-9.650107656530782E-2</c:v>
                </c:pt>
                <c:pt idx="295">
                  <c:v>-9.684223146316126E-2</c:v>
                </c:pt>
                <c:pt idx="296">
                  <c:v>-9.7487933145932917E-2</c:v>
                </c:pt>
                <c:pt idx="297">
                  <c:v>-9.8018093247975002E-2</c:v>
                </c:pt>
                <c:pt idx="298">
                  <c:v>-9.8598117847490521E-2</c:v>
                </c:pt>
                <c:pt idx="299">
                  <c:v>-9.9140569431942868E-2</c:v>
                </c:pt>
                <c:pt idx="300">
                  <c:v>-9.9620682995023302E-2</c:v>
                </c:pt>
                <c:pt idx="301">
                  <c:v>-0.10016896825634444</c:v>
                </c:pt>
                <c:pt idx="302">
                  <c:v>-0.10073980322432498</c:v>
                </c:pt>
                <c:pt idx="303">
                  <c:v>-0.10122930871519153</c:v>
                </c:pt>
                <c:pt idx="304">
                  <c:v>-0.10176424443346534</c:v>
                </c:pt>
                <c:pt idx="305">
                  <c:v>-0.10224254763207083</c:v>
                </c:pt>
                <c:pt idx="306">
                  <c:v>-0.1028701117207997</c:v>
                </c:pt>
                <c:pt idx="307">
                  <c:v>-0.1034303844098108</c:v>
                </c:pt>
                <c:pt idx="308">
                  <c:v>-0.10398391981055265</c:v>
                </c:pt>
                <c:pt idx="309">
                  <c:v>-0.10456695464885321</c:v>
                </c:pt>
                <c:pt idx="310">
                  <c:v>-0.10496502136992471</c:v>
                </c:pt>
                <c:pt idx="311">
                  <c:v>-0.10555162061883702</c:v>
                </c:pt>
                <c:pt idx="312">
                  <c:v>-0.10610588814580697</c:v>
                </c:pt>
                <c:pt idx="313">
                  <c:v>-0.10692427362403696</c:v>
                </c:pt>
                <c:pt idx="314">
                  <c:v>-0.10753129316772778</c:v>
                </c:pt>
                <c:pt idx="315">
                  <c:v>-0.10813214651753186</c:v>
                </c:pt>
                <c:pt idx="316">
                  <c:v>-0.10860507627861611</c:v>
                </c:pt>
                <c:pt idx="317">
                  <c:v>-0.10909368709597612</c:v>
                </c:pt>
                <c:pt idx="318">
                  <c:v>-0.10999347390384427</c:v>
                </c:pt>
                <c:pt idx="319">
                  <c:v>-0.11052407755046925</c:v>
                </c:pt>
                <c:pt idx="320">
                  <c:v>-0.11110406004504447</c:v>
                </c:pt>
                <c:pt idx="321">
                  <c:v>-0.1117240294027699</c:v>
                </c:pt>
                <c:pt idx="322">
                  <c:v>-0.11252583665539304</c:v>
                </c:pt>
                <c:pt idx="323">
                  <c:v>-0.11313612837487028</c:v>
                </c:pt>
                <c:pt idx="324">
                  <c:v>-0.11375548648274623</c:v>
                </c:pt>
                <c:pt idx="325">
                  <c:v>-0.11435926412400567</c:v>
                </c:pt>
                <c:pt idx="326">
                  <c:v>-0.1148509150377213</c:v>
                </c:pt>
                <c:pt idx="327">
                  <c:v>-0.11544066193823117</c:v>
                </c:pt>
                <c:pt idx="328">
                  <c:v>-0.11606079503050748</c:v>
                </c:pt>
                <c:pt idx="329">
                  <c:v>-0.11655457703450448</c:v>
                </c:pt>
                <c:pt idx="330">
                  <c:v>-0.11730340303815602</c:v>
                </c:pt>
                <c:pt idx="331">
                  <c:v>-0.11787925376368397</c:v>
                </c:pt>
                <c:pt idx="332">
                  <c:v>-0.11851287959551378</c:v>
                </c:pt>
                <c:pt idx="333">
                  <c:v>-0.11914668084323959</c:v>
                </c:pt>
                <c:pt idx="334">
                  <c:v>-0.11981473124191797</c:v>
                </c:pt>
                <c:pt idx="335">
                  <c:v>-0.12042239111400528</c:v>
                </c:pt>
                <c:pt idx="336">
                  <c:v>-0.12109191458228404</c:v>
                </c:pt>
                <c:pt idx="337">
                  <c:v>-0.12164847408921468</c:v>
                </c:pt>
                <c:pt idx="338">
                  <c:v>-0.12231506200265711</c:v>
                </c:pt>
                <c:pt idx="339">
                  <c:v>-0.12289441725650228</c:v>
                </c:pt>
                <c:pt idx="340">
                  <c:v>-0.12358292442143155</c:v>
                </c:pt>
                <c:pt idx="341">
                  <c:v>-0.12421181261062363</c:v>
                </c:pt>
                <c:pt idx="342">
                  <c:v>-0.12483921638408692</c:v>
                </c:pt>
                <c:pt idx="343">
                  <c:v>-0.12545761088516963</c:v>
                </c:pt>
                <c:pt idx="344">
                  <c:v>-0.12617735404978153</c:v>
                </c:pt>
                <c:pt idx="345">
                  <c:v>-0.12657153507068541</c:v>
                </c:pt>
                <c:pt idx="346">
                  <c:v>-0.12721330573390957</c:v>
                </c:pt>
                <c:pt idx="347">
                  <c:v>-0.12788913232493321</c:v>
                </c:pt>
                <c:pt idx="348">
                  <c:v>-0.12862588681767656</c:v>
                </c:pt>
                <c:pt idx="349">
                  <c:v>-0.12898986577523291</c:v>
                </c:pt>
                <c:pt idx="350">
                  <c:v>-0.12955466243309163</c:v>
                </c:pt>
                <c:pt idx="351">
                  <c:v>-0.13012396417275454</c:v>
                </c:pt>
                <c:pt idx="352">
                  <c:v>-0.13067048501343295</c:v>
                </c:pt>
                <c:pt idx="353">
                  <c:v>-0.13120180792869571</c:v>
                </c:pt>
                <c:pt idx="354">
                  <c:v>-0.13170903887849308</c:v>
                </c:pt>
                <c:pt idx="355">
                  <c:v>-0.13230796377526916</c:v>
                </c:pt>
                <c:pt idx="356">
                  <c:v>-0.13285285178690479</c:v>
                </c:pt>
                <c:pt idx="357">
                  <c:v>-0.13315075903809742</c:v>
                </c:pt>
                <c:pt idx="358">
                  <c:v>-0.13396090723061896</c:v>
                </c:pt>
                <c:pt idx="359">
                  <c:v>-0.13451847751336243</c:v>
                </c:pt>
                <c:pt idx="360">
                  <c:v>-0.13498075977765792</c:v>
                </c:pt>
                <c:pt idx="361">
                  <c:v>-0.13553482434535566</c:v>
                </c:pt>
                <c:pt idx="362">
                  <c:v>-0.13590881433860208</c:v>
                </c:pt>
                <c:pt idx="363">
                  <c:v>-0.13638831591706088</c:v>
                </c:pt>
                <c:pt idx="364">
                  <c:v>-0.13694317818629631</c:v>
                </c:pt>
                <c:pt idx="365">
                  <c:v>-0.13732274405217976</c:v>
                </c:pt>
                <c:pt idx="366">
                  <c:v>-0.13791502137742592</c:v>
                </c:pt>
                <c:pt idx="367">
                  <c:v>-0.13829617074402467</c:v>
                </c:pt>
                <c:pt idx="368">
                  <c:v>-0.13890614327069009</c:v>
                </c:pt>
                <c:pt idx="369">
                  <c:v>-0.13924262462908751</c:v>
                </c:pt>
                <c:pt idx="370">
                  <c:v>-0.13982804812682517</c:v>
                </c:pt>
                <c:pt idx="371">
                  <c:v>-0.14018678656498287</c:v>
                </c:pt>
                <c:pt idx="372">
                  <c:v>-0.14058199149329453</c:v>
                </c:pt>
                <c:pt idx="373">
                  <c:v>-0.14121702790012994</c:v>
                </c:pt>
                <c:pt idx="374">
                  <c:v>-0.14166774285385828</c:v>
                </c:pt>
                <c:pt idx="375">
                  <c:v>-0.14224487874425495</c:v>
                </c:pt>
                <c:pt idx="376">
                  <c:v>-0.14264038744218141</c:v>
                </c:pt>
                <c:pt idx="377">
                  <c:v>-0.14312880892921515</c:v>
                </c:pt>
                <c:pt idx="378">
                  <c:v>-0.14370914196682832</c:v>
                </c:pt>
                <c:pt idx="379">
                  <c:v>-0.14412648297491146</c:v>
                </c:pt>
                <c:pt idx="380">
                  <c:v>-0.14458839744689028</c:v>
                </c:pt>
                <c:pt idx="381">
                  <c:v>-0.14512595353891011</c:v>
                </c:pt>
                <c:pt idx="382">
                  <c:v>-0.14569788052788329</c:v>
                </c:pt>
                <c:pt idx="383">
                  <c:v>-0.14615001087883905</c:v>
                </c:pt>
                <c:pt idx="384">
                  <c:v>-0.14668090707003417</c:v>
                </c:pt>
                <c:pt idx="385">
                  <c:v>-0.14722959352090786</c:v>
                </c:pt>
                <c:pt idx="386">
                  <c:v>-0.147812627589992</c:v>
                </c:pt>
                <c:pt idx="387">
                  <c:v>-0.14833789335852102</c:v>
                </c:pt>
                <c:pt idx="388">
                  <c:v>-0.14890142726909167</c:v>
                </c:pt>
                <c:pt idx="389">
                  <c:v>-0.14939680658882468</c:v>
                </c:pt>
                <c:pt idx="390">
                  <c:v>-0.14998725901770416</c:v>
                </c:pt>
                <c:pt idx="391">
                  <c:v>-0.15043639491273908</c:v>
                </c:pt>
                <c:pt idx="392">
                  <c:v>-0.15090125588697995</c:v>
                </c:pt>
                <c:pt idx="393">
                  <c:v>-0.15166215380265971</c:v>
                </c:pt>
                <c:pt idx="394">
                  <c:v>-0.15217000760098012</c:v>
                </c:pt>
                <c:pt idx="395">
                  <c:v>-0.152731019072153</c:v>
                </c:pt>
                <c:pt idx="396">
                  <c:v>-0.15312741033121938</c:v>
                </c:pt>
                <c:pt idx="397">
                  <c:v>-0.15382536707044178</c:v>
                </c:pt>
                <c:pt idx="398">
                  <c:v>-0.15442218035866687</c:v>
                </c:pt>
                <c:pt idx="399">
                  <c:v>-0.15498022395768271</c:v>
                </c:pt>
                <c:pt idx="400">
                  <c:v>-0.15551184228145037</c:v>
                </c:pt>
                <c:pt idx="401">
                  <c:v>-0.15608808509051139</c:v>
                </c:pt>
                <c:pt idx="402">
                  <c:v>-0.15660804993992916</c:v>
                </c:pt>
                <c:pt idx="403">
                  <c:v>-0.15709530870353619</c:v>
                </c:pt>
                <c:pt idx="404">
                  <c:v>-0.15779480150745775</c:v>
                </c:pt>
                <c:pt idx="405">
                  <c:v>-0.15838592714235653</c:v>
                </c:pt>
                <c:pt idx="406">
                  <c:v>-0.15898656552975643</c:v>
                </c:pt>
                <c:pt idx="407">
                  <c:v>-0.15960410384705925</c:v>
                </c:pt>
                <c:pt idx="408">
                  <c:v>-0.1600996647924941</c:v>
                </c:pt>
                <c:pt idx="409">
                  <c:v>-0.16072241920841815</c:v>
                </c:pt>
                <c:pt idx="410">
                  <c:v>-0.16124911398901454</c:v>
                </c:pt>
                <c:pt idx="411">
                  <c:v>-0.16202699012792979</c:v>
                </c:pt>
                <c:pt idx="412">
                  <c:v>-0.16256421796180801</c:v>
                </c:pt>
                <c:pt idx="413">
                  <c:v>-0.16324962823984387</c:v>
                </c:pt>
                <c:pt idx="414">
                  <c:v>-0.16373571784551563</c:v>
                </c:pt>
                <c:pt idx="415">
                  <c:v>-0.16433667850868286</c:v>
                </c:pt>
                <c:pt idx="416">
                  <c:v>-0.16504116306078842</c:v>
                </c:pt>
                <c:pt idx="417">
                  <c:v>-0.16562413856841152</c:v>
                </c:pt>
                <c:pt idx="418">
                  <c:v>-0.16628153356794623</c:v>
                </c:pt>
                <c:pt idx="419">
                  <c:v>-0.16695719680662538</c:v>
                </c:pt>
                <c:pt idx="420">
                  <c:v>-0.16758758849646438</c:v>
                </c:pt>
                <c:pt idx="421">
                  <c:v>-0.16831044548534985</c:v>
                </c:pt>
                <c:pt idx="422">
                  <c:v>-0.16886461055539534</c:v>
                </c:pt>
                <c:pt idx="423">
                  <c:v>-0.16946331571514775</c:v>
                </c:pt>
                <c:pt idx="424">
                  <c:v>-0.17021059736230129</c:v>
                </c:pt>
                <c:pt idx="425">
                  <c:v>-0.17082119503302878</c:v>
                </c:pt>
                <c:pt idx="426">
                  <c:v>-0.17150825065824823</c:v>
                </c:pt>
                <c:pt idx="427">
                  <c:v>-0.17226199721240368</c:v>
                </c:pt>
                <c:pt idx="428">
                  <c:v>-0.17292202014769112</c:v>
                </c:pt>
                <c:pt idx="429">
                  <c:v>-0.1736568377688395</c:v>
                </c:pt>
                <c:pt idx="430">
                  <c:v>-0.17433293702953601</c:v>
                </c:pt>
                <c:pt idx="431">
                  <c:v>-0.17483916085642101</c:v>
                </c:pt>
                <c:pt idx="432">
                  <c:v>-0.17577780078945221</c:v>
                </c:pt>
                <c:pt idx="433">
                  <c:v>-0.17641314906828698</c:v>
                </c:pt>
                <c:pt idx="434">
                  <c:v>-0.17715753971659282</c:v>
                </c:pt>
                <c:pt idx="435">
                  <c:v>-0.17785187617528944</c:v>
                </c:pt>
                <c:pt idx="436">
                  <c:v>-0.17859004760060329</c:v>
                </c:pt>
                <c:pt idx="437">
                  <c:v>-0.17933497125586267</c:v>
                </c:pt>
                <c:pt idx="438">
                  <c:v>-0.18008895725041432</c:v>
                </c:pt>
                <c:pt idx="439">
                  <c:v>-0.1807619955664454</c:v>
                </c:pt>
                <c:pt idx="440">
                  <c:v>-0.18152006153667441</c:v>
                </c:pt>
                <c:pt idx="441">
                  <c:v>-0.18222479693596574</c:v>
                </c:pt>
                <c:pt idx="442">
                  <c:v>-0.18295956556041143</c:v>
                </c:pt>
                <c:pt idx="443">
                  <c:v>-0.18369517265838159</c:v>
                </c:pt>
                <c:pt idx="444">
                  <c:v>-0.18446976692665892</c:v>
                </c:pt>
                <c:pt idx="445">
                  <c:v>-0.18523454927098257</c:v>
                </c:pt>
                <c:pt idx="446">
                  <c:v>-0.1859077111097808</c:v>
                </c:pt>
                <c:pt idx="447">
                  <c:v>-0.18668977849670207</c:v>
                </c:pt>
                <c:pt idx="448">
                  <c:v>-0.18724998976896645</c:v>
                </c:pt>
                <c:pt idx="449">
                  <c:v>-0.18800559803926872</c:v>
                </c:pt>
                <c:pt idx="450">
                  <c:v>-0.18890347374167099</c:v>
                </c:pt>
                <c:pt idx="451">
                  <c:v>-0.18951461368924299</c:v>
                </c:pt>
                <c:pt idx="452">
                  <c:v>-0.19051358660442502</c:v>
                </c:pt>
                <c:pt idx="453">
                  <c:v>-0.19116144967629436</c:v>
                </c:pt>
                <c:pt idx="454">
                  <c:v>-0.19191749032515792</c:v>
                </c:pt>
                <c:pt idx="455">
                  <c:v>-0.19255735292004886</c:v>
                </c:pt>
                <c:pt idx="456">
                  <c:v>-0.19343050202413362</c:v>
                </c:pt>
                <c:pt idx="457">
                  <c:v>-0.19409825691701427</c:v>
                </c:pt>
                <c:pt idx="458">
                  <c:v>-0.19482877805365426</c:v>
                </c:pt>
                <c:pt idx="459">
                  <c:v>-0.1955710393689972</c:v>
                </c:pt>
                <c:pt idx="460">
                  <c:v>-0.19644789600095197</c:v>
                </c:pt>
                <c:pt idx="461">
                  <c:v>-0.19666280210167969</c:v>
                </c:pt>
                <c:pt idx="462">
                  <c:v>-0.19795783027308222</c:v>
                </c:pt>
                <c:pt idx="463">
                  <c:v>-0.1988249783048717</c:v>
                </c:pt>
                <c:pt idx="464">
                  <c:v>-0.19940441800029368</c:v>
                </c:pt>
                <c:pt idx="465">
                  <c:v>-0.2002412140024695</c:v>
                </c:pt>
                <c:pt idx="466">
                  <c:v>-0.20096673412507327</c:v>
                </c:pt>
                <c:pt idx="467">
                  <c:v>-0.20175625795903646</c:v>
                </c:pt>
                <c:pt idx="468">
                  <c:v>-0.20268504625689104</c:v>
                </c:pt>
                <c:pt idx="469">
                  <c:v>-0.20337612996662077</c:v>
                </c:pt>
                <c:pt idx="470">
                  <c:v>-0.20419599368842647</c:v>
                </c:pt>
                <c:pt idx="471">
                  <c:v>-0.20502487231748112</c:v>
                </c:pt>
                <c:pt idx="472">
                  <c:v>-0.20568827121843805</c:v>
                </c:pt>
                <c:pt idx="473">
                  <c:v>-0.2065605360582356</c:v>
                </c:pt>
                <c:pt idx="474">
                  <c:v>-0.20731544369133603</c:v>
                </c:pt>
                <c:pt idx="475">
                  <c:v>-0.20812712095595712</c:v>
                </c:pt>
                <c:pt idx="476">
                  <c:v>-0.20886288438221121</c:v>
                </c:pt>
                <c:pt idx="477">
                  <c:v>-0.20973425070721133</c:v>
                </c:pt>
                <c:pt idx="478">
                  <c:v>-0.21042062934597258</c:v>
                </c:pt>
                <c:pt idx="479">
                  <c:v>-0.21124315932491466</c:v>
                </c:pt>
                <c:pt idx="480">
                  <c:v>-0.21187487381695422</c:v>
                </c:pt>
                <c:pt idx="481">
                  <c:v>-0.21274074988438529</c:v>
                </c:pt>
                <c:pt idx="482">
                  <c:v>-0.21358813999297424</c:v>
                </c:pt>
                <c:pt idx="483">
                  <c:v>-0.21427350455913086</c:v>
                </c:pt>
                <c:pt idx="484">
                  <c:v>-0.21518859401133908</c:v>
                </c:pt>
                <c:pt idx="485">
                  <c:v>-0.21602187318081284</c:v>
                </c:pt>
                <c:pt idx="486">
                  <c:v>-0.2170879099026895</c:v>
                </c:pt>
                <c:pt idx="487">
                  <c:v>-0.21773590208398419</c:v>
                </c:pt>
                <c:pt idx="488">
                  <c:v>-0.21855234577147628</c:v>
                </c:pt>
                <c:pt idx="489">
                  <c:v>-0.21941873296871325</c:v>
                </c:pt>
                <c:pt idx="490">
                  <c:v>-0.22003996385585534</c:v>
                </c:pt>
                <c:pt idx="491">
                  <c:v>-0.22106445616502035</c:v>
                </c:pt>
                <c:pt idx="492">
                  <c:v>-0.22146001147929559</c:v>
                </c:pt>
                <c:pt idx="493">
                  <c:v>-0.2225313353335209</c:v>
                </c:pt>
                <c:pt idx="494">
                  <c:v>-0.22330753989702026</c:v>
                </c:pt>
                <c:pt idx="495">
                  <c:v>-0.22408604022602302</c:v>
                </c:pt>
                <c:pt idx="496">
                  <c:v>-0.22506639009896032</c:v>
                </c:pt>
                <c:pt idx="497">
                  <c:v>-0.22565939087423242</c:v>
                </c:pt>
                <c:pt idx="498">
                  <c:v>-0.22659264405684074</c:v>
                </c:pt>
                <c:pt idx="499">
                  <c:v>-0.22713997034670783</c:v>
                </c:pt>
                <c:pt idx="500">
                  <c:v>-0.2280596683988754</c:v>
                </c:pt>
                <c:pt idx="501">
                  <c:v>-0.22866715430726428</c:v>
                </c:pt>
                <c:pt idx="502">
                  <c:v>-0.2294229470742771</c:v>
                </c:pt>
                <c:pt idx="503">
                  <c:v>-0.2301018468368079</c:v>
                </c:pt>
                <c:pt idx="504">
                  <c:v>-0.23087234386014416</c:v>
                </c:pt>
                <c:pt idx="505">
                  <c:v>-0.23146517387222748</c:v>
                </c:pt>
                <c:pt idx="506">
                  <c:v>-0.23226264750428019</c:v>
                </c:pt>
                <c:pt idx="507">
                  <c:v>-0.23294731823018688</c:v>
                </c:pt>
                <c:pt idx="508">
                  <c:v>-0.23353543325700274</c:v>
                </c:pt>
                <c:pt idx="509">
                  <c:v>-0.2342039147303091</c:v>
                </c:pt>
                <c:pt idx="510">
                  <c:v>-0.23496642465934978</c:v>
                </c:pt>
                <c:pt idx="511">
                  <c:v>-0.23560641394404935</c:v>
                </c:pt>
                <c:pt idx="512">
                  <c:v>-0.23629121694460645</c:v>
                </c:pt>
                <c:pt idx="513">
                  <c:v>-0.23690024702489965</c:v>
                </c:pt>
                <c:pt idx="514">
                  <c:v>-0.23771725297541044</c:v>
                </c:pt>
                <c:pt idx="515">
                  <c:v>-0.2383776525187957</c:v>
                </c:pt>
                <c:pt idx="516">
                  <c:v>-0.23902116610285831</c:v>
                </c:pt>
                <c:pt idx="517">
                  <c:v>-0.23965112929505006</c:v>
                </c:pt>
                <c:pt idx="518">
                  <c:v>-0.24030903571134862</c:v>
                </c:pt>
                <c:pt idx="519">
                  <c:v>-0.24100392760866718</c:v>
                </c:pt>
                <c:pt idx="520">
                  <c:v>-0.24155359877624888</c:v>
                </c:pt>
                <c:pt idx="521">
                  <c:v>-0.24247937775663775</c:v>
                </c:pt>
                <c:pt idx="522">
                  <c:v>-0.24319045249985194</c:v>
                </c:pt>
                <c:pt idx="523">
                  <c:v>-0.24389971236085403</c:v>
                </c:pt>
                <c:pt idx="524">
                  <c:v>-0.24432610516450243</c:v>
                </c:pt>
                <c:pt idx="525">
                  <c:v>-0.24550118998321002</c:v>
                </c:pt>
                <c:pt idx="526">
                  <c:v>-0.24624821509034414</c:v>
                </c:pt>
                <c:pt idx="527">
                  <c:v>-0.24701167733279972</c:v>
                </c:pt>
                <c:pt idx="528">
                  <c:v>-0.2476649137087325</c:v>
                </c:pt>
                <c:pt idx="529">
                  <c:v>-0.24849323424024783</c:v>
                </c:pt>
                <c:pt idx="530">
                  <c:v>-0.24928168663670106</c:v>
                </c:pt>
                <c:pt idx="531">
                  <c:v>-0.24983283060147987</c:v>
                </c:pt>
                <c:pt idx="532">
                  <c:v>-0.25074741498537667</c:v>
                </c:pt>
                <c:pt idx="533">
                  <c:v>-0.25148830068430961</c:v>
                </c:pt>
                <c:pt idx="534">
                  <c:v>-0.25221561838391587</c:v>
                </c:pt>
                <c:pt idx="535">
                  <c:v>-0.25293878215906318</c:v>
                </c:pt>
                <c:pt idx="536">
                  <c:v>-0.25348993152346061</c:v>
                </c:pt>
                <c:pt idx="537">
                  <c:v>-0.25438412260369792</c:v>
                </c:pt>
                <c:pt idx="538">
                  <c:v>-0.2551009708659801</c:v>
                </c:pt>
                <c:pt idx="539">
                  <c:v>-0.25563485295426319</c:v>
                </c:pt>
                <c:pt idx="540">
                  <c:v>-0.25632490044902162</c:v>
                </c:pt>
                <c:pt idx="541">
                  <c:v>-0.25702339624880116</c:v>
                </c:pt>
                <c:pt idx="542">
                  <c:v>-0.25771205068259834</c:v>
                </c:pt>
                <c:pt idx="543">
                  <c:v>-0.25816314206500512</c:v>
                </c:pt>
                <c:pt idx="544">
                  <c:v>-0.25878529619508522</c:v>
                </c:pt>
                <c:pt idx="545">
                  <c:v>-0.25942442710187547</c:v>
                </c:pt>
                <c:pt idx="546">
                  <c:v>-0.26003931470757158</c:v>
                </c:pt>
                <c:pt idx="547">
                  <c:v>-0.26054969502618219</c:v>
                </c:pt>
                <c:pt idx="548">
                  <c:v>-0.26108604119497741</c:v>
                </c:pt>
                <c:pt idx="549">
                  <c:v>-0.26177081940309338</c:v>
                </c:pt>
                <c:pt idx="550">
                  <c:v>-0.2621965618752341</c:v>
                </c:pt>
                <c:pt idx="551">
                  <c:v>-0.26292445081953753</c:v>
                </c:pt>
                <c:pt idx="552">
                  <c:v>-0.26348774174232986</c:v>
                </c:pt>
                <c:pt idx="553">
                  <c:v>-0.26408825628008814</c:v>
                </c:pt>
                <c:pt idx="554">
                  <c:v>-0.26466582227746294</c:v>
                </c:pt>
                <c:pt idx="555">
                  <c:v>-0.26533251076516839</c:v>
                </c:pt>
                <c:pt idx="556">
                  <c:v>-0.26594129262252719</c:v>
                </c:pt>
                <c:pt idx="557">
                  <c:v>-0.26657902902089231</c:v>
                </c:pt>
                <c:pt idx="558">
                  <c:v>-0.26707737186097946</c:v>
                </c:pt>
                <c:pt idx="559">
                  <c:v>-0.26772240288840515</c:v>
                </c:pt>
                <c:pt idx="560">
                  <c:v>-0.26828664698928029</c:v>
                </c:pt>
                <c:pt idx="561">
                  <c:v>-0.26882322474516235</c:v>
                </c:pt>
                <c:pt idx="562">
                  <c:v>-0.2693916663300856</c:v>
                </c:pt>
                <c:pt idx="563">
                  <c:v>-0.26997325931574007</c:v>
                </c:pt>
                <c:pt idx="564">
                  <c:v>-0.27052494515425107</c:v>
                </c:pt>
                <c:pt idx="565">
                  <c:v>-0.27115086272683003</c:v>
                </c:pt>
                <c:pt idx="566">
                  <c:v>-0.27180537215575029</c:v>
                </c:pt>
                <c:pt idx="567">
                  <c:v>-0.27240897890912086</c:v>
                </c:pt>
                <c:pt idx="568">
                  <c:v>-0.27299099167208801</c:v>
                </c:pt>
                <c:pt idx="569">
                  <c:v>-0.27365776000389147</c:v>
                </c:pt>
                <c:pt idx="570">
                  <c:v>-0.27422590182903483</c:v>
                </c:pt>
                <c:pt idx="571">
                  <c:v>-0.27481543369027256</c:v>
                </c:pt>
                <c:pt idx="572">
                  <c:v>-0.27528537503695155</c:v>
                </c:pt>
                <c:pt idx="573">
                  <c:v>-0.27602992402695936</c:v>
                </c:pt>
                <c:pt idx="574">
                  <c:v>-0.27658325770496001</c:v>
                </c:pt>
                <c:pt idx="575">
                  <c:v>-0.27729822201435611</c:v>
                </c:pt>
                <c:pt idx="576">
                  <c:v>-0.27788720115436616</c:v>
                </c:pt>
                <c:pt idx="577">
                  <c:v>-0.27836604716801633</c:v>
                </c:pt>
                <c:pt idx="578">
                  <c:v>-0.27913230148824969</c:v>
                </c:pt>
                <c:pt idx="579">
                  <c:v>-0.27975710882167498</c:v>
                </c:pt>
                <c:pt idx="580">
                  <c:v>-0.28015599421961063</c:v>
                </c:pt>
                <c:pt idx="581">
                  <c:v>-0.28114621851243371</c:v>
                </c:pt>
                <c:pt idx="582">
                  <c:v>-0.2817486913569282</c:v>
                </c:pt>
                <c:pt idx="583">
                  <c:v>-0.28245655218690868</c:v>
                </c:pt>
                <c:pt idx="584">
                  <c:v>-0.28333148212477094</c:v>
                </c:pt>
                <c:pt idx="585">
                  <c:v>-0.28384989059409466</c:v>
                </c:pt>
                <c:pt idx="586">
                  <c:v>-0.2846920775147958</c:v>
                </c:pt>
                <c:pt idx="587">
                  <c:v>-0.28550686209435677</c:v>
                </c:pt>
                <c:pt idx="588">
                  <c:v>-0.28607174315749684</c:v>
                </c:pt>
                <c:pt idx="589">
                  <c:v>-0.28667477259736274</c:v>
                </c:pt>
                <c:pt idx="590">
                  <c:v>-0.28722999117982428</c:v>
                </c:pt>
                <c:pt idx="591">
                  <c:v>-0.28772826584430161</c:v>
                </c:pt>
                <c:pt idx="592">
                  <c:v>-0.28835025071048759</c:v>
                </c:pt>
                <c:pt idx="593">
                  <c:v>-0.28887014221638702</c:v>
                </c:pt>
                <c:pt idx="594">
                  <c:v>-0.28922491381376281</c:v>
                </c:pt>
                <c:pt idx="595">
                  <c:v>-0.28978763785965783</c:v>
                </c:pt>
                <c:pt idx="596">
                  <c:v>-0.29010011121919332</c:v>
                </c:pt>
                <c:pt idx="597">
                  <c:v>-0.29029931731620173</c:v>
                </c:pt>
                <c:pt idx="598">
                  <c:v>-0.29024990149600161</c:v>
                </c:pt>
                <c:pt idx="599">
                  <c:v>-0.28987159237175991</c:v>
                </c:pt>
                <c:pt idx="600">
                  <c:v>-0.2892366598395244</c:v>
                </c:pt>
                <c:pt idx="601">
                  <c:v>-0.28808630046819789</c:v>
                </c:pt>
                <c:pt idx="602">
                  <c:v>-0.28649634598049267</c:v>
                </c:pt>
                <c:pt idx="603">
                  <c:v>-0.28515689437575931</c:v>
                </c:pt>
                <c:pt idx="604">
                  <c:v>-0.28225429570205474</c:v>
                </c:pt>
                <c:pt idx="605">
                  <c:v>-0.27882945441813922</c:v>
                </c:pt>
                <c:pt idx="606">
                  <c:v>-0.27471086158601116</c:v>
                </c:pt>
                <c:pt idx="607">
                  <c:v>-0.27233715489227894</c:v>
                </c:pt>
                <c:pt idx="608">
                  <c:v>-0.26690931201337403</c:v>
                </c:pt>
                <c:pt idx="609">
                  <c:v>-0.26204425022269806</c:v>
                </c:pt>
                <c:pt idx="610">
                  <c:v>-0.25651471886173594</c:v>
                </c:pt>
                <c:pt idx="611">
                  <c:v>-0.25053076562330456</c:v>
                </c:pt>
                <c:pt idx="612">
                  <c:v>-0.24348049080978931</c:v>
                </c:pt>
                <c:pt idx="613">
                  <c:v>-0.23857784362288539</c:v>
                </c:pt>
                <c:pt idx="614">
                  <c:v>-0.22937037501543645</c:v>
                </c:pt>
                <c:pt idx="615">
                  <c:v>-0.22564332287211811</c:v>
                </c:pt>
                <c:pt idx="616">
                  <c:v>-0.6565813366661043</c:v>
                </c:pt>
                <c:pt idx="617">
                  <c:v>-0.6654668864568648</c:v>
                </c:pt>
                <c:pt idx="618">
                  <c:v>-0.67319949272443014</c:v>
                </c:pt>
                <c:pt idx="619">
                  <c:v>-0.6818311623751212</c:v>
                </c:pt>
                <c:pt idx="620">
                  <c:v>-0.69262925137730746</c:v>
                </c:pt>
                <c:pt idx="621">
                  <c:v>-0.70297446159933774</c:v>
                </c:pt>
                <c:pt idx="622">
                  <c:v>-0.71134378600132242</c:v>
                </c:pt>
                <c:pt idx="623">
                  <c:v>-0.72215138378166555</c:v>
                </c:pt>
                <c:pt idx="624">
                  <c:v>-0.73201793542149352</c:v>
                </c:pt>
                <c:pt idx="625">
                  <c:v>-0.74312403509310232</c:v>
                </c:pt>
                <c:pt idx="626">
                  <c:v>-0.75434501643630414</c:v>
                </c:pt>
                <c:pt idx="627">
                  <c:v>-0.76421402124403515</c:v>
                </c:pt>
                <c:pt idx="628">
                  <c:v>-0.77324212419404492</c:v>
                </c:pt>
                <c:pt idx="629">
                  <c:v>-0.7861004771255562</c:v>
                </c:pt>
                <c:pt idx="630">
                  <c:v>-0.79870052913036294</c:v>
                </c:pt>
                <c:pt idx="631">
                  <c:v>-0.80922487309318725</c:v>
                </c:pt>
                <c:pt idx="632">
                  <c:v>-0.81968974022554086</c:v>
                </c:pt>
                <c:pt idx="633">
                  <c:v>-0.83016097046289627</c:v>
                </c:pt>
                <c:pt idx="634">
                  <c:v>-0.83930007728175204</c:v>
                </c:pt>
                <c:pt idx="635">
                  <c:v>-0.85114248412910976</c:v>
                </c:pt>
                <c:pt idx="636">
                  <c:v>-0.8620137823902756</c:v>
                </c:pt>
                <c:pt idx="637">
                  <c:v>-0.87161648203128306</c:v>
                </c:pt>
                <c:pt idx="638">
                  <c:v>-0.88438605574518747</c:v>
                </c:pt>
                <c:pt idx="639">
                  <c:v>-0.89227474901082393</c:v>
                </c:pt>
                <c:pt idx="640">
                  <c:v>-0.90325198501231818</c:v>
                </c:pt>
                <c:pt idx="641">
                  <c:v>-0.9123768276294193</c:v>
                </c:pt>
                <c:pt idx="642">
                  <c:v>-0.92215759196014158</c:v>
                </c:pt>
                <c:pt idx="643">
                  <c:v>-0.93112303800056717</c:v>
                </c:pt>
                <c:pt idx="644">
                  <c:v>-0.94033169195569721</c:v>
                </c:pt>
                <c:pt idx="645">
                  <c:v>-0.95052705566495921</c:v>
                </c:pt>
                <c:pt idx="646">
                  <c:v>-0.9581463074830171</c:v>
                </c:pt>
                <c:pt idx="647">
                  <c:v>-0.96663059849939514</c:v>
                </c:pt>
                <c:pt idx="648">
                  <c:v>-0.97560982374943372</c:v>
                </c:pt>
                <c:pt idx="649">
                  <c:v>-0.98397157708112848</c:v>
                </c:pt>
                <c:pt idx="650">
                  <c:v>-0.98806155778205706</c:v>
                </c:pt>
                <c:pt idx="651">
                  <c:v>-0.99710137220378192</c:v>
                </c:pt>
                <c:pt idx="652">
                  <c:v>-1.0042386382385353</c:v>
                </c:pt>
                <c:pt idx="653">
                  <c:v>-1.010184370688826</c:v>
                </c:pt>
                <c:pt idx="654">
                  <c:v>-1.015980160109508</c:v>
                </c:pt>
                <c:pt idx="655">
                  <c:v>-1.0206442092212431</c:v>
                </c:pt>
                <c:pt idx="656">
                  <c:v>-1.0254912578421105</c:v>
                </c:pt>
                <c:pt idx="657">
                  <c:v>-1.0304479166114755</c:v>
                </c:pt>
                <c:pt idx="658">
                  <c:v>-1.0360125206246313</c:v>
                </c:pt>
                <c:pt idx="659">
                  <c:v>-1.0400237600855251</c:v>
                </c:pt>
                <c:pt idx="660">
                  <c:v>-1.0429937982142223</c:v>
                </c:pt>
                <c:pt idx="661">
                  <c:v>-1.0461378953424505</c:v>
                </c:pt>
                <c:pt idx="662">
                  <c:v>-1.0500205179722575</c:v>
                </c:pt>
                <c:pt idx="663">
                  <c:v>-1.0533906975150211</c:v>
                </c:pt>
                <c:pt idx="664">
                  <c:v>-1.0567435248513803</c:v>
                </c:pt>
                <c:pt idx="665">
                  <c:v>-1.059932147728621</c:v>
                </c:pt>
                <c:pt idx="666">
                  <c:v>-1.0629577965784081</c:v>
                </c:pt>
                <c:pt idx="667">
                  <c:v>-1.0666595490766448</c:v>
                </c:pt>
                <c:pt idx="668">
                  <c:v>-1.0700632234969343</c:v>
                </c:pt>
                <c:pt idx="669">
                  <c:v>-1.070612657270515</c:v>
                </c:pt>
                <c:pt idx="670">
                  <c:v>-1.0753568888498077</c:v>
                </c:pt>
                <c:pt idx="671">
                  <c:v>-1.0802754524961471</c:v>
                </c:pt>
                <c:pt idx="672">
                  <c:v>-1.0839139681397671</c:v>
                </c:pt>
                <c:pt idx="673">
                  <c:v>-1.0878355278020619</c:v>
                </c:pt>
                <c:pt idx="674">
                  <c:v>-1.0905389721269143</c:v>
                </c:pt>
                <c:pt idx="675">
                  <c:v>-1.0944630329871381</c:v>
                </c:pt>
                <c:pt idx="676">
                  <c:v>-1.0974353267001009</c:v>
                </c:pt>
                <c:pt idx="677">
                  <c:v>-1.1008710931026207</c:v>
                </c:pt>
                <c:pt idx="678">
                  <c:v>-1.1029841632010884</c:v>
                </c:pt>
                <c:pt idx="679">
                  <c:v>-1.1057152060037418</c:v>
                </c:pt>
                <c:pt idx="680">
                  <c:v>-1.1078391059038404</c:v>
                </c:pt>
                <c:pt idx="681">
                  <c:v>-1.1100834827093993</c:v>
                </c:pt>
                <c:pt idx="682">
                  <c:v>-1.1123274780609489</c:v>
                </c:pt>
                <c:pt idx="683">
                  <c:v>-1.1145867011061927</c:v>
                </c:pt>
                <c:pt idx="684">
                  <c:v>-1.1167132151494901</c:v>
                </c:pt>
                <c:pt idx="685">
                  <c:v>-1.1190091998474319</c:v>
                </c:pt>
                <c:pt idx="686">
                  <c:v>-1.120751272442249</c:v>
                </c:pt>
                <c:pt idx="687">
                  <c:v>-1.1233383530277392</c:v>
                </c:pt>
                <c:pt idx="688">
                  <c:v>-1.1256778117788102</c:v>
                </c:pt>
                <c:pt idx="689">
                  <c:v>-1.1280323200265185</c:v>
                </c:pt>
                <c:pt idx="690">
                  <c:v>-1.1306559905954559</c:v>
                </c:pt>
                <c:pt idx="691">
                  <c:v>-1.1332218103347138</c:v>
                </c:pt>
                <c:pt idx="692">
                  <c:v>-1.1353654432285578</c:v>
                </c:pt>
                <c:pt idx="693">
                  <c:v>-1.1380546982419217</c:v>
                </c:pt>
                <c:pt idx="694">
                  <c:v>-1.1405533607164184</c:v>
                </c:pt>
                <c:pt idx="695">
                  <c:v>-1.1427421163725713</c:v>
                </c:pt>
                <c:pt idx="696">
                  <c:v>-1.1453122062065149</c:v>
                </c:pt>
                <c:pt idx="697">
                  <c:v>-1.1460220243242916</c:v>
                </c:pt>
                <c:pt idx="698">
                  <c:v>-1.1499504502975944</c:v>
                </c:pt>
                <c:pt idx="699">
                  <c:v>-1.1523110433547235</c:v>
                </c:pt>
                <c:pt idx="700">
                  <c:v>-1.1545750029079862</c:v>
                </c:pt>
                <c:pt idx="701">
                  <c:v>-1.1561702683978823</c:v>
                </c:pt>
                <c:pt idx="702">
                  <c:v>-1.1580266174577014</c:v>
                </c:pt>
                <c:pt idx="703">
                  <c:v>-1.1591823568856798</c:v>
                </c:pt>
                <c:pt idx="704">
                  <c:v>-1.1621440978909354</c:v>
                </c:pt>
                <c:pt idx="705">
                  <c:v>-1.1639020084678802</c:v>
                </c:pt>
                <c:pt idx="706">
                  <c:v>-1.1655214317004476</c:v>
                </c:pt>
                <c:pt idx="707">
                  <c:v>-1.1671847749510118</c:v>
                </c:pt>
                <c:pt idx="708">
                  <c:v>-1.168303748446597</c:v>
                </c:pt>
                <c:pt idx="709">
                  <c:v>-1.16986429360342</c:v>
                </c:pt>
                <c:pt idx="710">
                  <c:v>-1.1709883640411272</c:v>
                </c:pt>
                <c:pt idx="711">
                  <c:v>-1.1720520182109446</c:v>
                </c:pt>
                <c:pt idx="712">
                  <c:v>-1.1736251857456974</c:v>
                </c:pt>
                <c:pt idx="713">
                  <c:v>-1.1742813037640834</c:v>
                </c:pt>
                <c:pt idx="714">
                  <c:v>-1.175625529353302</c:v>
                </c:pt>
                <c:pt idx="715">
                  <c:v>-1.1768012173194935</c:v>
                </c:pt>
                <c:pt idx="716">
                  <c:v>-1.1770413279531324</c:v>
                </c:pt>
                <c:pt idx="717">
                  <c:v>-1.1778361866023415</c:v>
                </c:pt>
                <c:pt idx="718">
                  <c:v>-1.178122276155906</c:v>
                </c:pt>
                <c:pt idx="719">
                  <c:v>-1.1781832924264457</c:v>
                </c:pt>
                <c:pt idx="720">
                  <c:v>-1.1779925544706793</c:v>
                </c:pt>
                <c:pt idx="721">
                  <c:v>-1.1776638018295276</c:v>
                </c:pt>
                <c:pt idx="722">
                  <c:v>-1.1771099608882865</c:v>
                </c:pt>
                <c:pt idx="723">
                  <c:v>-1.1764926183634654</c:v>
                </c:pt>
                <c:pt idx="724">
                  <c:v>-1.1754374126605602</c:v>
                </c:pt>
                <c:pt idx="725">
                  <c:v>-1.1739168507148527</c:v>
                </c:pt>
                <c:pt idx="726">
                  <c:v>-1.1725628326374002</c:v>
                </c:pt>
                <c:pt idx="727">
                  <c:v>-1.1709840837685577</c:v>
                </c:pt>
                <c:pt idx="728">
                  <c:v>-1.1692802438898904</c:v>
                </c:pt>
                <c:pt idx="729">
                  <c:v>-1.168195134803065</c:v>
                </c:pt>
                <c:pt idx="730">
                  <c:v>-1.1671707563925133</c:v>
                </c:pt>
                <c:pt idx="731">
                  <c:v>-1.1665179189853463</c:v>
                </c:pt>
                <c:pt idx="732">
                  <c:v>-1.1658943393049699</c:v>
                </c:pt>
                <c:pt idx="733">
                  <c:v>-1.1650792842674329</c:v>
                </c:pt>
                <c:pt idx="734">
                  <c:v>-1.1644227964475382</c:v>
                </c:pt>
                <c:pt idx="735">
                  <c:v>-1.164488961024863</c:v>
                </c:pt>
                <c:pt idx="736">
                  <c:v>-1.1650191657254065</c:v>
                </c:pt>
                <c:pt idx="737">
                  <c:v>-1.1660637201048019</c:v>
                </c:pt>
                <c:pt idx="738">
                  <c:v>-1.1668105513021347</c:v>
                </c:pt>
                <c:pt idx="739">
                  <c:v>-1.1675249424042404</c:v>
                </c:pt>
                <c:pt idx="740">
                  <c:v>-1.1682689757583868</c:v>
                </c:pt>
                <c:pt idx="741">
                  <c:v>-1.1688484939901254</c:v>
                </c:pt>
                <c:pt idx="742">
                  <c:v>-1.1692948880625602</c:v>
                </c:pt>
                <c:pt idx="743">
                  <c:v>-1.1695543576034908</c:v>
                </c:pt>
                <c:pt idx="744">
                  <c:v>-1.1698954624602391</c:v>
                </c:pt>
                <c:pt idx="745">
                  <c:v>-1.1701526056714755</c:v>
                </c:pt>
                <c:pt idx="746">
                  <c:v>-1.1703086328127881</c:v>
                </c:pt>
                <c:pt idx="747">
                  <c:v>-1.1703685179305152</c:v>
                </c:pt>
                <c:pt idx="748">
                  <c:v>-1.1702522133180593</c:v>
                </c:pt>
                <c:pt idx="749">
                  <c:v>-1.1698403821967664</c:v>
                </c:pt>
                <c:pt idx="750">
                  <c:v>-1.1693145408673054</c:v>
                </c:pt>
                <c:pt idx="751">
                  <c:v>-1.168904632000392</c:v>
                </c:pt>
                <c:pt idx="752">
                  <c:v>-1.1679901987512209</c:v>
                </c:pt>
                <c:pt idx="753">
                  <c:v>-1.1674035982871329</c:v>
                </c:pt>
                <c:pt idx="754">
                  <c:v>-1.1665178158147229</c:v>
                </c:pt>
                <c:pt idx="755">
                  <c:v>-1.165674409139829</c:v>
                </c:pt>
                <c:pt idx="756">
                  <c:v>-1.1642283991479572</c:v>
                </c:pt>
                <c:pt idx="757">
                  <c:v>-1.1631819047698619</c:v>
                </c:pt>
                <c:pt idx="758">
                  <c:v>-1.1617469607029263</c:v>
                </c:pt>
                <c:pt idx="759">
                  <c:v>-1.1600111685882359</c:v>
                </c:pt>
                <c:pt idx="760">
                  <c:v>-1.157662038902981</c:v>
                </c:pt>
                <c:pt idx="761">
                  <c:v>-1.1556908677297979</c:v>
                </c:pt>
                <c:pt idx="762">
                  <c:v>-1.1531134401817615</c:v>
                </c:pt>
                <c:pt idx="763">
                  <c:v>-1.1503484113756994</c:v>
                </c:pt>
                <c:pt idx="764">
                  <c:v>-1.1469867454546978</c:v>
                </c:pt>
                <c:pt idx="765">
                  <c:v>-1.1434562140536355</c:v>
                </c:pt>
                <c:pt idx="766">
                  <c:v>-1.1420385731293767</c:v>
                </c:pt>
                <c:pt idx="767">
                  <c:v>-1.1321972129190987</c:v>
                </c:pt>
                <c:pt idx="768">
                  <c:v>-1.1280273010524833</c:v>
                </c:pt>
                <c:pt idx="769">
                  <c:v>-1.1242117126788038</c:v>
                </c:pt>
                <c:pt idx="770">
                  <c:v>-1.1212986559718967</c:v>
                </c:pt>
                <c:pt idx="771">
                  <c:v>-1.1163115402859276</c:v>
                </c:pt>
                <c:pt idx="772">
                  <c:v>-1.1118478896533273</c:v>
                </c:pt>
                <c:pt idx="773">
                  <c:v>-1.1073272800927447</c:v>
                </c:pt>
                <c:pt idx="774">
                  <c:v>-1.1032531481484034</c:v>
                </c:pt>
                <c:pt idx="775">
                  <c:v>-1.0999631748581034</c:v>
                </c:pt>
                <c:pt idx="776">
                  <c:v>-1.0942649546950571</c:v>
                </c:pt>
                <c:pt idx="777">
                  <c:v>-1.0915507435267859</c:v>
                </c:pt>
                <c:pt idx="778">
                  <c:v>-1.0838135139741021</c:v>
                </c:pt>
                <c:pt idx="779">
                  <c:v>-1.0791102713125096</c:v>
                </c:pt>
                <c:pt idx="780">
                  <c:v>-1.0736728151840327</c:v>
                </c:pt>
                <c:pt idx="781">
                  <c:v>-1.0701553954794591</c:v>
                </c:pt>
                <c:pt idx="782">
                  <c:v>-1.0646628378315295</c:v>
                </c:pt>
                <c:pt idx="783">
                  <c:v>-1.0607168029510718</c:v>
                </c:pt>
                <c:pt idx="784">
                  <c:v>-1.0570537515111753</c:v>
                </c:pt>
                <c:pt idx="785">
                  <c:v>-1.053019965727779</c:v>
                </c:pt>
                <c:pt idx="786">
                  <c:v>-1.0496241124776147</c:v>
                </c:pt>
                <c:pt idx="787">
                  <c:v>-1.0461042898544466</c:v>
                </c:pt>
                <c:pt idx="788">
                  <c:v>-1.0407114790650354</c:v>
                </c:pt>
                <c:pt idx="789">
                  <c:v>-1.0374832348615517</c:v>
                </c:pt>
                <c:pt idx="790">
                  <c:v>-1.0335319875564346</c:v>
                </c:pt>
                <c:pt idx="791">
                  <c:v>-1.0299804765019589</c:v>
                </c:pt>
                <c:pt idx="792">
                  <c:v>-1.0256924899473208</c:v>
                </c:pt>
                <c:pt idx="793">
                  <c:v>-1.0221791565695451</c:v>
                </c:pt>
                <c:pt idx="794">
                  <c:v>-1.0188157676451826</c:v>
                </c:pt>
                <c:pt idx="795">
                  <c:v>-1.0147580522285964</c:v>
                </c:pt>
                <c:pt idx="796">
                  <c:v>-1.0122895591945373</c:v>
                </c:pt>
                <c:pt idx="797">
                  <c:v>-1.0094234361090899</c:v>
                </c:pt>
                <c:pt idx="798">
                  <c:v>-1.006268170074716</c:v>
                </c:pt>
                <c:pt idx="799">
                  <c:v>-1.0029524880340897</c:v>
                </c:pt>
                <c:pt idx="800">
                  <c:v>-0.99948901602428564</c:v>
                </c:pt>
                <c:pt idx="801">
                  <c:v>-0.99649122267914159</c:v>
                </c:pt>
                <c:pt idx="802">
                  <c:v>-0.99390290173611917</c:v>
                </c:pt>
                <c:pt idx="803">
                  <c:v>-0.99259587316097819</c:v>
                </c:pt>
                <c:pt idx="804">
                  <c:v>-0.98928918623026851</c:v>
                </c:pt>
                <c:pt idx="805">
                  <c:v>-0.9878115065702765</c:v>
                </c:pt>
                <c:pt idx="806">
                  <c:v>-0.98608973339507211</c:v>
                </c:pt>
                <c:pt idx="807">
                  <c:v>-0.9852401444711858</c:v>
                </c:pt>
                <c:pt idx="808">
                  <c:v>-0.98392533972328522</c:v>
                </c:pt>
                <c:pt idx="809">
                  <c:v>-0.98328240061634353</c:v>
                </c:pt>
                <c:pt idx="810">
                  <c:v>-0.98294308465998048</c:v>
                </c:pt>
                <c:pt idx="811">
                  <c:v>-0.9828533167817769</c:v>
                </c:pt>
                <c:pt idx="812">
                  <c:v>-0.98307233054396659</c:v>
                </c:pt>
                <c:pt idx="813">
                  <c:v>-0.98349164546033341</c:v>
                </c:pt>
                <c:pt idx="814">
                  <c:v>-0.98411569416598454</c:v>
                </c:pt>
                <c:pt idx="815">
                  <c:v>-0.98493116952914572</c:v>
                </c:pt>
                <c:pt idx="816">
                  <c:v>-0.98571605326635414</c:v>
                </c:pt>
                <c:pt idx="817">
                  <c:v>-0.98669670550260902</c:v>
                </c:pt>
                <c:pt idx="818">
                  <c:v>-0.98812083315697719</c:v>
                </c:pt>
                <c:pt idx="819">
                  <c:v>-0.98940928030986663</c:v>
                </c:pt>
                <c:pt idx="820">
                  <c:v>-0.99104442874853904</c:v>
                </c:pt>
                <c:pt idx="821">
                  <c:v>-0.99289253255421306</c:v>
                </c:pt>
                <c:pt idx="822">
                  <c:v>-0.99468939731928652</c:v>
                </c:pt>
                <c:pt idx="823">
                  <c:v>-0.99519568741935904</c:v>
                </c:pt>
                <c:pt idx="824">
                  <c:v>-0.9982099891957541</c:v>
                </c:pt>
                <c:pt idx="825">
                  <c:v>-1.0000707667803166</c:v>
                </c:pt>
                <c:pt idx="826">
                  <c:v>-1.0016138104871344</c:v>
                </c:pt>
                <c:pt idx="827">
                  <c:v>-1.0031214770109387</c:v>
                </c:pt>
                <c:pt idx="828">
                  <c:v>-1.0054101288591868</c:v>
                </c:pt>
                <c:pt idx="829">
                  <c:v>-1.007935284047045</c:v>
                </c:pt>
                <c:pt idx="830">
                  <c:v>-1.0096666634285532</c:v>
                </c:pt>
                <c:pt idx="831">
                  <c:v>-1.0115385341502081</c:v>
                </c:pt>
                <c:pt idx="832">
                  <c:v>-1.0144309534049474</c:v>
                </c:pt>
                <c:pt idx="833">
                  <c:v>-1.0156873072984083</c:v>
                </c:pt>
                <c:pt idx="834">
                  <c:v>-1.0159747223768454</c:v>
                </c:pt>
                <c:pt idx="835">
                  <c:v>-1.0174572007833713</c:v>
                </c:pt>
                <c:pt idx="836">
                  <c:v>-1.0179701381640229</c:v>
                </c:pt>
                <c:pt idx="837">
                  <c:v>-1.0186924261421118</c:v>
                </c:pt>
                <c:pt idx="838">
                  <c:v>-1.0189453284645547</c:v>
                </c:pt>
                <c:pt idx="839">
                  <c:v>-1.01927662327409</c:v>
                </c:pt>
                <c:pt idx="840">
                  <c:v>-1.0193181365483259</c:v>
                </c:pt>
                <c:pt idx="841">
                  <c:v>-1.0191249318414881</c:v>
                </c:pt>
                <c:pt idx="842">
                  <c:v>-1.0189384790489162</c:v>
                </c:pt>
                <c:pt idx="843">
                  <c:v>-1.0185416176845252</c:v>
                </c:pt>
                <c:pt idx="844">
                  <c:v>-1.0180100144882889</c:v>
                </c:pt>
                <c:pt idx="845">
                  <c:v>-1.0176252804986488</c:v>
                </c:pt>
                <c:pt idx="846">
                  <c:v>-1.0164966792209484</c:v>
                </c:pt>
                <c:pt idx="847">
                  <c:v>-1.0163389798075373</c:v>
                </c:pt>
                <c:pt idx="848">
                  <c:v>-1.0148048868651844</c:v>
                </c:pt>
                <c:pt idx="849">
                  <c:v>-1.0135352634496482</c:v>
                </c:pt>
                <c:pt idx="850">
                  <c:v>-1.0127909884780515</c:v>
                </c:pt>
                <c:pt idx="851">
                  <c:v>-1.0096428639808261</c:v>
                </c:pt>
                <c:pt idx="852">
                  <c:v>-1.0050046545187472</c:v>
                </c:pt>
                <c:pt idx="853">
                  <c:v>-1.0040314742627372</c:v>
                </c:pt>
                <c:pt idx="854">
                  <c:v>-0.99177312871017032</c:v>
                </c:pt>
                <c:pt idx="855">
                  <c:v>-0.98626862784101854</c:v>
                </c:pt>
                <c:pt idx="856">
                  <c:v>-0.98386610894291548</c:v>
                </c:pt>
                <c:pt idx="857">
                  <c:v>-0.98222771151543431</c:v>
                </c:pt>
                <c:pt idx="858">
                  <c:v>-0.97954909397915535</c:v>
                </c:pt>
                <c:pt idx="859">
                  <c:v>-0.9789808939179151</c:v>
                </c:pt>
                <c:pt idx="860">
                  <c:v>-0.97371560605795515</c:v>
                </c:pt>
                <c:pt idx="861">
                  <c:v>-0.97024377930940897</c:v>
                </c:pt>
                <c:pt idx="862">
                  <c:v>-0.96979925053619331</c:v>
                </c:pt>
                <c:pt idx="863">
                  <c:v>-0.96781972514904879</c:v>
                </c:pt>
                <c:pt idx="864">
                  <c:v>-0.96658887525133663</c:v>
                </c:pt>
                <c:pt idx="865">
                  <c:v>-0.96475427692652749</c:v>
                </c:pt>
                <c:pt idx="866">
                  <c:v>-0.96354704621822651</c:v>
                </c:pt>
                <c:pt idx="867">
                  <c:v>-0.96215183915111491</c:v>
                </c:pt>
                <c:pt idx="868">
                  <c:v>-0.96106819347368722</c:v>
                </c:pt>
                <c:pt idx="869">
                  <c:v>-0.96020709443716046</c:v>
                </c:pt>
                <c:pt idx="870">
                  <c:v>-0.95738935910042722</c:v>
                </c:pt>
                <c:pt idx="871">
                  <c:v>-0.95718347816952332</c:v>
                </c:pt>
                <c:pt idx="872">
                  <c:v>-0.95446896947112059</c:v>
                </c:pt>
                <c:pt idx="873">
                  <c:v>-0.95391055908284694</c:v>
                </c:pt>
                <c:pt idx="874">
                  <c:v>-0.95312812393543755</c:v>
                </c:pt>
                <c:pt idx="875">
                  <c:v>-0.95236878794400615</c:v>
                </c:pt>
                <c:pt idx="876">
                  <c:v>-0.95196361429169118</c:v>
                </c:pt>
                <c:pt idx="877">
                  <c:v>-0.95090330256196065</c:v>
                </c:pt>
                <c:pt idx="878">
                  <c:v>-0.94946645990533884</c:v>
                </c:pt>
                <c:pt idx="879">
                  <c:v>-0.94887590728062521</c:v>
                </c:pt>
                <c:pt idx="880">
                  <c:v>-0.94803437140043512</c:v>
                </c:pt>
                <c:pt idx="881">
                  <c:v>-0.94757256244828414</c:v>
                </c:pt>
                <c:pt idx="882">
                  <c:v>-0.94694461754590653</c:v>
                </c:pt>
                <c:pt idx="883">
                  <c:v>-0.94417863526835943</c:v>
                </c:pt>
                <c:pt idx="884">
                  <c:v>-0.94320433707920759</c:v>
                </c:pt>
                <c:pt idx="885">
                  <c:v>-0.93871761448015567</c:v>
                </c:pt>
                <c:pt idx="886">
                  <c:v>-0.93810473367258829</c:v>
                </c:pt>
                <c:pt idx="887">
                  <c:v>-0.93299553020226766</c:v>
                </c:pt>
                <c:pt idx="888">
                  <c:v>-0.9312913284388924</c:v>
                </c:pt>
                <c:pt idx="889">
                  <c:v>-0.92765167547249694</c:v>
                </c:pt>
                <c:pt idx="890">
                  <c:v>-0.92738346323912602</c:v>
                </c:pt>
                <c:pt idx="891">
                  <c:v>-0.92427226604140489</c:v>
                </c:pt>
                <c:pt idx="892">
                  <c:v>-0.92406954776918804</c:v>
                </c:pt>
                <c:pt idx="893">
                  <c:v>-0.91729397087992148</c:v>
                </c:pt>
                <c:pt idx="894">
                  <c:v>-0.91306299184620943</c:v>
                </c:pt>
                <c:pt idx="895">
                  <c:v>-0.91243256098853198</c:v>
                </c:pt>
                <c:pt idx="896">
                  <c:v>-0.90743476915771759</c:v>
                </c:pt>
                <c:pt idx="897">
                  <c:v>-0.90240891699815795</c:v>
                </c:pt>
                <c:pt idx="898">
                  <c:v>-0.89806303227823303</c:v>
                </c:pt>
                <c:pt idx="899">
                  <c:v>-0.89494014908254538</c:v>
                </c:pt>
                <c:pt idx="900">
                  <c:v>-0.89462858047357885</c:v>
                </c:pt>
                <c:pt idx="901">
                  <c:v>-0.88050116158089686</c:v>
                </c:pt>
                <c:pt idx="902">
                  <c:v>-0.87918572493689928</c:v>
                </c:pt>
                <c:pt idx="903">
                  <c:v>-0.87272497611485755</c:v>
                </c:pt>
                <c:pt idx="904">
                  <c:v>-0.86982487258092467</c:v>
                </c:pt>
                <c:pt idx="905">
                  <c:v>-0.86057398521228012</c:v>
                </c:pt>
                <c:pt idx="906">
                  <c:v>-0.85883964609881802</c:v>
                </c:pt>
                <c:pt idx="907">
                  <c:v>-0.84899196745842409</c:v>
                </c:pt>
                <c:pt idx="908">
                  <c:v>-0.83447530258472491</c:v>
                </c:pt>
                <c:pt idx="909">
                  <c:v>-0.83357019496398266</c:v>
                </c:pt>
                <c:pt idx="910">
                  <c:v>-0.82680643998035641</c:v>
                </c:pt>
                <c:pt idx="911">
                  <c:v>-0.82240520173616305</c:v>
                </c:pt>
                <c:pt idx="912">
                  <c:v>-0.82146439367319279</c:v>
                </c:pt>
                <c:pt idx="913">
                  <c:v>-0.81870912389212958</c:v>
                </c:pt>
                <c:pt idx="914">
                  <c:v>-0.81602264663342561</c:v>
                </c:pt>
                <c:pt idx="915">
                  <c:v>-0.81373065462768424</c:v>
                </c:pt>
                <c:pt idx="916">
                  <c:v>-0.8126141628801713</c:v>
                </c:pt>
                <c:pt idx="917">
                  <c:v>-0.80559389954316096</c:v>
                </c:pt>
                <c:pt idx="918">
                  <c:v>-0.80469962261180117</c:v>
                </c:pt>
                <c:pt idx="919">
                  <c:v>-0.80547084040529449</c:v>
                </c:pt>
                <c:pt idx="920">
                  <c:v>-0.80559253153559041</c:v>
                </c:pt>
                <c:pt idx="921">
                  <c:v>-0.81316229463947187</c:v>
                </c:pt>
                <c:pt idx="922">
                  <c:v>-0.81489297884403378</c:v>
                </c:pt>
                <c:pt idx="923">
                  <c:v>-0.83083501023913098</c:v>
                </c:pt>
                <c:pt idx="924">
                  <c:v>-0.84877643680524573</c:v>
                </c:pt>
                <c:pt idx="925">
                  <c:v>-0.85112985001974406</c:v>
                </c:pt>
                <c:pt idx="926">
                  <c:v>-0.8780308016000542</c:v>
                </c:pt>
                <c:pt idx="927">
                  <c:v>-0.90750510244571592</c:v>
                </c:pt>
                <c:pt idx="928">
                  <c:v>-0.93632459935297407</c:v>
                </c:pt>
                <c:pt idx="929">
                  <c:v>-0.96630514928105138</c:v>
                </c:pt>
                <c:pt idx="930">
                  <c:v>-0.96798523697995686</c:v>
                </c:pt>
                <c:pt idx="931">
                  <c:v>-1.0005256004252696</c:v>
                </c:pt>
                <c:pt idx="932">
                  <c:v>-1.0490701631378025</c:v>
                </c:pt>
                <c:pt idx="933">
                  <c:v>-1.0740398387223982</c:v>
                </c:pt>
                <c:pt idx="934">
                  <c:v>-1.0767587549095665</c:v>
                </c:pt>
                <c:pt idx="935">
                  <c:v>-1.0522620952454418</c:v>
                </c:pt>
                <c:pt idx="936">
                  <c:v>-1.0482974979581829</c:v>
                </c:pt>
                <c:pt idx="937">
                  <c:v>-1.008409350342834</c:v>
                </c:pt>
                <c:pt idx="938">
                  <c:v>-0.99947165142514205</c:v>
                </c:pt>
                <c:pt idx="939">
                  <c:v>-0.99190110075049287</c:v>
                </c:pt>
                <c:pt idx="940">
                  <c:v>-0.98464960611198449</c:v>
                </c:pt>
                <c:pt idx="941">
                  <c:v>-0.97600052465427778</c:v>
                </c:pt>
                <c:pt idx="942">
                  <c:v>-0.9662034421088489</c:v>
                </c:pt>
                <c:pt idx="943">
                  <c:v>-0.95872785863092347</c:v>
                </c:pt>
                <c:pt idx="944">
                  <c:v>-0.93443034599721131</c:v>
                </c:pt>
                <c:pt idx="945">
                  <c:v>-0.92614626305401271</c:v>
                </c:pt>
                <c:pt idx="946">
                  <c:v>-0.91621185440735953</c:v>
                </c:pt>
                <c:pt idx="947">
                  <c:v>-0.89007849364060188</c:v>
                </c:pt>
                <c:pt idx="948">
                  <c:v>-0.86769829169483681</c:v>
                </c:pt>
                <c:pt idx="949">
                  <c:v>-0.83843956745413106</c:v>
                </c:pt>
                <c:pt idx="950">
                  <c:v>-0.8298405172272284</c:v>
                </c:pt>
                <c:pt idx="951">
                  <c:v>-0.68930238462259952</c:v>
                </c:pt>
                <c:pt idx="952">
                  <c:v>-0.66640866215810757</c:v>
                </c:pt>
                <c:pt idx="953">
                  <c:v>-0.6565211037176204</c:v>
                </c:pt>
                <c:pt idx="954">
                  <c:v>-0.60737685884342851</c:v>
                </c:pt>
                <c:pt idx="955">
                  <c:v>-0.58994266697545927</c:v>
                </c:pt>
                <c:pt idx="956">
                  <c:v>-0.57831307420328348</c:v>
                </c:pt>
                <c:pt idx="957">
                  <c:v>-0.55933324953839159</c:v>
                </c:pt>
                <c:pt idx="958">
                  <c:v>-0.54674465968257879</c:v>
                </c:pt>
                <c:pt idx="959">
                  <c:v>-0.53959848574364244</c:v>
                </c:pt>
                <c:pt idx="960">
                  <c:v>-0.53174675417827155</c:v>
                </c:pt>
                <c:pt idx="961">
                  <c:v>-0.52228915858854119</c:v>
                </c:pt>
                <c:pt idx="962">
                  <c:v>-0.50260787191280343</c:v>
                </c:pt>
                <c:pt idx="963">
                  <c:v>-0.49420650016238277</c:v>
                </c:pt>
                <c:pt idx="964">
                  <c:v>-0.48691511858441988</c:v>
                </c:pt>
                <c:pt idx="965">
                  <c:v>-0.47474527567652974</c:v>
                </c:pt>
                <c:pt idx="966">
                  <c:v>-0.46611900145572965</c:v>
                </c:pt>
                <c:pt idx="967">
                  <c:v>-0.45178399778989359</c:v>
                </c:pt>
                <c:pt idx="968">
                  <c:v>-0.44830343035081865</c:v>
                </c:pt>
                <c:pt idx="969">
                  <c:v>-0.43906989727940776</c:v>
                </c:pt>
                <c:pt idx="970">
                  <c:v>-0.43186597259344323</c:v>
                </c:pt>
                <c:pt idx="971">
                  <c:v>-0.4244304124804481</c:v>
                </c:pt>
                <c:pt idx="972">
                  <c:v>-0.41707078032341371</c:v>
                </c:pt>
                <c:pt idx="973">
                  <c:v>-0.4051201041220277</c:v>
                </c:pt>
                <c:pt idx="974">
                  <c:v>-0.39671140980733199</c:v>
                </c:pt>
                <c:pt idx="975">
                  <c:v>-0.38518954427855928</c:v>
                </c:pt>
                <c:pt idx="976">
                  <c:v>-0.37284887189751453</c:v>
                </c:pt>
                <c:pt idx="977">
                  <c:v>-0.36531348388050477</c:v>
                </c:pt>
                <c:pt idx="978">
                  <c:v>-0.35766840877157674</c:v>
                </c:pt>
                <c:pt idx="979">
                  <c:v>-0.35048611730315621</c:v>
                </c:pt>
                <c:pt idx="980">
                  <c:v>-0.34100869137538614</c:v>
                </c:pt>
                <c:pt idx="981">
                  <c:v>-0.33043964119900054</c:v>
                </c:pt>
                <c:pt idx="982">
                  <c:v>-0.32167012509564291</c:v>
                </c:pt>
                <c:pt idx="983">
                  <c:v>-0.31494851419151465</c:v>
                </c:pt>
                <c:pt idx="984">
                  <c:v>-0.30800755868286195</c:v>
                </c:pt>
                <c:pt idx="985">
                  <c:v>-0.30019248171673724</c:v>
                </c:pt>
                <c:pt idx="986">
                  <c:v>-0.29614420985068995</c:v>
                </c:pt>
                <c:pt idx="987">
                  <c:v>-0.28221291995152148</c:v>
                </c:pt>
                <c:pt idx="988">
                  <c:v>-0.27707797708765725</c:v>
                </c:pt>
                <c:pt idx="989">
                  <c:v>-0.26591883075099643</c:v>
                </c:pt>
                <c:pt idx="990">
                  <c:v>-0.25690879891230606</c:v>
                </c:pt>
                <c:pt idx="991">
                  <c:v>-0.24944815053446376</c:v>
                </c:pt>
                <c:pt idx="992">
                  <c:v>-0.24323783070839808</c:v>
                </c:pt>
                <c:pt idx="993">
                  <c:v>-0.23467958517750109</c:v>
                </c:pt>
                <c:pt idx="994">
                  <c:v>-0.22638195464382643</c:v>
                </c:pt>
                <c:pt idx="995">
                  <c:v>-0.21735773566531591</c:v>
                </c:pt>
                <c:pt idx="996">
                  <c:v>-0.20921549604431083</c:v>
                </c:pt>
                <c:pt idx="997">
                  <c:v>-0.20135503195759663</c:v>
                </c:pt>
                <c:pt idx="998">
                  <c:v>-0.19284963539620897</c:v>
                </c:pt>
                <c:pt idx="999">
                  <c:v>-0.18662339441890941</c:v>
                </c:pt>
                <c:pt idx="1000">
                  <c:v>-0.17805862017243557</c:v>
                </c:pt>
                <c:pt idx="1001">
                  <c:v>-0.17061363919728559</c:v>
                </c:pt>
                <c:pt idx="1002">
                  <c:v>-0.16181447771958712</c:v>
                </c:pt>
                <c:pt idx="1003">
                  <c:v>-0.15642366247549916</c:v>
                </c:pt>
                <c:pt idx="1004">
                  <c:v>-0.1464658664501465</c:v>
                </c:pt>
                <c:pt idx="1005">
                  <c:v>-0.13814054531866679</c:v>
                </c:pt>
                <c:pt idx="1006">
                  <c:v>-0.13030283106484108</c:v>
                </c:pt>
                <c:pt idx="1007">
                  <c:v>-0.12326942495835119</c:v>
                </c:pt>
                <c:pt idx="1008">
                  <c:v>-0.11512158525413217</c:v>
                </c:pt>
                <c:pt idx="1009">
                  <c:v>-0.10682052978537433</c:v>
                </c:pt>
                <c:pt idx="1010">
                  <c:v>-9.9229936563427434E-2</c:v>
                </c:pt>
                <c:pt idx="1011">
                  <c:v>-9.149774953922668E-2</c:v>
                </c:pt>
                <c:pt idx="1012">
                  <c:v>-8.5251661399659492E-2</c:v>
                </c:pt>
                <c:pt idx="1013">
                  <c:v>-7.5340998700994213E-2</c:v>
                </c:pt>
                <c:pt idx="1014">
                  <c:v>-6.7460120117702985E-2</c:v>
                </c:pt>
                <c:pt idx="1015">
                  <c:v>-5.9250679004994505E-2</c:v>
                </c:pt>
                <c:pt idx="1016">
                  <c:v>-5.5613567834688751E-2</c:v>
                </c:pt>
                <c:pt idx="1017">
                  <c:v>-4.3607903490059344E-2</c:v>
                </c:pt>
                <c:pt idx="1018">
                  <c:v>-3.511965385816166E-2</c:v>
                </c:pt>
                <c:pt idx="1019">
                  <c:v>-2.7029188499799368E-2</c:v>
                </c:pt>
                <c:pt idx="1020">
                  <c:v>-1.9450598745128268E-2</c:v>
                </c:pt>
                <c:pt idx="1021">
                  <c:v>-1.2214199587037348E-2</c:v>
                </c:pt>
                <c:pt idx="1022">
                  <c:v>-6.0814228108510135E-3</c:v>
                </c:pt>
                <c:pt idx="1023">
                  <c:v>3.7660146587535472E-3</c:v>
                </c:pt>
                <c:pt idx="1024">
                  <c:v>1.1313843583091746E-2</c:v>
                </c:pt>
                <c:pt idx="1025">
                  <c:v>1.9529953981532816E-2</c:v>
                </c:pt>
                <c:pt idx="1026">
                  <c:v>2.7572600222810099E-2</c:v>
                </c:pt>
                <c:pt idx="1027">
                  <c:v>3.5771999195991791E-2</c:v>
                </c:pt>
                <c:pt idx="1028">
                  <c:v>4.3608039653639387E-2</c:v>
                </c:pt>
                <c:pt idx="1029">
                  <c:v>4.8921340616047908E-2</c:v>
                </c:pt>
                <c:pt idx="1030">
                  <c:v>5.7110932677376179E-2</c:v>
                </c:pt>
                <c:pt idx="1031">
                  <c:v>6.512708572761107E-2</c:v>
                </c:pt>
                <c:pt idx="1032">
                  <c:v>7.4321557684278866E-2</c:v>
                </c:pt>
                <c:pt idx="1033">
                  <c:v>8.2442505601465432E-2</c:v>
                </c:pt>
                <c:pt idx="1034">
                  <c:v>8.9152421031076082E-2</c:v>
                </c:pt>
                <c:pt idx="1035">
                  <c:v>9.5789681146529013E-2</c:v>
                </c:pt>
                <c:pt idx="1036">
                  <c:v>0.10415104191759379</c:v>
                </c:pt>
                <c:pt idx="1037">
                  <c:v>0.11281783388755376</c:v>
                </c:pt>
                <c:pt idx="1038">
                  <c:v>0.12128992859028544</c:v>
                </c:pt>
                <c:pt idx="1039">
                  <c:v>0.12774171380831859</c:v>
                </c:pt>
                <c:pt idx="1040">
                  <c:v>0.13517389326201348</c:v>
                </c:pt>
                <c:pt idx="1041">
                  <c:v>0.14448685173504</c:v>
                </c:pt>
                <c:pt idx="1042">
                  <c:v>0.15101932048936464</c:v>
                </c:pt>
                <c:pt idx="1043">
                  <c:v>0.1594500512663726</c:v>
                </c:pt>
                <c:pt idx="1044">
                  <c:v>0.16732299748712678</c:v>
                </c:pt>
                <c:pt idx="1045">
                  <c:v>0.17535996711326257</c:v>
                </c:pt>
                <c:pt idx="1046">
                  <c:v>0.18004690850515737</c:v>
                </c:pt>
                <c:pt idx="1047">
                  <c:v>0.18998131624889811</c:v>
                </c:pt>
                <c:pt idx="1048">
                  <c:v>0.1961796338268795</c:v>
                </c:pt>
                <c:pt idx="1049">
                  <c:v>0.20344222803575163</c:v>
                </c:pt>
                <c:pt idx="1050">
                  <c:v>0.21457897643766324</c:v>
                </c:pt>
                <c:pt idx="1051">
                  <c:v>0.22155609679004901</c:v>
                </c:pt>
                <c:pt idx="1052">
                  <c:v>0.22931065400788589</c:v>
                </c:pt>
                <c:pt idx="1053">
                  <c:v>0.23664243301062551</c:v>
                </c:pt>
                <c:pt idx="1054">
                  <c:v>0.24426746007799729</c:v>
                </c:pt>
                <c:pt idx="1055">
                  <c:v>0.25218362387141624</c:v>
                </c:pt>
                <c:pt idx="1056">
                  <c:v>0.25990800447421386</c:v>
                </c:pt>
                <c:pt idx="1057">
                  <c:v>0.26786632380152503</c:v>
                </c:pt>
                <c:pt idx="1058">
                  <c:v>0.27638843551898379</c:v>
                </c:pt>
                <c:pt idx="1059">
                  <c:v>0.28337422240437277</c:v>
                </c:pt>
                <c:pt idx="1060">
                  <c:v>0.29154275330430041</c:v>
                </c:pt>
                <c:pt idx="1061">
                  <c:v>0.29879508953772682</c:v>
                </c:pt>
                <c:pt idx="1062">
                  <c:v>0.30706714353009862</c:v>
                </c:pt>
                <c:pt idx="1063">
                  <c:v>0.3087928503133851</c:v>
                </c:pt>
                <c:pt idx="1064">
                  <c:v>0.3234720942397859</c:v>
                </c:pt>
                <c:pt idx="1065">
                  <c:v>0.32915693139718039</c:v>
                </c:pt>
                <c:pt idx="1066">
                  <c:v>0.33760990546635949</c:v>
                </c:pt>
                <c:pt idx="1067">
                  <c:v>0.34577814476965552</c:v>
                </c:pt>
                <c:pt idx="1068">
                  <c:v>0.35339584486131081</c:v>
                </c:pt>
                <c:pt idx="1069">
                  <c:v>0.36095150695888401</c:v>
                </c:pt>
                <c:pt idx="1070">
                  <c:v>0.36688893213409057</c:v>
                </c:pt>
                <c:pt idx="1071">
                  <c:v>0.37467190588778454</c:v>
                </c:pt>
                <c:pt idx="1072">
                  <c:v>0.38424933904769148</c:v>
                </c:pt>
                <c:pt idx="1073">
                  <c:v>0.39120147511281184</c:v>
                </c:pt>
                <c:pt idx="1074">
                  <c:v>0.39995600113122459</c:v>
                </c:pt>
                <c:pt idx="1075">
                  <c:v>0.40613946634723347</c:v>
                </c:pt>
                <c:pt idx="1076">
                  <c:v>0.41323304931172067</c:v>
                </c:pt>
                <c:pt idx="1077">
                  <c:v>0.42091034030816166</c:v>
                </c:pt>
                <c:pt idx="1078">
                  <c:v>0.43061116262958016</c:v>
                </c:pt>
                <c:pt idx="1079">
                  <c:v>0.43808980227831351</c:v>
                </c:pt>
                <c:pt idx="1080">
                  <c:v>0.44493276865454512</c:v>
                </c:pt>
                <c:pt idx="1081">
                  <c:v>0.452049063141019</c:v>
                </c:pt>
                <c:pt idx="1082">
                  <c:v>0.46097312226573167</c:v>
                </c:pt>
                <c:pt idx="1083">
                  <c:v>0.46562431405306609</c:v>
                </c:pt>
                <c:pt idx="1084">
                  <c:v>0.47489800885625033</c:v>
                </c:pt>
                <c:pt idx="1085">
                  <c:v>0.48269512180971458</c:v>
                </c:pt>
                <c:pt idx="1086">
                  <c:v>0.49061478554753313</c:v>
                </c:pt>
                <c:pt idx="1087">
                  <c:v>0.49744945037095639</c:v>
                </c:pt>
                <c:pt idx="1088">
                  <c:v>0.50545131755463291</c:v>
                </c:pt>
                <c:pt idx="1089">
                  <c:v>0.51266463317392219</c:v>
                </c:pt>
                <c:pt idx="1090">
                  <c:v>0.52170487882530714</c:v>
                </c:pt>
                <c:pt idx="1091">
                  <c:v>0.52795720054082884</c:v>
                </c:pt>
                <c:pt idx="1092">
                  <c:v>0.53596209964012653</c:v>
                </c:pt>
                <c:pt idx="1093">
                  <c:v>0.54304689030813791</c:v>
                </c:pt>
                <c:pt idx="1094">
                  <c:v>0.55088779170540003</c:v>
                </c:pt>
                <c:pt idx="1095">
                  <c:v>0.55631259651124376</c:v>
                </c:pt>
                <c:pt idx="1096">
                  <c:v>0.56598718151762739</c:v>
                </c:pt>
                <c:pt idx="1097">
                  <c:v>0.57342001554759048</c:v>
                </c:pt>
                <c:pt idx="1098">
                  <c:v>0.58125885553083978</c:v>
                </c:pt>
                <c:pt idx="1099">
                  <c:v>0.58820834500447894</c:v>
                </c:pt>
                <c:pt idx="1100">
                  <c:v>0.59572310582870136</c:v>
                </c:pt>
                <c:pt idx="1101">
                  <c:v>0.60431751675385337</c:v>
                </c:pt>
                <c:pt idx="1102">
                  <c:v>0.61071700507302051</c:v>
                </c:pt>
                <c:pt idx="1103">
                  <c:v>0.61828946033585486</c:v>
                </c:pt>
                <c:pt idx="1104">
                  <c:v>0.626464390868953</c:v>
                </c:pt>
                <c:pt idx="1105">
                  <c:v>0.63347384232668036</c:v>
                </c:pt>
                <c:pt idx="1106">
                  <c:v>0.64118420101442786</c:v>
                </c:pt>
                <c:pt idx="1107">
                  <c:v>0.64844799929017927</c:v>
                </c:pt>
                <c:pt idx="1108">
                  <c:v>0.65589936894649037</c:v>
                </c:pt>
                <c:pt idx="1109">
                  <c:v>0.66251182088436134</c:v>
                </c:pt>
                <c:pt idx="1110">
                  <c:v>0.67014178255204548</c:v>
                </c:pt>
                <c:pt idx="1111">
                  <c:v>0.67359522622036294</c:v>
                </c:pt>
                <c:pt idx="1112">
                  <c:v>0.68502937098961358</c:v>
                </c:pt>
                <c:pt idx="1113">
                  <c:v>0.69244377360597897</c:v>
                </c:pt>
                <c:pt idx="1114">
                  <c:v>0.69950374295931605</c:v>
                </c:pt>
                <c:pt idx="1115">
                  <c:v>0.70700057319608622</c:v>
                </c:pt>
                <c:pt idx="1116">
                  <c:v>0.71217879771365267</c:v>
                </c:pt>
                <c:pt idx="1117">
                  <c:v>0.72038298106137511</c:v>
                </c:pt>
                <c:pt idx="1118">
                  <c:v>0.72695928247689867</c:v>
                </c:pt>
                <c:pt idx="1119">
                  <c:v>0.7346867735628112</c:v>
                </c:pt>
                <c:pt idx="1120">
                  <c:v>0.74342302145991224</c:v>
                </c:pt>
                <c:pt idx="1121">
                  <c:v>0.75064515434921919</c:v>
                </c:pt>
                <c:pt idx="1122">
                  <c:v>0.75675787887106694</c:v>
                </c:pt>
                <c:pt idx="1123">
                  <c:v>0</c:v>
                </c:pt>
                <c:pt idx="1124">
                  <c:v>0</c:v>
                </c:pt>
                <c:pt idx="1125">
                  <c:v>0</c:v>
                </c:pt>
                <c:pt idx="1126">
                  <c:v>0</c:v>
                </c:pt>
                <c:pt idx="1127">
                  <c:v>0</c:v>
                </c:pt>
                <c:pt idx="1128">
                  <c:v>0</c:v>
                </c:pt>
                <c:pt idx="1129">
                  <c:v>0</c:v>
                </c:pt>
                <c:pt idx="1130">
                  <c:v>0</c:v>
                </c:pt>
                <c:pt idx="1131">
                  <c:v>0</c:v>
                </c:pt>
                <c:pt idx="1132">
                  <c:v>0</c:v>
                </c:pt>
                <c:pt idx="1133">
                  <c:v>0</c:v>
                </c:pt>
                <c:pt idx="1134">
                  <c:v>0</c:v>
                </c:pt>
                <c:pt idx="1135">
                  <c:v>0</c:v>
                </c:pt>
                <c:pt idx="1136">
                  <c:v>0</c:v>
                </c:pt>
                <c:pt idx="1137">
                  <c:v>0</c:v>
                </c:pt>
                <c:pt idx="1138">
                  <c:v>0</c:v>
                </c:pt>
                <c:pt idx="1139">
                  <c:v>0</c:v>
                </c:pt>
                <c:pt idx="1140">
                  <c:v>0</c:v>
                </c:pt>
                <c:pt idx="1141">
                  <c:v>0</c:v>
                </c:pt>
                <c:pt idx="1142">
                  <c:v>0</c:v>
                </c:pt>
                <c:pt idx="1143">
                  <c:v>0</c:v>
                </c:pt>
                <c:pt idx="1144">
                  <c:v>0</c:v>
                </c:pt>
                <c:pt idx="1145">
                  <c:v>0</c:v>
                </c:pt>
                <c:pt idx="1146">
                  <c:v>0</c:v>
                </c:pt>
                <c:pt idx="1147">
                  <c:v>0</c:v>
                </c:pt>
                <c:pt idx="1148">
                  <c:v>0</c:v>
                </c:pt>
                <c:pt idx="1149">
                  <c:v>0</c:v>
                </c:pt>
                <c:pt idx="115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8DC-4090-B73F-076D065C5A8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58319664"/>
        <c:axId val="640784368"/>
        <c:extLst>
          <c:ext xmlns:c15="http://schemas.microsoft.com/office/drawing/2012/chart" uri="{02D57815-91ED-43cb-92C2-25804820EDAC}">
            <c15:filteredScatterSeries>
              <c15:ser>
                <c:idx val="2"/>
                <c:order val="0"/>
                <c:tx>
                  <c:v>Data</c:v>
                </c:tx>
                <c:spPr>
                  <a:ln w="25400" cap="rnd">
                    <a:noFill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3"/>
                    </a:solidFill>
                    <a:ln w="9525">
                      <a:solidFill>
                        <a:schemeClr val="accent3"/>
                      </a:solidFill>
                    </a:ln>
                    <a:effectLst/>
                  </c:spPr>
                </c:marker>
                <c:xVal>
                  <c:numRef>
                    <c:extLst>
                      <c:ext uri="{02D57815-91ED-43cb-92C2-25804820EDAC}">
                        <c15:formulaRef>
                          <c15:sqref>'Real Values'!$B$2:$B$1800</c15:sqref>
                        </c15:formulaRef>
                      </c:ext>
                    </c:extLst>
                    <c:numCache>
                      <c:formatCode>General</c:formatCode>
                      <c:ptCount val="1799"/>
                      <c:pt idx="0">
                        <c:v>5.2599999995436519E-2</c:v>
                      </c:pt>
                      <c:pt idx="1">
                        <c:v>7.1112999998149462E-2</c:v>
                      </c:pt>
                      <c:pt idx="2">
                        <c:v>9.1904000000795349E-2</c:v>
                      </c:pt>
                      <c:pt idx="3">
                        <c:v>0.10767899999336805</c:v>
                      </c:pt>
                      <c:pt idx="4">
                        <c:v>0.13174199999775738</c:v>
                      </c:pt>
                      <c:pt idx="5">
                        <c:v>0.15130599999974947</c:v>
                      </c:pt>
                      <c:pt idx="6">
                        <c:v>0.16790099999343511</c:v>
                      </c:pt>
                      <c:pt idx="7">
                        <c:v>0.1887060000008205</c:v>
                      </c:pt>
                      <c:pt idx="8">
                        <c:v>0.21346100000664592</c:v>
                      </c:pt>
                      <c:pt idx="9">
                        <c:v>0.22705699999642093</c:v>
                      </c:pt>
                      <c:pt idx="10">
                        <c:v>0.24826999999640975</c:v>
                      </c:pt>
                      <c:pt idx="11">
                        <c:v>0.26694099999440368</c:v>
                      </c:pt>
                      <c:pt idx="12">
                        <c:v>0.29261899999983143</c:v>
                      </c:pt>
                      <c:pt idx="13">
                        <c:v>0.31316000000515487</c:v>
                      </c:pt>
                      <c:pt idx="14">
                        <c:v>0.33193600000231527</c:v>
                      </c:pt>
                      <c:pt idx="15">
                        <c:v>0.3471949999948265</c:v>
                      </c:pt>
                      <c:pt idx="16">
                        <c:v>0.36253399999986868</c:v>
                      </c:pt>
                      <c:pt idx="17">
                        <c:v>0.39266500000667293</c:v>
                      </c:pt>
                      <c:pt idx="18">
                        <c:v>0.40777599999273662</c:v>
                      </c:pt>
                      <c:pt idx="19">
                        <c:v>0.43277499999385327</c:v>
                      </c:pt>
                      <c:pt idx="20">
                        <c:v>0.45146999999997206</c:v>
                      </c:pt>
                      <c:pt idx="21">
                        <c:v>0.46772000000055414</c:v>
                      </c:pt>
                      <c:pt idx="22">
                        <c:v>0.48933199999737553</c:v>
                      </c:pt>
                      <c:pt idx="23">
                        <c:v>0.50939500000094995</c:v>
                      </c:pt>
                      <c:pt idx="24">
                        <c:v>0.52885000000242144</c:v>
                      </c:pt>
                      <c:pt idx="25">
                        <c:v>0.54839799999899697</c:v>
                      </c:pt>
                      <c:pt idx="26">
                        <c:v>0.56978499999968335</c:v>
                      </c:pt>
                      <c:pt idx="27">
                        <c:v>0.58849900000495836</c:v>
                      </c:pt>
                      <c:pt idx="28">
                        <c:v>0.61144700000295416</c:v>
                      </c:pt>
                      <c:pt idx="29">
                        <c:v>0.6288020000065444</c:v>
                      </c:pt>
                      <c:pt idx="30">
                        <c:v>0.65030599999590777</c:v>
                      </c:pt>
                      <c:pt idx="31">
                        <c:v>0.67232100000546779</c:v>
                      </c:pt>
                      <c:pt idx="32">
                        <c:v>0.68908599999849685</c:v>
                      </c:pt>
                      <c:pt idx="33">
                        <c:v>0.71103900000161957</c:v>
                      </c:pt>
                      <c:pt idx="34">
                        <c:v>0.73151300000608899</c:v>
                      </c:pt>
                      <c:pt idx="35">
                        <c:v>0.74727399999392219</c:v>
                      </c:pt>
                      <c:pt idx="36">
                        <c:v>0.76911399999517016</c:v>
                      </c:pt>
                      <c:pt idx="37">
                        <c:v>0.79029099999752361</c:v>
                      </c:pt>
                      <c:pt idx="38">
                        <c:v>0.79935000000114087</c:v>
                      </c:pt>
                      <c:pt idx="39">
                        <c:v>0.83206099999370053</c:v>
                      </c:pt>
                      <c:pt idx="40">
                        <c:v>0.85044399999605957</c:v>
                      </c:pt>
                      <c:pt idx="41">
                        <c:v>0.87058800000522751</c:v>
                      </c:pt>
                      <c:pt idx="42">
                        <c:v>0.89076300000306219</c:v>
                      </c:pt>
                      <c:pt idx="43">
                        <c:v>0.91084300000511575</c:v>
                      </c:pt>
                      <c:pt idx="44">
                        <c:v>0.93167299999913666</c:v>
                      </c:pt>
                      <c:pt idx="45">
                        <c:v>0.94603799999458715</c:v>
                      </c:pt>
                      <c:pt idx="46">
                        <c:v>0.97082400000363123</c:v>
                      </c:pt>
                      <c:pt idx="47">
                        <c:v>0.99126799999794457</c:v>
                      </c:pt>
                      <c:pt idx="48">
                        <c:v>1.0061920000007376</c:v>
                      </c:pt>
                      <c:pt idx="49">
                        <c:v>1.0268289999949047</c:v>
                      </c:pt>
                      <c:pt idx="50">
                        <c:v>1.046040000001085</c:v>
                      </c:pt>
                      <c:pt idx="51">
                        <c:v>1.0720909999945434</c:v>
                      </c:pt>
                      <c:pt idx="52">
                        <c:v>1.0898290000041015</c:v>
                      </c:pt>
                      <c:pt idx="53">
                        <c:v>1.10770500000217</c:v>
                      </c:pt>
                      <c:pt idx="54">
                        <c:v>1.1321060000045691</c:v>
                      </c:pt>
                      <c:pt idx="55">
                        <c:v>1.1494200000015553</c:v>
                      </c:pt>
                      <c:pt idx="56">
                        <c:v>1.1718129999935627</c:v>
                      </c:pt>
                      <c:pt idx="57">
                        <c:v>1.1912400000001071</c:v>
                      </c:pt>
                      <c:pt idx="58">
                        <c:v>1.2120719999948051</c:v>
                      </c:pt>
                      <c:pt idx="59">
                        <c:v>1.2298180000070715</c:v>
                      </c:pt>
                      <c:pt idx="60">
                        <c:v>1.2522989999997662</c:v>
                      </c:pt>
                      <c:pt idx="61">
                        <c:v>1.2725670000072569</c:v>
                      </c:pt>
                      <c:pt idx="62">
                        <c:v>1.2926980000047479</c:v>
                      </c:pt>
                      <c:pt idx="63">
                        <c:v>1.3091259999928297</c:v>
                      </c:pt>
                      <c:pt idx="64">
                        <c:v>1.3326839999936055</c:v>
                      </c:pt>
                      <c:pt idx="65">
                        <c:v>1.3498839999956544</c:v>
                      </c:pt>
                      <c:pt idx="66">
                        <c:v>1.370003000003635</c:v>
                      </c:pt>
                      <c:pt idx="67">
                        <c:v>1.388120000003255</c:v>
                      </c:pt>
                      <c:pt idx="68">
                        <c:v>1.4047730000020238</c:v>
                      </c:pt>
                      <c:pt idx="69">
                        <c:v>1.4334419999941019</c:v>
                      </c:pt>
                      <c:pt idx="70">
                        <c:v>1.4489659999962896</c:v>
                      </c:pt>
                      <c:pt idx="71">
                        <c:v>1.4688380000006873</c:v>
                      </c:pt>
                      <c:pt idx="72">
                        <c:v>1.4888170000049286</c:v>
                      </c:pt>
                      <c:pt idx="73">
                        <c:v>1.5088760000071488</c:v>
                      </c:pt>
                      <c:pt idx="74">
                        <c:v>1.5299470000027213</c:v>
                      </c:pt>
                      <c:pt idx="75">
                        <c:v>1.5525769999949262</c:v>
                      </c:pt>
                      <c:pt idx="76">
                        <c:v>1.569312000006903</c:v>
                      </c:pt>
                      <c:pt idx="77">
                        <c:v>1.5915329999988899</c:v>
                      </c:pt>
                      <c:pt idx="78">
                        <c:v>1.609452999997302</c:v>
                      </c:pt>
                      <c:pt idx="79">
                        <c:v>1.629335000005085</c:v>
                      </c:pt>
                      <c:pt idx="80">
                        <c:v>1.6445709999970859</c:v>
                      </c:pt>
                      <c:pt idx="81">
                        <c:v>1.6701780000003055</c:v>
                      </c:pt>
                      <c:pt idx="82">
                        <c:v>1.6902649999974528</c:v>
                      </c:pt>
                      <c:pt idx="83">
                        <c:v>1.7111560000048485</c:v>
                      </c:pt>
                      <c:pt idx="84">
                        <c:v>1.7268270000058692</c:v>
                      </c:pt>
                      <c:pt idx="85">
                        <c:v>1.7516009999962989</c:v>
                      </c:pt>
                      <c:pt idx="86">
                        <c:v>1.7652260000031674</c:v>
                      </c:pt>
                      <c:pt idx="87">
                        <c:v>1.7857209999929182</c:v>
                      </c:pt>
                      <c:pt idx="88">
                        <c:v>1.8108459999930346</c:v>
                      </c:pt>
                      <c:pt idx="89">
                        <c:v>1.8259269999980461</c:v>
                      </c:pt>
                      <c:pt idx="90">
                        <c:v>1.8516570000065258</c:v>
                      </c:pt>
                      <c:pt idx="91">
                        <c:v>1.8665509999991627</c:v>
                      </c:pt>
                      <c:pt idx="92">
                        <c:v>1.8916880000033416</c:v>
                      </c:pt>
                      <c:pt idx="93">
                        <c:v>1.9009709999954794</c:v>
                      </c:pt>
                      <c:pt idx="94">
                        <c:v>1.9325919999973848</c:v>
                      </c:pt>
                      <c:pt idx="95">
                        <c:v>1.9516719999955967</c:v>
                      </c:pt>
                      <c:pt idx="96">
                        <c:v>1.9624049999983981</c:v>
                      </c:pt>
                      <c:pt idx="97">
                        <c:v>1.9868080000014743</c:v>
                      </c:pt>
                      <c:pt idx="98">
                        <c:v>2.0070249999989755</c:v>
                      </c:pt>
                      <c:pt idx="99">
                        <c:v>2.0269549999939045</c:v>
                      </c:pt>
                      <c:pt idx="100">
                        <c:v>2.0515290000039386</c:v>
                      </c:pt>
                      <c:pt idx="101">
                        <c:v>2.06706000000122</c:v>
                      </c:pt>
                      <c:pt idx="102">
                        <c:v>2.0930939999961993</c:v>
                      </c:pt>
                      <c:pt idx="103">
                        <c:v>2.1083260000013979</c:v>
                      </c:pt>
                      <c:pt idx="104">
                        <c:v>2.1305220000067493</c:v>
                      </c:pt>
                      <c:pt idx="105">
                        <c:v>2.1532779999979539</c:v>
                      </c:pt>
                      <c:pt idx="106">
                        <c:v>2.1726889999990817</c:v>
                      </c:pt>
                      <c:pt idx="107">
                        <c:v>2.1923870000027819</c:v>
                      </c:pt>
                      <c:pt idx="108">
                        <c:v>2.2102259999956004</c:v>
                      </c:pt>
                      <c:pt idx="109">
                        <c:v>2.2300249999971129</c:v>
                      </c:pt>
                      <c:pt idx="110">
                        <c:v>2.24872800000594</c:v>
                      </c:pt>
                      <c:pt idx="111">
                        <c:v>2.2715969999990193</c:v>
                      </c:pt>
                      <c:pt idx="112">
                        <c:v>2.2880569999979343</c:v>
                      </c:pt>
                      <c:pt idx="113">
                        <c:v>2.3085750000027474</c:v>
                      </c:pt>
                      <c:pt idx="114">
                        <c:v>2.3256039999978384</c:v>
                      </c:pt>
                      <c:pt idx="115">
                        <c:v>2.3487920000043232</c:v>
                      </c:pt>
                      <c:pt idx="116">
                        <c:v>2.3692259999952512</c:v>
                      </c:pt>
                      <c:pt idx="117">
                        <c:v>2.3854379999975208</c:v>
                      </c:pt>
                      <c:pt idx="118">
                        <c:v>2.4134559999947669</c:v>
                      </c:pt>
                      <c:pt idx="119">
                        <c:v>2.4298479999997653</c:v>
                      </c:pt>
                      <c:pt idx="120">
                        <c:v>2.4493689999944763</c:v>
                      </c:pt>
                      <c:pt idx="121">
                        <c:v>2.4721229999995558</c:v>
                      </c:pt>
                      <c:pt idx="122">
                        <c:v>2.4891680000000633</c:v>
                      </c:pt>
                      <c:pt idx="123">
                        <c:v>2.509661000003689</c:v>
                      </c:pt>
                      <c:pt idx="124">
                        <c:v>2.5303010000061477</c:v>
                      </c:pt>
                      <c:pt idx="125">
                        <c:v>2.5504150000051595</c:v>
                      </c:pt>
                      <c:pt idx="126">
                        <c:v>2.5750589999952354</c:v>
                      </c:pt>
                      <c:pt idx="127">
                        <c:v>2.5918490000040038</c:v>
                      </c:pt>
                      <c:pt idx="128">
                        <c:v>2.6100290000031237</c:v>
                      </c:pt>
                      <c:pt idx="129">
                        <c:v>2.6315659999963827</c:v>
                      </c:pt>
                      <c:pt idx="130">
                        <c:v>2.6451470000029076</c:v>
                      </c:pt>
                      <c:pt idx="131">
                        <c:v>2.6706280000071274</c:v>
                      </c:pt>
                      <c:pt idx="132">
                        <c:v>2.6857840000011493</c:v>
                      </c:pt>
                      <c:pt idx="133">
                        <c:v>2.7118340000015451</c:v>
                      </c:pt>
                      <c:pt idx="134">
                        <c:v>2.7317559999937657</c:v>
                      </c:pt>
                      <c:pt idx="135">
                        <c:v>2.7467389999947045</c:v>
                      </c:pt>
                      <c:pt idx="136">
                        <c:v>2.7717359999951441</c:v>
                      </c:pt>
                      <c:pt idx="137">
                        <c:v>2.7823230000067269</c:v>
                      </c:pt>
                      <c:pt idx="138">
                        <c:v>2.8119140000053449</c:v>
                      </c:pt>
                      <c:pt idx="139">
                        <c:v>2.8209769999957643</c:v>
                      </c:pt>
                      <c:pt idx="140">
                        <c:v>2.8517180000053486</c:v>
                      </c:pt>
                      <c:pt idx="141">
                        <c:v>2.8717109999997774</c:v>
                      </c:pt>
                      <c:pt idx="142">
                        <c:v>2.8814480000000913</c:v>
                      </c:pt>
                      <c:pt idx="143">
                        <c:v>2.907361999998102</c:v>
                      </c:pt>
                      <c:pt idx="144">
                        <c:v>2.9234009999927366</c:v>
                      </c:pt>
                      <c:pt idx="145">
                        <c:v>2.9484079999965616</c:v>
                      </c:pt>
                      <c:pt idx="146">
                        <c:v>2.9674059999961173</c:v>
                      </c:pt>
                      <c:pt idx="147">
                        <c:v>2.9871710000006715</c:v>
                      </c:pt>
                      <c:pt idx="148">
                        <c:v>3.0097939999977825</c:v>
                      </c:pt>
                      <c:pt idx="149">
                        <c:v>3.0274820000049658</c:v>
                      </c:pt>
                      <c:pt idx="150">
                        <c:v>3.0492830000002868</c:v>
                      </c:pt>
                      <c:pt idx="151">
                        <c:v>3.0676649999950314</c:v>
                      </c:pt>
                      <c:pt idx="152">
                        <c:v>3.0877840000030119</c:v>
                      </c:pt>
                      <c:pt idx="153">
                        <c:v>3.1087350000016158</c:v>
                      </c:pt>
                      <c:pt idx="154">
                        <c:v>3.1290100000042003</c:v>
                      </c:pt>
                      <c:pt idx="155">
                        <c:v>3.1441970000014408</c:v>
                      </c:pt>
                      <c:pt idx="156">
                        <c:v>3.168403000003309</c:v>
                      </c:pt>
                      <c:pt idx="157">
                        <c:v>3.1924449999933131</c:v>
                      </c:pt>
                      <c:pt idx="158">
                        <c:v>3.2133500000054482</c:v>
                      </c:pt>
                      <c:pt idx="159">
                        <c:v>3.2285600000031991</c:v>
                      </c:pt>
                      <c:pt idx="160">
                        <c:v>3.2441200000030221</c:v>
                      </c:pt>
                      <c:pt idx="161">
                        <c:v>3.2694909999991069</c:v>
                      </c:pt>
                      <c:pt idx="162">
                        <c:v>3.2937539999984438</c:v>
                      </c:pt>
                      <c:pt idx="163">
                        <c:v>3.3104580000072019</c:v>
                      </c:pt>
                      <c:pt idx="164">
                        <c:v>3.3294350000069244</c:v>
                      </c:pt>
                      <c:pt idx="165">
                        <c:v>3.349277000001166</c:v>
                      </c:pt>
                      <c:pt idx="166">
                        <c:v>3.3719500000006519</c:v>
                      </c:pt>
                      <c:pt idx="167">
                        <c:v>3.3908150000061141</c:v>
                      </c:pt>
                      <c:pt idx="168">
                        <c:v>3.4054869999963557</c:v>
                      </c:pt>
                      <c:pt idx="169">
                        <c:v>3.4302049999969313</c:v>
                      </c:pt>
                      <c:pt idx="170">
                        <c:v>3.4520959999936167</c:v>
                      </c:pt>
                      <c:pt idx="171">
                        <c:v>3.4648049999959767</c:v>
                      </c:pt>
                      <c:pt idx="172">
                        <c:v>3.49079100000381</c:v>
                      </c:pt>
                      <c:pt idx="173">
                        <c:v>3.5001929999998538</c:v>
                      </c:pt>
                      <c:pt idx="174">
                        <c:v>3.530681000003824</c:v>
                      </c:pt>
                      <c:pt idx="175">
                        <c:v>3.5506500000046799</c:v>
                      </c:pt>
                      <c:pt idx="176">
                        <c:v>3.5687520000064978</c:v>
                      </c:pt>
                      <c:pt idx="177">
                        <c:v>3.5910089999961201</c:v>
                      </c:pt>
                      <c:pt idx="178">
                        <c:v>3.6056269999971846</c:v>
                      </c:pt>
                      <c:pt idx="179">
                        <c:v>3.6308080000017071</c:v>
                      </c:pt>
                      <c:pt idx="180">
                        <c:v>3.6516960000008112</c:v>
                      </c:pt>
                      <c:pt idx="181">
                        <c:v>3.667555000007269</c:v>
                      </c:pt>
                      <c:pt idx="182">
                        <c:v>3.6924319999961881</c:v>
                      </c:pt>
                      <c:pt idx="183">
                        <c:v>3.7116790000000037</c:v>
                      </c:pt>
                      <c:pt idx="184">
                        <c:v>3.7264719999948284</c:v>
                      </c:pt>
                      <c:pt idx="185">
                        <c:v>3.7474039999942761</c:v>
                      </c:pt>
                      <c:pt idx="186">
                        <c:v>3.7724869999947259</c:v>
                      </c:pt>
                      <c:pt idx="187">
                        <c:v>3.7934470000036526</c:v>
                      </c:pt>
                      <c:pt idx="188">
                        <c:v>3.8076810000056867</c:v>
                      </c:pt>
                      <c:pt idx="189">
                        <c:v>3.832116000005044</c:v>
                      </c:pt>
                      <c:pt idx="190">
                        <c:v>3.842545000006794</c:v>
                      </c:pt>
                      <c:pt idx="191">
                        <c:v>3.871406999998726</c:v>
                      </c:pt>
                      <c:pt idx="192">
                        <c:v>3.8925960000051418</c:v>
                      </c:pt>
                      <c:pt idx="193">
                        <c:v>3.9126749999995809</c:v>
                      </c:pt>
                      <c:pt idx="194">
                        <c:v>3.9245519999967655</c:v>
                      </c:pt>
                      <c:pt idx="195">
                        <c:v>3.9481229999946663</c:v>
                      </c:pt>
                      <c:pt idx="196">
                        <c:v>3.9634170000063023</c:v>
                      </c:pt>
                      <c:pt idx="197">
                        <c:v>3.9902120000042487</c:v>
                      </c:pt>
                      <c:pt idx="198">
                        <c:v>4.0082729999994626</c:v>
                      </c:pt>
                      <c:pt idx="199">
                        <c:v>4.0329040000069654</c:v>
                      </c:pt>
                      <c:pt idx="200">
                        <c:v>4.0485679999983404</c:v>
                      </c:pt>
                      <c:pt idx="201">
                        <c:v>4.0655729999998584</c:v>
                      </c:pt>
                      <c:pt idx="202">
                        <c:v>4.0885209999978542</c:v>
                      </c:pt>
                      <c:pt idx="203">
                        <c:v>4.1096580000012182</c:v>
                      </c:pt>
                      <c:pt idx="204">
                        <c:v>4.1296569999976782</c:v>
                      </c:pt>
                      <c:pt idx="205">
                        <c:v>4.1485169999941718</c:v>
                      </c:pt>
                      <c:pt idx="206">
                        <c:v>4.1641729999973904</c:v>
                      </c:pt>
                      <c:pt idx="207">
                        <c:v>4.1927120000036666</c:v>
                      </c:pt>
                      <c:pt idx="208">
                        <c:v>4.210573000003933</c:v>
                      </c:pt>
                      <c:pt idx="209">
                        <c:v>4.2300249999971129</c:v>
                      </c:pt>
                      <c:pt idx="210">
                        <c:v>4.2491770000051474</c:v>
                      </c:pt>
                      <c:pt idx="211">
                        <c:v>4.2693810000055237</c:v>
                      </c:pt>
                      <c:pt idx="212">
                        <c:v>4.2926810000062687</c:v>
                      </c:pt>
                      <c:pt idx="213">
                        <c:v>4.3123619999969378</c:v>
                      </c:pt>
                      <c:pt idx="214">
                        <c:v>4.3236270000052173</c:v>
                      </c:pt>
                      <c:pt idx="215">
                        <c:v>4.3512570000020787</c:v>
                      </c:pt>
                      <c:pt idx="216">
                        <c:v>4.370452999995905</c:v>
                      </c:pt>
                      <c:pt idx="217">
                        <c:v>4.3855949999997392</c:v>
                      </c:pt>
                      <c:pt idx="218">
                        <c:v>4.4116510000021663</c:v>
                      </c:pt>
                      <c:pt idx="219">
                        <c:v>4.4319560000003548</c:v>
                      </c:pt>
                      <c:pt idx="220">
                        <c:v>4.450609000006807</c:v>
                      </c:pt>
                      <c:pt idx="221">
                        <c:v>4.4711410000018077</c:v>
                      </c:pt>
                      <c:pt idx="222">
                        <c:v>4.4914649999991525</c:v>
                      </c:pt>
                      <c:pt idx="223">
                        <c:v>4.5113770000025397</c:v>
                      </c:pt>
                      <c:pt idx="224">
                        <c:v>4.5335110000014538</c:v>
                      </c:pt>
                      <c:pt idx="225">
                        <c:v>4.5518880000017816</c:v>
                      </c:pt>
                      <c:pt idx="226">
                        <c:v>4.5727159999951255</c:v>
                      </c:pt>
                      <c:pt idx="227">
                        <c:v>4.5875990000058664</c:v>
                      </c:pt>
                      <c:pt idx="228">
                        <c:v>4.6115790000039851</c:v>
                      </c:pt>
                      <c:pt idx="229">
                        <c:v>4.6289269999979297</c:v>
                      </c:pt>
                      <c:pt idx="230">
                        <c:v>4.6466459999937797</c:v>
                      </c:pt>
                      <c:pt idx="231">
                        <c:v>4.6679900000017369</c:v>
                      </c:pt>
                      <c:pt idx="232">
                        <c:v>4.6924699999945005</c:v>
                      </c:pt>
                      <c:pt idx="233">
                        <c:v>4.7072829999960959</c:v>
                      </c:pt>
                      <c:pt idx="234">
                        <c:v>4.7321640000009211</c:v>
                      </c:pt>
                      <c:pt idx="235">
                        <c:v>4.7488690000027418</c:v>
                      </c:pt>
                      <c:pt idx="236">
                        <c:v>4.7680560000007972</c:v>
                      </c:pt>
                      <c:pt idx="237">
                        <c:v>4.7922260000050301</c:v>
                      </c:pt>
                      <c:pt idx="238">
                        <c:v>4.8123060000070836</c:v>
                      </c:pt>
                      <c:pt idx="239">
                        <c:v>4.8278129999962403</c:v>
                      </c:pt>
                      <c:pt idx="240">
                        <c:v>4.8518710000062129</c:v>
                      </c:pt>
                      <c:pt idx="241">
                        <c:v>4.8685109999933047</c:v>
                      </c:pt>
                      <c:pt idx="242">
                        <c:v>4.8900969999958761</c:v>
                      </c:pt>
                      <c:pt idx="243">
                        <c:v>4.9109770000068238</c:v>
                      </c:pt>
                      <c:pt idx="244">
                        <c:v>4.9282450000027893</c:v>
                      </c:pt>
                      <c:pt idx="245">
                        <c:v>4.9505219999991823</c:v>
                      </c:pt>
                      <c:pt idx="246">
                        <c:v>4.9698499999940395</c:v>
                      </c:pt>
                      <c:pt idx="247">
                        <c:v>4.992593000002671</c:v>
                      </c:pt>
                      <c:pt idx="248">
                        <c:v>5.0088120000000345</c:v>
                      </c:pt>
                      <c:pt idx="249">
                        <c:v>5.0316100000054576</c:v>
                      </c:pt>
                      <c:pt idx="250">
                        <c:v>5.0499969999946188</c:v>
                      </c:pt>
                      <c:pt idx="251">
                        <c:v>5.0693129999999655</c:v>
                      </c:pt>
                      <c:pt idx="252">
                        <c:v>5.0893229999928735</c:v>
                      </c:pt>
                      <c:pt idx="253">
                        <c:v>5.1057020000007469</c:v>
                      </c:pt>
                      <c:pt idx="254">
                        <c:v>5.1303250000055414</c:v>
                      </c:pt>
                      <c:pt idx="255">
                        <c:v>5.1522410000034142</c:v>
                      </c:pt>
                      <c:pt idx="256">
                        <c:v>5.1705280000023777</c:v>
                      </c:pt>
                      <c:pt idx="257">
                        <c:v>5.1904260000010254</c:v>
                      </c:pt>
                      <c:pt idx="258">
                        <c:v>5.2120589999976801</c:v>
                      </c:pt>
                      <c:pt idx="259">
                        <c:v>5.23209499999939</c:v>
                      </c:pt>
                      <c:pt idx="260">
                        <c:v>5.2414469999930589</c:v>
                      </c:pt>
                      <c:pt idx="261">
                        <c:v>5.2651409999962198</c:v>
                      </c:pt>
                      <c:pt idx="262">
                        <c:v>5.2915400000056252</c:v>
                      </c:pt>
                      <c:pt idx="263">
                        <c:v>5.3114269999932731</c:v>
                      </c:pt>
                      <c:pt idx="264">
                        <c:v>5.3258539999951608</c:v>
                      </c:pt>
                      <c:pt idx="265">
                        <c:v>5.3507320000062464</c:v>
                      </c:pt>
                      <c:pt idx="266">
                        <c:v>5.3712130000058096</c:v>
                      </c:pt>
                      <c:pt idx="267">
                        <c:v>5.3883910000004107</c:v>
                      </c:pt>
                      <c:pt idx="268">
                        <c:v>5.411642999999458</c:v>
                      </c:pt>
                      <c:pt idx="269">
                        <c:v>5.4311230000021169</c:v>
                      </c:pt>
                      <c:pt idx="270">
                        <c:v>5.4486299999989569</c:v>
                      </c:pt>
                      <c:pt idx="271">
                        <c:v>5.4724680000072112</c:v>
                      </c:pt>
                      <c:pt idx="272">
                        <c:v>5.4919269999954849</c:v>
                      </c:pt>
                      <c:pt idx="273">
                        <c:v>5.511863000006997</c:v>
                      </c:pt>
                      <c:pt idx="274">
                        <c:v>5.5304809999943245</c:v>
                      </c:pt>
                      <c:pt idx="275">
                        <c:v>5.5470349999959581</c:v>
                      </c:pt>
                      <c:pt idx="276">
                        <c:v>5.5724880000052508</c:v>
                      </c:pt>
                      <c:pt idx="277">
                        <c:v>5.5827129999961471</c:v>
                      </c:pt>
                      <c:pt idx="278">
                        <c:v>5.6128069999977015</c:v>
                      </c:pt>
                      <c:pt idx="279">
                        <c:v>5.6301979999989271</c:v>
                      </c:pt>
                      <c:pt idx="280">
                        <c:v>5.6481090000015683</c:v>
                      </c:pt>
                      <c:pt idx="281">
                        <c:v>5.6710330000059912</c:v>
                      </c:pt>
                      <c:pt idx="282">
                        <c:v>5.688586000003852</c:v>
                      </c:pt>
                      <c:pt idx="283">
                        <c:v>5.7051849999988917</c:v>
                      </c:pt>
                      <c:pt idx="284">
                        <c:v>5.7317630000034114</c:v>
                      </c:pt>
                      <c:pt idx="285">
                        <c:v>5.7484459999977844</c:v>
                      </c:pt>
                      <c:pt idx="286">
                        <c:v>5.770009999992908</c:v>
                      </c:pt>
                      <c:pt idx="287">
                        <c:v>5.7910430000047199</c:v>
                      </c:pt>
                      <c:pt idx="288">
                        <c:v>5.811199999996461</c:v>
                      </c:pt>
                      <c:pt idx="289">
                        <c:v>5.8293629999971017</c:v>
                      </c:pt>
                      <c:pt idx="290">
                        <c:v>5.8445210000063526</c:v>
                      </c:pt>
                      <c:pt idx="291">
                        <c:v>5.8717230000038398</c:v>
                      </c:pt>
                      <c:pt idx="292">
                        <c:v>5.8918779999949038</c:v>
                      </c:pt>
                      <c:pt idx="293">
                        <c:v>5.9094639999966603</c:v>
                      </c:pt>
                      <c:pt idx="294">
                        <c:v>5.9309780000039609</c:v>
                      </c:pt>
                      <c:pt idx="295">
                        <c:v>5.9442010000057053</c:v>
                      </c:pt>
                      <c:pt idx="296">
                        <c:v>5.9691310000052908</c:v>
                      </c:pt>
                      <c:pt idx="297">
                        <c:v>5.9892129999934696</c:v>
                      </c:pt>
                      <c:pt idx="298">
                        <c:v>6.0112450000015087</c:v>
                      </c:pt>
                      <c:pt idx="299">
                        <c:v>6.0316659999953117</c:v>
                      </c:pt>
                      <c:pt idx="300">
                        <c:v>6.049723999996786</c:v>
                      </c:pt>
                      <c:pt idx="301">
                        <c:v>6.0702909999963595</c:v>
                      </c:pt>
                      <c:pt idx="302">
                        <c:v>6.0916339999967022</c:v>
                      </c:pt>
                      <c:pt idx="303">
                        <c:v>6.1098610000044573</c:v>
                      </c:pt>
                      <c:pt idx="304">
                        <c:v>6.1296969999966677</c:v>
                      </c:pt>
                      <c:pt idx="305">
                        <c:v>6.1473790000018198</c:v>
                      </c:pt>
                      <c:pt idx="306">
                        <c:v>6.1705170000059297</c:v>
                      </c:pt>
                      <c:pt idx="307">
                        <c:v>6.1910729999945033</c:v>
                      </c:pt>
                      <c:pt idx="308">
                        <c:v>6.2112950000009732</c:v>
                      </c:pt>
                      <c:pt idx="309">
                        <c:v>6.2324990000051912</c:v>
                      </c:pt>
                      <c:pt idx="310">
                        <c:v>6.2469310000014957</c:v>
                      </c:pt>
                      <c:pt idx="311">
                        <c:v>6.2678610000002664</c:v>
                      </c:pt>
                      <c:pt idx="312">
                        <c:v>6.2864479999989271</c:v>
                      </c:pt>
                      <c:pt idx="313">
                        <c:v>6.3126840000040829</c:v>
                      </c:pt>
                      <c:pt idx="314">
                        <c:v>6.3321949999954086</c:v>
                      </c:pt>
                      <c:pt idx="315">
                        <c:v>6.3515110000007553</c:v>
                      </c:pt>
                      <c:pt idx="316">
                        <c:v>6.3666939999966417</c:v>
                      </c:pt>
                      <c:pt idx="317">
                        <c:v>6.3825130000041099</c:v>
                      </c:pt>
                      <c:pt idx="318">
                        <c:v>6.4117300000070827</c:v>
                      </c:pt>
                      <c:pt idx="319">
                        <c:v>6.42871500000183</c:v>
                      </c:pt>
                      <c:pt idx="320">
                        <c:v>6.4473149999976158</c:v>
                      </c:pt>
                      <c:pt idx="321">
                        <c:v>6.4672019999998156</c:v>
                      </c:pt>
                      <c:pt idx="322">
                        <c:v>6.4927759999991395</c:v>
                      </c:pt>
                      <c:pt idx="323">
                        <c:v>6.5122140000021318</c:v>
                      </c:pt>
                      <c:pt idx="324">
                        <c:v>6.5327839999954449</c:v>
                      </c:pt>
                      <c:pt idx="325">
                        <c:v>6.5528210000047693</c:v>
                      </c:pt>
                      <c:pt idx="326">
                        <c:v>6.5691119999974035</c:v>
                      </c:pt>
                      <c:pt idx="327">
                        <c:v>6.5885390000039479</c:v>
                      </c:pt>
                      <c:pt idx="328">
                        <c:v>6.6088980000058655</c:v>
                      </c:pt>
                      <c:pt idx="329">
                        <c:v>6.6250469999940833</c:v>
                      </c:pt>
                      <c:pt idx="330">
                        <c:v>6.6494329999986803</c:v>
                      </c:pt>
                      <c:pt idx="331">
                        <c:v>6.6683259999990696</c:v>
                      </c:pt>
                      <c:pt idx="332">
                        <c:v>6.6891250000044238</c:v>
                      </c:pt>
                      <c:pt idx="333">
                        <c:v>6.7096219999948516</c:v>
                      </c:pt>
                      <c:pt idx="334">
                        <c:v>6.7310640000068815</c:v>
                      </c:pt>
                      <c:pt idx="335">
                        <c:v>6.750530000004801</c:v>
                      </c:pt>
                      <c:pt idx="336">
                        <c:v>6.7719000000070082</c:v>
                      </c:pt>
                      <c:pt idx="337">
                        <c:v>6.7896100000070874</c:v>
                      </c:pt>
                      <c:pt idx="338">
                        <c:v>6.8107880000025034</c:v>
                      </c:pt>
                      <c:pt idx="339">
                        <c:v>6.8291630000021541</c:v>
                      </c:pt>
                      <c:pt idx="340">
                        <c:v>6.8509550000017043</c:v>
                      </c:pt>
                      <c:pt idx="341">
                        <c:v>6.8708230000047479</c:v>
                      </c:pt>
                      <c:pt idx="342">
                        <c:v>6.8905999999988126</c:v>
                      </c:pt>
                      <c:pt idx="343">
                        <c:v>6.9100480000051903</c:v>
                      </c:pt>
                      <c:pt idx="344">
                        <c:v>6.9326330000039889</c:v>
                      </c:pt>
                      <c:pt idx="345">
                        <c:v>6.9449889999959851</c:v>
                      </c:pt>
                      <c:pt idx="346">
                        <c:v>6.9655269999930169</c:v>
                      </c:pt>
                      <c:pt idx="347">
                        <c:v>6.9883089999930235</c:v>
                      </c:pt>
                      <c:pt idx="348">
                        <c:v>7.0150399999984074</c:v>
                      </c:pt>
                      <c:pt idx="349">
                        <c:v>7.0287379999936093</c:v>
                      </c:pt>
                      <c:pt idx="350">
                        <c:v>7.0497789999935776</c:v>
                      </c:pt>
                      <c:pt idx="351">
                        <c:v>7.0709510000015143</c:v>
                      </c:pt>
                      <c:pt idx="352">
                        <c:v>7.0911889999988489</c:v>
                      </c:pt>
                      <c:pt idx="353">
                        <c:v>7.1107849999971222</c:v>
                      </c:pt>
                      <c:pt idx="354">
                        <c:v>7.129413000002387</c:v>
                      </c:pt>
                      <c:pt idx="355">
                        <c:v>7.1513030000060098</c:v>
                      </c:pt>
                      <c:pt idx="356">
                        <c:v>7.1711340000038035</c:v>
                      </c:pt>
                      <c:pt idx="357">
                        <c:v>7.1819510000059381</c:v>
                      </c:pt>
                      <c:pt idx="358">
                        <c:v>7.2112820000038482</c:v>
                      </c:pt>
                      <c:pt idx="359">
                        <c:v>7.2316540000028908</c:v>
                      </c:pt>
                      <c:pt idx="360">
                        <c:v>7.249498000004678</c:v>
                      </c:pt>
                      <c:pt idx="361">
                        <c:v>7.2723109999933513</c:v>
                      </c:pt>
                      <c:pt idx="362">
                        <c:v>7.2877690000022994</c:v>
                      </c:pt>
                      <c:pt idx="363">
                        <c:v>7.3076699999946868</c:v>
                      </c:pt>
                      <c:pt idx="364">
                        <c:v>7.3309580000059213</c:v>
                      </c:pt>
                      <c:pt idx="365">
                        <c:v>7.3470830000005662</c:v>
                      </c:pt>
                      <c:pt idx="366">
                        <c:v>7.3723239999962971</c:v>
                      </c:pt>
                      <c:pt idx="367">
                        <c:v>7.388491999998223</c:v>
                      </c:pt>
                      <c:pt idx="368">
                        <c:v>7.4141660000022966</c:v>
                      </c:pt>
                      <c:pt idx="369">
                        <c:v>7.4282570000068517</c:v>
                      </c:pt>
                      <c:pt idx="370">
                        <c:v>7.4526329999935115</c:v>
                      </c:pt>
                      <c:pt idx="371">
                        <c:v>7.4675129999959609</c:v>
                      </c:pt>
                      <c:pt idx="372">
                        <c:v>7.4838699999963865</c:v>
                      </c:pt>
                      <c:pt idx="373">
                        <c:v>7.5100749999983236</c:v>
                      </c:pt>
                      <c:pt idx="374">
                        <c:v>7.528613000002224</c:v>
                      </c:pt>
                      <c:pt idx="375">
                        <c:v>7.5522110000019893</c:v>
                      </c:pt>
                      <c:pt idx="376">
                        <c:v>7.5683180000050925</c:v>
                      </c:pt>
                      <c:pt idx="377">
                        <c:v>7.5886889999965206</c:v>
                      </c:pt>
                      <c:pt idx="378">
                        <c:v>7.6127379999961704</c:v>
                      </c:pt>
                      <c:pt idx="379">
                        <c:v>7.6298700000043027</c:v>
                      </c:pt>
                      <c:pt idx="380">
                        <c:v>7.6484230000060052</c:v>
                      </c:pt>
                      <c:pt idx="381">
                        <c:v>7.6698239999968791</c:v>
                      </c:pt>
                      <c:pt idx="382">
                        <c:v>7.6921860000002198</c:v>
                      </c:pt>
                      <c:pt idx="383">
                        <c:v>7.7091660000005504</c:v>
                      </c:pt>
                      <c:pt idx="384">
                        <c:v>7.7291450000047917</c:v>
                      </c:pt>
                      <c:pt idx="385">
                        <c:v>7.7497719999955734</c:v>
                      </c:pt>
                      <c:pt idx="386">
                        <c:v>7.7715639999951236</c:v>
                      </c:pt>
                      <c:pt idx="387">
                        <c:v>7.7911140000069281</c:v>
                      </c:pt>
                      <c:pt idx="388">
                        <c:v>7.8119900000019697</c:v>
                      </c:pt>
                      <c:pt idx="389">
                        <c:v>7.8302689999982249</c:v>
                      </c:pt>
                      <c:pt idx="390">
                        <c:v>7.8519539999979315</c:v>
                      </c:pt>
                      <c:pt idx="391">
                        <c:v>7.8683909999963362</c:v>
                      </c:pt>
                      <c:pt idx="392">
                        <c:v>7.8853410000010626</c:v>
                      </c:pt>
                      <c:pt idx="393">
                        <c:v>7.912956000000122</c:v>
                      </c:pt>
                      <c:pt idx="394">
                        <c:v>7.9313450000045123</c:v>
                      </c:pt>
                      <c:pt idx="395">
                        <c:v>7.9516210000001593</c:v>
                      </c:pt>
                      <c:pt idx="396">
                        <c:v>7.9659260000044014</c:v>
                      </c:pt>
                      <c:pt idx="397">
                        <c:v>7.9909760000009555</c:v>
                      </c:pt>
                      <c:pt idx="398">
                        <c:v>8.01231099999859</c:v>
                      </c:pt>
                      <c:pt idx="399">
                        <c:v>8.0322259999957168</c:v>
                      </c:pt>
                      <c:pt idx="400">
                        <c:v>8.0511189999961061</c:v>
                      </c:pt>
                      <c:pt idx="401">
                        <c:v>8.0714940000034403</c:v>
                      </c:pt>
                      <c:pt idx="402">
                        <c:v>8.0898069999966538</c:v>
                      </c:pt>
                      <c:pt idx="403">
                        <c:v>8.1068789999990258</c:v>
                      </c:pt>
                      <c:pt idx="404">
                        <c:v>8.1312029999971855</c:v>
                      </c:pt>
                      <c:pt idx="405">
                        <c:v>8.151650999992853</c:v>
                      </c:pt>
                      <c:pt idx="406">
                        <c:v>8.1723490000003949</c:v>
                      </c:pt>
                      <c:pt idx="407">
                        <c:v>8.1932720000040717</c:v>
                      </c:pt>
                      <c:pt idx="408">
                        <c:v>8.209526000006008</c:v>
                      </c:pt>
                      <c:pt idx="409">
                        <c:v>8.2299679999996442</c:v>
                      </c:pt>
                      <c:pt idx="410">
                        <c:v>8.2472580000030575</c:v>
                      </c:pt>
                      <c:pt idx="411">
                        <c:v>8.2727100000047358</c:v>
                      </c:pt>
                      <c:pt idx="412">
                        <c:v>8.2902400000020862</c:v>
                      </c:pt>
                      <c:pt idx="413">
                        <c:v>8.3125600000057602</c:v>
                      </c:pt>
                      <c:pt idx="414">
                        <c:v>8.32836299999326</c:v>
                      </c:pt>
                      <c:pt idx="415">
                        <c:v>8.3478409999952419</c:v>
                      </c:pt>
                      <c:pt idx="416">
                        <c:v>8.3705970000009984</c:v>
                      </c:pt>
                      <c:pt idx="417">
                        <c:v>8.3892280000000028</c:v>
                      </c:pt>
                      <c:pt idx="418">
                        <c:v>8.4092459999956191</c:v>
                      </c:pt>
                      <c:pt idx="419">
                        <c:v>8.4297820000065258</c:v>
                      </c:pt>
                      <c:pt idx="420">
                        <c:v>8.4489529999991646</c:v>
                      </c:pt>
                      <c:pt idx="421">
                        <c:v>8.4718020000000251</c:v>
                      </c:pt>
                      <c:pt idx="422">
                        <c:v>8.4891919999936363</c:v>
                      </c:pt>
                      <c:pt idx="423">
                        <c:v>8.5079549999936717</c:v>
                      </c:pt>
                      <c:pt idx="424">
                        <c:v>8.5307969999994384</c:v>
                      </c:pt>
                      <c:pt idx="425">
                        <c:v>8.5492760000051931</c:v>
                      </c:pt>
                      <c:pt idx="426">
                        <c:v>8.5697260000015376</c:v>
                      </c:pt>
                      <c:pt idx="427">
                        <c:v>8.5921099999977741</c:v>
                      </c:pt>
                      <c:pt idx="428">
                        <c:v>8.6114609999931417</c:v>
                      </c:pt>
                      <c:pt idx="429">
                        <c:v>8.6322240000008605</c:v>
                      </c:pt>
                      <c:pt idx="430">
                        <c:v>8.6513730000006035</c:v>
                      </c:pt>
                      <c:pt idx="431">
                        <c:v>8.6656849999999395</c:v>
                      </c:pt>
                      <c:pt idx="432">
                        <c:v>8.6921200000069803</c:v>
                      </c:pt>
                      <c:pt idx="433">
                        <c:v>8.7099770000058925</c:v>
                      </c:pt>
                      <c:pt idx="434">
                        <c:v>8.7308309999934863</c:v>
                      </c:pt>
                      <c:pt idx="435">
                        <c:v>8.7502260000037495</c:v>
                      </c:pt>
                      <c:pt idx="436">
                        <c:v>8.7707749999972293</c:v>
                      </c:pt>
                      <c:pt idx="437">
                        <c:v>8.7914420000015525</c:v>
                      </c:pt>
                      <c:pt idx="438">
                        <c:v>8.8122889999940526</c:v>
                      </c:pt>
                      <c:pt idx="439">
                        <c:v>8.8308479999977862</c:v>
                      </c:pt>
                      <c:pt idx="440">
                        <c:v>8.8516930000041611</c:v>
                      </c:pt>
                      <c:pt idx="441">
                        <c:v>8.8710469999932684</c:v>
                      </c:pt>
                      <c:pt idx="442">
                        <c:v>8.8911879999941448</c:v>
                      </c:pt>
                      <c:pt idx="443">
                        <c:v>8.9112809999933233</c:v>
                      </c:pt>
                      <c:pt idx="444">
                        <c:v>8.9323690000019269</c:v>
                      </c:pt>
                      <c:pt idx="445">
                        <c:v>8.9531209999986459</c:v>
                      </c:pt>
                      <c:pt idx="446">
                        <c:v>8.9713460000057239</c:v>
                      </c:pt>
                      <c:pt idx="447">
                        <c:v>8.9924549999996088</c:v>
                      </c:pt>
                      <c:pt idx="448">
                        <c:v>9.0075380000052974</c:v>
                      </c:pt>
                      <c:pt idx="449">
                        <c:v>9.0278510000061942</c:v>
                      </c:pt>
                      <c:pt idx="450">
                        <c:v>9.0519409999978961</c:v>
                      </c:pt>
                      <c:pt idx="451">
                        <c:v>9.068316999997478</c:v>
                      </c:pt>
                      <c:pt idx="452">
                        <c:v>9.0950299999967683</c:v>
                      </c:pt>
                      <c:pt idx="453">
                        <c:v>9.1123260000022128</c:v>
                      </c:pt>
                      <c:pt idx="454">
                        <c:v>9.132448000003933</c:v>
                      </c:pt>
                      <c:pt idx="455">
                        <c:v>9.1494289999973262</c:v>
                      </c:pt>
                      <c:pt idx="456">
                        <c:v>9.1725169999990612</c:v>
                      </c:pt>
                      <c:pt idx="457">
                        <c:v>9.1901320000033593</c:v>
                      </c:pt>
                      <c:pt idx="458">
                        <c:v>9.2093480000039563</c:v>
                      </c:pt>
                      <c:pt idx="459">
                        <c:v>9.2288129999942612</c:v>
                      </c:pt>
                      <c:pt idx="460">
                        <c:v>9.2517269999952987</c:v>
                      </c:pt>
                      <c:pt idx="461">
                        <c:v>9.2573379999957979</c:v>
                      </c:pt>
                      <c:pt idx="462">
                        <c:v>9.2909749999962514</c:v>
                      </c:pt>
                      <c:pt idx="463">
                        <c:v>9.3134209999989253</c:v>
                      </c:pt>
                      <c:pt idx="464">
                        <c:v>9.3283890000020619</c:v>
                      </c:pt>
                      <c:pt idx="465">
                        <c:v>9.3499370000063209</c:v>
                      </c:pt>
                      <c:pt idx="466">
                        <c:v>9.368570999999065</c:v>
                      </c:pt>
                      <c:pt idx="467">
                        <c:v>9.3888219999935245</c:v>
                      </c:pt>
                      <c:pt idx="468">
                        <c:v>9.4126010000036331</c:v>
                      </c:pt>
                      <c:pt idx="469">
                        <c:v>9.4302449999959208</c:v>
                      </c:pt>
                      <c:pt idx="470">
                        <c:v>9.4511420000053477</c:v>
                      </c:pt>
                      <c:pt idx="471">
                        <c:v>9.4722259999980452</c:v>
                      </c:pt>
                      <c:pt idx="472">
                        <c:v>9.4890560000058031</c:v>
                      </c:pt>
                      <c:pt idx="473">
                        <c:v>9.5113600000040606</c:v>
                      </c:pt>
                      <c:pt idx="474">
                        <c:v>9.5310690000042086</c:v>
                      </c:pt>
                      <c:pt idx="475">
                        <c:v>9.5521520000038436</c:v>
                      </c:pt>
                      <c:pt idx="476">
                        <c:v>9.5712550000025658</c:v>
                      </c:pt>
                      <c:pt idx="477">
                        <c:v>9.5938239999959478</c:v>
                      </c:pt>
                      <c:pt idx="478">
                        <c:v>9.6115509999945061</c:v>
                      </c:pt>
                      <c:pt idx="479">
                        <c:v>9.6323450000054436</c:v>
                      </c:pt>
                      <c:pt idx="480">
                        <c:v>9.6483310000039637</c:v>
                      </c:pt>
                      <c:pt idx="481">
                        <c:v>9.6702510000031907</c:v>
                      </c:pt>
                      <c:pt idx="482">
                        <c:v>9.691634000002523</c:v>
                      </c:pt>
                      <c:pt idx="483">
                        <c:v>9.7088930000027176</c:v>
                      </c:pt>
                      <c:pt idx="484">
                        <c:v>9.7308289999928093</c:v>
                      </c:pt>
                      <c:pt idx="485">
                        <c:v>9.7508499999967171</c:v>
                      </c:pt>
                      <c:pt idx="486">
                        <c:v>9.7763399999967078</c:v>
                      </c:pt>
                      <c:pt idx="487">
                        <c:v>9.7917989999987185</c:v>
                      </c:pt>
                      <c:pt idx="488">
                        <c:v>9.811400999999023</c:v>
                      </c:pt>
                      <c:pt idx="489">
                        <c:v>9.8322630000038771</c:v>
                      </c:pt>
                      <c:pt idx="490">
                        <c:v>9.8472780000010971</c:v>
                      </c:pt>
                      <c:pt idx="491">
                        <c:v>9.872019000002183</c:v>
                      </c:pt>
                      <c:pt idx="492">
                        <c:v>9.8817750000016531</c:v>
                      </c:pt>
                      <c:pt idx="493">
                        <c:v>9.9077549999929033</c:v>
                      </c:pt>
                      <c:pt idx="494">
                        <c:v>9.9269689999928232</c:v>
                      </c:pt>
                      <c:pt idx="495">
                        <c:v>9.9470339999970747</c:v>
                      </c:pt>
                      <c:pt idx="496">
                        <c:v>9.9727089999942109</c:v>
                      </c:pt>
                      <c:pt idx="497">
                        <c:v>9.9884049999964191</c:v>
                      </c:pt>
                      <c:pt idx="498">
                        <c:v>10.013143000003765</c:v>
                      </c:pt>
                      <c:pt idx="499">
                        <c:v>10.027495999995153</c:v>
                      </c:pt>
                      <c:pt idx="500">
                        <c:v>10.05183300000499</c:v>
                      </c:pt>
                      <c:pt idx="501">
                        <c:v>10.06832900000154</c:v>
                      </c:pt>
                      <c:pt idx="502">
                        <c:v>10.089515999992727</c:v>
                      </c:pt>
                      <c:pt idx="503">
                        <c:v>10.109035000001313</c:v>
                      </c:pt>
                      <c:pt idx="504">
                        <c:v>10.131200000003446</c:v>
                      </c:pt>
                      <c:pt idx="505">
                        <c:v>10.148446000006516</c:v>
                      </c:pt>
                      <c:pt idx="506">
                        <c:v>10.171665000001667</c:v>
                      </c:pt>
                      <c:pt idx="507">
                        <c:v>10.192116999998689</c:v>
                      </c:pt>
                      <c:pt idx="508">
                        <c:v>10.209465000007185</c:v>
                      </c:pt>
                      <c:pt idx="509">
                        <c:v>10.229057999997167</c:v>
                      </c:pt>
                      <c:pt idx="510">
                        <c:v>10.250962999998592</c:v>
                      </c:pt>
                      <c:pt idx="511">
                        <c:v>10.269706000006408</c:v>
                      </c:pt>
                      <c:pt idx="512">
                        <c:v>10.289057000001776</c:v>
                      </c:pt>
                      <c:pt idx="513">
                        <c:v>10.306614999994054</c:v>
                      </c:pt>
                      <c:pt idx="514">
                        <c:v>10.331304999999702</c:v>
                      </c:pt>
                      <c:pt idx="515">
                        <c:v>10.351611999998568</c:v>
                      </c:pt>
                      <c:pt idx="516">
                        <c:v>10.3717089999991</c:v>
                      </c:pt>
                      <c:pt idx="517">
                        <c:v>10.391096000006655</c:v>
                      </c:pt>
                      <c:pt idx="518">
                        <c:v>10.41011399999843</c:v>
                      </c:pt>
                      <c:pt idx="519">
                        <c:v>10.429852999994182</c:v>
                      </c:pt>
                      <c:pt idx="520">
                        <c:v>10.445370999994338</c:v>
                      </c:pt>
                      <c:pt idx="521">
                        <c:v>10.470939999999246</c:v>
                      </c:pt>
                      <c:pt idx="522">
                        <c:v>10.490499000006821</c:v>
                      </c:pt>
                      <c:pt idx="523">
                        <c:v>10.510519000003114</c:v>
                      </c:pt>
                      <c:pt idx="524">
                        <c:v>10.522169000003487</c:v>
                      </c:pt>
                      <c:pt idx="525">
                        <c:v>10.552653000006103</c:v>
                      </c:pt>
                      <c:pt idx="526">
                        <c:v>10.571588999999221</c:v>
                      </c:pt>
                      <c:pt idx="527">
                        <c:v>10.591409000000567</c:v>
                      </c:pt>
                      <c:pt idx="528">
                        <c:v>10.608141999997315</c:v>
                      </c:pt>
                      <c:pt idx="529">
                        <c:v>10.629788000005647</c:v>
                      </c:pt>
                      <c:pt idx="530">
                        <c:v>10.650997000004281</c:v>
                      </c:pt>
                      <c:pt idx="531">
                        <c:v>10.666129999997793</c:v>
                      </c:pt>
                      <c:pt idx="532">
                        <c:v>10.691508999996586</c:v>
                      </c:pt>
                      <c:pt idx="533">
                        <c:v>10.711544999998296</c:v>
                      </c:pt>
                      <c:pt idx="534">
                        <c:v>10.731562999993912</c:v>
                      </c:pt>
                      <c:pt idx="535">
                        <c:v>10.752687999993213</c:v>
                      </c:pt>
                      <c:pt idx="536">
                        <c:v>10.768247999993037</c:v>
                      </c:pt>
                      <c:pt idx="537">
                        <c:v>10.792191000000457</c:v>
                      </c:pt>
                      <c:pt idx="538">
                        <c:v>10.812338000003365</c:v>
                      </c:pt>
                      <c:pt idx="539">
                        <c:v>10.827447999996366</c:v>
                      </c:pt>
                      <c:pt idx="540">
                        <c:v>10.847934000004898</c:v>
                      </c:pt>
                      <c:pt idx="541">
                        <c:v>10.869233000004897</c:v>
                      </c:pt>
                      <c:pt idx="542">
                        <c:v>10.892042000006768</c:v>
                      </c:pt>
                      <c:pt idx="543">
                        <c:v>10.907489000004716</c:v>
                      </c:pt>
                      <c:pt idx="544">
                        <c:v>10.928495000000112</c:v>
                      </c:pt>
                      <c:pt idx="545">
                        <c:v>10.949464000004809</c:v>
                      </c:pt>
                      <c:pt idx="546">
                        <c:v>10.970774999994319</c:v>
                      </c:pt>
                      <c:pt idx="547">
                        <c:v>10.988490000003367</c:v>
                      </c:pt>
                      <c:pt idx="548">
                        <c:v>11.00688899999659</c:v>
                      </c:pt>
                      <c:pt idx="549">
                        <c:v>11.030119999995804</c:v>
                      </c:pt>
                      <c:pt idx="550">
                        <c:v>11.045318999997107</c:v>
                      </c:pt>
                      <c:pt idx="551">
                        <c:v>11.070449999999255</c:v>
                      </c:pt>
                      <c:pt idx="552">
                        <c:v>11.089344000007259</c:v>
                      </c:pt>
                      <c:pt idx="553">
                        <c:v>11.109353000007104</c:v>
                      </c:pt>
                      <c:pt idx="554">
                        <c:v>11.128750999996555</c:v>
                      </c:pt>
                      <c:pt idx="555">
                        <c:v>11.151285999992979</c:v>
                      </c:pt>
                      <c:pt idx="556">
                        <c:v>11.171239999996033</c:v>
                      </c:pt>
                      <c:pt idx="557">
                        <c:v>11.192869000005885</c:v>
                      </c:pt>
                      <c:pt idx="558">
                        <c:v>11.210768999997526</c:v>
                      </c:pt>
                      <c:pt idx="559">
                        <c:v>11.231358000004548</c:v>
                      </c:pt>
                      <c:pt idx="560">
                        <c:v>11.249712999997428</c:v>
                      </c:pt>
                      <c:pt idx="561">
                        <c:v>11.271143999998458</c:v>
                      </c:pt>
                      <c:pt idx="562">
                        <c:v>11.291545999993104</c:v>
                      </c:pt>
                      <c:pt idx="563">
                        <c:v>11.310442000001785</c:v>
                      </c:pt>
                      <c:pt idx="564">
                        <c:v>11.3300040000031</c:v>
                      </c:pt>
                      <c:pt idx="565">
                        <c:v>11.350435000000289</c:v>
                      </c:pt>
                      <c:pt idx="566">
                        <c:v>11.372071999998298</c:v>
                      </c:pt>
                      <c:pt idx="567">
                        <c:v>11.39077699999325</c:v>
                      </c:pt>
                      <c:pt idx="568">
                        <c:v>11.410518999997294</c:v>
                      </c:pt>
                      <c:pt idx="569">
                        <c:v>11.43243000000075</c:v>
                      </c:pt>
                      <c:pt idx="570">
                        <c:v>11.451625000001513</c:v>
                      </c:pt>
                      <c:pt idx="571">
                        <c:v>11.471195999998599</c:v>
                      </c:pt>
                      <c:pt idx="572">
                        <c:v>11.486029000006965</c:v>
                      </c:pt>
                      <c:pt idx="573">
                        <c:v>11.510118999998667</c:v>
                      </c:pt>
                      <c:pt idx="574">
                        <c:v>11.528508000003058</c:v>
                      </c:pt>
                      <c:pt idx="575">
                        <c:v>11.551496000000043</c:v>
                      </c:pt>
                      <c:pt idx="576">
                        <c:v>11.571083999995608</c:v>
                      </c:pt>
                      <c:pt idx="577">
                        <c:v>11.587893000003533</c:v>
                      </c:pt>
                      <c:pt idx="578">
                        <c:v>11.611439000000246</c:v>
                      </c:pt>
                      <c:pt idx="579">
                        <c:v>11.632140000001527</c:v>
                      </c:pt>
                      <c:pt idx="580">
                        <c:v>11.647339999995893</c:v>
                      </c:pt>
                      <c:pt idx="581">
                        <c:v>11.672548999995342</c:v>
                      </c:pt>
                      <c:pt idx="582">
                        <c:v>11.687829999995301</c:v>
                      </c:pt>
                      <c:pt idx="583">
                        <c:v>11.70960699999705</c:v>
                      </c:pt>
                      <c:pt idx="584">
                        <c:v>11.7333409999992</c:v>
                      </c:pt>
                      <c:pt idx="585">
                        <c:v>11.748265000001993</c:v>
                      </c:pt>
                      <c:pt idx="586">
                        <c:v>11.772440999993705</c:v>
                      </c:pt>
                      <c:pt idx="587">
                        <c:v>11.793065000005299</c:v>
                      </c:pt>
                      <c:pt idx="588">
                        <c:v>11.808170000003884</c:v>
                      </c:pt>
                      <c:pt idx="589">
                        <c:v>11.828802999996697</c:v>
                      </c:pt>
                      <c:pt idx="590">
                        <c:v>11.84985400000005</c:v>
                      </c:pt>
                      <c:pt idx="591">
                        <c:v>11.868373999997857</c:v>
                      </c:pt>
                      <c:pt idx="592">
                        <c:v>11.888569000002462</c:v>
                      </c:pt>
                      <c:pt idx="593">
                        <c:v>11.910715999998502</c:v>
                      </c:pt>
                      <c:pt idx="594">
                        <c:v>11.929113999998663</c:v>
                      </c:pt>
                      <c:pt idx="595">
                        <c:v>11.950429999997141</c:v>
                      </c:pt>
                      <c:pt idx="596">
                        <c:v>11.969813999996404</c:v>
                      </c:pt>
                      <c:pt idx="597">
                        <c:v>11.988750000004075</c:v>
                      </c:pt>
                      <c:pt idx="598">
                        <c:v>12.009430000005523</c:v>
                      </c:pt>
                      <c:pt idx="599">
                        <c:v>12.0291819999984</c:v>
                      </c:pt>
                      <c:pt idx="600">
                        <c:v>12.047955999994883</c:v>
                      </c:pt>
                      <c:pt idx="601">
                        <c:v>12.069656000006944</c:v>
                      </c:pt>
                      <c:pt idx="602">
                        <c:v>12.09146700000565</c:v>
                      </c:pt>
                      <c:pt idx="603">
                        <c:v>12.106241999994381</c:v>
                      </c:pt>
                      <c:pt idx="604">
                        <c:v>12.129990000001271</c:v>
                      </c:pt>
                      <c:pt idx="605">
                        <c:v>12.152386999994633</c:v>
                      </c:pt>
                      <c:pt idx="606">
                        <c:v>12.175002000003587</c:v>
                      </c:pt>
                      <c:pt idx="607">
                        <c:v>12.18707899999572</c:v>
                      </c:pt>
                      <c:pt idx="608">
                        <c:v>12.211135999998078</c:v>
                      </c:pt>
                      <c:pt idx="609">
                        <c:v>12.230676999999559</c:v>
                      </c:pt>
                      <c:pt idx="610">
                        <c:v>12.251044999997248</c:v>
                      </c:pt>
                      <c:pt idx="611">
                        <c:v>12.270942000002833</c:v>
                      </c:pt>
                      <c:pt idx="612">
                        <c:v>12.29207700000552</c:v>
                      </c:pt>
                      <c:pt idx="613">
                        <c:v>12.30597200000193</c:v>
                      </c:pt>
                      <c:pt idx="614">
                        <c:v>12.330021999994642</c:v>
                      </c:pt>
                      <c:pt idx="615">
                        <c:v>12.33946499999729</c:v>
                      </c:pt>
                      <c:pt idx="616">
                        <c:v>13.351790000000619</c:v>
                      </c:pt>
                      <c:pt idx="617">
                        <c:v>13.371859999999288</c:v>
                      </c:pt>
                      <c:pt idx="618">
                        <c:v>13.388863999993191</c:v>
                      </c:pt>
                      <c:pt idx="619">
                        <c:v>13.407395000001998</c:v>
                      </c:pt>
                      <c:pt idx="620">
                        <c:v>13.42987500000163</c:v>
                      </c:pt>
                      <c:pt idx="621">
                        <c:v>13.450874999994994</c:v>
                      </c:pt>
                      <c:pt idx="622">
                        <c:v>13.467619999995804</c:v>
                      </c:pt>
                      <c:pt idx="623">
                        <c:v>13.488779000006616</c:v>
                      </c:pt>
                      <c:pt idx="624">
                        <c:v>13.507763999994495</c:v>
                      </c:pt>
                      <c:pt idx="625">
                        <c:v>13.528839999999036</c:v>
                      </c:pt>
                      <c:pt idx="626">
                        <c:v>13.549887999994098</c:v>
                      </c:pt>
                      <c:pt idx="627">
                        <c:v>13.568274999997811</c:v>
                      </c:pt>
                      <c:pt idx="628">
                        <c:v>13.584950999997091</c:v>
                      </c:pt>
                      <c:pt idx="629">
                        <c:v>13.608691999994335</c:v>
                      </c:pt>
                      <c:pt idx="630">
                        <c:v>13.631886000002851</c:v>
                      </c:pt>
                      <c:pt idx="631">
                        <c:v>13.651257000004989</c:v>
                      </c:pt>
                      <c:pt idx="632">
                        <c:v>13.670664999997825</c:v>
                      </c:pt>
                      <c:pt idx="633">
                        <c:v>13.690228000006755</c:v>
                      </c:pt>
                      <c:pt idx="634">
                        <c:v>13.707404999993742</c:v>
                      </c:pt>
                      <c:pt idx="635">
                        <c:v>13.729785000003176</c:v>
                      </c:pt>
                      <c:pt idx="636">
                        <c:v>13.750499000001582</c:v>
                      </c:pt>
                      <c:pt idx="637">
                        <c:v>13.769012000004295</c:v>
                      </c:pt>
                      <c:pt idx="638">
                        <c:v>13.793971000006422</c:v>
                      </c:pt>
                      <c:pt idx="639">
                        <c:v>13.809563999995589</c:v>
                      </c:pt>
                      <c:pt idx="640">
                        <c:v>13.831714999992982</c:v>
                      </c:pt>
                      <c:pt idx="641">
                        <c:v>13.85037800000282</c:v>
                      </c:pt>
                      <c:pt idx="642">
                        <c:v>13.87075200000254</c:v>
                      </c:pt>
                      <c:pt idx="643">
                        <c:v>13.889808000007179</c:v>
                      </c:pt>
                      <c:pt idx="644">
                        <c:v>13.909813999998732</c:v>
                      </c:pt>
                      <c:pt idx="645">
                        <c:v>13.932627000001958</c:v>
                      </c:pt>
                      <c:pt idx="646">
                        <c:v>13.950106999996933</c:v>
                      </c:pt>
                      <c:pt idx="647">
                        <c:v>13.970318000006955</c:v>
                      </c:pt>
                      <c:pt idx="648">
                        <c:v>13.992660000003525</c:v>
                      </c:pt>
                      <c:pt idx="649">
                        <c:v>14.01459399999294</c:v>
                      </c:pt>
                      <c:pt idx="650">
                        <c:v>14.025643000000855</c:v>
                      </c:pt>
                      <c:pt idx="651">
                        <c:v>14.051489999998012</c:v>
                      </c:pt>
                      <c:pt idx="652">
                        <c:v>14.072893999997177</c:v>
                      </c:pt>
                      <c:pt idx="653">
                        <c:v>14.091761999996379</c:v>
                      </c:pt>
                      <c:pt idx="654">
                        <c:v>14.111357999994652</c:v>
                      </c:pt>
                      <c:pt idx="655">
                        <c:v>14.127901999992901</c:v>
                      </c:pt>
                      <c:pt idx="656">
                        <c:v>14.146198000002187</c:v>
                      </c:pt>
                      <c:pt idx="657">
                        <c:v>14.166505999994115</c:v>
                      </c:pt>
                      <c:pt idx="658">
                        <c:v>14.191732000006596</c:v>
                      </c:pt>
                      <c:pt idx="659">
                        <c:v>14.211983999994118</c:v>
                      </c:pt>
                      <c:pt idx="660">
                        <c:v>14.228550999992876</c:v>
                      </c:pt>
                      <c:pt idx="661">
                        <c:v>14.247289000006276</c:v>
                      </c:pt>
                      <c:pt idx="662">
                        <c:v>14.270503000007011</c:v>
                      </c:pt>
                      <c:pt idx="663">
                        <c:v>14.291073000000324</c:v>
                      </c:pt>
                      <c:pt idx="664">
                        <c:v>14.311709000001429</c:v>
                      </c:pt>
                      <c:pt idx="665">
                        <c:v>14.330411999995704</c:v>
                      </c:pt>
                      <c:pt idx="666">
                        <c:v>14.347850000005565</c:v>
                      </c:pt>
                      <c:pt idx="667">
                        <c:v>14.369730999998865</c:v>
                      </c:pt>
                      <c:pt idx="668">
                        <c:v>14.389811000000918</c:v>
                      </c:pt>
                      <c:pt idx="669">
                        <c:v>14.393049000005703</c:v>
                      </c:pt>
                      <c:pt idx="670">
                        <c:v>14.420702999996138</c:v>
                      </c:pt>
                      <c:pt idx="671">
                        <c:v>14.448367999997572</c:v>
                      </c:pt>
                      <c:pt idx="672">
                        <c:v>14.468385999993188</c:v>
                      </c:pt>
                      <c:pt idx="673">
                        <c:v>14.490327999999863</c:v>
                      </c:pt>
                      <c:pt idx="674">
                        <c:v>14.505971999999019</c:v>
                      </c:pt>
                      <c:pt idx="675">
                        <c:v>14.53057699999772</c:v>
                      </c:pt>
                      <c:pt idx="676">
                        <c:v>14.550180000005639</c:v>
                      </c:pt>
                      <c:pt idx="677">
                        <c:v>14.574242999995477</c:v>
                      </c:pt>
                      <c:pt idx="678">
                        <c:v>14.589649000001373</c:v>
                      </c:pt>
                      <c:pt idx="679">
                        <c:v>14.611302000004798</c:v>
                      </c:pt>
                      <c:pt idx="680">
                        <c:v>14.62928799999645</c:v>
                      </c:pt>
                      <c:pt idx="681">
                        <c:v>14.649248999994597</c:v>
                      </c:pt>
                      <c:pt idx="682">
                        <c:v>14.669626999995671</c:v>
                      </c:pt>
                      <c:pt idx="683">
                        <c:v>14.690189999993891</c:v>
                      </c:pt>
                      <c:pt idx="684">
                        <c:v>14.709805000005872</c:v>
                      </c:pt>
                      <c:pt idx="685">
                        <c:v>14.731016999998246</c:v>
                      </c:pt>
                      <c:pt idx="686">
                        <c:v>14.746809999996913</c:v>
                      </c:pt>
                      <c:pt idx="687">
                        <c:v>14.770151999997324</c:v>
                      </c:pt>
                      <c:pt idx="688">
                        <c:v>14.790643999993335</c:v>
                      </c:pt>
                      <c:pt idx="689">
                        <c:v>14.810568999993848</c:v>
                      </c:pt>
                      <c:pt idx="690">
                        <c:v>14.832399000006262</c:v>
                      </c:pt>
                      <c:pt idx="691">
                        <c:v>14.853262000004179</c:v>
                      </c:pt>
                      <c:pt idx="692">
                        <c:v>14.870527999999467</c:v>
                      </c:pt>
                      <c:pt idx="693">
                        <c:v>14.892261000000872</c:v>
                      </c:pt>
                      <c:pt idx="694">
                        <c:v>14.912981999994372</c:v>
                      </c:pt>
                      <c:pt idx="695">
                        <c:v>14.93114400000195</c:v>
                      </c:pt>
                      <c:pt idx="696">
                        <c:v>14.952296999996179</c:v>
                      </c:pt>
                      <c:pt idx="697">
                        <c:v>14.958132999992813</c:v>
                      </c:pt>
                      <c:pt idx="698">
                        <c:v>14.990680999995675</c:v>
                      </c:pt>
                      <c:pt idx="699">
                        <c:v>15.011146999997436</c:v>
                      </c:pt>
                      <c:pt idx="700">
                        <c:v>15.032527999996091</c:v>
                      </c:pt>
                      <c:pt idx="701">
                        <c:v>15.048139999998966</c:v>
                      </c:pt>
                      <c:pt idx="702">
                        <c:v>15.066653999994742</c:v>
                      </c:pt>
                      <c:pt idx="703">
                        <c:v>15.078278000000864</c:v>
                      </c:pt>
                      <c:pt idx="704">
                        <c:v>15.109525000007125</c:v>
                      </c:pt>
                      <c:pt idx="705">
                        <c:v>15.129438000003574</c:v>
                      </c:pt>
                      <c:pt idx="706">
                        <c:v>15.149376000001212</c:v>
                      </c:pt>
                      <c:pt idx="707">
                        <c:v>15.171973999997135</c:v>
                      </c:pt>
                      <c:pt idx="708">
                        <c:v>15.187661000003573</c:v>
                      </c:pt>
                      <c:pt idx="709">
                        <c:v>15.21059800000512</c:v>
                      </c:pt>
                      <c:pt idx="710">
                        <c:v>15.227759000001242</c:v>
                      </c:pt>
                      <c:pt idx="711">
                        <c:v>15.244133000000147</c:v>
                      </c:pt>
                      <c:pt idx="712">
                        <c:v>15.269520999994711</c:v>
                      </c:pt>
                      <c:pt idx="713">
                        <c:v>15.280324999999721</c:v>
                      </c:pt>
                      <c:pt idx="714">
                        <c:v>15.305550999997649</c:v>
                      </c:pt>
                      <c:pt idx="715">
                        <c:v>15.331890000001295</c:v>
                      </c:pt>
                      <c:pt idx="716">
                        <c:v>15.337560999993002</c:v>
                      </c:pt>
                      <c:pt idx="717">
                        <c:v>15.368329000004451</c:v>
                      </c:pt>
                      <c:pt idx="718">
                        <c:v>15.384090999999898</c:v>
                      </c:pt>
                      <c:pt idx="719">
                        <c:v>15.409184000003734</c:v>
                      </c:pt>
                      <c:pt idx="720">
                        <c:v>15.430563999994774</c:v>
                      </c:pt>
                      <c:pt idx="721">
                        <c:v>15.449940000005881</c:v>
                      </c:pt>
                      <c:pt idx="722">
                        <c:v>15.471531999995932</c:v>
                      </c:pt>
                      <c:pt idx="723">
                        <c:v>15.489065999994637</c:v>
                      </c:pt>
                      <c:pt idx="724">
                        <c:v>15.510055999999167</c:v>
                      </c:pt>
                      <c:pt idx="725">
                        <c:v>15.5320950000023</c:v>
                      </c:pt>
                      <c:pt idx="726">
                        <c:v>15.549629999994067</c:v>
                      </c:pt>
                      <c:pt idx="727">
                        <c:v>15.569447000001674</c:v>
                      </c:pt>
                      <c:pt idx="728">
                        <c:v>15.590635000000475</c:v>
                      </c:pt>
                      <c:pt idx="729">
                        <c:v>15.606226000003517</c:v>
                      </c:pt>
                      <c:pt idx="730">
                        <c:v>15.632863000006182</c:v>
                      </c:pt>
                      <c:pt idx="731">
                        <c:v>15.651767999996082</c:v>
                      </c:pt>
                      <c:pt idx="732">
                        <c:v>15.667258000001311</c:v>
                      </c:pt>
                      <c:pt idx="733">
                        <c:v>15.68613099999493</c:v>
                      </c:pt>
                      <c:pt idx="734">
                        <c:v>15.712199000001419</c:v>
                      </c:pt>
                      <c:pt idx="735">
                        <c:v>15.73123299999861</c:v>
                      </c:pt>
                      <c:pt idx="736">
                        <c:v>15.747940000001108</c:v>
                      </c:pt>
                      <c:pt idx="737">
                        <c:v>15.771502999996301</c:v>
                      </c:pt>
                      <c:pt idx="738">
                        <c:v>15.791205999994418</c:v>
                      </c:pt>
                      <c:pt idx="739">
                        <c:v>15.811014000006253</c:v>
                      </c:pt>
                      <c:pt idx="740">
                        <c:v>15.833064000005834</c:v>
                      </c:pt>
                      <c:pt idx="741">
                        <c:v>15.851758000004338</c:v>
                      </c:pt>
                      <c:pt idx="742">
                        <c:v>15.872119999999995</c:v>
                      </c:pt>
                      <c:pt idx="743">
                        <c:v>15.886606000000029</c:v>
                      </c:pt>
                      <c:pt idx="744">
                        <c:v>15.912100999994436</c:v>
                      </c:pt>
                      <c:pt idx="745">
                        <c:v>15.931593000001158</c:v>
                      </c:pt>
                      <c:pt idx="746">
                        <c:v>15.946718999999575</c:v>
                      </c:pt>
                      <c:pt idx="747">
                        <c:v>15.96976100000029</c:v>
                      </c:pt>
                      <c:pt idx="748">
                        <c:v>15.988339999996242</c:v>
                      </c:pt>
                      <c:pt idx="749">
                        <c:v>16.011887999993633</c:v>
                      </c:pt>
                      <c:pt idx="750">
                        <c:v>16.032540999993216</c:v>
                      </c:pt>
                      <c:pt idx="751">
                        <c:v>16.046833999993396</c:v>
                      </c:pt>
                      <c:pt idx="752">
                        <c:v>16.073931000006269</c:v>
                      </c:pt>
                      <c:pt idx="753">
                        <c:v>16.089105999999447</c:v>
                      </c:pt>
                      <c:pt idx="754">
                        <c:v>16.108244000002742</c:v>
                      </c:pt>
                      <c:pt idx="755">
                        <c:v>16.124121999993804</c:v>
                      </c:pt>
                      <c:pt idx="756">
                        <c:v>16.150970000002417</c:v>
                      </c:pt>
                      <c:pt idx="757">
                        <c:v>16.168692000006558</c:v>
                      </c:pt>
                      <c:pt idx="758">
                        <c:v>16.188219999996363</c:v>
                      </c:pt>
                      <c:pt idx="759">
                        <c:v>16.207978000005824</c:v>
                      </c:pt>
                      <c:pt idx="760">
                        <c:v>16.231165999997756</c:v>
                      </c:pt>
                      <c:pt idx="761">
                        <c:v>16.248852000004263</c:v>
                      </c:pt>
                      <c:pt idx="762">
                        <c:v>16.26906200000667</c:v>
                      </c:pt>
                      <c:pt idx="763">
                        <c:v>16.288060000006226</c:v>
                      </c:pt>
                      <c:pt idx="764">
                        <c:v>16.308783000000403</c:v>
                      </c:pt>
                      <c:pt idx="765">
                        <c:v>16.328875000006519</c:v>
                      </c:pt>
                      <c:pt idx="766">
                        <c:v>16.336725999994087</c:v>
                      </c:pt>
                      <c:pt idx="767">
                        <c:v>16.388292999996338</c:v>
                      </c:pt>
                      <c:pt idx="768">
                        <c:v>16.409929000001284</c:v>
                      </c:pt>
                      <c:pt idx="769">
                        <c:v>16.429648000004818</c:v>
                      </c:pt>
                      <c:pt idx="770">
                        <c:v>16.444742000006954</c:v>
                      </c:pt>
                      <c:pt idx="771">
                        <c:v>16.469893999994383</c:v>
                      </c:pt>
                      <c:pt idx="772">
                        <c:v>16.491639999992913</c:v>
                      </c:pt>
                      <c:pt idx="773">
                        <c:v>16.512713999996777</c:v>
                      </c:pt>
                      <c:pt idx="774">
                        <c:v>16.530939999996917</c:v>
                      </c:pt>
                      <c:pt idx="775">
                        <c:v>16.54520799999591</c:v>
                      </c:pt>
                      <c:pt idx="776">
                        <c:v>16.56902799999807</c:v>
                      </c:pt>
                      <c:pt idx="777">
                        <c:v>16.580289999998058</c:v>
                      </c:pt>
                      <c:pt idx="778">
                        <c:v>16.612483000004431</c:v>
                      </c:pt>
                      <c:pt idx="779">
                        <c:v>16.631515999994008</c:v>
                      </c:pt>
                      <c:pt idx="780">
                        <c:v>16.652646999995341</c:v>
                      </c:pt>
                      <c:pt idx="781">
                        <c:v>16.666282000005594</c:v>
                      </c:pt>
                      <c:pt idx="782">
                        <c:v>16.690967000002274</c:v>
                      </c:pt>
                      <c:pt idx="783">
                        <c:v>16.711506000006921</c:v>
                      </c:pt>
                      <c:pt idx="784">
                        <c:v>16.730964000002132</c:v>
                      </c:pt>
                      <c:pt idx="785">
                        <c:v>16.751571999993757</c:v>
                      </c:pt>
                      <c:pt idx="786">
                        <c:v>16.768802999999025</c:v>
                      </c:pt>
                      <c:pt idx="787">
                        <c:v>16.786829000004218</c:v>
                      </c:pt>
                      <c:pt idx="788">
                        <c:v>16.815285999997286</c:v>
                      </c:pt>
                      <c:pt idx="789">
                        <c:v>16.832154999996419</c:v>
                      </c:pt>
                      <c:pt idx="790">
                        <c:v>16.852400000003399</c:v>
                      </c:pt>
                      <c:pt idx="791">
                        <c:v>16.870198999997228</c:v>
                      </c:pt>
                      <c:pt idx="792">
                        <c:v>16.891808999993373</c:v>
                      </c:pt>
                      <c:pt idx="793">
                        <c:v>16.910401999994065</c:v>
                      </c:pt>
                      <c:pt idx="794">
                        <c:v>16.929067999997642</c:v>
                      </c:pt>
                      <c:pt idx="795">
                        <c:v>16.9520909999992</c:v>
                      </c:pt>
                      <c:pt idx="796">
                        <c:v>16.966167000005953</c:v>
                      </c:pt>
                      <c:pt idx="797">
                        <c:v>16.982866000005743</c:v>
                      </c:pt>
                      <c:pt idx="798">
                        <c:v>17.002632000003359</c:v>
                      </c:pt>
                      <c:pt idx="799">
                        <c:v>17.025712000002386</c:v>
                      </c:pt>
                      <c:pt idx="800">
                        <c:v>17.050281000003451</c:v>
                      </c:pt>
                      <c:pt idx="801">
                        <c:v>17.07241900000372</c:v>
                      </c:pt>
                      <c:pt idx="802">
                        <c:v>17.091975999996066</c:v>
                      </c:pt>
                      <c:pt idx="803">
                        <c:v>17.101974999997765</c:v>
                      </c:pt>
                      <c:pt idx="804">
                        <c:v>17.132593999995152</c:v>
                      </c:pt>
                      <c:pt idx="805">
                        <c:v>17.14909799999441</c:v>
                      </c:pt>
                      <c:pt idx="806">
                        <c:v>17.17214999999851</c:v>
                      </c:pt>
                      <c:pt idx="807">
                        <c:v>17.184187000006204</c:v>
                      </c:pt>
                      <c:pt idx="808">
                        <c:v>17.209308999998029</c:v>
                      </c:pt>
                      <c:pt idx="809">
                        <c:v>17.22954000000027</c:v>
                      </c:pt>
                      <c:pt idx="810">
                        <c:v>17.251128999996581</c:v>
                      </c:pt>
                      <c:pt idx="811">
                        <c:v>17.26578800000425</c:v>
                      </c:pt>
                      <c:pt idx="812">
                        <c:v>17.290540000001783</c:v>
                      </c:pt>
                      <c:pt idx="813">
                        <c:v>17.310494000004837</c:v>
                      </c:pt>
                      <c:pt idx="814">
                        <c:v>17.330820999995922</c:v>
                      </c:pt>
                      <c:pt idx="815">
                        <c:v>17.352037000004202</c:v>
                      </c:pt>
                      <c:pt idx="816">
                        <c:v>17.369202000001678</c:v>
                      </c:pt>
                      <c:pt idx="817">
                        <c:v>17.387325000003329</c:v>
                      </c:pt>
                      <c:pt idx="818">
                        <c:v>17.410115999999107</c:v>
                      </c:pt>
                      <c:pt idx="819">
                        <c:v>17.429189999995288</c:v>
                      </c:pt>
                      <c:pt idx="820">
                        <c:v>17.450786999994307</c:v>
                      </c:pt>
                      <c:pt idx="821">
                        <c:v>17.472670999995898</c:v>
                      </c:pt>
                      <c:pt idx="822">
                        <c:v>17.49282200000016</c:v>
                      </c:pt>
                      <c:pt idx="823">
                        <c:v>17.498500999994576</c:v>
                      </c:pt>
                      <c:pt idx="824">
                        <c:v>17.530920999997761</c:v>
                      </c:pt>
                      <c:pt idx="825">
                        <c:v>17.550405000001774</c:v>
                      </c:pt>
                      <c:pt idx="826">
                        <c:v>17.566690000006929</c:v>
                      </c:pt>
                      <c:pt idx="827">
                        <c:v>17.582725999993272</c:v>
                      </c:pt>
                      <c:pt idx="828">
                        <c:v>17.606815999999526</c:v>
                      </c:pt>
                      <c:pt idx="829">
                        <c:v>17.632996999993338</c:v>
                      </c:pt>
                      <c:pt idx="830">
                        <c:v>17.651532000003499</c:v>
                      </c:pt>
                      <c:pt idx="831">
                        <c:v>17.672609999994165</c:v>
                      </c:pt>
                      <c:pt idx="832">
                        <c:v>17.712639999997918</c:v>
                      </c:pt>
                      <c:pt idx="833">
                        <c:v>17.73266500000318</c:v>
                      </c:pt>
                      <c:pt idx="834">
                        <c:v>17.737426000006963</c:v>
                      </c:pt>
                      <c:pt idx="835">
                        <c:v>17.773205000004964</c:v>
                      </c:pt>
                      <c:pt idx="836">
                        <c:v>17.787469999995665</c:v>
                      </c:pt>
                      <c:pt idx="837">
                        <c:v>17.813957000005757</c:v>
                      </c:pt>
                      <c:pt idx="838">
                        <c:v>17.824382000006153</c:v>
                      </c:pt>
                      <c:pt idx="839">
                        <c:v>17.850562000006903</c:v>
                      </c:pt>
                      <c:pt idx="840">
                        <c:v>17.854382000004989</c:v>
                      </c:pt>
                      <c:pt idx="841">
                        <c:v>17.892170000006445</c:v>
                      </c:pt>
                      <c:pt idx="842">
                        <c:v>17.908479999998235</c:v>
                      </c:pt>
                      <c:pt idx="843">
                        <c:v>17.928702999997768</c:v>
                      </c:pt>
                      <c:pt idx="844">
                        <c:v>17.949370999995153</c:v>
                      </c:pt>
                      <c:pt idx="845">
                        <c:v>17.962098000003607</c:v>
                      </c:pt>
                      <c:pt idx="846">
                        <c:v>17.990875000003143</c:v>
                      </c:pt>
                      <c:pt idx="847">
                        <c:v>17.994823000000906</c:v>
                      </c:pt>
                      <c:pt idx="848">
                        <c:v>18.027514000001247</c:v>
                      </c:pt>
                      <c:pt idx="849">
                        <c:v>18.050101000000723</c:v>
                      </c:pt>
                      <c:pt idx="850">
                        <c:v>18.062420999995084</c:v>
                      </c:pt>
                      <c:pt idx="851">
                        <c:v>18.106587999995099</c:v>
                      </c:pt>
                      <c:pt idx="852">
                        <c:v>18.167728999993415</c:v>
                      </c:pt>
                      <c:pt idx="853">
                        <c:v>18.180475999994087</c:v>
                      </c:pt>
                      <c:pt idx="854">
                        <c:v>18.320932000002358</c:v>
                      </c:pt>
                      <c:pt idx="855">
                        <c:v>18.380057000002125</c:v>
                      </c:pt>
                      <c:pt idx="856">
                        <c:v>18.405499000000418</c:v>
                      </c:pt>
                      <c:pt idx="857">
                        <c:v>18.422554000004311</c:v>
                      </c:pt>
                      <c:pt idx="858">
                        <c:v>18.450954999992973</c:v>
                      </c:pt>
                      <c:pt idx="859">
                        <c:v>18.457024000003003</c:v>
                      </c:pt>
                      <c:pt idx="860">
                        <c:v>18.531701999992947</c:v>
                      </c:pt>
                      <c:pt idx="861">
                        <c:v>18.592285999999149</c:v>
                      </c:pt>
                      <c:pt idx="862">
                        <c:v>18.600279000005685</c:v>
                      </c:pt>
                      <c:pt idx="863">
                        <c:v>18.643800000005285</c:v>
                      </c:pt>
                      <c:pt idx="864">
                        <c:v>18.669360999992932</c:v>
                      </c:pt>
                      <c:pt idx="865">
                        <c:v>18.70567700000538</c:v>
                      </c:pt>
                      <c:pt idx="866">
                        <c:v>18.727463999995962</c:v>
                      </c:pt>
                      <c:pt idx="867">
                        <c:v>18.75185899999633</c:v>
                      </c:pt>
                      <c:pt idx="868">
                        <c:v>18.771382999999332</c:v>
                      </c:pt>
                      <c:pt idx="869">
                        <c:v>18.788291000004392</c:v>
                      </c:pt>
                      <c:pt idx="870">
                        <c:v>18.848809000002802</c:v>
                      </c:pt>
                      <c:pt idx="871">
                        <c:v>18.853226000006543</c:v>
                      </c:pt>
                      <c:pt idx="872">
                        <c:v>18.931729999996605</c:v>
                      </c:pt>
                      <c:pt idx="873">
                        <c:v>18.949353999996674</c:v>
                      </c:pt>
                      <c:pt idx="874">
                        <c:v>18.969987000004039</c:v>
                      </c:pt>
                      <c:pt idx="875">
                        <c:v>18.990466999995988</c:v>
                      </c:pt>
                      <c:pt idx="876">
                        <c:v>19.001478999998653</c:v>
                      </c:pt>
                      <c:pt idx="877">
                        <c:v>19.030511000004481</c:v>
                      </c:pt>
                      <c:pt idx="878">
                        <c:v>19.071265000005951</c:v>
                      </c:pt>
                      <c:pt idx="879">
                        <c:v>19.087696999995387</c:v>
                      </c:pt>
                      <c:pt idx="880">
                        <c:v>19.109417999992729</c:v>
                      </c:pt>
                      <c:pt idx="881">
                        <c:v>19.121025999993435</c:v>
                      </c:pt>
                      <c:pt idx="882">
                        <c:v>19.135913999998593</c:v>
                      </c:pt>
                      <c:pt idx="883">
                        <c:v>19.192383000001428</c:v>
                      </c:pt>
                      <c:pt idx="884">
                        <c:v>19.210042999999132</c:v>
                      </c:pt>
                      <c:pt idx="885">
                        <c:v>19.269948000001023</c:v>
                      </c:pt>
                      <c:pt idx="886">
                        <c:v>19.277885999996215</c:v>
                      </c:pt>
                      <c:pt idx="887">
                        <c:v>19.330692000003182</c:v>
                      </c:pt>
                      <c:pt idx="888">
                        <c:v>19.347475000002305</c:v>
                      </c:pt>
                      <c:pt idx="889">
                        <c:v>19.412165999994613</c:v>
                      </c:pt>
                      <c:pt idx="890">
                        <c:v>19.416817000004812</c:v>
                      </c:pt>
                      <c:pt idx="891">
                        <c:v>19.470014000005904</c:v>
                      </c:pt>
                      <c:pt idx="892">
                        <c:v>19.473469000004116</c:v>
                      </c:pt>
                      <c:pt idx="893">
                        <c:v>19.558466000002227</c:v>
                      </c:pt>
                      <c:pt idx="894">
                        <c:v>19.60882799999672</c:v>
                      </c:pt>
                      <c:pt idx="895">
                        <c:v>19.616255999993882</c:v>
                      </c:pt>
                      <c:pt idx="896">
                        <c:v>19.681517000004533</c:v>
                      </c:pt>
                      <c:pt idx="897">
                        <c:v>19.754574999999022</c:v>
                      </c:pt>
                      <c:pt idx="898">
                        <c:v>19.829968999998528</c:v>
                      </c:pt>
                      <c:pt idx="899">
                        <c:v>19.89028999999573</c:v>
                      </c:pt>
                      <c:pt idx="900">
                        <c:v>19.896116000003531</c:v>
                      </c:pt>
                      <c:pt idx="901">
                        <c:v>20.026220999992802</c:v>
                      </c:pt>
                      <c:pt idx="902">
                        <c:v>20.03784099999757</c:v>
                      </c:pt>
                      <c:pt idx="903">
                        <c:v>20.085686000005808</c:v>
                      </c:pt>
                      <c:pt idx="904">
                        <c:v>20.106010000003153</c:v>
                      </c:pt>
                      <c:pt idx="905">
                        <c:v>20.16501199999766</c:v>
                      </c:pt>
                      <c:pt idx="906">
                        <c:v>20.175933000005898</c:v>
                      </c:pt>
                      <c:pt idx="907">
                        <c:v>20.24430599999323</c:v>
                      </c:pt>
                      <c:pt idx="908">
                        <c:v>20.372518000003765</c:v>
                      </c:pt>
                      <c:pt idx="909">
                        <c:v>20.380502999993041</c:v>
                      </c:pt>
                      <c:pt idx="910">
                        <c:v>20.444394999998622</c:v>
                      </c:pt>
                      <c:pt idx="911">
                        <c:v>20.50830099999439</c:v>
                      </c:pt>
                      <c:pt idx="912">
                        <c:v>20.521355999997468</c:v>
                      </c:pt>
                      <c:pt idx="913">
                        <c:v>20.557960000005551</c:v>
                      </c:pt>
                      <c:pt idx="914">
                        <c:v>20.587719999995898</c:v>
                      </c:pt>
                      <c:pt idx="915">
                        <c:v>20.609152999997605</c:v>
                      </c:pt>
                      <c:pt idx="916">
                        <c:v>20.619072000001324</c:v>
                      </c:pt>
                      <c:pt idx="917">
                        <c:v>20.67234799999278</c:v>
                      </c:pt>
                      <c:pt idx="918">
                        <c:v>20.689606999992975</c:v>
                      </c:pt>
                      <c:pt idx="919">
                        <c:v>20.710848000002443</c:v>
                      </c:pt>
                      <c:pt idx="920">
                        <c:v>20.713470999995479</c:v>
                      </c:pt>
                      <c:pt idx="921">
                        <c:v>20.770128999996814</c:v>
                      </c:pt>
                      <c:pt idx="922">
                        <c:v>20.781872999999905</c:v>
                      </c:pt>
                      <c:pt idx="923">
                        <c:v>20.851871999999275</c:v>
                      </c:pt>
                      <c:pt idx="924">
                        <c:v>20.910011999993003</c:v>
                      </c:pt>
                      <c:pt idx="925">
                        <c:v>20.917421000005561</c:v>
                      </c:pt>
                      <c:pt idx="926">
                        <c:v>20.990090000006603</c:v>
                      </c:pt>
                      <c:pt idx="927">
                        <c:v>21.059141000005184</c:v>
                      </c:pt>
                      <c:pt idx="928">
                        <c:v>21.123573999997461</c:v>
                      </c:pt>
                      <c:pt idx="929">
                        <c:v>21.189335000002757</c:v>
                      </c:pt>
                      <c:pt idx="930">
                        <c:v>21.193016999997781</c:v>
                      </c:pt>
                      <c:pt idx="931">
                        <c:v>21.267498000001069</c:v>
                      </c:pt>
                      <c:pt idx="932">
                        <c:v>21.39588100000401</c:v>
                      </c:pt>
                      <c:pt idx="933">
                        <c:v>21.476766000007046</c:v>
                      </c:pt>
                      <c:pt idx="934">
                        <c:v>21.671587999997428</c:v>
                      </c:pt>
                      <c:pt idx="935">
                        <c:v>21.80168699999922</c:v>
                      </c:pt>
                      <c:pt idx="936">
                        <c:v>21.819898000001558</c:v>
                      </c:pt>
                      <c:pt idx="937">
                        <c:v>21.929365999996662</c:v>
                      </c:pt>
                      <c:pt idx="938">
                        <c:v>21.950813999996171</c:v>
                      </c:pt>
                      <c:pt idx="939">
                        <c:v>21.969597000002977</c:v>
                      </c:pt>
                      <c:pt idx="940">
                        <c:v>21.988500000006752</c:v>
                      </c:pt>
                      <c:pt idx="941">
                        <c:v>22.009302000005846</c:v>
                      </c:pt>
                      <c:pt idx="942">
                        <c:v>22.03289699999732</c:v>
                      </c:pt>
                      <c:pt idx="943">
                        <c:v>22.050904999996419</c:v>
                      </c:pt>
                      <c:pt idx="944">
                        <c:v>22.10960100000375</c:v>
                      </c:pt>
                      <c:pt idx="945">
                        <c:v>22.129606000002241</c:v>
                      </c:pt>
                      <c:pt idx="946">
                        <c:v>22.153552999996464</c:v>
                      </c:pt>
                      <c:pt idx="947">
                        <c:v>22.216033999997308</c:v>
                      </c:pt>
                      <c:pt idx="948">
                        <c:v>22.269459999995888</c:v>
                      </c:pt>
                      <c:pt idx="949">
                        <c:v>22.339386999999988</c:v>
                      </c:pt>
                      <c:pt idx="950">
                        <c:v>22.35994500000379</c:v>
                      </c:pt>
                      <c:pt idx="951">
                        <c:v>22.697455999994418</c:v>
                      </c:pt>
                      <c:pt idx="952">
                        <c:v>22.752504999996745</c:v>
                      </c:pt>
                      <c:pt idx="953">
                        <c:v>22.776291000001947</c:v>
                      </c:pt>
                      <c:pt idx="954">
                        <c:v>22.894717000002856</c:v>
                      </c:pt>
                      <c:pt idx="955">
                        <c:v>22.936753999994835</c:v>
                      </c:pt>
                      <c:pt idx="956">
                        <c:v>22.964806000003591</c:v>
                      </c:pt>
                      <c:pt idx="957">
                        <c:v>23.011020000005374</c:v>
                      </c:pt>
                      <c:pt idx="958">
                        <c:v>23.041721999994479</c:v>
                      </c:pt>
                      <c:pt idx="959">
                        <c:v>23.059169000000111</c:v>
                      </c:pt>
                      <c:pt idx="960">
                        <c:v>23.078345000001718</c:v>
                      </c:pt>
                      <c:pt idx="961">
                        <c:v>23.101450999994995</c:v>
                      </c:pt>
                      <c:pt idx="962">
                        <c:v>23.149567999993451</c:v>
                      </c:pt>
                      <c:pt idx="963">
                        <c:v>23.170113999993191</c:v>
                      </c:pt>
                      <c:pt idx="964">
                        <c:v>23.187950000006822</c:v>
                      </c:pt>
                      <c:pt idx="965">
                        <c:v>23.217732000004617</c:v>
                      </c:pt>
                      <c:pt idx="966">
                        <c:v>23.238828000001376</c:v>
                      </c:pt>
                      <c:pt idx="967">
                        <c:v>23.273797999994713</c:v>
                      </c:pt>
                      <c:pt idx="968">
                        <c:v>23.282284999993863</c:v>
                      </c:pt>
                      <c:pt idx="969">
                        <c:v>23.304826999999932</c:v>
                      </c:pt>
                      <c:pt idx="970">
                        <c:v>23.322432999993907</c:v>
                      </c:pt>
                      <c:pt idx="971">
                        <c:v>23.340609000006225</c:v>
                      </c:pt>
                      <c:pt idx="972">
                        <c:v>23.358603999993647</c:v>
                      </c:pt>
                      <c:pt idx="973">
                        <c:v>23.387841000003391</c:v>
                      </c:pt>
                      <c:pt idx="974">
                        <c:v>23.408421999993152</c:v>
                      </c:pt>
                      <c:pt idx="975">
                        <c:v>23.436639000006835</c:v>
                      </c:pt>
                      <c:pt idx="976">
                        <c:v>23.466872999997577</c:v>
                      </c:pt>
                      <c:pt idx="977">
                        <c:v>23.485339000006206</c:v>
                      </c:pt>
                      <c:pt idx="978">
                        <c:v>23.504153000001679</c:v>
                      </c:pt>
                      <c:pt idx="979">
                        <c:v>23.521840000001248</c:v>
                      </c:pt>
                      <c:pt idx="980">
                        <c:v>23.545178999993368</c:v>
                      </c:pt>
                      <c:pt idx="981">
                        <c:v>23.571225000006962</c:v>
                      </c:pt>
                      <c:pt idx="982">
                        <c:v>23.592843000005814</c:v>
                      </c:pt>
                      <c:pt idx="983">
                        <c:v>23.609421000001021</c:v>
                      </c:pt>
                      <c:pt idx="984">
                        <c:v>23.626527000000351</c:v>
                      </c:pt>
                      <c:pt idx="985">
                        <c:v>23.645789999995031</c:v>
                      </c:pt>
                      <c:pt idx="986">
                        <c:v>23.655771000005188</c:v>
                      </c:pt>
                      <c:pt idx="987">
                        <c:v>23.690142000006745</c:v>
                      </c:pt>
                      <c:pt idx="988">
                        <c:v>23.70281299999624</c:v>
                      </c:pt>
                      <c:pt idx="989">
                        <c:v>23.730490999994799</c:v>
                      </c:pt>
                      <c:pt idx="990">
                        <c:v>23.752940000005765</c:v>
                      </c:pt>
                      <c:pt idx="991">
                        <c:v>23.771536999993259</c:v>
                      </c:pt>
                      <c:pt idx="992">
                        <c:v>23.787014999994426</c:v>
                      </c:pt>
                      <c:pt idx="993">
                        <c:v>23.808394000006956</c:v>
                      </c:pt>
                      <c:pt idx="994">
                        <c:v>23.829131999998935</c:v>
                      </c:pt>
                      <c:pt idx="995">
                        <c:v>23.851704000000609</c:v>
                      </c:pt>
                      <c:pt idx="996">
                        <c:v>23.872075999999652</c:v>
                      </c:pt>
                      <c:pt idx="997">
                        <c:v>23.891747000001487</c:v>
                      </c:pt>
                      <c:pt idx="998">
                        <c:v>23.913037999998778</c:v>
                      </c:pt>
                      <c:pt idx="999">
                        <c:v>23.928671000001486</c:v>
                      </c:pt>
                      <c:pt idx="1000">
                        <c:v>23.950268999993568</c:v>
                      </c:pt>
                      <c:pt idx="1001">
                        <c:v>23.969091999999364</c:v>
                      </c:pt>
                      <c:pt idx="1002">
                        <c:v>23.991341999993892</c:v>
                      </c:pt>
                      <c:pt idx="1003">
                        <c:v>24.004977999997209</c:v>
                      </c:pt>
                      <c:pt idx="1004">
                        <c:v>24.030178000000888</c:v>
                      </c:pt>
                      <c:pt idx="1005">
                        <c:v>24.051252999997814</c:v>
                      </c:pt>
                      <c:pt idx="1006">
                        <c:v>24.071083000002545</c:v>
                      </c:pt>
                      <c:pt idx="1007">
                        <c:v>24.08887799999502</c:v>
                      </c:pt>
                      <c:pt idx="1008">
                        <c:v>24.109505000000354</c:v>
                      </c:pt>
                      <c:pt idx="1009">
                        <c:v>24.130529000001843</c:v>
                      </c:pt>
                      <c:pt idx="1010">
                        <c:v>24.149757999999565</c:v>
                      </c:pt>
                      <c:pt idx="1011">
                        <c:v>24.169351999997161</c:v>
                      </c:pt>
                      <c:pt idx="1012">
                        <c:v>24.185184999994817</c:v>
                      </c:pt>
                      <c:pt idx="1013">
                        <c:v>24.210292000003392</c:v>
                      </c:pt>
                      <c:pt idx="1014">
                        <c:v>24.230257000002894</c:v>
                      </c:pt>
                      <c:pt idx="1015">
                        <c:v>24.251063000003342</c:v>
                      </c:pt>
                      <c:pt idx="1016">
                        <c:v>24.260286999997334</c:v>
                      </c:pt>
                      <c:pt idx="1017">
                        <c:v>24.290764000004856</c:v>
                      </c:pt>
                      <c:pt idx="1018">
                        <c:v>24.312315999995917</c:v>
                      </c:pt>
                      <c:pt idx="1019">
                        <c:v>24.332882999995491</c:v>
                      </c:pt>
                      <c:pt idx="1020">
                        <c:v>24.352180999994744</c:v>
                      </c:pt>
                      <c:pt idx="1021">
                        <c:v>24.370655000006082</c:v>
                      </c:pt>
                      <c:pt idx="1022">
                        <c:v>24.386303999999654</c:v>
                      </c:pt>
                      <c:pt idx="1023">
                        <c:v>24.411489999998594</c:v>
                      </c:pt>
                      <c:pt idx="1024">
                        <c:v>24.430787000004784</c:v>
                      </c:pt>
                      <c:pt idx="1025">
                        <c:v>24.451795999993919</c:v>
                      </c:pt>
                      <c:pt idx="1026">
                        <c:v>24.472370000003139</c:v>
                      </c:pt>
                      <c:pt idx="1027">
                        <c:v>24.493352999998024</c:v>
                      </c:pt>
                      <c:pt idx="1028">
                        <c:v>24.513412000000244</c:v>
                      </c:pt>
                      <c:pt idx="1029">
                        <c:v>24.527015999992727</c:v>
                      </c:pt>
                      <c:pt idx="1030">
                        <c:v>24.547990999999456</c:v>
                      </c:pt>
                      <c:pt idx="1031">
                        <c:v>24.568528000003425</c:v>
                      </c:pt>
                      <c:pt idx="1032">
                        <c:v>24.592092000006232</c:v>
                      </c:pt>
                      <c:pt idx="1033">
                        <c:v>24.612911000003805</c:v>
                      </c:pt>
                      <c:pt idx="1034">
                        <c:v>24.630116999993334</c:v>
                      </c:pt>
                      <c:pt idx="1035">
                        <c:v>24.647140999994008</c:v>
                      </c:pt>
                      <c:pt idx="1036">
                        <c:v>24.668594000002486</c:v>
                      </c:pt>
                      <c:pt idx="1037">
                        <c:v>24.690837999994983</c:v>
                      </c:pt>
                      <c:pt idx="1038">
                        <c:v>24.712589999995544</c:v>
                      </c:pt>
                      <c:pt idx="1039">
                        <c:v>24.729158999994979</c:v>
                      </c:pt>
                      <c:pt idx="1040">
                        <c:v>24.748250999997254</c:v>
                      </c:pt>
                      <c:pt idx="1041">
                        <c:v>24.772182999993674</c:v>
                      </c:pt>
                      <c:pt idx="1042">
                        <c:v>24.788973999995505</c:v>
                      </c:pt>
                      <c:pt idx="1043">
                        <c:v>24.810652000000118</c:v>
                      </c:pt>
                      <c:pt idx="1044">
                        <c:v>24.830902000001515</c:v>
                      </c:pt>
                      <c:pt idx="1045">
                        <c:v>24.851580000002286</c:v>
                      </c:pt>
                      <c:pt idx="1046">
                        <c:v>24.863641000003554</c:v>
                      </c:pt>
                      <c:pt idx="1047">
                        <c:v>24.889215000002878</c:v>
                      </c:pt>
                      <c:pt idx="1048">
                        <c:v>24.905175000007148</c:v>
                      </c:pt>
                      <c:pt idx="1049">
                        <c:v>24.923880999995163</c:v>
                      </c:pt>
                      <c:pt idx="1050">
                        <c:v>24.952577000003657</c:v>
                      </c:pt>
                      <c:pt idx="1051">
                        <c:v>24.970560000001569</c:v>
                      </c:pt>
                      <c:pt idx="1052">
                        <c:v>24.990554000003613</c:v>
                      </c:pt>
                      <c:pt idx="1053">
                        <c:v>25.009464999995544</c:v>
                      </c:pt>
                      <c:pt idx="1054">
                        <c:v>25.029137999998056</c:v>
                      </c:pt>
                      <c:pt idx="1055">
                        <c:v>25.049568000002182</c:v>
                      </c:pt>
                      <c:pt idx="1056">
                        <c:v>25.069510999994236</c:v>
                      </c:pt>
                      <c:pt idx="1057">
                        <c:v>25.090064000003622</c:v>
                      </c:pt>
                      <c:pt idx="1058">
                        <c:v>25.112080000006245</c:v>
                      </c:pt>
                      <c:pt idx="1059">
                        <c:v>25.130132000005688</c:v>
                      </c:pt>
                      <c:pt idx="1060">
                        <c:v>25.151247000001604</c:v>
                      </c:pt>
                      <c:pt idx="1061">
                        <c:v>25.170014000002993</c:v>
                      </c:pt>
                      <c:pt idx="1062">
                        <c:v>25.191411000007065</c:v>
                      </c:pt>
                      <c:pt idx="1063">
                        <c:v>25.195875000004889</c:v>
                      </c:pt>
                      <c:pt idx="1064">
                        <c:v>25.233873000004678</c:v>
                      </c:pt>
                      <c:pt idx="1065">
                        <c:v>25.248592000003555</c:v>
                      </c:pt>
                      <c:pt idx="1066">
                        <c:v>25.270485000000917</c:v>
                      </c:pt>
                      <c:pt idx="1067">
                        <c:v>25.291649999999208</c:v>
                      </c:pt>
                      <c:pt idx="1068">
                        <c:v>25.311413000003085</c:v>
                      </c:pt>
                      <c:pt idx="1069">
                        <c:v>25.331086000005598</c:v>
                      </c:pt>
                      <c:pt idx="1070">
                        <c:v>25.346539000005578</c:v>
                      </c:pt>
                      <c:pt idx="1071">
                        <c:v>25.366806000005454</c:v>
                      </c:pt>
                      <c:pt idx="1072">
                        <c:v>25.391757999997935</c:v>
                      </c:pt>
                      <c:pt idx="1073">
                        <c:v>25.409874999997555</c:v>
                      </c:pt>
                      <c:pt idx="1074">
                        <c:v>25.432696000003489</c:v>
                      </c:pt>
                      <c:pt idx="1075">
                        <c:v>25.448818999997457</c:v>
                      </c:pt>
                      <c:pt idx="1076">
                        <c:v>25.467323000004399</c:v>
                      </c:pt>
                      <c:pt idx="1077">
                        <c:v>25.487355999997817</c:v>
                      </c:pt>
                      <c:pt idx="1078">
                        <c:v>25.512679000006756</c:v>
                      </c:pt>
                      <c:pt idx="1079">
                        <c:v>25.532206999996561</c:v>
                      </c:pt>
                      <c:pt idx="1080">
                        <c:v>25.550080000000889</c:v>
                      </c:pt>
                      <c:pt idx="1081">
                        <c:v>25.568671999993967</c:v>
                      </c:pt>
                      <c:pt idx="1082">
                        <c:v>25.591994999995222</c:v>
                      </c:pt>
                      <c:pt idx="1083">
                        <c:v>25.604158999994979</c:v>
                      </c:pt>
                      <c:pt idx="1084">
                        <c:v>25.62855199999467</c:v>
                      </c:pt>
                      <c:pt idx="1085">
                        <c:v>25.64916099999391</c:v>
                      </c:pt>
                      <c:pt idx="1086">
                        <c:v>25.670091000007233</c:v>
                      </c:pt>
                      <c:pt idx="1087">
                        <c:v>25.688160000005155</c:v>
                      </c:pt>
                      <c:pt idx="1088">
                        <c:v>25.709323000002769</c:v>
                      </c:pt>
                      <c:pt idx="1089">
                        <c:v>25.728407000002335</c:v>
                      </c:pt>
                      <c:pt idx="1090">
                        <c:v>25.752332000003662</c:v>
                      </c:pt>
                      <c:pt idx="1091">
                        <c:v>25.768882999997004</c:v>
                      </c:pt>
                      <c:pt idx="1092">
                        <c:v>25.790080999999191</c:v>
                      </c:pt>
                      <c:pt idx="1093">
                        <c:v>25.80885099999432</c:v>
                      </c:pt>
                      <c:pt idx="1094">
                        <c:v>25.829733000005945</c:v>
                      </c:pt>
                      <c:pt idx="1095">
                        <c:v>25.844184999994468</c:v>
                      </c:pt>
                      <c:pt idx="1096">
                        <c:v>25.869984999997541</c:v>
                      </c:pt>
                      <c:pt idx="1097">
                        <c:v>25.889815000002272</c:v>
                      </c:pt>
                      <c:pt idx="1098">
                        <c:v>25.910757000005106</c:v>
                      </c:pt>
                      <c:pt idx="1099">
                        <c:v>25.929401000001235</c:v>
                      </c:pt>
                      <c:pt idx="1100">
                        <c:v>25.94962499999383</c:v>
                      </c:pt>
                      <c:pt idx="1101">
                        <c:v>25.972777999995742</c:v>
                      </c:pt>
                      <c:pt idx="1102">
                        <c:v>25.990013999995426</c:v>
                      </c:pt>
                      <c:pt idx="1103">
                        <c:v>26.010427000001073</c:v>
                      </c:pt>
                      <c:pt idx="1104">
                        <c:v>26.032560000006924</c:v>
                      </c:pt>
                      <c:pt idx="1105">
                        <c:v>26.051613999996334</c:v>
                      </c:pt>
                      <c:pt idx="1106">
                        <c:v>26.072595999998157</c:v>
                      </c:pt>
                      <c:pt idx="1107">
                        <c:v>26.092378999994253</c:v>
                      </c:pt>
                      <c:pt idx="1108">
                        <c:v>26.112676999997348</c:v>
                      </c:pt>
                      <c:pt idx="1109">
                        <c:v>26.130694999999832</c:v>
                      </c:pt>
                      <c:pt idx="1110">
                        <c:v>26.15151500000502</c:v>
                      </c:pt>
                      <c:pt idx="1111">
                        <c:v>26.160948999997345</c:v>
                      </c:pt>
                      <c:pt idx="1112">
                        <c:v>26.192194999995991</c:v>
                      </c:pt>
                      <c:pt idx="1113">
                        <c:v>26.212463999996544</c:v>
                      </c:pt>
                      <c:pt idx="1114">
                        <c:v>26.23177100000612</c:v>
                      </c:pt>
                      <c:pt idx="1115">
                        <c:v>26.252322999993339</c:v>
                      </c:pt>
                      <c:pt idx="1116">
                        <c:v>26.266526999999769</c:v>
                      </c:pt>
                      <c:pt idx="1117">
                        <c:v>26.289130999997724</c:v>
                      </c:pt>
                      <c:pt idx="1118">
                        <c:v>26.307276999999885</c:v>
                      </c:pt>
                      <c:pt idx="1119">
                        <c:v>26.328584999995655</c:v>
                      </c:pt>
                      <c:pt idx="1120">
                        <c:v>26.352679000003263</c:v>
                      </c:pt>
                      <c:pt idx="1121">
                        <c:v>26.372602999996161</c:v>
                      </c:pt>
                      <c:pt idx="1122">
                        <c:v>26.389469999994617</c:v>
                      </c:pt>
                      <c:pt idx="1123">
                        <c:v>0</c:v>
                      </c:pt>
                      <c:pt idx="1124">
                        <c:v>0</c:v>
                      </c:pt>
                      <c:pt idx="1125">
                        <c:v>0</c:v>
                      </c:pt>
                      <c:pt idx="1126">
                        <c:v>0</c:v>
                      </c:pt>
                      <c:pt idx="1127">
                        <c:v>0</c:v>
                      </c:pt>
                      <c:pt idx="1128">
                        <c:v>0</c:v>
                      </c:pt>
                      <c:pt idx="1129">
                        <c:v>0</c:v>
                      </c:pt>
                      <c:pt idx="1130">
                        <c:v>0</c:v>
                      </c:pt>
                      <c:pt idx="1131">
                        <c:v>0</c:v>
                      </c:pt>
                      <c:pt idx="1132">
                        <c:v>0</c:v>
                      </c:pt>
                      <c:pt idx="1133">
                        <c:v>0</c:v>
                      </c:pt>
                      <c:pt idx="1134">
                        <c:v>0</c:v>
                      </c:pt>
                      <c:pt idx="1135">
                        <c:v>0</c:v>
                      </c:pt>
                      <c:pt idx="1136">
                        <c:v>0</c:v>
                      </c:pt>
                      <c:pt idx="1137">
                        <c:v>0</c:v>
                      </c:pt>
                      <c:pt idx="1138">
                        <c:v>0</c:v>
                      </c:pt>
                      <c:pt idx="1139">
                        <c:v>0</c:v>
                      </c:pt>
                      <c:pt idx="1140">
                        <c:v>0</c:v>
                      </c:pt>
                      <c:pt idx="1141">
                        <c:v>0</c:v>
                      </c:pt>
                      <c:pt idx="1142">
                        <c:v>0</c:v>
                      </c:pt>
                      <c:pt idx="1143">
                        <c:v>0</c:v>
                      </c:pt>
                      <c:pt idx="1144">
                        <c:v>0</c:v>
                      </c:pt>
                      <c:pt idx="1145">
                        <c:v>0</c:v>
                      </c:pt>
                      <c:pt idx="1146">
                        <c:v>0</c:v>
                      </c:pt>
                      <c:pt idx="1147">
                        <c:v>0</c:v>
                      </c:pt>
                      <c:pt idx="1148">
                        <c:v>0</c:v>
                      </c:pt>
                      <c:pt idx="1149">
                        <c:v>0</c:v>
                      </c:pt>
                      <c:pt idx="1150">
                        <c:v>0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'Real Values'!$E$2:$E$1800</c15:sqref>
                        </c15:formulaRef>
                      </c:ext>
                    </c:extLst>
                    <c:numCache>
                      <c:formatCode>General</c:formatCode>
                      <c:ptCount val="1799"/>
                      <c:pt idx="0">
                        <c:v>-4.9871237142795621E-4</c:v>
                      </c:pt>
                      <c:pt idx="1">
                        <c:v>-2.4410923714270893E-3</c:v>
                      </c:pt>
                      <c:pt idx="2">
                        <c:v>-2.450902371425201E-3</c:v>
                      </c:pt>
                      <c:pt idx="3">
                        <c:v>-1.9505923714273621E-3</c:v>
                      </c:pt>
                      <c:pt idx="4">
                        <c:v>-2.6569123714264009E-3</c:v>
                      </c:pt>
                      <c:pt idx="5">
                        <c:v>-3.0100723714276967E-3</c:v>
                      </c:pt>
                      <c:pt idx="6">
                        <c:v>-2.9021623714271527E-3</c:v>
                      </c:pt>
                      <c:pt idx="7">
                        <c:v>-3.0002623714260324E-3</c:v>
                      </c:pt>
                      <c:pt idx="8">
                        <c:v>-2.9806423714262564E-3</c:v>
                      </c:pt>
                      <c:pt idx="9">
                        <c:v>-2.9806423714262564E-3</c:v>
                      </c:pt>
                      <c:pt idx="10">
                        <c:v>-3.4122823714266559E-3</c:v>
                      </c:pt>
                      <c:pt idx="11">
                        <c:v>-6.2571823714261399E-3</c:v>
                      </c:pt>
                      <c:pt idx="12">
                        <c:v>-5.3939023714271173E-3</c:v>
                      </c:pt>
                      <c:pt idx="13">
                        <c:v>-2.3429923714264334E-3</c:v>
                      </c:pt>
                      <c:pt idx="14">
                        <c:v>-3.0689323714270245E-3</c:v>
                      </c:pt>
                      <c:pt idx="15">
                        <c:v>-2.9217823714269286E-3</c:v>
                      </c:pt>
                      <c:pt idx="16">
                        <c:v>-2.8531123714277129E-3</c:v>
                      </c:pt>
                      <c:pt idx="17">
                        <c:v>-5.6680582371425814E-2</c:v>
                      </c:pt>
                      <c:pt idx="18">
                        <c:v>-2.4116623714274255E-3</c:v>
                      </c:pt>
                      <c:pt idx="19">
                        <c:v>-7.1204623714269388E-3</c:v>
                      </c:pt>
                      <c:pt idx="20">
                        <c:v>1.5864367628573461E-2</c:v>
                      </c:pt>
                      <c:pt idx="21">
                        <c:v>4.4077927628574542E-2</c:v>
                      </c:pt>
                      <c:pt idx="22">
                        <c:v>-1.4036512371426113E-2</c:v>
                      </c:pt>
                      <c:pt idx="23">
                        <c:v>-2.6078623714251847E-3</c:v>
                      </c:pt>
                      <c:pt idx="24">
                        <c:v>-3.9125923714280475E-3</c:v>
                      </c:pt>
                      <c:pt idx="25">
                        <c:v>-6.423952371427788E-3</c:v>
                      </c:pt>
                      <c:pt idx="26">
                        <c:v>8.0316067628572796E-2</c:v>
                      </c:pt>
                      <c:pt idx="27">
                        <c:v>3.8496037628572566E-2</c:v>
                      </c:pt>
                      <c:pt idx="28">
                        <c:v>6.9666976285720494E-3</c:v>
                      </c:pt>
                      <c:pt idx="29">
                        <c:v>3.3492937628572861E-2</c:v>
                      </c:pt>
                      <c:pt idx="30">
                        <c:v>-1.9716502371426969E-2</c:v>
                      </c:pt>
                      <c:pt idx="31">
                        <c:v>-1.0308712371426054E-2</c:v>
                      </c:pt>
                      <c:pt idx="32">
                        <c:v>1.3161376285744097E-3</c:v>
                      </c:pt>
                      <c:pt idx="33">
                        <c:v>-4.3736623714263345E-3</c:v>
                      </c:pt>
                      <c:pt idx="34">
                        <c:v>-2.627482371426737E-3</c:v>
                      </c:pt>
                      <c:pt idx="35">
                        <c:v>-3.0885523714268004E-3</c:v>
                      </c:pt>
                      <c:pt idx="36">
                        <c:v>-3.0100723714276967E-3</c:v>
                      </c:pt>
                      <c:pt idx="37">
                        <c:v>2.8608762857373904E-4</c:v>
                      </c:pt>
                      <c:pt idx="38">
                        <c:v>1.6836762857153076E-4</c:v>
                      </c:pt>
                      <c:pt idx="39">
                        <c:v>-9.7887823714266631E-3</c:v>
                      </c:pt>
                      <c:pt idx="40">
                        <c:v>5.1616576285731242E-3</c:v>
                      </c:pt>
                      <c:pt idx="41">
                        <c:v>-4.4325223714256623E-3</c:v>
                      </c:pt>
                      <c:pt idx="42">
                        <c:v>-2.450902371425201E-3</c:v>
                      </c:pt>
                      <c:pt idx="43">
                        <c:v>-3.1572223714260161E-3</c:v>
                      </c:pt>
                      <c:pt idx="44">
                        <c:v>-3.0100723714276967E-3</c:v>
                      </c:pt>
                      <c:pt idx="45">
                        <c:v>-3.0983623714266884E-3</c:v>
                      </c:pt>
                      <c:pt idx="46">
                        <c:v>-7.2082282371427553E-2</c:v>
                      </c:pt>
                      <c:pt idx="47">
                        <c:v>-5.0996023714269256E-3</c:v>
                      </c:pt>
                      <c:pt idx="48">
                        <c:v>1.296060762857465E-2</c:v>
                      </c:pt>
                      <c:pt idx="49">
                        <c:v>9.0071776285736149E-3</c:v>
                      </c:pt>
                      <c:pt idx="50">
                        <c:v>-6.9242623714256268E-3</c:v>
                      </c:pt>
                      <c:pt idx="51">
                        <c:v>-5.2958023714264613E-3</c:v>
                      </c:pt>
                      <c:pt idx="52">
                        <c:v>-3.8630182371427679E-2</c:v>
                      </c:pt>
                      <c:pt idx="53">
                        <c:v>9.9587476285734056E-3</c:v>
                      </c:pt>
                      <c:pt idx="54">
                        <c:v>-6.8510237142760388E-4</c:v>
                      </c:pt>
                      <c:pt idx="55">
                        <c:v>-5.8353523714256283E-3</c:v>
                      </c:pt>
                      <c:pt idx="56">
                        <c:v>1.4893177628573895E-2</c:v>
                      </c:pt>
                      <c:pt idx="57">
                        <c:v>3.7230547628572808E-2</c:v>
                      </c:pt>
                      <c:pt idx="58">
                        <c:v>1.1626447628572123E-2</c:v>
                      </c:pt>
                      <c:pt idx="59">
                        <c:v>-3.382852371426992E-3</c:v>
                      </c:pt>
                      <c:pt idx="60">
                        <c:v>-7.9243582371425703E-2</c:v>
                      </c:pt>
                      <c:pt idx="61">
                        <c:v>-2.1609832371426663E-2</c:v>
                      </c:pt>
                      <c:pt idx="62">
                        <c:v>4.8281176285716043E-3</c:v>
                      </c:pt>
                      <c:pt idx="63">
                        <c:v>-1.2947602371426115E-2</c:v>
                      </c:pt>
                      <c:pt idx="64">
                        <c:v>-5.8059223714259645E-3</c:v>
                      </c:pt>
                      <c:pt idx="65">
                        <c:v>-2.9512123714265925E-3</c:v>
                      </c:pt>
                      <c:pt idx="66">
                        <c:v>-3.0885523714268004E-3</c:v>
                      </c:pt>
                      <c:pt idx="67">
                        <c:v>3.7437762857273071E-4</c:v>
                      </c:pt>
                      <c:pt idx="68">
                        <c:v>-1.847923714262123E-4</c:v>
                      </c:pt>
                      <c:pt idx="69">
                        <c:v>-6.9109852371425973E-2</c:v>
                      </c:pt>
                      <c:pt idx="70">
                        <c:v>-3.4097962371427926E-2</c:v>
                      </c:pt>
                      <c:pt idx="71">
                        <c:v>-5.7568723714265246E-3</c:v>
                      </c:pt>
                      <c:pt idx="72">
                        <c:v>-6.2866123714258038E-3</c:v>
                      </c:pt>
                      <c:pt idx="73">
                        <c:v>-9.2054237142669137E-4</c:v>
                      </c:pt>
                      <c:pt idx="74">
                        <c:v>-3.8635423714268313E-3</c:v>
                      </c:pt>
                      <c:pt idx="75">
                        <c:v>-2.6667223714280652E-3</c:v>
                      </c:pt>
                      <c:pt idx="76">
                        <c:v>-2.9512123714265925E-3</c:v>
                      </c:pt>
                      <c:pt idx="77">
                        <c:v>-2.1855082371425638E-2</c:v>
                      </c:pt>
                      <c:pt idx="78">
                        <c:v>-6.5136802371426938E-2</c:v>
                      </c:pt>
                      <c:pt idx="79">
                        <c:v>-8.2559362371426914E-2</c:v>
                      </c:pt>
                      <c:pt idx="80">
                        <c:v>-8.534540237142707E-2</c:v>
                      </c:pt>
                      <c:pt idx="81">
                        <c:v>1.0488487628572685E-2</c:v>
                      </c:pt>
                      <c:pt idx="82">
                        <c:v>-4.0401223714248147E-3</c:v>
                      </c:pt>
                      <c:pt idx="83">
                        <c:v>-3.2258923714270082E-3</c:v>
                      </c:pt>
                      <c:pt idx="84">
                        <c:v>-2.3528023714263213E-3</c:v>
                      </c:pt>
                      <c:pt idx="85">
                        <c:v>-2.7746323714268328E-3</c:v>
                      </c:pt>
                      <c:pt idx="86">
                        <c:v>-3.1277923714263522E-3</c:v>
                      </c:pt>
                      <c:pt idx="87">
                        <c:v>-2.9119723714270407E-3</c:v>
                      </c:pt>
                      <c:pt idx="88">
                        <c:v>-2.9512123714265925E-3</c:v>
                      </c:pt>
                      <c:pt idx="89">
                        <c:v>-2.8433023714260486E-3</c:v>
                      </c:pt>
                      <c:pt idx="90">
                        <c:v>-3.7011532371426625E-2</c:v>
                      </c:pt>
                      <c:pt idx="91">
                        <c:v>-2.4935422371427762E-2</c:v>
                      </c:pt>
                      <c:pt idx="92">
                        <c:v>-9.15113237142684E-3</c:v>
                      </c:pt>
                      <c:pt idx="93">
                        <c:v>3.1113676285734471E-3</c:v>
                      </c:pt>
                      <c:pt idx="94">
                        <c:v>-4.7856823714269581E-3</c:v>
                      </c:pt>
                      <c:pt idx="95">
                        <c:v>-2.3233723714266574E-3</c:v>
                      </c:pt>
                      <c:pt idx="96">
                        <c:v>-3.0787423714269124E-3</c:v>
                      </c:pt>
                      <c:pt idx="97">
                        <c:v>-2.9904523714261444E-3</c:v>
                      </c:pt>
                      <c:pt idx="98">
                        <c:v>-2.9806423714262564E-3</c:v>
                      </c:pt>
                      <c:pt idx="99">
                        <c:v>-2.9512123714265925E-3</c:v>
                      </c:pt>
                      <c:pt idx="100">
                        <c:v>-2.9708323714263685E-3</c:v>
                      </c:pt>
                      <c:pt idx="101">
                        <c:v>-2.4018523714275375E-3</c:v>
                      </c:pt>
                      <c:pt idx="102">
                        <c:v>-1.0088323714274594E-3</c:v>
                      </c:pt>
                      <c:pt idx="103">
                        <c:v>-3.7727662371427328E-2</c:v>
                      </c:pt>
                      <c:pt idx="104">
                        <c:v>1.0341337628574365E-2</c:v>
                      </c:pt>
                      <c:pt idx="105">
                        <c:v>-4.8641623714278381E-3</c:v>
                      </c:pt>
                      <c:pt idx="106">
                        <c:v>2.2722762857441126E-4</c:v>
                      </c:pt>
                      <c:pt idx="107">
                        <c:v>-4.9720723714266057E-3</c:v>
                      </c:pt>
                      <c:pt idx="108">
                        <c:v>5.0647628572875192E-5</c:v>
                      </c:pt>
                      <c:pt idx="109">
                        <c:v>-4.2167023714263507E-3</c:v>
                      </c:pt>
                      <c:pt idx="110">
                        <c:v>-2.5391923714277453E-3</c:v>
                      </c:pt>
                      <c:pt idx="111">
                        <c:v>-3.0983623714266884E-3</c:v>
                      </c:pt>
                      <c:pt idx="112">
                        <c:v>-2.8923523714254884E-3</c:v>
                      </c:pt>
                      <c:pt idx="113">
                        <c:v>-2.9904523714261444E-3</c:v>
                      </c:pt>
                      <c:pt idx="114">
                        <c:v>-2.9414023714267046E-3</c:v>
                      </c:pt>
                      <c:pt idx="115">
                        <c:v>-5.6980123714271969E-3</c:v>
                      </c:pt>
                      <c:pt idx="116">
                        <c:v>-2.9512123714265925E-3</c:v>
                      </c:pt>
                      <c:pt idx="117">
                        <c:v>-2.8825423714273768E-3</c:v>
                      </c:pt>
                      <c:pt idx="118">
                        <c:v>-2.7059623714258407E-3</c:v>
                      </c:pt>
                      <c:pt idx="119">
                        <c:v>-7.0812223714256106E-3</c:v>
                      </c:pt>
                      <c:pt idx="120">
                        <c:v>5.9019762857204228E-4</c:v>
                      </c:pt>
                      <c:pt idx="121">
                        <c:v>-1.4797123714274107E-3</c:v>
                      </c:pt>
                      <c:pt idx="122">
                        <c:v>4.9209762857493899E-4</c:v>
                      </c:pt>
                      <c:pt idx="123">
                        <c:v>2.6646762857218675E-4</c:v>
                      </c:pt>
                      <c:pt idx="124">
                        <c:v>-1.6072423714277306E-3</c:v>
                      </c:pt>
                      <c:pt idx="125">
                        <c:v>-3.0395023714273606E-3</c:v>
                      </c:pt>
                      <c:pt idx="126">
                        <c:v>-2.3724223714278736E-3</c:v>
                      </c:pt>
                      <c:pt idx="127">
                        <c:v>-3.6137237142774836E-4</c:v>
                      </c:pt>
                      <c:pt idx="128">
                        <c:v>-1.3521823714270909E-3</c:v>
                      </c:pt>
                      <c:pt idx="129">
                        <c:v>-3.0591223714253601E-3</c:v>
                      </c:pt>
                      <c:pt idx="130">
                        <c:v>-2.7942523714248324E-3</c:v>
                      </c:pt>
                      <c:pt idx="131">
                        <c:v>-2.8825423714273768E-3</c:v>
                      </c:pt>
                      <c:pt idx="132">
                        <c:v>-2.9315923714268166E-3</c:v>
                      </c:pt>
                      <c:pt idx="133">
                        <c:v>-2.9512123714265925E-3</c:v>
                      </c:pt>
                      <c:pt idx="134">
                        <c:v>-2.9806423714262564E-3</c:v>
                      </c:pt>
                      <c:pt idx="135">
                        <c:v>-2.9512123714265925E-3</c:v>
                      </c:pt>
                      <c:pt idx="136">
                        <c:v>-2.9610223714264805E-3</c:v>
                      </c:pt>
                      <c:pt idx="137">
                        <c:v>-2.9708323714263685E-3</c:v>
                      </c:pt>
                      <c:pt idx="138">
                        <c:v>-2.9610223714264805E-3</c:v>
                      </c:pt>
                      <c:pt idx="139">
                        <c:v>-1.6759123714269464E-3</c:v>
                      </c:pt>
                      <c:pt idx="140">
                        <c:v>-3.2749423714282244E-3</c:v>
                      </c:pt>
                      <c:pt idx="141">
                        <c:v>-2.9610223714264805E-3</c:v>
                      </c:pt>
                      <c:pt idx="142">
                        <c:v>-3.2062723714272323E-3</c:v>
                      </c:pt>
                      <c:pt idx="143">
                        <c:v>-3.0296923714256963E-3</c:v>
                      </c:pt>
                      <c:pt idx="144">
                        <c:v>-2.9806423714262564E-3</c:v>
                      </c:pt>
                      <c:pt idx="145">
                        <c:v>-2.9806423714262564E-3</c:v>
                      </c:pt>
                      <c:pt idx="146">
                        <c:v>8.2621417628573113E-2</c:v>
                      </c:pt>
                      <c:pt idx="147">
                        <c:v>7.4547787628574724E-2</c:v>
                      </c:pt>
                      <c:pt idx="148">
                        <c:v>-1.0897312371426437E-2</c:v>
                      </c:pt>
                      <c:pt idx="149">
                        <c:v>-1.2050323714252187E-3</c:v>
                      </c:pt>
                      <c:pt idx="150">
                        <c:v>-3.5589082371426883E-2</c:v>
                      </c:pt>
                      <c:pt idx="151">
                        <c:v>-5.3688532371426234E-2</c:v>
                      </c:pt>
                      <c:pt idx="152">
                        <c:v>-2.1521542371427671E-2</c:v>
                      </c:pt>
                      <c:pt idx="153">
                        <c:v>-2.6863423714260648E-3</c:v>
                      </c:pt>
                      <c:pt idx="154">
                        <c:v>-2.4901423714265292E-3</c:v>
                      </c:pt>
                      <c:pt idx="155">
                        <c:v>-6.0707923714264922E-3</c:v>
                      </c:pt>
                      <c:pt idx="156">
                        <c:v>3.5778667628573402E-2</c:v>
                      </c:pt>
                      <c:pt idx="157">
                        <c:v>1.0537537628573901E-2</c:v>
                      </c:pt>
                      <c:pt idx="158">
                        <c:v>-1.9113523714260339E-3</c:v>
                      </c:pt>
                      <c:pt idx="159">
                        <c:v>-6.2866123714258038E-3</c:v>
                      </c:pt>
                      <c:pt idx="160">
                        <c:v>-5.4561622371426921E-2</c:v>
                      </c:pt>
                      <c:pt idx="161">
                        <c:v>4.631917628573845E-3</c:v>
                      </c:pt>
                      <c:pt idx="162">
                        <c:v>-1.6562923714253941E-3</c:v>
                      </c:pt>
                      <c:pt idx="163">
                        <c:v>-4.7660623714271821E-3</c:v>
                      </c:pt>
                      <c:pt idx="164">
                        <c:v>-4.4966237142674004E-4</c:v>
                      </c:pt>
                      <c:pt idx="165">
                        <c:v>-3.4122823714266559E-3</c:v>
                      </c:pt>
                      <c:pt idx="166">
                        <c:v>-2.9119723714270407E-3</c:v>
                      </c:pt>
                      <c:pt idx="167">
                        <c:v>-2.8138723714263847E-3</c:v>
                      </c:pt>
                      <c:pt idx="168">
                        <c:v>-2.9414023714267046E-3</c:v>
                      </c:pt>
                      <c:pt idx="169">
                        <c:v>-2.9806423714262564E-3</c:v>
                      </c:pt>
                      <c:pt idx="170">
                        <c:v>-2.9708323714263685E-3</c:v>
                      </c:pt>
                      <c:pt idx="171">
                        <c:v>-2.9610223714264805E-3</c:v>
                      </c:pt>
                      <c:pt idx="172">
                        <c:v>-2.9610223714264805E-3</c:v>
                      </c:pt>
                      <c:pt idx="173">
                        <c:v>-2.9806423714262564E-3</c:v>
                      </c:pt>
                      <c:pt idx="174">
                        <c:v>-2.9610223714264805E-3</c:v>
                      </c:pt>
                      <c:pt idx="175">
                        <c:v>-2.9806423714262564E-3</c:v>
                      </c:pt>
                      <c:pt idx="176">
                        <c:v>-2.9512123714265925E-3</c:v>
                      </c:pt>
                      <c:pt idx="177">
                        <c:v>-2.9610223714264805E-3</c:v>
                      </c:pt>
                      <c:pt idx="178">
                        <c:v>-2.9610223714264805E-3</c:v>
                      </c:pt>
                      <c:pt idx="179">
                        <c:v>-2.9610223714264805E-3</c:v>
                      </c:pt>
                      <c:pt idx="180">
                        <c:v>-2.9414023714267046E-3</c:v>
                      </c:pt>
                      <c:pt idx="181">
                        <c:v>-2.9806423714262564E-3</c:v>
                      </c:pt>
                      <c:pt idx="182">
                        <c:v>-5.7470623714266367E-3</c:v>
                      </c:pt>
                      <c:pt idx="183">
                        <c:v>-6.3454723714269079E-3</c:v>
                      </c:pt>
                      <c:pt idx="184">
                        <c:v>-4.1186023714256947E-3</c:v>
                      </c:pt>
                      <c:pt idx="185">
                        <c:v>-2.4410923714270893E-3</c:v>
                      </c:pt>
                      <c:pt idx="186">
                        <c:v>-2.8138723714263847E-3</c:v>
                      </c:pt>
                      <c:pt idx="187">
                        <c:v>-2.8825423714273768E-3</c:v>
                      </c:pt>
                      <c:pt idx="188">
                        <c:v>-1.8804172371426731E-2</c:v>
                      </c:pt>
                      <c:pt idx="189">
                        <c:v>-9.0417172371425991E-2</c:v>
                      </c:pt>
                      <c:pt idx="190">
                        <c:v>-4.9205362371427697E-2</c:v>
                      </c:pt>
                      <c:pt idx="191">
                        <c:v>-1.1456482371427157E-2</c:v>
                      </c:pt>
                      <c:pt idx="192">
                        <c:v>-5.8004932371426676E-2</c:v>
                      </c:pt>
                      <c:pt idx="193">
                        <c:v>3.788257628572822E-3</c:v>
                      </c:pt>
                      <c:pt idx="194">
                        <c:v>-8.9745523714270803E-3</c:v>
                      </c:pt>
                      <c:pt idx="195">
                        <c:v>-3.8046823714275035E-3</c:v>
                      </c:pt>
                      <c:pt idx="196">
                        <c:v>-2.7746323714268328E-3</c:v>
                      </c:pt>
                      <c:pt idx="197">
                        <c:v>-2.9806423714262564E-3</c:v>
                      </c:pt>
                      <c:pt idx="198">
                        <c:v>-2.8433023714260486E-3</c:v>
                      </c:pt>
                      <c:pt idx="199">
                        <c:v>-2.8531123714277129E-3</c:v>
                      </c:pt>
                      <c:pt idx="200">
                        <c:v>-2.9512123714265925E-3</c:v>
                      </c:pt>
                      <c:pt idx="201">
                        <c:v>-2.9904523714261444E-3</c:v>
                      </c:pt>
                      <c:pt idx="202">
                        <c:v>-2.9806423714262564E-3</c:v>
                      </c:pt>
                      <c:pt idx="203">
                        <c:v>-2.9512123714265925E-3</c:v>
                      </c:pt>
                      <c:pt idx="204">
                        <c:v>-2.9708323714263685E-3</c:v>
                      </c:pt>
                      <c:pt idx="205">
                        <c:v>-2.9708323714263685E-3</c:v>
                      </c:pt>
                      <c:pt idx="206">
                        <c:v>-2.9806423714262564E-3</c:v>
                      </c:pt>
                      <c:pt idx="207">
                        <c:v>-4.9916923714263817E-3</c:v>
                      </c:pt>
                      <c:pt idx="208">
                        <c:v>-2.2252723714260014E-3</c:v>
                      </c:pt>
                      <c:pt idx="209">
                        <c:v>-3.1376023714262402E-3</c:v>
                      </c:pt>
                      <c:pt idx="210">
                        <c:v>-7.2062662371426001E-2</c:v>
                      </c:pt>
                      <c:pt idx="211">
                        <c:v>-7.5398062371426988E-2</c:v>
                      </c:pt>
                      <c:pt idx="212">
                        <c:v>-1.3457722371425618E-2</c:v>
                      </c:pt>
                      <c:pt idx="213">
                        <c:v>-1.1672302371426468E-2</c:v>
                      </c:pt>
                      <c:pt idx="214">
                        <c:v>-6.2571823714261399E-3</c:v>
                      </c:pt>
                      <c:pt idx="215">
                        <c:v>-1.9407823714256978E-3</c:v>
                      </c:pt>
                      <c:pt idx="216">
                        <c:v>-3.5201923714271999E-3</c:v>
                      </c:pt>
                      <c:pt idx="217">
                        <c:v>-3.6575323714274077E-3</c:v>
                      </c:pt>
                      <c:pt idx="218">
                        <c:v>-4.8837823714258377E-3</c:v>
                      </c:pt>
                      <c:pt idx="219">
                        <c:v>-4.2363223714261267E-3</c:v>
                      </c:pt>
                      <c:pt idx="220">
                        <c:v>-7.257278237142728E-2</c:v>
                      </c:pt>
                      <c:pt idx="221">
                        <c:v>-6.0741922371427393E-2</c:v>
                      </c:pt>
                      <c:pt idx="222">
                        <c:v>7.0059376285733777E-3</c:v>
                      </c:pt>
                      <c:pt idx="223">
                        <c:v>-9.5729623714255752E-3</c:v>
                      </c:pt>
                      <c:pt idx="224">
                        <c:v>-4.795492371426846E-3</c:v>
                      </c:pt>
                      <c:pt idx="225">
                        <c:v>-2.9708323714263685E-3</c:v>
                      </c:pt>
                      <c:pt idx="226">
                        <c:v>-5.9628823714259482E-3</c:v>
                      </c:pt>
                      <c:pt idx="227">
                        <c:v>-5.560672371426989E-3</c:v>
                      </c:pt>
                      <c:pt idx="228">
                        <c:v>-5.658772371427645E-3</c:v>
                      </c:pt>
                      <c:pt idx="229">
                        <c:v>-4.5992923714273104E-3</c:v>
                      </c:pt>
                      <c:pt idx="230">
                        <c:v>-2.7452023714271689E-3</c:v>
                      </c:pt>
                      <c:pt idx="231">
                        <c:v>-1.810766237142758E-2</c:v>
                      </c:pt>
                      <c:pt idx="232">
                        <c:v>-1.8097852371425915E-2</c:v>
                      </c:pt>
                      <c:pt idx="233">
                        <c:v>6.1034176285748032E-3</c:v>
                      </c:pt>
                      <c:pt idx="234">
                        <c:v>-3.2213237142642015E-4</c:v>
                      </c:pt>
                      <c:pt idx="235">
                        <c:v>-4.2068923714264628E-3</c:v>
                      </c:pt>
                      <c:pt idx="236">
                        <c:v>-1.4993323714271867E-3</c:v>
                      </c:pt>
                      <c:pt idx="237">
                        <c:v>-2.5686223714274092E-3</c:v>
                      </c:pt>
                      <c:pt idx="238">
                        <c:v>-3.1277923714263522E-3</c:v>
                      </c:pt>
                      <c:pt idx="239">
                        <c:v>-2.8433023714260486E-3</c:v>
                      </c:pt>
                      <c:pt idx="240">
                        <c:v>-1.7151523714264982E-3</c:v>
                      </c:pt>
                      <c:pt idx="241">
                        <c:v>-1.0480723714252349E-3</c:v>
                      </c:pt>
                      <c:pt idx="242">
                        <c:v>-2.8825423714273768E-3</c:v>
                      </c:pt>
                      <c:pt idx="243">
                        <c:v>-3.2258923714270082E-3</c:v>
                      </c:pt>
                      <c:pt idx="244">
                        <c:v>-2.3331823714265454E-3</c:v>
                      </c:pt>
                      <c:pt idx="245">
                        <c:v>-1.8382342371426219E-2</c:v>
                      </c:pt>
                      <c:pt idx="246">
                        <c:v>6.6625876285737462E-3</c:v>
                      </c:pt>
                      <c:pt idx="247">
                        <c:v>5.9381527628573849E-2</c:v>
                      </c:pt>
                      <c:pt idx="248">
                        <c:v>5.746857762857438E-2</c:v>
                      </c:pt>
                      <c:pt idx="249">
                        <c:v>-1.3859932371426353E-2</c:v>
                      </c:pt>
                      <c:pt idx="250">
                        <c:v>-1.7445823714279385E-3</c:v>
                      </c:pt>
                      <c:pt idx="251">
                        <c:v>-6.5567237142793999E-4</c:v>
                      </c:pt>
                      <c:pt idx="252">
                        <c:v>3.1027628573099264E-5</c:v>
                      </c:pt>
                      <c:pt idx="253">
                        <c:v>-2.058502371427906E-3</c:v>
                      </c:pt>
                      <c:pt idx="254">
                        <c:v>-3.4613323714278721E-3</c:v>
                      </c:pt>
                      <c:pt idx="255">
                        <c:v>-2.9904523714261444E-3</c:v>
                      </c:pt>
                      <c:pt idx="256">
                        <c:v>1.3617877628572472E-2</c:v>
                      </c:pt>
                      <c:pt idx="257">
                        <c:v>8.8890007628572576E-2</c:v>
                      </c:pt>
                      <c:pt idx="258">
                        <c:v>-1.3379242371426514E-2</c:v>
                      </c:pt>
                      <c:pt idx="259">
                        <c:v>-3.6084823714261915E-3</c:v>
                      </c:pt>
                      <c:pt idx="260">
                        <c:v>-8.8175923714270965E-3</c:v>
                      </c:pt>
                      <c:pt idx="261">
                        <c:v>-4.4619523714253262E-3</c:v>
                      </c:pt>
                      <c:pt idx="262">
                        <c:v>-3.9322123714260471E-3</c:v>
                      </c:pt>
                      <c:pt idx="263">
                        <c:v>-4.1004202371427212E-2</c:v>
                      </c:pt>
                      <c:pt idx="264">
                        <c:v>2.3167576285736402E-3</c:v>
                      </c:pt>
                      <c:pt idx="265">
                        <c:v>5.2152762857460289E-4</c:v>
                      </c:pt>
                      <c:pt idx="266">
                        <c:v>-5.5116223714257728E-3</c:v>
                      </c:pt>
                      <c:pt idx="267">
                        <c:v>-4.7072023714278544E-3</c:v>
                      </c:pt>
                      <c:pt idx="268">
                        <c:v>-4.61891237142531E-3</c:v>
                      </c:pt>
                      <c:pt idx="269">
                        <c:v>-4.0303123714267031E-3</c:v>
                      </c:pt>
                      <c:pt idx="270">
                        <c:v>-2.227691237142615E-2</c:v>
                      </c:pt>
                      <c:pt idx="271">
                        <c:v>7.290427628571905E-3</c:v>
                      </c:pt>
                      <c:pt idx="272">
                        <c:v>-2.529382371426081E-3</c:v>
                      </c:pt>
                      <c:pt idx="273">
                        <c:v>-7.2185623714275948E-3</c:v>
                      </c:pt>
                      <c:pt idx="274">
                        <c:v>1.1008417628573852E-2</c:v>
                      </c:pt>
                      <c:pt idx="275">
                        <c:v>1.6050757628573109E-2</c:v>
                      </c:pt>
                      <c:pt idx="276">
                        <c:v>2.8857376285724712E-3</c:v>
                      </c:pt>
                      <c:pt idx="277">
                        <c:v>-9.7299223714255589E-3</c:v>
                      </c:pt>
                      <c:pt idx="278">
                        <c:v>6.3109327628573908E-2</c:v>
                      </c:pt>
                      <c:pt idx="279">
                        <c:v>7.8981907628573822E-2</c:v>
                      </c:pt>
                      <c:pt idx="280">
                        <c:v>-7.8464023714257536E-3</c:v>
                      </c:pt>
                      <c:pt idx="281">
                        <c:v>-6.021742371425276E-3</c:v>
                      </c:pt>
                      <c:pt idx="282">
                        <c:v>4.9463617628573431E-2</c:v>
                      </c:pt>
                      <c:pt idx="283">
                        <c:v>4.4970637628575005E-2</c:v>
                      </c:pt>
                      <c:pt idx="284">
                        <c:v>2.7483976285740397E-3</c:v>
                      </c:pt>
                      <c:pt idx="285">
                        <c:v>-4.7562523714272942E-3</c:v>
                      </c:pt>
                      <c:pt idx="286">
                        <c:v>-6.4926223714270037E-3</c:v>
                      </c:pt>
                      <c:pt idx="287">
                        <c:v>-5.7372523714267487E-3</c:v>
                      </c:pt>
                      <c:pt idx="288">
                        <c:v>-5.4821923714261089E-3</c:v>
                      </c:pt>
                      <c:pt idx="289">
                        <c:v>-5.0211223714278219E-3</c:v>
                      </c:pt>
                      <c:pt idx="290">
                        <c:v>9.733117628574206E-3</c:v>
                      </c:pt>
                      <c:pt idx="291">
                        <c:v>1.2685927628572458E-2</c:v>
                      </c:pt>
                      <c:pt idx="292">
                        <c:v>-6.2473723714262519E-3</c:v>
                      </c:pt>
                      <c:pt idx="293">
                        <c:v>2.3461876285733041E-3</c:v>
                      </c:pt>
                      <c:pt idx="294">
                        <c:v>-7.6894423714257698E-3</c:v>
                      </c:pt>
                      <c:pt idx="295">
                        <c:v>-5.3742823714273413E-3</c:v>
                      </c:pt>
                      <c:pt idx="296">
                        <c:v>-4.0303123714267031E-3</c:v>
                      </c:pt>
                      <c:pt idx="297">
                        <c:v>-2.4856942371426882E-2</c:v>
                      </c:pt>
                      <c:pt idx="298">
                        <c:v>3.327187628574535E-3</c:v>
                      </c:pt>
                      <c:pt idx="299">
                        <c:v>-1.1603632371425476E-2</c:v>
                      </c:pt>
                      <c:pt idx="300">
                        <c:v>-1.322752371427427E-3</c:v>
                      </c:pt>
                      <c:pt idx="301">
                        <c:v>-3.4613323714278721E-3</c:v>
                      </c:pt>
                      <c:pt idx="302">
                        <c:v>-4.0891723714260308E-3</c:v>
                      </c:pt>
                      <c:pt idx="303">
                        <c:v>-6.0511723714249399E-3</c:v>
                      </c:pt>
                      <c:pt idx="304">
                        <c:v>-5.6391523714260927E-3</c:v>
                      </c:pt>
                      <c:pt idx="305">
                        <c:v>-4.6581523714266382E-3</c:v>
                      </c:pt>
                      <c:pt idx="306">
                        <c:v>-3.1277923714263522E-3</c:v>
                      </c:pt>
                      <c:pt idx="307">
                        <c:v>-6.4828123714271157E-3</c:v>
                      </c:pt>
                      <c:pt idx="308">
                        <c:v>-5.7863023714261885E-3</c:v>
                      </c:pt>
                      <c:pt idx="309">
                        <c:v>-5.8255423714275167E-3</c:v>
                      </c:pt>
                      <c:pt idx="310">
                        <c:v>-5.9432623714261723E-3</c:v>
                      </c:pt>
                      <c:pt idx="311">
                        <c:v>-2.1237052371427367E-2</c:v>
                      </c:pt>
                      <c:pt idx="312">
                        <c:v>-9.6489562371425919E-2</c:v>
                      </c:pt>
                      <c:pt idx="313">
                        <c:v>-5.2334752371427484E-2</c:v>
                      </c:pt>
                      <c:pt idx="314">
                        <c:v>4.1806576285736696E-3</c:v>
                      </c:pt>
                      <c:pt idx="315">
                        <c:v>2.6646762857218675E-4</c:v>
                      </c:pt>
                      <c:pt idx="316">
                        <c:v>-2.7746323714268328E-3</c:v>
                      </c:pt>
                      <c:pt idx="317">
                        <c:v>1.6502017628573284E-2</c:v>
                      </c:pt>
                      <c:pt idx="318">
                        <c:v>3.1113676285734471E-3</c:v>
                      </c:pt>
                      <c:pt idx="319">
                        <c:v>-2.6073382371427201E-2</c:v>
                      </c:pt>
                      <c:pt idx="320">
                        <c:v>3.1015576285735591E-3</c:v>
                      </c:pt>
                      <c:pt idx="321">
                        <c:v>3.6456762857284275E-4</c:v>
                      </c:pt>
                      <c:pt idx="322">
                        <c:v>-6.9536923714270671E-3</c:v>
                      </c:pt>
                      <c:pt idx="323">
                        <c:v>-2.2841323714271056E-3</c:v>
                      </c:pt>
                      <c:pt idx="324">
                        <c:v>6.2569777628572965E-2</c:v>
                      </c:pt>
                      <c:pt idx="325">
                        <c:v>-1.1657923714274432E-3</c:v>
                      </c:pt>
                      <c:pt idx="326">
                        <c:v>-2.8334923714261606E-3</c:v>
                      </c:pt>
                      <c:pt idx="327">
                        <c:v>-9.15113237142684E-3</c:v>
                      </c:pt>
                      <c:pt idx="328">
                        <c:v>-5.0505523714274858E-3</c:v>
                      </c:pt>
                      <c:pt idx="329">
                        <c:v>-7.2283723714274828E-3</c:v>
                      </c:pt>
                      <c:pt idx="330">
                        <c:v>-5.354662371425789E-3</c:v>
                      </c:pt>
                      <c:pt idx="331">
                        <c:v>1.2048277628572635E-2</c:v>
                      </c:pt>
                      <c:pt idx="332">
                        <c:v>7.3734762857391445E-4</c:v>
                      </c:pt>
                      <c:pt idx="333">
                        <c:v>-2.2316152371427478E-2</c:v>
                      </c:pt>
                      <c:pt idx="334">
                        <c:v>-1.0936552371425989E-2</c:v>
                      </c:pt>
                      <c:pt idx="335">
                        <c:v>-3.0983623714266884E-3</c:v>
                      </c:pt>
                      <c:pt idx="336">
                        <c:v>-5.3154223714280135E-3</c:v>
                      </c:pt>
                      <c:pt idx="337">
                        <c:v>-5.4331423714266691E-3</c:v>
                      </c:pt>
                      <c:pt idx="338">
                        <c:v>-2.3233723714266574E-3</c:v>
                      </c:pt>
                      <c:pt idx="339">
                        <c:v>-2.9414023714267046E-3</c:v>
                      </c:pt>
                      <c:pt idx="340">
                        <c:v>-2.9806423714262564E-3</c:v>
                      </c:pt>
                      <c:pt idx="341">
                        <c:v>-2.9610223714264805E-3</c:v>
                      </c:pt>
                      <c:pt idx="342">
                        <c:v>-3.5692423714266397E-3</c:v>
                      </c:pt>
                      <c:pt idx="343">
                        <c:v>-3.7752523714260633E-3</c:v>
                      </c:pt>
                      <c:pt idx="344">
                        <c:v>-3.1376023714262402E-3</c:v>
                      </c:pt>
                      <c:pt idx="345">
                        <c:v>-2.7353923714255046E-3</c:v>
                      </c:pt>
                      <c:pt idx="346">
                        <c:v>3.1844857628573919E-2</c:v>
                      </c:pt>
                      <c:pt idx="347">
                        <c:v>6.9485827628572139E-2</c:v>
                      </c:pt>
                      <c:pt idx="348">
                        <c:v>7.8677797628573742E-2</c:v>
                      </c:pt>
                      <c:pt idx="349">
                        <c:v>7.2281677628573959E-2</c:v>
                      </c:pt>
                      <c:pt idx="350">
                        <c:v>-1.2878932371425122E-2</c:v>
                      </c:pt>
                      <c:pt idx="351">
                        <c:v>-2.2056523714262255E-3</c:v>
                      </c:pt>
                      <c:pt idx="352">
                        <c:v>-5.6980123714271969E-3</c:v>
                      </c:pt>
                      <c:pt idx="353">
                        <c:v>-5.570482371426877E-3</c:v>
                      </c:pt>
                      <c:pt idx="354">
                        <c:v>-6.2081323714267E-3</c:v>
                      </c:pt>
                      <c:pt idx="355">
                        <c:v>-5.9923123714256121E-3</c:v>
                      </c:pt>
                      <c:pt idx="356">
                        <c:v>-5.8451623714272927E-3</c:v>
                      </c:pt>
                      <c:pt idx="357">
                        <c:v>-5.9236423714281727E-3</c:v>
                      </c:pt>
                      <c:pt idx="358">
                        <c:v>-2.7353923714255046E-3</c:v>
                      </c:pt>
                      <c:pt idx="359">
                        <c:v>1.2342577628572826E-2</c:v>
                      </c:pt>
                      <c:pt idx="360">
                        <c:v>8.1964147628573514E-2</c:v>
                      </c:pt>
                      <c:pt idx="361">
                        <c:v>7.0996567628572649E-2</c:v>
                      </c:pt>
                      <c:pt idx="362">
                        <c:v>6.0347476285738111E-3</c:v>
                      </c:pt>
                      <c:pt idx="363">
                        <c:v>5.0046976285731404E-3</c:v>
                      </c:pt>
                      <c:pt idx="364">
                        <c:v>1.1518537628573355E-2</c:v>
                      </c:pt>
                      <c:pt idx="365">
                        <c:v>1.7806747628574371E-2</c:v>
                      </c:pt>
                      <c:pt idx="366">
                        <c:v>2.9347876285736874E-3</c:v>
                      </c:pt>
                      <c:pt idx="367">
                        <c:v>-6.7673023714256431E-3</c:v>
                      </c:pt>
                      <c:pt idx="368">
                        <c:v>-7.169512371428155E-3</c:v>
                      </c:pt>
                      <c:pt idx="369">
                        <c:v>-8.5723423714281211E-3</c:v>
                      </c:pt>
                      <c:pt idx="370">
                        <c:v>-5.6293423714279811E-3</c:v>
                      </c:pt>
                      <c:pt idx="371">
                        <c:v>-6.2081323714267E-3</c:v>
                      </c:pt>
                      <c:pt idx="372">
                        <c:v>-3.2062723714272323E-3</c:v>
                      </c:pt>
                      <c:pt idx="373">
                        <c:v>-2.7550123714270569E-3</c:v>
                      </c:pt>
                      <c:pt idx="374">
                        <c:v>-4.2951823714272308E-3</c:v>
                      </c:pt>
                      <c:pt idx="375">
                        <c:v>-6.1002223714261561E-3</c:v>
                      </c:pt>
                      <c:pt idx="376">
                        <c:v>-6.0904123714262681E-3</c:v>
                      </c:pt>
                      <c:pt idx="377">
                        <c:v>2.8411357628572276E-2</c:v>
                      </c:pt>
                      <c:pt idx="378">
                        <c:v>-6.4435723714257875E-3</c:v>
                      </c:pt>
                      <c:pt idx="379">
                        <c:v>-1.3369432371426626E-2</c:v>
                      </c:pt>
                      <c:pt idx="380">
                        <c:v>-2.8928092371424796E-2</c:v>
                      </c:pt>
                      <c:pt idx="381">
                        <c:v>-1.0338142371425718E-2</c:v>
                      </c:pt>
                      <c:pt idx="382">
                        <c:v>-2.0462062371427336E-2</c:v>
                      </c:pt>
                      <c:pt idx="383">
                        <c:v>-6.1919122371426383E-2</c:v>
                      </c:pt>
                      <c:pt idx="384">
                        <c:v>2.7287776285724874E-3</c:v>
                      </c:pt>
                      <c:pt idx="385">
                        <c:v>-1.3423723714272029E-3</c:v>
                      </c:pt>
                      <c:pt idx="386">
                        <c:v>-7.071412371427499E-3</c:v>
                      </c:pt>
                      <c:pt idx="387">
                        <c:v>-5.7961123714278528E-3</c:v>
                      </c:pt>
                      <c:pt idx="388">
                        <c:v>-6.0609823714266042E-3</c:v>
                      </c:pt>
                      <c:pt idx="389">
                        <c:v>-5.8353523714256283E-3</c:v>
                      </c:pt>
                      <c:pt idx="390">
                        <c:v>-5.8844023714268445E-3</c:v>
                      </c:pt>
                      <c:pt idx="391">
                        <c:v>-5.8451623714272927E-3</c:v>
                      </c:pt>
                      <c:pt idx="392">
                        <c:v>-5.9432623714261723E-3</c:v>
                      </c:pt>
                      <c:pt idx="393">
                        <c:v>-4.6483423714249739E-3</c:v>
                      </c:pt>
                      <c:pt idx="394">
                        <c:v>-3.4515223714262078E-3</c:v>
                      </c:pt>
                      <c:pt idx="395">
                        <c:v>-2.5391923714277453E-3</c:v>
                      </c:pt>
                      <c:pt idx="396">
                        <c:v>-2.8825423714273768E-3</c:v>
                      </c:pt>
                      <c:pt idx="397">
                        <c:v>-6.0904123714262681E-3</c:v>
                      </c:pt>
                      <c:pt idx="398">
                        <c:v>-5.1977023714258053E-3</c:v>
                      </c:pt>
                      <c:pt idx="399">
                        <c:v>-2.4018523714275375E-3</c:v>
                      </c:pt>
                      <c:pt idx="400">
                        <c:v>-6.1983223714268121E-3</c:v>
                      </c:pt>
                      <c:pt idx="401">
                        <c:v>-7.0419823714260588E-3</c:v>
                      </c:pt>
                      <c:pt idx="402">
                        <c:v>-6.0806023714281565E-3</c:v>
                      </c:pt>
                      <c:pt idx="403">
                        <c:v>-8.6802523714268887E-3</c:v>
                      </c:pt>
                      <c:pt idx="404">
                        <c:v>-8.8764523714264243E-3</c:v>
                      </c:pt>
                      <c:pt idx="405">
                        <c:v>-7.4049523714272425E-3</c:v>
                      </c:pt>
                      <c:pt idx="406">
                        <c:v>-5.3350423714260131E-3</c:v>
                      </c:pt>
                      <c:pt idx="407">
                        <c:v>-2.368955237142778E-2</c:v>
                      </c:pt>
                      <c:pt idx="408">
                        <c:v>-5.9908072371426258E-2</c:v>
                      </c:pt>
                      <c:pt idx="409">
                        <c:v>1.1787976285742019E-3</c:v>
                      </c:pt>
                      <c:pt idx="410">
                        <c:v>1.193176285738673E-4</c:v>
                      </c:pt>
                      <c:pt idx="411">
                        <c:v>-3.9322123714260471E-3</c:v>
                      </c:pt>
                      <c:pt idx="412">
                        <c:v>-4.7758723714252937E-3</c:v>
                      </c:pt>
                      <c:pt idx="413">
                        <c:v>-2.7844423714267208E-3</c:v>
                      </c:pt>
                      <c:pt idx="414">
                        <c:v>-3.2258923714270082E-3</c:v>
                      </c:pt>
                      <c:pt idx="415">
                        <c:v>-4.8249223714265099E-3</c:v>
                      </c:pt>
                      <c:pt idx="416">
                        <c:v>-4.6091023714271984E-3</c:v>
                      </c:pt>
                      <c:pt idx="417">
                        <c:v>-1.7842792371427052E-2</c:v>
                      </c:pt>
                      <c:pt idx="418">
                        <c:v>-7.7409112371427113E-2</c:v>
                      </c:pt>
                      <c:pt idx="419">
                        <c:v>-2.9806423714262564E-3</c:v>
                      </c:pt>
                      <c:pt idx="420">
                        <c:v>9.825976285728899E-4</c:v>
                      </c:pt>
                      <c:pt idx="421">
                        <c:v>5.454519762857224E-2</c:v>
                      </c:pt>
                      <c:pt idx="422">
                        <c:v>-1.3261522371427859E-2</c:v>
                      </c:pt>
                      <c:pt idx="423">
                        <c:v>-2.2350823714258894E-3</c:v>
                      </c:pt>
                      <c:pt idx="424">
                        <c:v>-3.530459237142658E-2</c:v>
                      </c:pt>
                      <c:pt idx="425">
                        <c:v>-1.772507237142662E-2</c:v>
                      </c:pt>
                      <c:pt idx="426">
                        <c:v>-2.7093622371426207E-2</c:v>
                      </c:pt>
                      <c:pt idx="427">
                        <c:v>-3.4220923714265439E-3</c:v>
                      </c:pt>
                      <c:pt idx="428">
                        <c:v>-2.2453492371427686E-2</c:v>
                      </c:pt>
                      <c:pt idx="429">
                        <c:v>-6.1781782371426175E-2</c:v>
                      </c:pt>
                      <c:pt idx="430">
                        <c:v>4.3572376285734293E-3</c:v>
                      </c:pt>
                      <c:pt idx="431">
                        <c:v>-4.4227123714275507E-3</c:v>
                      </c:pt>
                      <c:pt idx="432">
                        <c:v>-5.1780823714260293E-3</c:v>
                      </c:pt>
                      <c:pt idx="433">
                        <c:v>-4.049932371426479E-3</c:v>
                      </c:pt>
                      <c:pt idx="434">
                        <c:v>-5.5410523714254367E-3</c:v>
                      </c:pt>
                      <c:pt idx="435">
                        <c:v>-5.3840923714254529E-3</c:v>
                      </c:pt>
                      <c:pt idx="436">
                        <c:v>-5.9726923714258362E-3</c:v>
                      </c:pt>
                      <c:pt idx="437">
                        <c:v>-5.8844023714268445E-3</c:v>
                      </c:pt>
                      <c:pt idx="438">
                        <c:v>-5.9236423714281727E-3</c:v>
                      </c:pt>
                      <c:pt idx="439">
                        <c:v>-5.2369423714271335E-3</c:v>
                      </c:pt>
                      <c:pt idx="440">
                        <c:v>-4.893592371427502E-3</c:v>
                      </c:pt>
                      <c:pt idx="441">
                        <c:v>-2.3822323714277616E-3</c:v>
                      </c:pt>
                      <c:pt idx="442">
                        <c:v>-3.39266237142688E-3</c:v>
                      </c:pt>
                      <c:pt idx="443">
                        <c:v>-6.4141423714261236E-3</c:v>
                      </c:pt>
                      <c:pt idx="444">
                        <c:v>-5.7568723714265246E-3</c:v>
                      </c:pt>
                      <c:pt idx="445">
                        <c:v>-5.8745923714269566E-3</c:v>
                      </c:pt>
                      <c:pt idx="446">
                        <c:v>-4.5404323714262063E-3</c:v>
                      </c:pt>
                      <c:pt idx="447">
                        <c:v>-5.3448523714276774E-3</c:v>
                      </c:pt>
                      <c:pt idx="448">
                        <c:v>-6.1590823714272602E-3</c:v>
                      </c:pt>
                      <c:pt idx="449">
                        <c:v>-2.7746323714268328E-3</c:v>
                      </c:pt>
                      <c:pt idx="450">
                        <c:v>-3.0493123714272485E-3</c:v>
                      </c:pt>
                      <c:pt idx="451">
                        <c:v>-2.9021623714271527E-3</c:v>
                      </c:pt>
                      <c:pt idx="452">
                        <c:v>-2.8923523714254884E-3</c:v>
                      </c:pt>
                      <c:pt idx="453">
                        <c:v>-3.5201923714271999E-3</c:v>
                      </c:pt>
                      <c:pt idx="454">
                        <c:v>-5.7372523714267487E-3</c:v>
                      </c:pt>
                      <c:pt idx="455">
                        <c:v>-6.3749023714265718E-3</c:v>
                      </c:pt>
                      <c:pt idx="456">
                        <c:v>-5.9432623714261723E-3</c:v>
                      </c:pt>
                      <c:pt idx="457">
                        <c:v>-5.1094123714268136E-3</c:v>
                      </c:pt>
                      <c:pt idx="458">
                        <c:v>-5.6195323714263168E-3</c:v>
                      </c:pt>
                      <c:pt idx="459">
                        <c:v>-6.0021223714272764E-3</c:v>
                      </c:pt>
                      <c:pt idx="460">
                        <c:v>-5.8549723714271806E-3</c:v>
                      </c:pt>
                      <c:pt idx="461">
                        <c:v>-5.9825023714275005E-3</c:v>
                      </c:pt>
                      <c:pt idx="462">
                        <c:v>-5.9236423714281727E-3</c:v>
                      </c:pt>
                      <c:pt idx="463">
                        <c:v>-5.9040223714266205E-3</c:v>
                      </c:pt>
                      <c:pt idx="464">
                        <c:v>-5.2958023714264613E-3</c:v>
                      </c:pt>
                      <c:pt idx="465">
                        <c:v>-5.668582371427533E-3</c:v>
                      </c:pt>
                      <c:pt idx="466">
                        <c:v>-5.4331423714266691E-3</c:v>
                      </c:pt>
                      <c:pt idx="467">
                        <c:v>-2.5490023714258569E-3</c:v>
                      </c:pt>
                      <c:pt idx="468">
                        <c:v>-3.0395023714273606E-3</c:v>
                      </c:pt>
                      <c:pt idx="469">
                        <c:v>-6.1787023714252598E-3</c:v>
                      </c:pt>
                      <c:pt idx="470">
                        <c:v>-3.1277923714263522E-3</c:v>
                      </c:pt>
                      <c:pt idx="471">
                        <c:v>-3.7752523714260633E-3</c:v>
                      </c:pt>
                      <c:pt idx="472">
                        <c:v>-6.2081323714267E-3</c:v>
                      </c:pt>
                      <c:pt idx="473">
                        <c:v>1.3882747628573E-2</c:v>
                      </c:pt>
                      <c:pt idx="474">
                        <c:v>4.086024762857221E-2</c:v>
                      </c:pt>
                      <c:pt idx="475">
                        <c:v>-9.3179023714267117E-3</c:v>
                      </c:pt>
                      <c:pt idx="476">
                        <c:v>-8.6168237142558723E-4</c:v>
                      </c:pt>
                      <c:pt idx="477">
                        <c:v>-4.1382223714254707E-3</c:v>
                      </c:pt>
                      <c:pt idx="478">
                        <c:v>-6.227752371426476E-3</c:v>
                      </c:pt>
                      <c:pt idx="479">
                        <c:v>-4.0239022371427069E-2</c:v>
                      </c:pt>
                      <c:pt idx="480">
                        <c:v>2.463907628573736E-3</c:v>
                      </c:pt>
                      <c:pt idx="481">
                        <c:v>6.8829762857269827E-4</c:v>
                      </c:pt>
                      <c:pt idx="482">
                        <c:v>-5.9628823714259482E-3</c:v>
                      </c:pt>
                      <c:pt idx="483">
                        <c:v>-4.717012371425966E-3</c:v>
                      </c:pt>
                      <c:pt idx="484">
                        <c:v>-9.1437412371426774E-2</c:v>
                      </c:pt>
                      <c:pt idx="485">
                        <c:v>4.7986876285719404E-3</c:v>
                      </c:pt>
                      <c:pt idx="486">
                        <c:v>-7.9052623714250814E-3</c:v>
                      </c:pt>
                      <c:pt idx="487">
                        <c:v>-6.1492723714255959E-3</c:v>
                      </c:pt>
                      <c:pt idx="488">
                        <c:v>1.3559017628573145E-2</c:v>
                      </c:pt>
                      <c:pt idx="489">
                        <c:v>5.8287376285726111E-3</c:v>
                      </c:pt>
                      <c:pt idx="490">
                        <c:v>1.0351147628572477E-2</c:v>
                      </c:pt>
                      <c:pt idx="491">
                        <c:v>-1.4012323714265307E-3</c:v>
                      </c:pt>
                      <c:pt idx="492">
                        <c:v>8.8546657628572945E-2</c:v>
                      </c:pt>
                      <c:pt idx="493">
                        <c:v>-2.6622742371426256E-2</c:v>
                      </c:pt>
                      <c:pt idx="494">
                        <c:v>4.3646287628572367E-2</c:v>
                      </c:pt>
                      <c:pt idx="495">
                        <c:v>7.9688227628574637E-2</c:v>
                      </c:pt>
                      <c:pt idx="496">
                        <c:v>2.3987047628573066E-2</c:v>
                      </c:pt>
                      <c:pt idx="497">
                        <c:v>2.565474762857356E-2</c:v>
                      </c:pt>
                      <c:pt idx="498">
                        <c:v>2.2186576285729842E-3</c:v>
                      </c:pt>
                      <c:pt idx="499">
                        <c:v>-2.8408162371427181E-2</c:v>
                      </c:pt>
                      <c:pt idx="500">
                        <c:v>1.4098567628574088E-2</c:v>
                      </c:pt>
                      <c:pt idx="501">
                        <c:v>5.8429957628574059E-2</c:v>
                      </c:pt>
                      <c:pt idx="502">
                        <c:v>5.4456907628573248E-2</c:v>
                      </c:pt>
                      <c:pt idx="503">
                        <c:v>4.5647527628572604E-2</c:v>
                      </c:pt>
                      <c:pt idx="504">
                        <c:v>8.8449762857223391E-4</c:v>
                      </c:pt>
                      <c:pt idx="505">
                        <c:v>2.2437067628573004E-2</c:v>
                      </c:pt>
                      <c:pt idx="506">
                        <c:v>1.257277628575082E-3</c:v>
                      </c:pt>
                      <c:pt idx="507">
                        <c:v>4.2478897628573264E-2</c:v>
                      </c:pt>
                      <c:pt idx="508">
                        <c:v>-2.4444922371426259E-2</c:v>
                      </c:pt>
                      <c:pt idx="509">
                        <c:v>-1.1093512371427749E-2</c:v>
                      </c:pt>
                      <c:pt idx="510">
                        <c:v>-3.1566982371426633E-2</c:v>
                      </c:pt>
                      <c:pt idx="511">
                        <c:v>3.5445127628573658E-2</c:v>
                      </c:pt>
                      <c:pt idx="512">
                        <c:v>-6.4234282371426588E-2</c:v>
                      </c:pt>
                      <c:pt idx="513">
                        <c:v>3.9967537628573524E-2</c:v>
                      </c:pt>
                      <c:pt idx="514">
                        <c:v>6.4649497628574082E-2</c:v>
                      </c:pt>
                      <c:pt idx="515">
                        <c:v>2.8058197628574533E-2</c:v>
                      </c:pt>
                      <c:pt idx="516">
                        <c:v>2.4899377628571528E-2</c:v>
                      </c:pt>
                      <c:pt idx="517">
                        <c:v>-2.4435112371426371E-2</c:v>
                      </c:pt>
                      <c:pt idx="518">
                        <c:v>-0.11040995237142681</c:v>
                      </c:pt>
                      <c:pt idx="519">
                        <c:v>-3.0909712371425258E-2</c:v>
                      </c:pt>
                      <c:pt idx="520">
                        <c:v>-1.4016892371426337E-2</c:v>
                      </c:pt>
                      <c:pt idx="521">
                        <c:v>-3.072332237142561E-2</c:v>
                      </c:pt>
                      <c:pt idx="522">
                        <c:v>-7.5815323714270022E-3</c:v>
                      </c:pt>
                      <c:pt idx="523">
                        <c:v>4.6344037628571755E-2</c:v>
                      </c:pt>
                      <c:pt idx="524">
                        <c:v>-0.10065881237142627</c:v>
                      </c:pt>
                      <c:pt idx="525">
                        <c:v>-6.3881122371427068E-2</c:v>
                      </c:pt>
                      <c:pt idx="526">
                        <c:v>-4.7655382371425858E-2</c:v>
                      </c:pt>
                      <c:pt idx="527">
                        <c:v>4.6932637628573914E-2</c:v>
                      </c:pt>
                      <c:pt idx="528">
                        <c:v>-3.1017622371425801E-2</c:v>
                      </c:pt>
                      <c:pt idx="529">
                        <c:v>3.5670757628572858E-2</c:v>
                      </c:pt>
                      <c:pt idx="530">
                        <c:v>5.1455047628572004E-2</c:v>
                      </c:pt>
                      <c:pt idx="531">
                        <c:v>4.9914877628573606E-2</c:v>
                      </c:pt>
                      <c:pt idx="532">
                        <c:v>1.508937762857343E-2</c:v>
                      </c:pt>
                      <c:pt idx="533">
                        <c:v>-4.694906237142682E-2</c:v>
                      </c:pt>
                      <c:pt idx="534">
                        <c:v>3.2198017628573439E-2</c:v>
                      </c:pt>
                      <c:pt idx="535">
                        <c:v>9.9435757628572929E-2</c:v>
                      </c:pt>
                      <c:pt idx="536">
                        <c:v>-7.6369252371426555E-2</c:v>
                      </c:pt>
                      <c:pt idx="537">
                        <c:v>-8.0430592371426357E-2</c:v>
                      </c:pt>
                      <c:pt idx="538">
                        <c:v>8.7644137628572594E-2</c:v>
                      </c:pt>
                      <c:pt idx="539">
                        <c:v>1.6403917628574405E-2</c:v>
                      </c:pt>
                      <c:pt idx="540">
                        <c:v>8.0502457628572444E-2</c:v>
                      </c:pt>
                      <c:pt idx="541">
                        <c:v>4.1743147628574562E-2</c:v>
                      </c:pt>
                      <c:pt idx="542">
                        <c:v>0.11410170762857241</c:v>
                      </c:pt>
                      <c:pt idx="543">
                        <c:v>6.4070707628573587E-2</c:v>
                      </c:pt>
                      <c:pt idx="544">
                        <c:v>-1.9775362371426297E-2</c:v>
                      </c:pt>
                      <c:pt idx="545">
                        <c:v>-4.1102302371426092E-2</c:v>
                      </c:pt>
                      <c:pt idx="546">
                        <c:v>7.6333207628573874E-2</c:v>
                      </c:pt>
                      <c:pt idx="547">
                        <c:v>2.3952376285745203E-3</c:v>
                      </c:pt>
                      <c:pt idx="548">
                        <c:v>-1.8490252371426763E-2</c:v>
                      </c:pt>
                      <c:pt idx="549">
                        <c:v>-1.4036512371426113E-2</c:v>
                      </c:pt>
                      <c:pt idx="550">
                        <c:v>9.6433897628573462E-2</c:v>
                      </c:pt>
                      <c:pt idx="551">
                        <c:v>-3.7904242371425312E-2</c:v>
                      </c:pt>
                      <c:pt idx="552">
                        <c:v>-4.495763237142647E-2</c:v>
                      </c:pt>
                      <c:pt idx="553">
                        <c:v>-9.9457423714284232E-3</c:v>
                      </c:pt>
                      <c:pt idx="554">
                        <c:v>1.2254287628573834E-2</c:v>
                      </c:pt>
                      <c:pt idx="555">
                        <c:v>8.4283876285731196E-3</c:v>
                      </c:pt>
                      <c:pt idx="556">
                        <c:v>-4.634084237142666E-2</c:v>
                      </c:pt>
                      <c:pt idx="557">
                        <c:v>4.7344657628572762E-2</c:v>
                      </c:pt>
                      <c:pt idx="558">
                        <c:v>9.189186762857382E-2</c:v>
                      </c:pt>
                      <c:pt idx="559">
                        <c:v>-0.16943672237142593</c:v>
                      </c:pt>
                      <c:pt idx="560">
                        <c:v>3.2050867628575119E-2</c:v>
                      </c:pt>
                      <c:pt idx="561">
                        <c:v>0.26611746762857358</c:v>
                      </c:pt>
                      <c:pt idx="562">
                        <c:v>-0.13844693237142636</c:v>
                      </c:pt>
                      <c:pt idx="563">
                        <c:v>-0.15434894237142593</c:v>
                      </c:pt>
                      <c:pt idx="564">
                        <c:v>0.1317204676285737</c:v>
                      </c:pt>
                      <c:pt idx="565">
                        <c:v>-0.1191212323714268</c:v>
                      </c:pt>
                      <c:pt idx="566">
                        <c:v>1.7845987628573923E-2</c:v>
                      </c:pt>
                      <c:pt idx="567">
                        <c:v>-0.10800650237142584</c:v>
                      </c:pt>
                      <c:pt idx="568">
                        <c:v>0.14126559762857305</c:v>
                      </c:pt>
                      <c:pt idx="569">
                        <c:v>-4.3348792371427081E-2</c:v>
                      </c:pt>
                      <c:pt idx="570">
                        <c:v>4.3361797628573839E-2</c:v>
                      </c:pt>
                      <c:pt idx="571">
                        <c:v>-2.6789512371427904E-2</c:v>
                      </c:pt>
                      <c:pt idx="572">
                        <c:v>-0.10513217237142669</c:v>
                      </c:pt>
                      <c:pt idx="573">
                        <c:v>3.2178397628571886E-2</c:v>
                      </c:pt>
                      <c:pt idx="574">
                        <c:v>4.4401657628572622E-2</c:v>
                      </c:pt>
                      <c:pt idx="575">
                        <c:v>-4.3986442371426904E-2</c:v>
                      </c:pt>
                      <c:pt idx="576">
                        <c:v>5.2749967628573202E-2</c:v>
                      </c:pt>
                      <c:pt idx="577">
                        <c:v>9.4050067628574041E-2</c:v>
                      </c:pt>
                      <c:pt idx="578">
                        <c:v>-0.17223257237142597</c:v>
                      </c:pt>
                      <c:pt idx="579">
                        <c:v>0.11402322762857331</c:v>
                      </c:pt>
                      <c:pt idx="580">
                        <c:v>0.25921122762857429</c:v>
                      </c:pt>
                      <c:pt idx="581">
                        <c:v>-0.51720122237142618</c:v>
                      </c:pt>
                      <c:pt idx="582">
                        <c:v>-9.5337223714260233E-3</c:v>
                      </c:pt>
                      <c:pt idx="583">
                        <c:v>0.31782597762857279</c:v>
                      </c:pt>
                      <c:pt idx="584">
                        <c:v>-0.1836612223714269</c:v>
                      </c:pt>
                      <c:pt idx="585">
                        <c:v>0.14255070762857436</c:v>
                      </c:pt>
                      <c:pt idx="586">
                        <c:v>-4.0989823714276952E-3</c:v>
                      </c:pt>
                      <c:pt idx="587">
                        <c:v>-0.22648187237142636</c:v>
                      </c:pt>
                      <c:pt idx="588">
                        <c:v>0.13966656762857355</c:v>
                      </c:pt>
                      <c:pt idx="589">
                        <c:v>0.39599205762857359</c:v>
                      </c:pt>
                      <c:pt idx="590">
                        <c:v>0.13545807762857365</c:v>
                      </c:pt>
                      <c:pt idx="591">
                        <c:v>-2.8604362371426717E-2</c:v>
                      </c:pt>
                      <c:pt idx="592">
                        <c:v>-0.19283357237142695</c:v>
                      </c:pt>
                      <c:pt idx="593">
                        <c:v>0.33071631762857301</c:v>
                      </c:pt>
                      <c:pt idx="594">
                        <c:v>0.22781922762857221</c:v>
                      </c:pt>
                      <c:pt idx="595">
                        <c:v>-0.33383270237142781</c:v>
                      </c:pt>
                      <c:pt idx="596">
                        <c:v>0.53028114762857292</c:v>
                      </c:pt>
                      <c:pt idx="597">
                        <c:v>0.29574366762857274</c:v>
                      </c:pt>
                      <c:pt idx="598">
                        <c:v>0.62425113762857265</c:v>
                      </c:pt>
                      <c:pt idx="599">
                        <c:v>0.84869412762857444</c:v>
                      </c:pt>
                      <c:pt idx="600">
                        <c:v>0.78123075762857397</c:v>
                      </c:pt>
                      <c:pt idx="601">
                        <c:v>0.88443195762857485</c:v>
                      </c:pt>
                      <c:pt idx="602">
                        <c:v>0.91169394762857259</c:v>
                      </c:pt>
                      <c:pt idx="603">
                        <c:v>1.2020110876285734</c:v>
                      </c:pt>
                      <c:pt idx="604">
                        <c:v>1.3293056476285727</c:v>
                      </c:pt>
                      <c:pt idx="605">
                        <c:v>1.3702820176285737</c:v>
                      </c:pt>
                      <c:pt idx="606">
                        <c:v>1.2912918976285752</c:v>
                      </c:pt>
                      <c:pt idx="607">
                        <c:v>1.194830167628572</c:v>
                      </c:pt>
                      <c:pt idx="608">
                        <c:v>1.2086524576285722</c:v>
                      </c:pt>
                      <c:pt idx="609">
                        <c:v>1.1945456776285734</c:v>
                      </c:pt>
                      <c:pt idx="610">
                        <c:v>1.1053825876285721</c:v>
                      </c:pt>
                      <c:pt idx="611">
                        <c:v>1.4708345176285729</c:v>
                      </c:pt>
                      <c:pt idx="612">
                        <c:v>1.5536505376285739</c:v>
                      </c:pt>
                      <c:pt idx="613">
                        <c:v>1.3855659976285732</c:v>
                      </c:pt>
                      <c:pt idx="614">
                        <c:v>1.2478826476285736</c:v>
                      </c:pt>
                      <c:pt idx="615">
                        <c:v>1.2541021876285736</c:v>
                      </c:pt>
                      <c:pt idx="616">
                        <c:v>-0.81039269237142619</c:v>
                      </c:pt>
                      <c:pt idx="617">
                        <c:v>-0.84885770237142744</c:v>
                      </c:pt>
                      <c:pt idx="618">
                        <c:v>-0.70714244237142587</c:v>
                      </c:pt>
                      <c:pt idx="619">
                        <c:v>-0.59597552237142537</c:v>
                      </c:pt>
                      <c:pt idx="620">
                        <c:v>-0.64705619237142642</c:v>
                      </c:pt>
                      <c:pt idx="621">
                        <c:v>-0.58509623237142705</c:v>
                      </c:pt>
                      <c:pt idx="622">
                        <c:v>-0.42886217237142787</c:v>
                      </c:pt>
                      <c:pt idx="623">
                        <c:v>-0.51844709237142617</c:v>
                      </c:pt>
                      <c:pt idx="624">
                        <c:v>-0.46996607237142562</c:v>
                      </c:pt>
                      <c:pt idx="625">
                        <c:v>-0.34410377237142598</c:v>
                      </c:pt>
                      <c:pt idx="626">
                        <c:v>-0.29262089237142774</c:v>
                      </c:pt>
                      <c:pt idx="627">
                        <c:v>-0.19711073237142607</c:v>
                      </c:pt>
                      <c:pt idx="628">
                        <c:v>-0.27853373237142698</c:v>
                      </c:pt>
                      <c:pt idx="629">
                        <c:v>-9.5435323714259113E-3</c:v>
                      </c:pt>
                      <c:pt idx="630">
                        <c:v>-7.0561732371427155E-2</c:v>
                      </c:pt>
                      <c:pt idx="631">
                        <c:v>-2.9904523714261444E-3</c:v>
                      </c:pt>
                      <c:pt idx="632">
                        <c:v>0.21126975762857292</c:v>
                      </c:pt>
                      <c:pt idx="633">
                        <c:v>0.20175405762857324</c:v>
                      </c:pt>
                      <c:pt idx="634">
                        <c:v>0.1864112176285726</c:v>
                      </c:pt>
                      <c:pt idx="635">
                        <c:v>0.12973884762857324</c:v>
                      </c:pt>
                      <c:pt idx="636">
                        <c:v>0.20868972762857396</c:v>
                      </c:pt>
                      <c:pt idx="637">
                        <c:v>0.33102042762857309</c:v>
                      </c:pt>
                      <c:pt idx="638">
                        <c:v>0.28359888762857288</c:v>
                      </c:pt>
                      <c:pt idx="639">
                        <c:v>0.36615984762857323</c:v>
                      </c:pt>
                      <c:pt idx="640">
                        <c:v>0.46718322762857234</c:v>
                      </c:pt>
                      <c:pt idx="641">
                        <c:v>0.35562390762857277</c:v>
                      </c:pt>
                      <c:pt idx="642">
                        <c:v>0.43515357762857398</c:v>
                      </c:pt>
                      <c:pt idx="643">
                        <c:v>0.50284257762857365</c:v>
                      </c:pt>
                      <c:pt idx="644">
                        <c:v>0.50906211762857367</c:v>
                      </c:pt>
                      <c:pt idx="645">
                        <c:v>0.58669845762857342</c:v>
                      </c:pt>
                      <c:pt idx="646">
                        <c:v>0.63079440762857253</c:v>
                      </c:pt>
                      <c:pt idx="647">
                        <c:v>0.79650492762857361</c:v>
                      </c:pt>
                      <c:pt idx="648">
                        <c:v>0.80059569762857308</c:v>
                      </c:pt>
                      <c:pt idx="649">
                        <c:v>0.94262487762857283</c:v>
                      </c:pt>
                      <c:pt idx="650">
                        <c:v>1.0006215976285748</c:v>
                      </c:pt>
                      <c:pt idx="651">
                        <c:v>0.7901970976285746</c:v>
                      </c:pt>
                      <c:pt idx="652">
                        <c:v>0.76100253762857406</c:v>
                      </c:pt>
                      <c:pt idx="653">
                        <c:v>0.97160361762857406</c:v>
                      </c:pt>
                      <c:pt idx="654">
                        <c:v>0.98788821762857459</c:v>
                      </c:pt>
                      <c:pt idx="655">
                        <c:v>0.8369221276285721</c:v>
                      </c:pt>
                      <c:pt idx="656">
                        <c:v>0.92883201762857226</c:v>
                      </c:pt>
                      <c:pt idx="657">
                        <c:v>1.0266769576285739</c:v>
                      </c:pt>
                      <c:pt idx="658">
                        <c:v>0.93095097762857293</c:v>
                      </c:pt>
                      <c:pt idx="659">
                        <c:v>1.1121711076285745</c:v>
                      </c:pt>
                      <c:pt idx="660">
                        <c:v>1.1343024676285722</c:v>
                      </c:pt>
                      <c:pt idx="661">
                        <c:v>0.61275381762857251</c:v>
                      </c:pt>
                      <c:pt idx="662">
                        <c:v>2.3221867628572923E-2</c:v>
                      </c:pt>
                      <c:pt idx="663">
                        <c:v>0.16596717762857338</c:v>
                      </c:pt>
                      <c:pt idx="664">
                        <c:v>6.614061762857304E-2</c:v>
                      </c:pt>
                      <c:pt idx="665">
                        <c:v>-0.4284109123714277</c:v>
                      </c:pt>
                      <c:pt idx="666">
                        <c:v>-0.17328224237142642</c:v>
                      </c:pt>
                      <c:pt idx="667">
                        <c:v>0.19799682762857351</c:v>
                      </c:pt>
                      <c:pt idx="668">
                        <c:v>-1.639091237142587E-2</c:v>
                      </c:pt>
                      <c:pt idx="669">
                        <c:v>-5.4777442371426233E-2</c:v>
                      </c:pt>
                      <c:pt idx="670">
                        <c:v>-6.7756072371427223E-2</c:v>
                      </c:pt>
                      <c:pt idx="671">
                        <c:v>-0.22531448237142726</c:v>
                      </c:pt>
                      <c:pt idx="672">
                        <c:v>-0.19842527237142704</c:v>
                      </c:pt>
                      <c:pt idx="673">
                        <c:v>0.13846974762857478</c:v>
                      </c:pt>
                      <c:pt idx="674">
                        <c:v>0.3780103276285729</c:v>
                      </c:pt>
                      <c:pt idx="675">
                        <c:v>0.54168036762857419</c:v>
                      </c:pt>
                      <c:pt idx="676">
                        <c:v>0.4008480076285732</c:v>
                      </c:pt>
                      <c:pt idx="677">
                        <c:v>0.36746457762857254</c:v>
                      </c:pt>
                      <c:pt idx="678">
                        <c:v>0.36500226762857224</c:v>
                      </c:pt>
                      <c:pt idx="679">
                        <c:v>0.50945451762857452</c:v>
                      </c:pt>
                      <c:pt idx="680">
                        <c:v>0.44709234762857442</c:v>
                      </c:pt>
                      <c:pt idx="681">
                        <c:v>0.28296123762857306</c:v>
                      </c:pt>
                      <c:pt idx="682">
                        <c:v>0.11382702762857377</c:v>
                      </c:pt>
                      <c:pt idx="683">
                        <c:v>1.2165997628574843E-2</c:v>
                      </c:pt>
                      <c:pt idx="684">
                        <c:v>7.4214247628573204E-2</c:v>
                      </c:pt>
                      <c:pt idx="685">
                        <c:v>8.1438976285745923E-3</c:v>
                      </c:pt>
                      <c:pt idx="686">
                        <c:v>-0.1308638023714277</c:v>
                      </c:pt>
                      <c:pt idx="687">
                        <c:v>-2.2581022371428006E-2</c:v>
                      </c:pt>
                      <c:pt idx="688">
                        <c:v>-0.16254029237142653</c:v>
                      </c:pt>
                      <c:pt idx="689">
                        <c:v>-0.20095625237142656</c:v>
                      </c:pt>
                      <c:pt idx="690">
                        <c:v>-9.2438032371426004E-2</c:v>
                      </c:pt>
                      <c:pt idx="691">
                        <c:v>-0.13410110237142625</c:v>
                      </c:pt>
                      <c:pt idx="692">
                        <c:v>-6.7716832371427671E-2</c:v>
                      </c:pt>
                      <c:pt idx="693">
                        <c:v>1.8993757628573249E-2</c:v>
                      </c:pt>
                      <c:pt idx="694">
                        <c:v>0.1522429876285738</c:v>
                      </c:pt>
                      <c:pt idx="695">
                        <c:v>4.0236976285736858E-3</c:v>
                      </c:pt>
                      <c:pt idx="696">
                        <c:v>-4.6664572371426516E-2</c:v>
                      </c:pt>
                      <c:pt idx="697">
                        <c:v>-2.1845272371427527E-2</c:v>
                      </c:pt>
                      <c:pt idx="698">
                        <c:v>2.8607557628573588E-2</c:v>
                      </c:pt>
                      <c:pt idx="699">
                        <c:v>0.26161467762857349</c:v>
                      </c:pt>
                      <c:pt idx="700">
                        <c:v>0.44224620762857292</c:v>
                      </c:pt>
                      <c:pt idx="701">
                        <c:v>0.23728587762857423</c:v>
                      </c:pt>
                      <c:pt idx="702">
                        <c:v>0.10341861762857363</c:v>
                      </c:pt>
                      <c:pt idx="703">
                        <c:v>7.2291487628572071E-2</c:v>
                      </c:pt>
                      <c:pt idx="704">
                        <c:v>0.14856423762857318</c:v>
                      </c:pt>
                      <c:pt idx="705">
                        <c:v>0.32668440762857287</c:v>
                      </c:pt>
                      <c:pt idx="706">
                        <c:v>0.35392677762857438</c:v>
                      </c:pt>
                      <c:pt idx="707">
                        <c:v>0.33707319762857324</c:v>
                      </c:pt>
                      <c:pt idx="708">
                        <c:v>0.14499339762857311</c:v>
                      </c:pt>
                      <c:pt idx="709">
                        <c:v>0.14365923762857413</c:v>
                      </c:pt>
                      <c:pt idx="710">
                        <c:v>0.14770095762857238</c:v>
                      </c:pt>
                      <c:pt idx="711">
                        <c:v>3.3071107628572349E-2</c:v>
                      </c:pt>
                      <c:pt idx="712">
                        <c:v>0.11796684762857268</c:v>
                      </c:pt>
                      <c:pt idx="713">
                        <c:v>0.11438619762857272</c:v>
                      </c:pt>
                      <c:pt idx="714">
                        <c:v>0.29500791762857403</c:v>
                      </c:pt>
                      <c:pt idx="715">
                        <c:v>0.32843058762857424</c:v>
                      </c:pt>
                      <c:pt idx="716">
                        <c:v>0.40498782762857211</c:v>
                      </c:pt>
                      <c:pt idx="717">
                        <c:v>0.53647125762857328</c:v>
                      </c:pt>
                      <c:pt idx="718">
                        <c:v>0.48746049762857346</c:v>
                      </c:pt>
                      <c:pt idx="719">
                        <c:v>0.62642895762857442</c:v>
                      </c:pt>
                      <c:pt idx="720">
                        <c:v>0.53100708762857352</c:v>
                      </c:pt>
                      <c:pt idx="721">
                        <c:v>0.41523927762857404</c:v>
                      </c:pt>
                      <c:pt idx="722">
                        <c:v>0.40215273762857251</c:v>
                      </c:pt>
                      <c:pt idx="723">
                        <c:v>0.54511386762857406</c:v>
                      </c:pt>
                      <c:pt idx="724">
                        <c:v>0.71765214762857354</c:v>
                      </c:pt>
                      <c:pt idx="725">
                        <c:v>0.84950835762857402</c:v>
                      </c:pt>
                      <c:pt idx="726">
                        <c:v>0.46899807762857293</c:v>
                      </c:pt>
                      <c:pt idx="727">
                        <c:v>0.12354873762857288</c:v>
                      </c:pt>
                      <c:pt idx="728">
                        <c:v>3.5347027628573002E-2</c:v>
                      </c:pt>
                      <c:pt idx="729">
                        <c:v>-0.69379103237142736</c:v>
                      </c:pt>
                      <c:pt idx="730">
                        <c:v>-1.1691051523714258</c:v>
                      </c:pt>
                      <c:pt idx="731">
                        <c:v>-0.2075878123714272</c:v>
                      </c:pt>
                      <c:pt idx="732">
                        <c:v>0.36955410762857355</c:v>
                      </c:pt>
                      <c:pt idx="733">
                        <c:v>0.1552154176285736</c:v>
                      </c:pt>
                      <c:pt idx="734">
                        <c:v>-0.69060278237142647</c:v>
                      </c:pt>
                      <c:pt idx="735">
                        <c:v>-1.5057156823714273</c:v>
                      </c:pt>
                      <c:pt idx="736">
                        <c:v>-1.6914680323714268</c:v>
                      </c:pt>
                      <c:pt idx="737">
                        <c:v>-0.53451587237142739</c:v>
                      </c:pt>
                      <c:pt idx="738">
                        <c:v>0.32613504762857204</c:v>
                      </c:pt>
                      <c:pt idx="739">
                        <c:v>9.2823817628573835E-2</c:v>
                      </c:pt>
                      <c:pt idx="740">
                        <c:v>0.10534137762857476</c:v>
                      </c:pt>
                      <c:pt idx="741">
                        <c:v>0.14671995762857293</c:v>
                      </c:pt>
                      <c:pt idx="742">
                        <c:v>0.44579742762857499</c:v>
                      </c:pt>
                      <c:pt idx="743">
                        <c:v>0.27689865762857302</c:v>
                      </c:pt>
                      <c:pt idx="744">
                        <c:v>0.17777841762857349</c:v>
                      </c:pt>
                      <c:pt idx="745">
                        <c:v>9.5957776285722218E-3</c:v>
                      </c:pt>
                      <c:pt idx="746">
                        <c:v>0.19020768762857365</c:v>
                      </c:pt>
                      <c:pt idx="747">
                        <c:v>0.33487575762857169</c:v>
                      </c:pt>
                      <c:pt idx="748">
                        <c:v>0.47682645762857234</c:v>
                      </c:pt>
                      <c:pt idx="749">
                        <c:v>0.47685588762857378</c:v>
                      </c:pt>
                      <c:pt idx="750">
                        <c:v>0.38598585762857418</c:v>
                      </c:pt>
                      <c:pt idx="751">
                        <c:v>0.22516071762857415</c:v>
                      </c:pt>
                      <c:pt idx="752">
                        <c:v>0.18701943762857276</c:v>
                      </c:pt>
                      <c:pt idx="753">
                        <c:v>0.32349615762857376</c:v>
                      </c:pt>
                      <c:pt idx="754">
                        <c:v>0.3985917076285741</c:v>
                      </c:pt>
                      <c:pt idx="755">
                        <c:v>0.43040553762857314</c:v>
                      </c:pt>
                      <c:pt idx="756">
                        <c:v>2.7606937628574357E-2</c:v>
                      </c:pt>
                      <c:pt idx="757">
                        <c:v>0.29293800762857458</c:v>
                      </c:pt>
                      <c:pt idx="758">
                        <c:v>0.73897908762857334</c:v>
                      </c:pt>
                      <c:pt idx="759">
                        <c:v>0.72736404762857454</c:v>
                      </c:pt>
                      <c:pt idx="760">
                        <c:v>0.5802729076285722</c:v>
                      </c:pt>
                      <c:pt idx="761">
                        <c:v>0.57366096762857488</c:v>
                      </c:pt>
                      <c:pt idx="762">
                        <c:v>0.7955729776285736</c:v>
                      </c:pt>
                      <c:pt idx="763">
                        <c:v>0.94803999762857316</c:v>
                      </c:pt>
                      <c:pt idx="764">
                        <c:v>0.8047060876285741</c:v>
                      </c:pt>
                      <c:pt idx="765">
                        <c:v>0.67186887762857417</c:v>
                      </c:pt>
                      <c:pt idx="766">
                        <c:v>0.6177471076285741</c:v>
                      </c:pt>
                      <c:pt idx="767">
                        <c:v>0.19931136762857449</c:v>
                      </c:pt>
                      <c:pt idx="768">
                        <c:v>8.7084967628573651E-2</c:v>
                      </c:pt>
                      <c:pt idx="769">
                        <c:v>3.893748762857463E-2</c:v>
                      </c:pt>
                      <c:pt idx="770">
                        <c:v>-3.3372022371425558E-2</c:v>
                      </c:pt>
                      <c:pt idx="771">
                        <c:v>0.21011217762857193</c:v>
                      </c:pt>
                      <c:pt idx="772">
                        <c:v>0.321161377628572</c:v>
                      </c:pt>
                      <c:pt idx="773">
                        <c:v>0.43884213762857271</c:v>
                      </c:pt>
                      <c:pt idx="774">
                        <c:v>0.49505343762857379</c:v>
                      </c:pt>
                      <c:pt idx="775">
                        <c:v>0.49411167762857211</c:v>
                      </c:pt>
                      <c:pt idx="776">
                        <c:v>0.3625497676285736</c:v>
                      </c:pt>
                      <c:pt idx="777">
                        <c:v>0.15859986762857403</c:v>
                      </c:pt>
                      <c:pt idx="778">
                        <c:v>-2.0726932371427864E-2</c:v>
                      </c:pt>
                      <c:pt idx="779">
                        <c:v>0.35575143762857309</c:v>
                      </c:pt>
                      <c:pt idx="780">
                        <c:v>0.48324219762857368</c:v>
                      </c:pt>
                      <c:pt idx="781">
                        <c:v>4.7570287628573737E-2</c:v>
                      </c:pt>
                      <c:pt idx="782">
                        <c:v>-1.4366630923714272</c:v>
                      </c:pt>
                      <c:pt idx="783">
                        <c:v>-1.479228682371426</c:v>
                      </c:pt>
                      <c:pt idx="784">
                        <c:v>-0.19887653237142722</c:v>
                      </c:pt>
                      <c:pt idx="785">
                        <c:v>0.36318741762857343</c:v>
                      </c:pt>
                      <c:pt idx="786">
                        <c:v>7.7726227628573952E-2</c:v>
                      </c:pt>
                      <c:pt idx="787">
                        <c:v>-0.10065881237142627</c:v>
                      </c:pt>
                      <c:pt idx="788">
                        <c:v>-0.20228060237142742</c:v>
                      </c:pt>
                      <c:pt idx="789">
                        <c:v>0.11050143762857267</c:v>
                      </c:pt>
                      <c:pt idx="790">
                        <c:v>0.18770613762857202</c:v>
                      </c:pt>
                      <c:pt idx="791">
                        <c:v>0.24511425762857186</c:v>
                      </c:pt>
                      <c:pt idx="792">
                        <c:v>-5.1285082371427038E-2</c:v>
                      </c:pt>
                      <c:pt idx="793">
                        <c:v>-0.50911778237142613</c:v>
                      </c:pt>
                      <c:pt idx="794">
                        <c:v>-0.46994645237142763</c:v>
                      </c:pt>
                      <c:pt idx="795">
                        <c:v>-0.17121233237142697</c:v>
                      </c:pt>
                      <c:pt idx="796">
                        <c:v>-6.2321332371427118E-2</c:v>
                      </c:pt>
                      <c:pt idx="797">
                        <c:v>-0.22363697237142688</c:v>
                      </c:pt>
                      <c:pt idx="798">
                        <c:v>-0.60727664237142598</c:v>
                      </c:pt>
                      <c:pt idx="799">
                        <c:v>-0.69196637237142689</c:v>
                      </c:pt>
                      <c:pt idx="800">
                        <c:v>-0.1095368623714279</c:v>
                      </c:pt>
                      <c:pt idx="801">
                        <c:v>-0.25093820237142594</c:v>
                      </c:pt>
                      <c:pt idx="802">
                        <c:v>-0.15679163237142646</c:v>
                      </c:pt>
                      <c:pt idx="803">
                        <c:v>-0.16317794237142635</c:v>
                      </c:pt>
                      <c:pt idx="804">
                        <c:v>-0.7420660423714267</c:v>
                      </c:pt>
                      <c:pt idx="805">
                        <c:v>-1.1185149823714262</c:v>
                      </c:pt>
                      <c:pt idx="806">
                        <c:v>-0.64392680237142663</c:v>
                      </c:pt>
                      <c:pt idx="807">
                        <c:v>-0.3413962123714267</c:v>
                      </c:pt>
                      <c:pt idx="808">
                        <c:v>-0.72624251237142623</c:v>
                      </c:pt>
                      <c:pt idx="809">
                        <c:v>-1.0161083923714269</c:v>
                      </c:pt>
                      <c:pt idx="810">
                        <c:v>-0.74402804237142561</c:v>
                      </c:pt>
                      <c:pt idx="811">
                        <c:v>-0.65443331237142743</c:v>
                      </c:pt>
                      <c:pt idx="812">
                        <c:v>-0.60488300237142667</c:v>
                      </c:pt>
                      <c:pt idx="813">
                        <c:v>-0.60968990237142684</c:v>
                      </c:pt>
                      <c:pt idx="814">
                        <c:v>-0.47652896237142706</c:v>
                      </c:pt>
                      <c:pt idx="815">
                        <c:v>-0.36464591237142585</c:v>
                      </c:pt>
                      <c:pt idx="816">
                        <c:v>-0.42464387237142631</c:v>
                      </c:pt>
                      <c:pt idx="817">
                        <c:v>-0.46267724237142716</c:v>
                      </c:pt>
                      <c:pt idx="818">
                        <c:v>-0.36749081237142711</c:v>
                      </c:pt>
                      <c:pt idx="819">
                        <c:v>-0.265466812371427</c:v>
                      </c:pt>
                      <c:pt idx="820">
                        <c:v>-0.37791884237142703</c:v>
                      </c:pt>
                      <c:pt idx="821">
                        <c:v>-0.39929483237142627</c:v>
                      </c:pt>
                      <c:pt idx="822">
                        <c:v>-0.23423177237142667</c:v>
                      </c:pt>
                      <c:pt idx="823">
                        <c:v>3.2977576285748711E-3</c:v>
                      </c:pt>
                      <c:pt idx="824">
                        <c:v>-0.11799308237142547</c:v>
                      </c:pt>
                      <c:pt idx="825">
                        <c:v>-0.12965717237142549</c:v>
                      </c:pt>
                      <c:pt idx="826">
                        <c:v>4.6079167628573003E-2</c:v>
                      </c:pt>
                      <c:pt idx="827">
                        <c:v>4.582410762857414E-2</c:v>
                      </c:pt>
                      <c:pt idx="828">
                        <c:v>-4.0955152371427772E-2</c:v>
                      </c:pt>
                      <c:pt idx="829">
                        <c:v>-5.521889237142652E-2</c:v>
                      </c:pt>
                      <c:pt idx="830">
                        <c:v>0.16393650762857526</c:v>
                      </c:pt>
                      <c:pt idx="831">
                        <c:v>0.21845067762857262</c:v>
                      </c:pt>
                      <c:pt idx="832">
                        <c:v>0.41345385762857312</c:v>
                      </c:pt>
                      <c:pt idx="833">
                        <c:v>0.4752568576285725</c:v>
                      </c:pt>
                      <c:pt idx="834">
                        <c:v>0.49792776762857294</c:v>
                      </c:pt>
                      <c:pt idx="835">
                        <c:v>0.52920204762857459</c:v>
                      </c:pt>
                      <c:pt idx="836">
                        <c:v>0.38391594762857473</c:v>
                      </c:pt>
                      <c:pt idx="837">
                        <c:v>0.32801856762857184</c:v>
                      </c:pt>
                      <c:pt idx="838">
                        <c:v>0.28875894762857435</c:v>
                      </c:pt>
                      <c:pt idx="839">
                        <c:v>0.4432664476285737</c:v>
                      </c:pt>
                      <c:pt idx="840">
                        <c:v>0.46784049762857371</c:v>
                      </c:pt>
                      <c:pt idx="841">
                        <c:v>0.42289107762857192</c:v>
                      </c:pt>
                      <c:pt idx="842">
                        <c:v>0.3874279276285737</c:v>
                      </c:pt>
                      <c:pt idx="843">
                        <c:v>0.40510554762857431</c:v>
                      </c:pt>
                      <c:pt idx="844">
                        <c:v>0.29498829762857426</c:v>
                      </c:pt>
                      <c:pt idx="845">
                        <c:v>0.35426031762857413</c:v>
                      </c:pt>
                      <c:pt idx="846">
                        <c:v>0.31237161762857291</c:v>
                      </c:pt>
                      <c:pt idx="847">
                        <c:v>0.18370365762857332</c:v>
                      </c:pt>
                      <c:pt idx="848">
                        <c:v>0.2136045376285729</c:v>
                      </c:pt>
                      <c:pt idx="849">
                        <c:v>0.41100135762857271</c:v>
                      </c:pt>
                      <c:pt idx="850">
                        <c:v>0.34103643762857239</c:v>
                      </c:pt>
                      <c:pt idx="851">
                        <c:v>0.24601677762857221</c:v>
                      </c:pt>
                      <c:pt idx="852">
                        <c:v>7.4959807628573571E-2</c:v>
                      </c:pt>
                      <c:pt idx="853">
                        <c:v>3.8044777628574167E-2</c:v>
                      </c:pt>
                      <c:pt idx="854">
                        <c:v>7.7814517628572943E-2</c:v>
                      </c:pt>
                      <c:pt idx="855">
                        <c:v>9.8503807628572915E-2</c:v>
                      </c:pt>
                      <c:pt idx="856">
                        <c:v>5.2347757628572467E-2</c:v>
                      </c:pt>
                      <c:pt idx="857">
                        <c:v>9.5825677628573303E-2</c:v>
                      </c:pt>
                      <c:pt idx="858">
                        <c:v>-6.1664062371427519E-2</c:v>
                      </c:pt>
                      <c:pt idx="859">
                        <c:v>-0.11383364237142679</c:v>
                      </c:pt>
                      <c:pt idx="860">
                        <c:v>-0.30955295237142622</c:v>
                      </c:pt>
                      <c:pt idx="861">
                        <c:v>-0.21788831237142681</c:v>
                      </c:pt>
                      <c:pt idx="862">
                        <c:v>-0.2115902923714259</c:v>
                      </c:pt>
                      <c:pt idx="863">
                        <c:v>-0.23277008237142738</c:v>
                      </c:pt>
                      <c:pt idx="864">
                        <c:v>0.10441923762857463</c:v>
                      </c:pt>
                      <c:pt idx="865">
                        <c:v>6.5100757628574257E-2</c:v>
                      </c:pt>
                      <c:pt idx="866">
                        <c:v>0.22458192762857365</c:v>
                      </c:pt>
                      <c:pt idx="867">
                        <c:v>7.3037047628572438E-2</c:v>
                      </c:pt>
                      <c:pt idx="868">
                        <c:v>-8.6512792371427949E-2</c:v>
                      </c:pt>
                      <c:pt idx="869">
                        <c:v>-0.27056801237142736</c:v>
                      </c:pt>
                      <c:pt idx="870">
                        <c:v>-7.2180382371426433E-2</c:v>
                      </c:pt>
                      <c:pt idx="871">
                        <c:v>1.1489107628573691E-2</c:v>
                      </c:pt>
                      <c:pt idx="872">
                        <c:v>-0.15327965237142749</c:v>
                      </c:pt>
                      <c:pt idx="873">
                        <c:v>-0.1641687523714257</c:v>
                      </c:pt>
                      <c:pt idx="874">
                        <c:v>0.30227712762857273</c:v>
                      </c:pt>
                      <c:pt idx="875">
                        <c:v>-4.1239642371426299E-2</c:v>
                      </c:pt>
                      <c:pt idx="876">
                        <c:v>-2.5710412371426017E-2</c:v>
                      </c:pt>
                      <c:pt idx="877">
                        <c:v>-9.3571423714262636E-3</c:v>
                      </c:pt>
                      <c:pt idx="878">
                        <c:v>-3.105686237142713E-2</c:v>
                      </c:pt>
                      <c:pt idx="879">
                        <c:v>4.154694762857325E-2</c:v>
                      </c:pt>
                      <c:pt idx="880">
                        <c:v>0.12908157762857364</c:v>
                      </c:pt>
                      <c:pt idx="881">
                        <c:v>8.9655187628572719E-2</c:v>
                      </c:pt>
                      <c:pt idx="882">
                        <c:v>0.16081692762857358</c:v>
                      </c:pt>
                      <c:pt idx="883">
                        <c:v>0.12049782762857397</c:v>
                      </c:pt>
                      <c:pt idx="884">
                        <c:v>0.35036574762857242</c:v>
                      </c:pt>
                      <c:pt idx="885">
                        <c:v>0.32931348762857304</c:v>
                      </c:pt>
                      <c:pt idx="886">
                        <c:v>0.29115258762857366</c:v>
                      </c:pt>
                      <c:pt idx="887">
                        <c:v>0.37014270762857215</c:v>
                      </c:pt>
                      <c:pt idx="888">
                        <c:v>0.28535487762857237</c:v>
                      </c:pt>
                      <c:pt idx="889">
                        <c:v>-0.69996152237142617</c:v>
                      </c:pt>
                      <c:pt idx="890">
                        <c:v>0.30219864762857362</c:v>
                      </c:pt>
                      <c:pt idx="891">
                        <c:v>1.5354247628573958E-2</c:v>
                      </c:pt>
                      <c:pt idx="892">
                        <c:v>5.482968762857432E-2</c:v>
                      </c:pt>
                      <c:pt idx="893">
                        <c:v>0.24755694762857416</c:v>
                      </c:pt>
                      <c:pt idx="894">
                        <c:v>8.5299547628574501E-2</c:v>
                      </c:pt>
                      <c:pt idx="895">
                        <c:v>0.11589693762857323</c:v>
                      </c:pt>
                      <c:pt idx="896">
                        <c:v>-0.12703790237142698</c:v>
                      </c:pt>
                      <c:pt idx="897">
                        <c:v>-0.10661348237142754</c:v>
                      </c:pt>
                      <c:pt idx="898">
                        <c:v>-0.14789396237142682</c:v>
                      </c:pt>
                      <c:pt idx="899">
                        <c:v>-9.7333222371426942E-2</c:v>
                      </c:pt>
                      <c:pt idx="900">
                        <c:v>0.29315382762857389</c:v>
                      </c:pt>
                      <c:pt idx="901">
                        <c:v>0.4235483476285733</c:v>
                      </c:pt>
                      <c:pt idx="902">
                        <c:v>0.39757146762857332</c:v>
                      </c:pt>
                      <c:pt idx="903">
                        <c:v>0.45627450762857258</c:v>
                      </c:pt>
                      <c:pt idx="904">
                        <c:v>0.37682331762857402</c:v>
                      </c:pt>
                      <c:pt idx="905">
                        <c:v>0.2389045276285735</c:v>
                      </c:pt>
                      <c:pt idx="906">
                        <c:v>0.1848121876285731</c:v>
                      </c:pt>
                      <c:pt idx="907">
                        <c:v>-0.2161519423714271</c:v>
                      </c:pt>
                      <c:pt idx="908">
                        <c:v>-0.24026492237142705</c:v>
                      </c:pt>
                      <c:pt idx="909">
                        <c:v>1.5913417628572901E-2</c:v>
                      </c:pt>
                      <c:pt idx="910">
                        <c:v>-0.11720828237142733</c:v>
                      </c:pt>
                      <c:pt idx="911">
                        <c:v>-0.57884726237142736</c:v>
                      </c:pt>
                      <c:pt idx="912">
                        <c:v>0.24469242762857313</c:v>
                      </c:pt>
                      <c:pt idx="913">
                        <c:v>8.7624517628572818E-2</c:v>
                      </c:pt>
                      <c:pt idx="914">
                        <c:v>0.50400015762857464</c:v>
                      </c:pt>
                      <c:pt idx="915">
                        <c:v>0.77759124762857468</c:v>
                      </c:pt>
                      <c:pt idx="916">
                        <c:v>0.5669313076285718</c:v>
                      </c:pt>
                      <c:pt idx="917">
                        <c:v>0.36058776762857292</c:v>
                      </c:pt>
                      <c:pt idx="918">
                        <c:v>-4.6327414723714266</c:v>
                      </c:pt>
                      <c:pt idx="919">
                        <c:v>-4.1487258823714264</c:v>
                      </c:pt>
                      <c:pt idx="920">
                        <c:v>-3.8451750523714274</c:v>
                      </c:pt>
                      <c:pt idx="921">
                        <c:v>-1.5392462623714263</c:v>
                      </c:pt>
                      <c:pt idx="922">
                        <c:v>-1.1719206223714274</c:v>
                      </c:pt>
                      <c:pt idx="923">
                        <c:v>-1.1482883323714272</c:v>
                      </c:pt>
                      <c:pt idx="924">
                        <c:v>-1.3904972323714269</c:v>
                      </c:pt>
                      <c:pt idx="925">
                        <c:v>-1.2218142823714278</c:v>
                      </c:pt>
                      <c:pt idx="926">
                        <c:v>-0.72303464237142734</c:v>
                      </c:pt>
                      <c:pt idx="927">
                        <c:v>-0.8206049023714268</c:v>
                      </c:pt>
                      <c:pt idx="928">
                        <c:v>-0.31707722237142733</c:v>
                      </c:pt>
                      <c:pt idx="929">
                        <c:v>-0.13112867237142645</c:v>
                      </c:pt>
                      <c:pt idx="930">
                        <c:v>-0.10752581237142778</c:v>
                      </c:pt>
                      <c:pt idx="931">
                        <c:v>0.26050614762857371</c:v>
                      </c:pt>
                      <c:pt idx="932">
                        <c:v>0.45778524762857309</c:v>
                      </c:pt>
                      <c:pt idx="933">
                        <c:v>0.85821963762857401</c:v>
                      </c:pt>
                      <c:pt idx="934">
                        <c:v>1.5129194176285736</c:v>
                      </c:pt>
                      <c:pt idx="935">
                        <c:v>1.554572677628574</c:v>
                      </c:pt>
                      <c:pt idx="936">
                        <c:v>1.6150120876285747</c:v>
                      </c:pt>
                      <c:pt idx="937">
                        <c:v>1.3399200676285741</c:v>
                      </c:pt>
                      <c:pt idx="938">
                        <c:v>2.4399938476285747</c:v>
                      </c:pt>
                      <c:pt idx="939">
                        <c:v>-0.72733142237142623</c:v>
                      </c:pt>
                      <c:pt idx="940">
                        <c:v>-1.0282629823714267</c:v>
                      </c:pt>
                      <c:pt idx="941">
                        <c:v>1.5462537976285748</c:v>
                      </c:pt>
                      <c:pt idx="942">
                        <c:v>-2.3846512371427764E-2</c:v>
                      </c:pt>
                      <c:pt idx="943">
                        <c:v>-5.1584623714280298E-3</c:v>
                      </c:pt>
                      <c:pt idx="944">
                        <c:v>-1.9942132371426169E-2</c:v>
                      </c:pt>
                      <c:pt idx="945">
                        <c:v>7.2708076285739054E-3</c:v>
                      </c:pt>
                      <c:pt idx="946">
                        <c:v>3.1285687628574976E-2</c:v>
                      </c:pt>
                      <c:pt idx="947">
                        <c:v>5.4594247628573456E-2</c:v>
                      </c:pt>
                      <c:pt idx="948">
                        <c:v>1.1979607628575195E-2</c:v>
                      </c:pt>
                      <c:pt idx="949">
                        <c:v>-6.9046423714276273E-3</c:v>
                      </c:pt>
                      <c:pt idx="950">
                        <c:v>-6.6005323714257713E-3</c:v>
                      </c:pt>
                      <c:pt idx="951">
                        <c:v>-5.5901023714266529E-3</c:v>
                      </c:pt>
                      <c:pt idx="952">
                        <c:v>-9.3865723714259275E-3</c:v>
                      </c:pt>
                      <c:pt idx="953">
                        <c:v>-8.0229823714272896E-3</c:v>
                      </c:pt>
                      <c:pt idx="954">
                        <c:v>-5.9923123714256121E-3</c:v>
                      </c:pt>
                      <c:pt idx="955">
                        <c:v>-5.8059223714259645E-3</c:v>
                      </c:pt>
                      <c:pt idx="956">
                        <c:v>-5.7666823714264126E-3</c:v>
                      </c:pt>
                      <c:pt idx="957">
                        <c:v>-8.3922952371427328E-2</c:v>
                      </c:pt>
                      <c:pt idx="958">
                        <c:v>-2.179622237142631E-2</c:v>
                      </c:pt>
                      <c:pt idx="959">
                        <c:v>-2.4749032371428115E-2</c:v>
                      </c:pt>
                      <c:pt idx="960">
                        <c:v>-7.1498923714266027E-3</c:v>
                      </c:pt>
                      <c:pt idx="961">
                        <c:v>-6.1787023714252598E-3</c:v>
                      </c:pt>
                      <c:pt idx="962">
                        <c:v>-5.8942123714285088E-3</c:v>
                      </c:pt>
                      <c:pt idx="963">
                        <c:v>-6.0511723714249399E-3</c:v>
                      </c:pt>
                      <c:pt idx="964">
                        <c:v>-5.8353523714256283E-3</c:v>
                      </c:pt>
                      <c:pt idx="965">
                        <c:v>-5.7274423714268607E-3</c:v>
                      </c:pt>
                      <c:pt idx="966">
                        <c:v>1.3029277628573865E-2</c:v>
                      </c:pt>
                      <c:pt idx="967">
                        <c:v>2.9088247628573427E-2</c:v>
                      </c:pt>
                      <c:pt idx="968">
                        <c:v>2.1544357628574318E-2</c:v>
                      </c:pt>
                      <c:pt idx="969">
                        <c:v>-2.1786412371426422E-2</c:v>
                      </c:pt>
                      <c:pt idx="970">
                        <c:v>-2.5004092371426978E-2</c:v>
                      </c:pt>
                      <c:pt idx="971">
                        <c:v>-4.8249223714265099E-3</c:v>
                      </c:pt>
                      <c:pt idx="972">
                        <c:v>-5.8157323714276288E-3</c:v>
                      </c:pt>
                      <c:pt idx="973">
                        <c:v>-7.8758323714254175E-3</c:v>
                      </c:pt>
                      <c:pt idx="974">
                        <c:v>-9.0334123714264081E-3</c:v>
                      </c:pt>
                      <c:pt idx="975">
                        <c:v>-8.3369023714272572E-3</c:v>
                      </c:pt>
                      <c:pt idx="976">
                        <c:v>-5.2467523714270214E-3</c:v>
                      </c:pt>
                      <c:pt idx="977">
                        <c:v>-5.6195323714263168E-3</c:v>
                      </c:pt>
                      <c:pt idx="978">
                        <c:v>-9.1309882371426454E-2</c:v>
                      </c:pt>
                      <c:pt idx="979">
                        <c:v>-1.5429532371427968E-2</c:v>
                      </c:pt>
                      <c:pt idx="980">
                        <c:v>-2.7832371426228519E-5</c:v>
                      </c:pt>
                      <c:pt idx="981">
                        <c:v>-1.1240662371426069E-2</c:v>
                      </c:pt>
                      <c:pt idx="982">
                        <c:v>-5.8255423714275167E-3</c:v>
                      </c:pt>
                      <c:pt idx="983">
                        <c:v>-1.2329572371427844E-2</c:v>
                      </c:pt>
                      <c:pt idx="984">
                        <c:v>1.7993137628574019E-2</c:v>
                      </c:pt>
                      <c:pt idx="985">
                        <c:v>-2.9806423714262564E-3</c:v>
                      </c:pt>
                      <c:pt idx="986">
                        <c:v>-1.0642252371427574E-2</c:v>
                      </c:pt>
                      <c:pt idx="987">
                        <c:v>-8.0524123714269535E-3</c:v>
                      </c:pt>
                      <c:pt idx="988">
                        <c:v>-5.4821923714261089E-3</c:v>
                      </c:pt>
                      <c:pt idx="989">
                        <c:v>-7.4936992371426925E-2</c:v>
                      </c:pt>
                      <c:pt idx="990">
                        <c:v>-8.1156532371426948E-2</c:v>
                      </c:pt>
                      <c:pt idx="991">
                        <c:v>-9.7201123714274473E-3</c:v>
                      </c:pt>
                      <c:pt idx="992">
                        <c:v>3.9059776285750303E-3</c:v>
                      </c:pt>
                      <c:pt idx="993">
                        <c:v>-4.3240882371426537E-2</c:v>
                      </c:pt>
                      <c:pt idx="994">
                        <c:v>-9.337522371428264E-3</c:v>
                      </c:pt>
                      <c:pt idx="995">
                        <c:v>-1.4183662371427985E-2</c:v>
                      </c:pt>
                      <c:pt idx="996">
                        <c:v>-5.8451623714272927E-3</c:v>
                      </c:pt>
                      <c:pt idx="997">
                        <c:v>-4.1382223714254707E-3</c:v>
                      </c:pt>
                      <c:pt idx="998">
                        <c:v>-5.3252323714261252E-3</c:v>
                      </c:pt>
                      <c:pt idx="999">
                        <c:v>-7.725215237142713E-2</c:v>
                      </c:pt>
                      <c:pt idx="1000">
                        <c:v>-7.9704652371425766E-2</c:v>
                      </c:pt>
                      <c:pt idx="1001">
                        <c:v>-5.4630292371426137E-2</c:v>
                      </c:pt>
                      <c:pt idx="1002">
                        <c:v>-2.5980523714270731E-3</c:v>
                      </c:pt>
                      <c:pt idx="1003">
                        <c:v>-9.6023923714270154E-3</c:v>
                      </c:pt>
                      <c:pt idx="1004">
                        <c:v>-7.3951423714255782E-3</c:v>
                      </c:pt>
                      <c:pt idx="1005">
                        <c:v>-5.5802923714267649E-3</c:v>
                      </c:pt>
                      <c:pt idx="1006">
                        <c:v>1.0704307628571996E-2</c:v>
                      </c:pt>
                      <c:pt idx="1007">
                        <c:v>5.0647628572875192E-5</c:v>
                      </c:pt>
                      <c:pt idx="1008">
                        <c:v>-1.1525152371426373E-2</c:v>
                      </c:pt>
                      <c:pt idx="1009">
                        <c:v>-8.1505123714276095E-3</c:v>
                      </c:pt>
                      <c:pt idx="1010">
                        <c:v>-4.6777723714281905E-3</c:v>
                      </c:pt>
                      <c:pt idx="1011">
                        <c:v>-6.4828123714271157E-3</c:v>
                      </c:pt>
                      <c:pt idx="1012">
                        <c:v>-7.7090623714273221E-3</c:v>
                      </c:pt>
                      <c:pt idx="1013">
                        <c:v>9.5172976285748945E-3</c:v>
                      </c:pt>
                      <c:pt idx="1014">
                        <c:v>-1.1612237142522019E-4</c:v>
                      </c:pt>
                      <c:pt idx="1015">
                        <c:v>-7.8758323714254175E-3</c:v>
                      </c:pt>
                      <c:pt idx="1016">
                        <c:v>-2.8329682371426301E-2</c:v>
                      </c:pt>
                      <c:pt idx="1017">
                        <c:v>-1.2604252371426483E-2</c:v>
                      </c:pt>
                      <c:pt idx="1018">
                        <c:v>-3.5103823714255356E-3</c:v>
                      </c:pt>
                      <c:pt idx="1019">
                        <c:v>-2.3267722371427269E-2</c:v>
                      </c:pt>
                      <c:pt idx="1020">
                        <c:v>-3.4068532371428262E-2</c:v>
                      </c:pt>
                      <c:pt idx="1021">
                        <c:v>-5.4483142371426041E-2</c:v>
                      </c:pt>
                      <c:pt idx="1022">
                        <c:v>1.2048277628572635E-2</c:v>
                      </c:pt>
                      <c:pt idx="1023">
                        <c:v>-3.6020722371425506E-2</c:v>
                      </c:pt>
                      <c:pt idx="1024">
                        <c:v>7.8495976285744007E-3</c:v>
                      </c:pt>
                      <c:pt idx="1025">
                        <c:v>-3.0591223714253601E-3</c:v>
                      </c:pt>
                      <c:pt idx="1026">
                        <c:v>-7.9052623714250814E-3</c:v>
                      </c:pt>
                      <c:pt idx="1027">
                        <c:v>-7.1106523714252745E-3</c:v>
                      </c:pt>
                      <c:pt idx="1028">
                        <c:v>-5.6980123714271969E-3</c:v>
                      </c:pt>
                      <c:pt idx="1029">
                        <c:v>-5.9236423714281727E-3</c:v>
                      </c:pt>
                      <c:pt idx="1030">
                        <c:v>-5.8942123714285088E-3</c:v>
                      </c:pt>
                      <c:pt idx="1031">
                        <c:v>-5.7470623714266367E-3</c:v>
                      </c:pt>
                      <c:pt idx="1032">
                        <c:v>-5.7666823714264126E-3</c:v>
                      </c:pt>
                      <c:pt idx="1033">
                        <c:v>-5.6489623714259807E-3</c:v>
                      </c:pt>
                      <c:pt idx="1034">
                        <c:v>-5.7274423714268607E-3</c:v>
                      </c:pt>
                      <c:pt idx="1035">
                        <c:v>-5.7961123714278528E-3</c:v>
                      </c:pt>
                      <c:pt idx="1036">
                        <c:v>-5.7863023714261885E-3</c:v>
                      </c:pt>
                      <c:pt idx="1037">
                        <c:v>-5.7863023714261885E-3</c:v>
                      </c:pt>
                      <c:pt idx="1038">
                        <c:v>-6.3454723714269079E-3</c:v>
                      </c:pt>
                      <c:pt idx="1039">
                        <c:v>-5.8451623714272927E-3</c:v>
                      </c:pt>
                      <c:pt idx="1040">
                        <c:v>-5.5802923714267649E-3</c:v>
                      </c:pt>
                      <c:pt idx="1041">
                        <c:v>-5.8451623714272927E-3</c:v>
                      </c:pt>
                      <c:pt idx="1042">
                        <c:v>-5.7568723714265246E-3</c:v>
                      </c:pt>
                      <c:pt idx="1043">
                        <c:v>-6.3945223714263477E-3</c:v>
                      </c:pt>
                      <c:pt idx="1044">
                        <c:v>-5.9138323714265084E-3</c:v>
                      </c:pt>
                      <c:pt idx="1045">
                        <c:v>-5.560672371426989E-3</c:v>
                      </c:pt>
                      <c:pt idx="1046">
                        <c:v>-5.7568723714265246E-3</c:v>
                      </c:pt>
                      <c:pt idx="1047">
                        <c:v>-5.6980123714271969E-3</c:v>
                      </c:pt>
                      <c:pt idx="1048">
                        <c:v>-5.7372523714267487E-3</c:v>
                      </c:pt>
                      <c:pt idx="1049">
                        <c:v>-6.217942371426588E-3</c:v>
                      </c:pt>
                      <c:pt idx="1050">
                        <c:v>-5.4135223714251168E-3</c:v>
                      </c:pt>
                      <c:pt idx="1051">
                        <c:v>-6.1100323714278204E-3</c:v>
                      </c:pt>
                      <c:pt idx="1052">
                        <c:v>-7.0027423714265069E-3</c:v>
                      </c:pt>
                      <c:pt idx="1053">
                        <c:v>-7.6698223714277702E-3</c:v>
                      </c:pt>
                      <c:pt idx="1054">
                        <c:v>-5.6293423714279811E-3</c:v>
                      </c:pt>
                      <c:pt idx="1055">
                        <c:v>-5.4331423714266691E-3</c:v>
                      </c:pt>
                      <c:pt idx="1056">
                        <c:v>-7.7483023714268739E-3</c:v>
                      </c:pt>
                      <c:pt idx="1057">
                        <c:v>-5.5116223714257728E-3</c:v>
                      </c:pt>
                      <c:pt idx="1058">
                        <c:v>-5.560672371426989E-3</c:v>
                      </c:pt>
                      <c:pt idx="1059">
                        <c:v>-5.8647823714252922E-3</c:v>
                      </c:pt>
                      <c:pt idx="1060">
                        <c:v>-5.7863023714261885E-3</c:v>
                      </c:pt>
                      <c:pt idx="1061">
                        <c:v>-2.2286722371427814E-2</c:v>
                      </c:pt>
                      <c:pt idx="1062">
                        <c:v>7.3787176285744493E-3</c:v>
                      </c:pt>
                      <c:pt idx="1063">
                        <c:v>-3.5201923714271999E-3</c:v>
                      </c:pt>
                      <c:pt idx="1064">
                        <c:v>-7.0223623714262828E-3</c:v>
                      </c:pt>
                      <c:pt idx="1065">
                        <c:v>-6.2375623714263639E-3</c:v>
                      </c:pt>
                      <c:pt idx="1066">
                        <c:v>-5.5018123714276612E-3</c:v>
                      </c:pt>
                      <c:pt idx="1067">
                        <c:v>-8.1505123714276095E-3</c:v>
                      </c:pt>
                      <c:pt idx="1068">
                        <c:v>-2.4229102371426947E-2</c:v>
                      </c:pt>
                      <c:pt idx="1069">
                        <c:v>-7.0659832371426035E-2</c:v>
                      </c:pt>
                      <c:pt idx="1070">
                        <c:v>1.0498297628574349E-2</c:v>
                      </c:pt>
                      <c:pt idx="1071">
                        <c:v>-1.0004602371427751E-2</c:v>
                      </c:pt>
                      <c:pt idx="1072">
                        <c:v>-7.5226723714258981E-3</c:v>
                      </c:pt>
                      <c:pt idx="1073">
                        <c:v>-5.452762371426445E-3</c:v>
                      </c:pt>
                      <c:pt idx="1074">
                        <c:v>-5.1878923714276937E-3</c:v>
                      </c:pt>
                      <c:pt idx="1075">
                        <c:v>-6.12965237142582E-3</c:v>
                      </c:pt>
                      <c:pt idx="1076">
                        <c:v>-8.8764523714264243E-3</c:v>
                      </c:pt>
                      <c:pt idx="1077">
                        <c:v>-6.0806023714281565E-3</c:v>
                      </c:pt>
                      <c:pt idx="1078">
                        <c:v>-5.8745923714269566E-3</c:v>
                      </c:pt>
                      <c:pt idx="1079">
                        <c:v>-5.8059223714259645E-3</c:v>
                      </c:pt>
                      <c:pt idx="1080">
                        <c:v>-5.8157323714276288E-3</c:v>
                      </c:pt>
                      <c:pt idx="1081">
                        <c:v>-5.6489623714259807E-3</c:v>
                      </c:pt>
                      <c:pt idx="1082">
                        <c:v>-5.658772371427645E-3</c:v>
                      </c:pt>
                      <c:pt idx="1083">
                        <c:v>-2.1011422371426391E-2</c:v>
                      </c:pt>
                      <c:pt idx="1084">
                        <c:v>-8.9985532371427368E-2</c:v>
                      </c:pt>
                      <c:pt idx="1085">
                        <c:v>-8.9436172371426537E-2</c:v>
                      </c:pt>
                      <c:pt idx="1086">
                        <c:v>2.5227676285730638E-3</c:v>
                      </c:pt>
                      <c:pt idx="1087">
                        <c:v>-7.4441923714267944E-3</c:v>
                      </c:pt>
                      <c:pt idx="1088">
                        <c:v>-6.9536923714270671E-3</c:v>
                      </c:pt>
                      <c:pt idx="1089">
                        <c:v>-6.7771123714273074E-3</c:v>
                      </c:pt>
                      <c:pt idx="1090">
                        <c:v>-4.9916923714263817E-3</c:v>
                      </c:pt>
                      <c:pt idx="1091">
                        <c:v>-5.8451623714272927E-3</c:v>
                      </c:pt>
                      <c:pt idx="1092">
                        <c:v>-6.4043323714262357E-3</c:v>
                      </c:pt>
                      <c:pt idx="1093">
                        <c:v>-9.1805623714282802E-3</c:v>
                      </c:pt>
                      <c:pt idx="1094">
                        <c:v>-9.4184212371427378E-2</c:v>
                      </c:pt>
                      <c:pt idx="1095">
                        <c:v>-8.2388023714266012E-3</c:v>
                      </c:pt>
                      <c:pt idx="1096">
                        <c:v>-1.4850742371427472E-2</c:v>
                      </c:pt>
                      <c:pt idx="1097">
                        <c:v>-7.8758323714254175E-3</c:v>
                      </c:pt>
                      <c:pt idx="1098">
                        <c:v>-2.4631312371425906E-2</c:v>
                      </c:pt>
                      <c:pt idx="1099">
                        <c:v>-8.3952382371426992E-2</c:v>
                      </c:pt>
                      <c:pt idx="1100">
                        <c:v>-5.7867592371426468E-2</c:v>
                      </c:pt>
                      <c:pt idx="1101">
                        <c:v>-1.6224142371427774E-2</c:v>
                      </c:pt>
                      <c:pt idx="1102">
                        <c:v>4.9556476285719242E-3</c:v>
                      </c:pt>
                      <c:pt idx="1103">
                        <c:v>-1.5861172371426591E-2</c:v>
                      </c:pt>
                      <c:pt idx="1104">
                        <c:v>-7.2631642371426608E-2</c:v>
                      </c:pt>
                      <c:pt idx="1105">
                        <c:v>-7.7772082371426521E-2</c:v>
                      </c:pt>
                      <c:pt idx="1106">
                        <c:v>-1.8970942371426602E-2</c:v>
                      </c:pt>
                      <c:pt idx="1107">
                        <c:v>-1.5223522371426768E-2</c:v>
                      </c:pt>
                      <c:pt idx="1108">
                        <c:v>-3.6967723714269596E-3</c:v>
                      </c:pt>
                      <c:pt idx="1109">
                        <c:v>-5.9530723714278366E-3</c:v>
                      </c:pt>
                      <c:pt idx="1110">
                        <c:v>-2.491580237142621E-2</c:v>
                      </c:pt>
                      <c:pt idx="1111">
                        <c:v>-4.3368412371426857E-2</c:v>
                      </c:pt>
                      <c:pt idx="1112">
                        <c:v>-3.9714523714273753E-3</c:v>
                      </c:pt>
                      <c:pt idx="1113">
                        <c:v>-6.8752123714279634E-3</c:v>
                      </c:pt>
                      <c:pt idx="1114">
                        <c:v>-6.7967323714270833E-3</c:v>
                      </c:pt>
                      <c:pt idx="1115">
                        <c:v>-4.3554802371426504E-2</c:v>
                      </c:pt>
                      <c:pt idx="1116">
                        <c:v>-1.4978272371427792E-2</c:v>
                      </c:pt>
                      <c:pt idx="1117">
                        <c:v>-7.1150332371425762E-2</c:v>
                      </c:pt>
                      <c:pt idx="1118">
                        <c:v>-2.9879662371426363E-2</c:v>
                      </c:pt>
                      <c:pt idx="1119">
                        <c:v>1.1557777628574684E-2</c:v>
                      </c:pt>
                      <c:pt idx="1120">
                        <c:v>-2.7648223714251685E-3</c:v>
                      </c:pt>
                      <c:pt idx="1121">
                        <c:v>-5.3252323714261252E-3</c:v>
                      </c:pt>
                      <c:pt idx="1122">
                        <c:v>-4.5502423714278706E-3</c:v>
                      </c:pt>
                      <c:pt idx="1123">
                        <c:v>0</c:v>
                      </c:pt>
                      <c:pt idx="1124">
                        <c:v>0</c:v>
                      </c:pt>
                      <c:pt idx="1125">
                        <c:v>0</c:v>
                      </c:pt>
                      <c:pt idx="1126">
                        <c:v>0</c:v>
                      </c:pt>
                      <c:pt idx="1127">
                        <c:v>0</c:v>
                      </c:pt>
                      <c:pt idx="1128">
                        <c:v>0</c:v>
                      </c:pt>
                      <c:pt idx="1129">
                        <c:v>0</c:v>
                      </c:pt>
                      <c:pt idx="1130">
                        <c:v>0</c:v>
                      </c:pt>
                      <c:pt idx="1131">
                        <c:v>0</c:v>
                      </c:pt>
                      <c:pt idx="1132">
                        <c:v>0</c:v>
                      </c:pt>
                      <c:pt idx="1133">
                        <c:v>0</c:v>
                      </c:pt>
                      <c:pt idx="1134">
                        <c:v>0</c:v>
                      </c:pt>
                      <c:pt idx="1135">
                        <c:v>0</c:v>
                      </c:pt>
                      <c:pt idx="1136">
                        <c:v>0</c:v>
                      </c:pt>
                      <c:pt idx="1137">
                        <c:v>0</c:v>
                      </c:pt>
                      <c:pt idx="1138">
                        <c:v>0</c:v>
                      </c:pt>
                      <c:pt idx="1139">
                        <c:v>0</c:v>
                      </c:pt>
                      <c:pt idx="1140">
                        <c:v>0</c:v>
                      </c:pt>
                      <c:pt idx="1141">
                        <c:v>0</c:v>
                      </c:pt>
                      <c:pt idx="1142">
                        <c:v>0</c:v>
                      </c:pt>
                      <c:pt idx="1143">
                        <c:v>0</c:v>
                      </c:pt>
                      <c:pt idx="1144">
                        <c:v>0</c:v>
                      </c:pt>
                      <c:pt idx="1145">
                        <c:v>0</c:v>
                      </c:pt>
                      <c:pt idx="1146">
                        <c:v>0</c:v>
                      </c:pt>
                      <c:pt idx="1147">
                        <c:v>0</c:v>
                      </c:pt>
                      <c:pt idx="1148">
                        <c:v>0</c:v>
                      </c:pt>
                      <c:pt idx="1149">
                        <c:v>0</c:v>
                      </c:pt>
                      <c:pt idx="1150">
                        <c:v>0</c:v>
                      </c:pt>
                    </c:numCache>
                  </c:numRef>
                </c:yVal>
                <c:smooth val="0"/>
                <c:extLst>
                  <c:ext xmlns:c16="http://schemas.microsoft.com/office/drawing/2014/chart" uri="{C3380CC4-5D6E-409C-BE32-E72D297353CC}">
                    <c16:uniqueId val="{00000002-58DC-4090-B73F-076D065C5A88}"/>
                  </c:ext>
                </c:extLst>
              </c15:ser>
            </c15:filteredScatterSeries>
          </c:ext>
        </c:extLst>
      </c:scatterChart>
      <c:valAx>
        <c:axId val="65831966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40784368"/>
        <c:crosses val="autoZero"/>
        <c:crossBetween val="midCat"/>
      </c:valAx>
      <c:valAx>
        <c:axId val="6407843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5831966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filtered Data + Height</a:t>
            </a:r>
          </a:p>
        </c:rich>
      </c:tx>
      <c:layout>
        <c:manualLayout>
          <c:xMode val="edge"/>
          <c:yMode val="edge"/>
          <c:x val="0.26494138888888885"/>
          <c:y val="4.2333333333333334E-2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lineMarker"/>
        <c:varyColors val="0"/>
        <c:ser>
          <c:idx val="2"/>
          <c:order val="1"/>
          <c:tx>
            <c:v>Integral 1</c:v>
          </c:tx>
          <c:spPr>
            <a:ln w="19050">
              <a:noFill/>
            </a:ln>
          </c:spPr>
          <c:marker>
            <c:symbol val="circle"/>
            <c:size val="3"/>
            <c:spPr>
              <a:solidFill>
                <a:schemeClr val="accent1"/>
              </a:solidFill>
              <a:ln>
                <a:solidFill>
                  <a:schemeClr val="accent1"/>
                </a:solidFill>
              </a:ln>
            </c:spPr>
          </c:marker>
          <c:xVal>
            <c:numRef>
              <c:f>'Real Values'!$B$2:$B$1800</c:f>
              <c:numCache>
                <c:formatCode>General</c:formatCode>
                <c:ptCount val="1799"/>
                <c:pt idx="0">
                  <c:v>5.2599999995436519E-2</c:v>
                </c:pt>
                <c:pt idx="1">
                  <c:v>7.1112999998149462E-2</c:v>
                </c:pt>
                <c:pt idx="2">
                  <c:v>9.1904000000795349E-2</c:v>
                </c:pt>
                <c:pt idx="3">
                  <c:v>0.10767899999336805</c:v>
                </c:pt>
                <c:pt idx="4">
                  <c:v>0.13174199999775738</c:v>
                </c:pt>
                <c:pt idx="5">
                  <c:v>0.15130599999974947</c:v>
                </c:pt>
                <c:pt idx="6">
                  <c:v>0.16790099999343511</c:v>
                </c:pt>
                <c:pt idx="7">
                  <c:v>0.1887060000008205</c:v>
                </c:pt>
                <c:pt idx="8">
                  <c:v>0.21346100000664592</c:v>
                </c:pt>
                <c:pt idx="9">
                  <c:v>0.22705699999642093</c:v>
                </c:pt>
                <c:pt idx="10">
                  <c:v>0.24826999999640975</c:v>
                </c:pt>
                <c:pt idx="11">
                  <c:v>0.26694099999440368</c:v>
                </c:pt>
                <c:pt idx="12">
                  <c:v>0.29261899999983143</c:v>
                </c:pt>
                <c:pt idx="13">
                  <c:v>0.31316000000515487</c:v>
                </c:pt>
                <c:pt idx="14">
                  <c:v>0.33193600000231527</c:v>
                </c:pt>
                <c:pt idx="15">
                  <c:v>0.3471949999948265</c:v>
                </c:pt>
                <c:pt idx="16">
                  <c:v>0.36253399999986868</c:v>
                </c:pt>
                <c:pt idx="17">
                  <c:v>0.39266500000667293</c:v>
                </c:pt>
                <c:pt idx="18">
                  <c:v>0.40777599999273662</c:v>
                </c:pt>
                <c:pt idx="19">
                  <c:v>0.43277499999385327</c:v>
                </c:pt>
                <c:pt idx="20">
                  <c:v>0.45146999999997206</c:v>
                </c:pt>
                <c:pt idx="21">
                  <c:v>0.46772000000055414</c:v>
                </c:pt>
                <c:pt idx="22">
                  <c:v>0.48933199999737553</c:v>
                </c:pt>
                <c:pt idx="23">
                  <c:v>0.50939500000094995</c:v>
                </c:pt>
                <c:pt idx="24">
                  <c:v>0.52885000000242144</c:v>
                </c:pt>
                <c:pt idx="25">
                  <c:v>0.54839799999899697</c:v>
                </c:pt>
                <c:pt idx="26">
                  <c:v>0.56978499999968335</c:v>
                </c:pt>
                <c:pt idx="27">
                  <c:v>0.58849900000495836</c:v>
                </c:pt>
                <c:pt idx="28">
                  <c:v>0.61144700000295416</c:v>
                </c:pt>
                <c:pt idx="29">
                  <c:v>0.6288020000065444</c:v>
                </c:pt>
                <c:pt idx="30">
                  <c:v>0.65030599999590777</c:v>
                </c:pt>
                <c:pt idx="31">
                  <c:v>0.67232100000546779</c:v>
                </c:pt>
                <c:pt idx="32">
                  <c:v>0.68908599999849685</c:v>
                </c:pt>
                <c:pt idx="33">
                  <c:v>0.71103900000161957</c:v>
                </c:pt>
                <c:pt idx="34">
                  <c:v>0.73151300000608899</c:v>
                </c:pt>
                <c:pt idx="35">
                  <c:v>0.74727399999392219</c:v>
                </c:pt>
                <c:pt idx="36">
                  <c:v>0.76911399999517016</c:v>
                </c:pt>
                <c:pt idx="37">
                  <c:v>0.79029099999752361</c:v>
                </c:pt>
                <c:pt idx="38">
                  <c:v>0.79935000000114087</c:v>
                </c:pt>
                <c:pt idx="39">
                  <c:v>0.83206099999370053</c:v>
                </c:pt>
                <c:pt idx="40">
                  <c:v>0.85044399999605957</c:v>
                </c:pt>
                <c:pt idx="41">
                  <c:v>0.87058800000522751</c:v>
                </c:pt>
                <c:pt idx="42">
                  <c:v>0.89076300000306219</c:v>
                </c:pt>
                <c:pt idx="43">
                  <c:v>0.91084300000511575</c:v>
                </c:pt>
                <c:pt idx="44">
                  <c:v>0.93167299999913666</c:v>
                </c:pt>
                <c:pt idx="45">
                  <c:v>0.94603799999458715</c:v>
                </c:pt>
                <c:pt idx="46">
                  <c:v>0.97082400000363123</c:v>
                </c:pt>
                <c:pt idx="47">
                  <c:v>0.99126799999794457</c:v>
                </c:pt>
                <c:pt idx="48">
                  <c:v>1.0061920000007376</c:v>
                </c:pt>
                <c:pt idx="49">
                  <c:v>1.0268289999949047</c:v>
                </c:pt>
                <c:pt idx="50">
                  <c:v>1.046040000001085</c:v>
                </c:pt>
                <c:pt idx="51">
                  <c:v>1.0720909999945434</c:v>
                </c:pt>
                <c:pt idx="52">
                  <c:v>1.0898290000041015</c:v>
                </c:pt>
                <c:pt idx="53">
                  <c:v>1.10770500000217</c:v>
                </c:pt>
                <c:pt idx="54">
                  <c:v>1.1321060000045691</c:v>
                </c:pt>
                <c:pt idx="55">
                  <c:v>1.1494200000015553</c:v>
                </c:pt>
                <c:pt idx="56">
                  <c:v>1.1718129999935627</c:v>
                </c:pt>
                <c:pt idx="57">
                  <c:v>1.1912400000001071</c:v>
                </c:pt>
                <c:pt idx="58">
                  <c:v>1.2120719999948051</c:v>
                </c:pt>
                <c:pt idx="59">
                  <c:v>1.2298180000070715</c:v>
                </c:pt>
                <c:pt idx="60">
                  <c:v>1.2522989999997662</c:v>
                </c:pt>
                <c:pt idx="61">
                  <c:v>1.2725670000072569</c:v>
                </c:pt>
                <c:pt idx="62">
                  <c:v>1.2926980000047479</c:v>
                </c:pt>
                <c:pt idx="63">
                  <c:v>1.3091259999928297</c:v>
                </c:pt>
                <c:pt idx="64">
                  <c:v>1.3326839999936055</c:v>
                </c:pt>
                <c:pt idx="65">
                  <c:v>1.3498839999956544</c:v>
                </c:pt>
                <c:pt idx="66">
                  <c:v>1.370003000003635</c:v>
                </c:pt>
                <c:pt idx="67">
                  <c:v>1.388120000003255</c:v>
                </c:pt>
                <c:pt idx="68">
                  <c:v>1.4047730000020238</c:v>
                </c:pt>
                <c:pt idx="69">
                  <c:v>1.4334419999941019</c:v>
                </c:pt>
                <c:pt idx="70">
                  <c:v>1.4489659999962896</c:v>
                </c:pt>
                <c:pt idx="71">
                  <c:v>1.4688380000006873</c:v>
                </c:pt>
                <c:pt idx="72">
                  <c:v>1.4888170000049286</c:v>
                </c:pt>
                <c:pt idx="73">
                  <c:v>1.5088760000071488</c:v>
                </c:pt>
                <c:pt idx="74">
                  <c:v>1.5299470000027213</c:v>
                </c:pt>
                <c:pt idx="75">
                  <c:v>1.5525769999949262</c:v>
                </c:pt>
                <c:pt idx="76">
                  <c:v>1.569312000006903</c:v>
                </c:pt>
                <c:pt idx="77">
                  <c:v>1.5915329999988899</c:v>
                </c:pt>
                <c:pt idx="78">
                  <c:v>1.609452999997302</c:v>
                </c:pt>
                <c:pt idx="79">
                  <c:v>1.629335000005085</c:v>
                </c:pt>
                <c:pt idx="80">
                  <c:v>1.6445709999970859</c:v>
                </c:pt>
                <c:pt idx="81">
                  <c:v>1.6701780000003055</c:v>
                </c:pt>
                <c:pt idx="82">
                  <c:v>1.6902649999974528</c:v>
                </c:pt>
                <c:pt idx="83">
                  <c:v>1.7111560000048485</c:v>
                </c:pt>
                <c:pt idx="84">
                  <c:v>1.7268270000058692</c:v>
                </c:pt>
                <c:pt idx="85">
                  <c:v>1.7516009999962989</c:v>
                </c:pt>
                <c:pt idx="86">
                  <c:v>1.7652260000031674</c:v>
                </c:pt>
                <c:pt idx="87">
                  <c:v>1.7857209999929182</c:v>
                </c:pt>
                <c:pt idx="88">
                  <c:v>1.8108459999930346</c:v>
                </c:pt>
                <c:pt idx="89">
                  <c:v>1.8259269999980461</c:v>
                </c:pt>
                <c:pt idx="90">
                  <c:v>1.8516570000065258</c:v>
                </c:pt>
                <c:pt idx="91">
                  <c:v>1.8665509999991627</c:v>
                </c:pt>
                <c:pt idx="92">
                  <c:v>1.8916880000033416</c:v>
                </c:pt>
                <c:pt idx="93">
                  <c:v>1.9009709999954794</c:v>
                </c:pt>
                <c:pt idx="94">
                  <c:v>1.9325919999973848</c:v>
                </c:pt>
                <c:pt idx="95">
                  <c:v>1.9516719999955967</c:v>
                </c:pt>
                <c:pt idx="96">
                  <c:v>1.9624049999983981</c:v>
                </c:pt>
                <c:pt idx="97">
                  <c:v>1.9868080000014743</c:v>
                </c:pt>
                <c:pt idx="98">
                  <c:v>2.0070249999989755</c:v>
                </c:pt>
                <c:pt idx="99">
                  <c:v>2.0269549999939045</c:v>
                </c:pt>
                <c:pt idx="100">
                  <c:v>2.0515290000039386</c:v>
                </c:pt>
                <c:pt idx="101">
                  <c:v>2.06706000000122</c:v>
                </c:pt>
                <c:pt idx="102">
                  <c:v>2.0930939999961993</c:v>
                </c:pt>
                <c:pt idx="103">
                  <c:v>2.1083260000013979</c:v>
                </c:pt>
                <c:pt idx="104">
                  <c:v>2.1305220000067493</c:v>
                </c:pt>
                <c:pt idx="105">
                  <c:v>2.1532779999979539</c:v>
                </c:pt>
                <c:pt idx="106">
                  <c:v>2.1726889999990817</c:v>
                </c:pt>
                <c:pt idx="107">
                  <c:v>2.1923870000027819</c:v>
                </c:pt>
                <c:pt idx="108">
                  <c:v>2.2102259999956004</c:v>
                </c:pt>
                <c:pt idx="109">
                  <c:v>2.2300249999971129</c:v>
                </c:pt>
                <c:pt idx="110">
                  <c:v>2.24872800000594</c:v>
                </c:pt>
                <c:pt idx="111">
                  <c:v>2.2715969999990193</c:v>
                </c:pt>
                <c:pt idx="112">
                  <c:v>2.2880569999979343</c:v>
                </c:pt>
                <c:pt idx="113">
                  <c:v>2.3085750000027474</c:v>
                </c:pt>
                <c:pt idx="114">
                  <c:v>2.3256039999978384</c:v>
                </c:pt>
                <c:pt idx="115">
                  <c:v>2.3487920000043232</c:v>
                </c:pt>
                <c:pt idx="116">
                  <c:v>2.3692259999952512</c:v>
                </c:pt>
                <c:pt idx="117">
                  <c:v>2.3854379999975208</c:v>
                </c:pt>
                <c:pt idx="118">
                  <c:v>2.4134559999947669</c:v>
                </c:pt>
                <c:pt idx="119">
                  <c:v>2.4298479999997653</c:v>
                </c:pt>
                <c:pt idx="120">
                  <c:v>2.4493689999944763</c:v>
                </c:pt>
                <c:pt idx="121">
                  <c:v>2.4721229999995558</c:v>
                </c:pt>
                <c:pt idx="122">
                  <c:v>2.4891680000000633</c:v>
                </c:pt>
                <c:pt idx="123">
                  <c:v>2.509661000003689</c:v>
                </c:pt>
                <c:pt idx="124">
                  <c:v>2.5303010000061477</c:v>
                </c:pt>
                <c:pt idx="125">
                  <c:v>2.5504150000051595</c:v>
                </c:pt>
                <c:pt idx="126">
                  <c:v>2.5750589999952354</c:v>
                </c:pt>
                <c:pt idx="127">
                  <c:v>2.5918490000040038</c:v>
                </c:pt>
                <c:pt idx="128">
                  <c:v>2.6100290000031237</c:v>
                </c:pt>
                <c:pt idx="129">
                  <c:v>2.6315659999963827</c:v>
                </c:pt>
                <c:pt idx="130">
                  <c:v>2.6451470000029076</c:v>
                </c:pt>
                <c:pt idx="131">
                  <c:v>2.6706280000071274</c:v>
                </c:pt>
                <c:pt idx="132">
                  <c:v>2.6857840000011493</c:v>
                </c:pt>
                <c:pt idx="133">
                  <c:v>2.7118340000015451</c:v>
                </c:pt>
                <c:pt idx="134">
                  <c:v>2.7317559999937657</c:v>
                </c:pt>
                <c:pt idx="135">
                  <c:v>2.7467389999947045</c:v>
                </c:pt>
                <c:pt idx="136">
                  <c:v>2.7717359999951441</c:v>
                </c:pt>
                <c:pt idx="137">
                  <c:v>2.7823230000067269</c:v>
                </c:pt>
                <c:pt idx="138">
                  <c:v>2.8119140000053449</c:v>
                </c:pt>
                <c:pt idx="139">
                  <c:v>2.8209769999957643</c:v>
                </c:pt>
                <c:pt idx="140">
                  <c:v>2.8517180000053486</c:v>
                </c:pt>
                <c:pt idx="141">
                  <c:v>2.8717109999997774</c:v>
                </c:pt>
                <c:pt idx="142">
                  <c:v>2.8814480000000913</c:v>
                </c:pt>
                <c:pt idx="143">
                  <c:v>2.907361999998102</c:v>
                </c:pt>
                <c:pt idx="144">
                  <c:v>2.9234009999927366</c:v>
                </c:pt>
                <c:pt idx="145">
                  <c:v>2.9484079999965616</c:v>
                </c:pt>
                <c:pt idx="146">
                  <c:v>2.9674059999961173</c:v>
                </c:pt>
                <c:pt idx="147">
                  <c:v>2.9871710000006715</c:v>
                </c:pt>
                <c:pt idx="148">
                  <c:v>3.0097939999977825</c:v>
                </c:pt>
                <c:pt idx="149">
                  <c:v>3.0274820000049658</c:v>
                </c:pt>
                <c:pt idx="150">
                  <c:v>3.0492830000002868</c:v>
                </c:pt>
                <c:pt idx="151">
                  <c:v>3.0676649999950314</c:v>
                </c:pt>
                <c:pt idx="152">
                  <c:v>3.0877840000030119</c:v>
                </c:pt>
                <c:pt idx="153">
                  <c:v>3.1087350000016158</c:v>
                </c:pt>
                <c:pt idx="154">
                  <c:v>3.1290100000042003</c:v>
                </c:pt>
                <c:pt idx="155">
                  <c:v>3.1441970000014408</c:v>
                </c:pt>
                <c:pt idx="156">
                  <c:v>3.168403000003309</c:v>
                </c:pt>
                <c:pt idx="157">
                  <c:v>3.1924449999933131</c:v>
                </c:pt>
                <c:pt idx="158">
                  <c:v>3.2133500000054482</c:v>
                </c:pt>
                <c:pt idx="159">
                  <c:v>3.2285600000031991</c:v>
                </c:pt>
                <c:pt idx="160">
                  <c:v>3.2441200000030221</c:v>
                </c:pt>
                <c:pt idx="161">
                  <c:v>3.2694909999991069</c:v>
                </c:pt>
                <c:pt idx="162">
                  <c:v>3.2937539999984438</c:v>
                </c:pt>
                <c:pt idx="163">
                  <c:v>3.3104580000072019</c:v>
                </c:pt>
                <c:pt idx="164">
                  <c:v>3.3294350000069244</c:v>
                </c:pt>
                <c:pt idx="165">
                  <c:v>3.349277000001166</c:v>
                </c:pt>
                <c:pt idx="166">
                  <c:v>3.3719500000006519</c:v>
                </c:pt>
                <c:pt idx="167">
                  <c:v>3.3908150000061141</c:v>
                </c:pt>
                <c:pt idx="168">
                  <c:v>3.4054869999963557</c:v>
                </c:pt>
                <c:pt idx="169">
                  <c:v>3.4302049999969313</c:v>
                </c:pt>
                <c:pt idx="170">
                  <c:v>3.4520959999936167</c:v>
                </c:pt>
                <c:pt idx="171">
                  <c:v>3.4648049999959767</c:v>
                </c:pt>
                <c:pt idx="172">
                  <c:v>3.49079100000381</c:v>
                </c:pt>
                <c:pt idx="173">
                  <c:v>3.5001929999998538</c:v>
                </c:pt>
                <c:pt idx="174">
                  <c:v>3.530681000003824</c:v>
                </c:pt>
                <c:pt idx="175">
                  <c:v>3.5506500000046799</c:v>
                </c:pt>
                <c:pt idx="176">
                  <c:v>3.5687520000064978</c:v>
                </c:pt>
                <c:pt idx="177">
                  <c:v>3.5910089999961201</c:v>
                </c:pt>
                <c:pt idx="178">
                  <c:v>3.6056269999971846</c:v>
                </c:pt>
                <c:pt idx="179">
                  <c:v>3.6308080000017071</c:v>
                </c:pt>
                <c:pt idx="180">
                  <c:v>3.6516960000008112</c:v>
                </c:pt>
                <c:pt idx="181">
                  <c:v>3.667555000007269</c:v>
                </c:pt>
                <c:pt idx="182">
                  <c:v>3.6924319999961881</c:v>
                </c:pt>
                <c:pt idx="183">
                  <c:v>3.7116790000000037</c:v>
                </c:pt>
                <c:pt idx="184">
                  <c:v>3.7264719999948284</c:v>
                </c:pt>
                <c:pt idx="185">
                  <c:v>3.7474039999942761</c:v>
                </c:pt>
                <c:pt idx="186">
                  <c:v>3.7724869999947259</c:v>
                </c:pt>
                <c:pt idx="187">
                  <c:v>3.7934470000036526</c:v>
                </c:pt>
                <c:pt idx="188">
                  <c:v>3.8076810000056867</c:v>
                </c:pt>
                <c:pt idx="189">
                  <c:v>3.832116000005044</c:v>
                </c:pt>
                <c:pt idx="190">
                  <c:v>3.842545000006794</c:v>
                </c:pt>
                <c:pt idx="191">
                  <c:v>3.871406999998726</c:v>
                </c:pt>
                <c:pt idx="192">
                  <c:v>3.8925960000051418</c:v>
                </c:pt>
                <c:pt idx="193">
                  <c:v>3.9126749999995809</c:v>
                </c:pt>
                <c:pt idx="194">
                  <c:v>3.9245519999967655</c:v>
                </c:pt>
                <c:pt idx="195">
                  <c:v>3.9481229999946663</c:v>
                </c:pt>
                <c:pt idx="196">
                  <c:v>3.9634170000063023</c:v>
                </c:pt>
                <c:pt idx="197">
                  <c:v>3.9902120000042487</c:v>
                </c:pt>
                <c:pt idx="198">
                  <c:v>4.0082729999994626</c:v>
                </c:pt>
                <c:pt idx="199">
                  <c:v>4.0329040000069654</c:v>
                </c:pt>
                <c:pt idx="200">
                  <c:v>4.0485679999983404</c:v>
                </c:pt>
                <c:pt idx="201">
                  <c:v>4.0655729999998584</c:v>
                </c:pt>
                <c:pt idx="202">
                  <c:v>4.0885209999978542</c:v>
                </c:pt>
                <c:pt idx="203">
                  <c:v>4.1096580000012182</c:v>
                </c:pt>
                <c:pt idx="204">
                  <c:v>4.1296569999976782</c:v>
                </c:pt>
                <c:pt idx="205">
                  <c:v>4.1485169999941718</c:v>
                </c:pt>
                <c:pt idx="206">
                  <c:v>4.1641729999973904</c:v>
                </c:pt>
                <c:pt idx="207">
                  <c:v>4.1927120000036666</c:v>
                </c:pt>
                <c:pt idx="208">
                  <c:v>4.210573000003933</c:v>
                </c:pt>
                <c:pt idx="209">
                  <c:v>4.2300249999971129</c:v>
                </c:pt>
                <c:pt idx="210">
                  <c:v>4.2491770000051474</c:v>
                </c:pt>
                <c:pt idx="211">
                  <c:v>4.2693810000055237</c:v>
                </c:pt>
                <c:pt idx="212">
                  <c:v>4.2926810000062687</c:v>
                </c:pt>
                <c:pt idx="213">
                  <c:v>4.3123619999969378</c:v>
                </c:pt>
                <c:pt idx="214">
                  <c:v>4.3236270000052173</c:v>
                </c:pt>
                <c:pt idx="215">
                  <c:v>4.3512570000020787</c:v>
                </c:pt>
                <c:pt idx="216">
                  <c:v>4.370452999995905</c:v>
                </c:pt>
                <c:pt idx="217">
                  <c:v>4.3855949999997392</c:v>
                </c:pt>
                <c:pt idx="218">
                  <c:v>4.4116510000021663</c:v>
                </c:pt>
                <c:pt idx="219">
                  <c:v>4.4319560000003548</c:v>
                </c:pt>
                <c:pt idx="220">
                  <c:v>4.450609000006807</c:v>
                </c:pt>
                <c:pt idx="221">
                  <c:v>4.4711410000018077</c:v>
                </c:pt>
                <c:pt idx="222">
                  <c:v>4.4914649999991525</c:v>
                </c:pt>
                <c:pt idx="223">
                  <c:v>4.5113770000025397</c:v>
                </c:pt>
                <c:pt idx="224">
                  <c:v>4.5335110000014538</c:v>
                </c:pt>
                <c:pt idx="225">
                  <c:v>4.5518880000017816</c:v>
                </c:pt>
                <c:pt idx="226">
                  <c:v>4.5727159999951255</c:v>
                </c:pt>
                <c:pt idx="227">
                  <c:v>4.5875990000058664</c:v>
                </c:pt>
                <c:pt idx="228">
                  <c:v>4.6115790000039851</c:v>
                </c:pt>
                <c:pt idx="229">
                  <c:v>4.6289269999979297</c:v>
                </c:pt>
                <c:pt idx="230">
                  <c:v>4.6466459999937797</c:v>
                </c:pt>
                <c:pt idx="231">
                  <c:v>4.6679900000017369</c:v>
                </c:pt>
                <c:pt idx="232">
                  <c:v>4.6924699999945005</c:v>
                </c:pt>
                <c:pt idx="233">
                  <c:v>4.7072829999960959</c:v>
                </c:pt>
                <c:pt idx="234">
                  <c:v>4.7321640000009211</c:v>
                </c:pt>
                <c:pt idx="235">
                  <c:v>4.7488690000027418</c:v>
                </c:pt>
                <c:pt idx="236">
                  <c:v>4.7680560000007972</c:v>
                </c:pt>
                <c:pt idx="237">
                  <c:v>4.7922260000050301</c:v>
                </c:pt>
                <c:pt idx="238">
                  <c:v>4.8123060000070836</c:v>
                </c:pt>
                <c:pt idx="239">
                  <c:v>4.8278129999962403</c:v>
                </c:pt>
                <c:pt idx="240">
                  <c:v>4.8518710000062129</c:v>
                </c:pt>
                <c:pt idx="241">
                  <c:v>4.8685109999933047</c:v>
                </c:pt>
                <c:pt idx="242">
                  <c:v>4.8900969999958761</c:v>
                </c:pt>
                <c:pt idx="243">
                  <c:v>4.9109770000068238</c:v>
                </c:pt>
                <c:pt idx="244">
                  <c:v>4.9282450000027893</c:v>
                </c:pt>
                <c:pt idx="245">
                  <c:v>4.9505219999991823</c:v>
                </c:pt>
                <c:pt idx="246">
                  <c:v>4.9698499999940395</c:v>
                </c:pt>
                <c:pt idx="247">
                  <c:v>4.992593000002671</c:v>
                </c:pt>
                <c:pt idx="248">
                  <c:v>5.0088120000000345</c:v>
                </c:pt>
                <c:pt idx="249">
                  <c:v>5.0316100000054576</c:v>
                </c:pt>
                <c:pt idx="250">
                  <c:v>5.0499969999946188</c:v>
                </c:pt>
                <c:pt idx="251">
                  <c:v>5.0693129999999655</c:v>
                </c:pt>
                <c:pt idx="252">
                  <c:v>5.0893229999928735</c:v>
                </c:pt>
                <c:pt idx="253">
                  <c:v>5.1057020000007469</c:v>
                </c:pt>
                <c:pt idx="254">
                  <c:v>5.1303250000055414</c:v>
                </c:pt>
                <c:pt idx="255">
                  <c:v>5.1522410000034142</c:v>
                </c:pt>
                <c:pt idx="256">
                  <c:v>5.1705280000023777</c:v>
                </c:pt>
                <c:pt idx="257">
                  <c:v>5.1904260000010254</c:v>
                </c:pt>
                <c:pt idx="258">
                  <c:v>5.2120589999976801</c:v>
                </c:pt>
                <c:pt idx="259">
                  <c:v>5.23209499999939</c:v>
                </c:pt>
                <c:pt idx="260">
                  <c:v>5.2414469999930589</c:v>
                </c:pt>
                <c:pt idx="261">
                  <c:v>5.2651409999962198</c:v>
                </c:pt>
                <c:pt idx="262">
                  <c:v>5.2915400000056252</c:v>
                </c:pt>
                <c:pt idx="263">
                  <c:v>5.3114269999932731</c:v>
                </c:pt>
                <c:pt idx="264">
                  <c:v>5.3258539999951608</c:v>
                </c:pt>
                <c:pt idx="265">
                  <c:v>5.3507320000062464</c:v>
                </c:pt>
                <c:pt idx="266">
                  <c:v>5.3712130000058096</c:v>
                </c:pt>
                <c:pt idx="267">
                  <c:v>5.3883910000004107</c:v>
                </c:pt>
                <c:pt idx="268">
                  <c:v>5.411642999999458</c:v>
                </c:pt>
                <c:pt idx="269">
                  <c:v>5.4311230000021169</c:v>
                </c:pt>
                <c:pt idx="270">
                  <c:v>5.4486299999989569</c:v>
                </c:pt>
                <c:pt idx="271">
                  <c:v>5.4724680000072112</c:v>
                </c:pt>
                <c:pt idx="272">
                  <c:v>5.4919269999954849</c:v>
                </c:pt>
                <c:pt idx="273">
                  <c:v>5.511863000006997</c:v>
                </c:pt>
                <c:pt idx="274">
                  <c:v>5.5304809999943245</c:v>
                </c:pt>
                <c:pt idx="275">
                  <c:v>5.5470349999959581</c:v>
                </c:pt>
                <c:pt idx="276">
                  <c:v>5.5724880000052508</c:v>
                </c:pt>
                <c:pt idx="277">
                  <c:v>5.5827129999961471</c:v>
                </c:pt>
                <c:pt idx="278">
                  <c:v>5.6128069999977015</c:v>
                </c:pt>
                <c:pt idx="279">
                  <c:v>5.6301979999989271</c:v>
                </c:pt>
                <c:pt idx="280">
                  <c:v>5.6481090000015683</c:v>
                </c:pt>
                <c:pt idx="281">
                  <c:v>5.6710330000059912</c:v>
                </c:pt>
                <c:pt idx="282">
                  <c:v>5.688586000003852</c:v>
                </c:pt>
                <c:pt idx="283">
                  <c:v>5.7051849999988917</c:v>
                </c:pt>
                <c:pt idx="284">
                  <c:v>5.7317630000034114</c:v>
                </c:pt>
                <c:pt idx="285">
                  <c:v>5.7484459999977844</c:v>
                </c:pt>
                <c:pt idx="286">
                  <c:v>5.770009999992908</c:v>
                </c:pt>
                <c:pt idx="287">
                  <c:v>5.7910430000047199</c:v>
                </c:pt>
                <c:pt idx="288">
                  <c:v>5.811199999996461</c:v>
                </c:pt>
                <c:pt idx="289">
                  <c:v>5.8293629999971017</c:v>
                </c:pt>
                <c:pt idx="290">
                  <c:v>5.8445210000063526</c:v>
                </c:pt>
                <c:pt idx="291">
                  <c:v>5.8717230000038398</c:v>
                </c:pt>
                <c:pt idx="292">
                  <c:v>5.8918779999949038</c:v>
                </c:pt>
                <c:pt idx="293">
                  <c:v>5.9094639999966603</c:v>
                </c:pt>
                <c:pt idx="294">
                  <c:v>5.9309780000039609</c:v>
                </c:pt>
                <c:pt idx="295">
                  <c:v>5.9442010000057053</c:v>
                </c:pt>
                <c:pt idx="296">
                  <c:v>5.9691310000052908</c:v>
                </c:pt>
                <c:pt idx="297">
                  <c:v>5.9892129999934696</c:v>
                </c:pt>
                <c:pt idx="298">
                  <c:v>6.0112450000015087</c:v>
                </c:pt>
                <c:pt idx="299">
                  <c:v>6.0316659999953117</c:v>
                </c:pt>
                <c:pt idx="300">
                  <c:v>6.049723999996786</c:v>
                </c:pt>
                <c:pt idx="301">
                  <c:v>6.0702909999963595</c:v>
                </c:pt>
                <c:pt idx="302">
                  <c:v>6.0916339999967022</c:v>
                </c:pt>
                <c:pt idx="303">
                  <c:v>6.1098610000044573</c:v>
                </c:pt>
                <c:pt idx="304">
                  <c:v>6.1296969999966677</c:v>
                </c:pt>
                <c:pt idx="305">
                  <c:v>6.1473790000018198</c:v>
                </c:pt>
                <c:pt idx="306">
                  <c:v>6.1705170000059297</c:v>
                </c:pt>
                <c:pt idx="307">
                  <c:v>6.1910729999945033</c:v>
                </c:pt>
                <c:pt idx="308">
                  <c:v>6.2112950000009732</c:v>
                </c:pt>
                <c:pt idx="309">
                  <c:v>6.2324990000051912</c:v>
                </c:pt>
                <c:pt idx="310">
                  <c:v>6.2469310000014957</c:v>
                </c:pt>
                <c:pt idx="311">
                  <c:v>6.2678610000002664</c:v>
                </c:pt>
                <c:pt idx="312">
                  <c:v>6.2864479999989271</c:v>
                </c:pt>
                <c:pt idx="313">
                  <c:v>6.3126840000040829</c:v>
                </c:pt>
                <c:pt idx="314">
                  <c:v>6.3321949999954086</c:v>
                </c:pt>
                <c:pt idx="315">
                  <c:v>6.3515110000007553</c:v>
                </c:pt>
                <c:pt idx="316">
                  <c:v>6.3666939999966417</c:v>
                </c:pt>
                <c:pt idx="317">
                  <c:v>6.3825130000041099</c:v>
                </c:pt>
                <c:pt idx="318">
                  <c:v>6.4117300000070827</c:v>
                </c:pt>
                <c:pt idx="319">
                  <c:v>6.42871500000183</c:v>
                </c:pt>
                <c:pt idx="320">
                  <c:v>6.4473149999976158</c:v>
                </c:pt>
                <c:pt idx="321">
                  <c:v>6.4672019999998156</c:v>
                </c:pt>
                <c:pt idx="322">
                  <c:v>6.4927759999991395</c:v>
                </c:pt>
                <c:pt idx="323">
                  <c:v>6.5122140000021318</c:v>
                </c:pt>
                <c:pt idx="324">
                  <c:v>6.5327839999954449</c:v>
                </c:pt>
                <c:pt idx="325">
                  <c:v>6.5528210000047693</c:v>
                </c:pt>
                <c:pt idx="326">
                  <c:v>6.5691119999974035</c:v>
                </c:pt>
                <c:pt idx="327">
                  <c:v>6.5885390000039479</c:v>
                </c:pt>
                <c:pt idx="328">
                  <c:v>6.6088980000058655</c:v>
                </c:pt>
                <c:pt idx="329">
                  <c:v>6.6250469999940833</c:v>
                </c:pt>
                <c:pt idx="330">
                  <c:v>6.6494329999986803</c:v>
                </c:pt>
                <c:pt idx="331">
                  <c:v>6.6683259999990696</c:v>
                </c:pt>
                <c:pt idx="332">
                  <c:v>6.6891250000044238</c:v>
                </c:pt>
                <c:pt idx="333">
                  <c:v>6.7096219999948516</c:v>
                </c:pt>
                <c:pt idx="334">
                  <c:v>6.7310640000068815</c:v>
                </c:pt>
                <c:pt idx="335">
                  <c:v>6.750530000004801</c:v>
                </c:pt>
                <c:pt idx="336">
                  <c:v>6.7719000000070082</c:v>
                </c:pt>
                <c:pt idx="337">
                  <c:v>6.7896100000070874</c:v>
                </c:pt>
                <c:pt idx="338">
                  <c:v>6.8107880000025034</c:v>
                </c:pt>
                <c:pt idx="339">
                  <c:v>6.8291630000021541</c:v>
                </c:pt>
                <c:pt idx="340">
                  <c:v>6.8509550000017043</c:v>
                </c:pt>
                <c:pt idx="341">
                  <c:v>6.8708230000047479</c:v>
                </c:pt>
                <c:pt idx="342">
                  <c:v>6.8905999999988126</c:v>
                </c:pt>
                <c:pt idx="343">
                  <c:v>6.9100480000051903</c:v>
                </c:pt>
                <c:pt idx="344">
                  <c:v>6.9326330000039889</c:v>
                </c:pt>
                <c:pt idx="345">
                  <c:v>6.9449889999959851</c:v>
                </c:pt>
                <c:pt idx="346">
                  <c:v>6.9655269999930169</c:v>
                </c:pt>
                <c:pt idx="347">
                  <c:v>6.9883089999930235</c:v>
                </c:pt>
                <c:pt idx="348">
                  <c:v>7.0150399999984074</c:v>
                </c:pt>
                <c:pt idx="349">
                  <c:v>7.0287379999936093</c:v>
                </c:pt>
                <c:pt idx="350">
                  <c:v>7.0497789999935776</c:v>
                </c:pt>
                <c:pt idx="351">
                  <c:v>7.0709510000015143</c:v>
                </c:pt>
                <c:pt idx="352">
                  <c:v>7.0911889999988489</c:v>
                </c:pt>
                <c:pt idx="353">
                  <c:v>7.1107849999971222</c:v>
                </c:pt>
                <c:pt idx="354">
                  <c:v>7.129413000002387</c:v>
                </c:pt>
                <c:pt idx="355">
                  <c:v>7.1513030000060098</c:v>
                </c:pt>
                <c:pt idx="356">
                  <c:v>7.1711340000038035</c:v>
                </c:pt>
                <c:pt idx="357">
                  <c:v>7.1819510000059381</c:v>
                </c:pt>
                <c:pt idx="358">
                  <c:v>7.2112820000038482</c:v>
                </c:pt>
                <c:pt idx="359">
                  <c:v>7.2316540000028908</c:v>
                </c:pt>
                <c:pt idx="360">
                  <c:v>7.249498000004678</c:v>
                </c:pt>
                <c:pt idx="361">
                  <c:v>7.2723109999933513</c:v>
                </c:pt>
                <c:pt idx="362">
                  <c:v>7.2877690000022994</c:v>
                </c:pt>
                <c:pt idx="363">
                  <c:v>7.3076699999946868</c:v>
                </c:pt>
                <c:pt idx="364">
                  <c:v>7.3309580000059213</c:v>
                </c:pt>
                <c:pt idx="365">
                  <c:v>7.3470830000005662</c:v>
                </c:pt>
                <c:pt idx="366">
                  <c:v>7.3723239999962971</c:v>
                </c:pt>
                <c:pt idx="367">
                  <c:v>7.388491999998223</c:v>
                </c:pt>
                <c:pt idx="368">
                  <c:v>7.4141660000022966</c:v>
                </c:pt>
                <c:pt idx="369">
                  <c:v>7.4282570000068517</c:v>
                </c:pt>
                <c:pt idx="370">
                  <c:v>7.4526329999935115</c:v>
                </c:pt>
                <c:pt idx="371">
                  <c:v>7.4675129999959609</c:v>
                </c:pt>
                <c:pt idx="372">
                  <c:v>7.4838699999963865</c:v>
                </c:pt>
                <c:pt idx="373">
                  <c:v>7.5100749999983236</c:v>
                </c:pt>
                <c:pt idx="374">
                  <c:v>7.528613000002224</c:v>
                </c:pt>
                <c:pt idx="375">
                  <c:v>7.5522110000019893</c:v>
                </c:pt>
                <c:pt idx="376">
                  <c:v>7.5683180000050925</c:v>
                </c:pt>
                <c:pt idx="377">
                  <c:v>7.5886889999965206</c:v>
                </c:pt>
                <c:pt idx="378">
                  <c:v>7.6127379999961704</c:v>
                </c:pt>
                <c:pt idx="379">
                  <c:v>7.6298700000043027</c:v>
                </c:pt>
                <c:pt idx="380">
                  <c:v>7.6484230000060052</c:v>
                </c:pt>
                <c:pt idx="381">
                  <c:v>7.6698239999968791</c:v>
                </c:pt>
                <c:pt idx="382">
                  <c:v>7.6921860000002198</c:v>
                </c:pt>
                <c:pt idx="383">
                  <c:v>7.7091660000005504</c:v>
                </c:pt>
                <c:pt idx="384">
                  <c:v>7.7291450000047917</c:v>
                </c:pt>
                <c:pt idx="385">
                  <c:v>7.7497719999955734</c:v>
                </c:pt>
                <c:pt idx="386">
                  <c:v>7.7715639999951236</c:v>
                </c:pt>
                <c:pt idx="387">
                  <c:v>7.7911140000069281</c:v>
                </c:pt>
                <c:pt idx="388">
                  <c:v>7.8119900000019697</c:v>
                </c:pt>
                <c:pt idx="389">
                  <c:v>7.8302689999982249</c:v>
                </c:pt>
                <c:pt idx="390">
                  <c:v>7.8519539999979315</c:v>
                </c:pt>
                <c:pt idx="391">
                  <c:v>7.8683909999963362</c:v>
                </c:pt>
                <c:pt idx="392">
                  <c:v>7.8853410000010626</c:v>
                </c:pt>
                <c:pt idx="393">
                  <c:v>7.912956000000122</c:v>
                </c:pt>
                <c:pt idx="394">
                  <c:v>7.9313450000045123</c:v>
                </c:pt>
                <c:pt idx="395">
                  <c:v>7.9516210000001593</c:v>
                </c:pt>
                <c:pt idx="396">
                  <c:v>7.9659260000044014</c:v>
                </c:pt>
                <c:pt idx="397">
                  <c:v>7.9909760000009555</c:v>
                </c:pt>
                <c:pt idx="398">
                  <c:v>8.01231099999859</c:v>
                </c:pt>
                <c:pt idx="399">
                  <c:v>8.0322259999957168</c:v>
                </c:pt>
                <c:pt idx="400">
                  <c:v>8.0511189999961061</c:v>
                </c:pt>
                <c:pt idx="401">
                  <c:v>8.0714940000034403</c:v>
                </c:pt>
                <c:pt idx="402">
                  <c:v>8.0898069999966538</c:v>
                </c:pt>
                <c:pt idx="403">
                  <c:v>8.1068789999990258</c:v>
                </c:pt>
                <c:pt idx="404">
                  <c:v>8.1312029999971855</c:v>
                </c:pt>
                <c:pt idx="405">
                  <c:v>8.151650999992853</c:v>
                </c:pt>
                <c:pt idx="406">
                  <c:v>8.1723490000003949</c:v>
                </c:pt>
                <c:pt idx="407">
                  <c:v>8.1932720000040717</c:v>
                </c:pt>
                <c:pt idx="408">
                  <c:v>8.209526000006008</c:v>
                </c:pt>
                <c:pt idx="409">
                  <c:v>8.2299679999996442</c:v>
                </c:pt>
                <c:pt idx="410">
                  <c:v>8.2472580000030575</c:v>
                </c:pt>
                <c:pt idx="411">
                  <c:v>8.2727100000047358</c:v>
                </c:pt>
                <c:pt idx="412">
                  <c:v>8.2902400000020862</c:v>
                </c:pt>
                <c:pt idx="413">
                  <c:v>8.3125600000057602</c:v>
                </c:pt>
                <c:pt idx="414">
                  <c:v>8.32836299999326</c:v>
                </c:pt>
                <c:pt idx="415">
                  <c:v>8.3478409999952419</c:v>
                </c:pt>
                <c:pt idx="416">
                  <c:v>8.3705970000009984</c:v>
                </c:pt>
                <c:pt idx="417">
                  <c:v>8.3892280000000028</c:v>
                </c:pt>
                <c:pt idx="418">
                  <c:v>8.4092459999956191</c:v>
                </c:pt>
                <c:pt idx="419">
                  <c:v>8.4297820000065258</c:v>
                </c:pt>
                <c:pt idx="420">
                  <c:v>8.4489529999991646</c:v>
                </c:pt>
                <c:pt idx="421">
                  <c:v>8.4718020000000251</c:v>
                </c:pt>
                <c:pt idx="422">
                  <c:v>8.4891919999936363</c:v>
                </c:pt>
                <c:pt idx="423">
                  <c:v>8.5079549999936717</c:v>
                </c:pt>
                <c:pt idx="424">
                  <c:v>8.5307969999994384</c:v>
                </c:pt>
                <c:pt idx="425">
                  <c:v>8.5492760000051931</c:v>
                </c:pt>
                <c:pt idx="426">
                  <c:v>8.5697260000015376</c:v>
                </c:pt>
                <c:pt idx="427">
                  <c:v>8.5921099999977741</c:v>
                </c:pt>
                <c:pt idx="428">
                  <c:v>8.6114609999931417</c:v>
                </c:pt>
                <c:pt idx="429">
                  <c:v>8.6322240000008605</c:v>
                </c:pt>
                <c:pt idx="430">
                  <c:v>8.6513730000006035</c:v>
                </c:pt>
                <c:pt idx="431">
                  <c:v>8.6656849999999395</c:v>
                </c:pt>
                <c:pt idx="432">
                  <c:v>8.6921200000069803</c:v>
                </c:pt>
                <c:pt idx="433">
                  <c:v>8.7099770000058925</c:v>
                </c:pt>
                <c:pt idx="434">
                  <c:v>8.7308309999934863</c:v>
                </c:pt>
                <c:pt idx="435">
                  <c:v>8.7502260000037495</c:v>
                </c:pt>
                <c:pt idx="436">
                  <c:v>8.7707749999972293</c:v>
                </c:pt>
                <c:pt idx="437">
                  <c:v>8.7914420000015525</c:v>
                </c:pt>
                <c:pt idx="438">
                  <c:v>8.8122889999940526</c:v>
                </c:pt>
                <c:pt idx="439">
                  <c:v>8.8308479999977862</c:v>
                </c:pt>
                <c:pt idx="440">
                  <c:v>8.8516930000041611</c:v>
                </c:pt>
                <c:pt idx="441">
                  <c:v>8.8710469999932684</c:v>
                </c:pt>
                <c:pt idx="442">
                  <c:v>8.8911879999941448</c:v>
                </c:pt>
                <c:pt idx="443">
                  <c:v>8.9112809999933233</c:v>
                </c:pt>
                <c:pt idx="444">
                  <c:v>8.9323690000019269</c:v>
                </c:pt>
                <c:pt idx="445">
                  <c:v>8.9531209999986459</c:v>
                </c:pt>
                <c:pt idx="446">
                  <c:v>8.9713460000057239</c:v>
                </c:pt>
                <c:pt idx="447">
                  <c:v>8.9924549999996088</c:v>
                </c:pt>
                <c:pt idx="448">
                  <c:v>9.0075380000052974</c:v>
                </c:pt>
                <c:pt idx="449">
                  <c:v>9.0278510000061942</c:v>
                </c:pt>
                <c:pt idx="450">
                  <c:v>9.0519409999978961</c:v>
                </c:pt>
                <c:pt idx="451">
                  <c:v>9.068316999997478</c:v>
                </c:pt>
                <c:pt idx="452">
                  <c:v>9.0950299999967683</c:v>
                </c:pt>
                <c:pt idx="453">
                  <c:v>9.1123260000022128</c:v>
                </c:pt>
                <c:pt idx="454">
                  <c:v>9.132448000003933</c:v>
                </c:pt>
                <c:pt idx="455">
                  <c:v>9.1494289999973262</c:v>
                </c:pt>
                <c:pt idx="456">
                  <c:v>9.1725169999990612</c:v>
                </c:pt>
                <c:pt idx="457">
                  <c:v>9.1901320000033593</c:v>
                </c:pt>
                <c:pt idx="458">
                  <c:v>9.2093480000039563</c:v>
                </c:pt>
                <c:pt idx="459">
                  <c:v>9.2288129999942612</c:v>
                </c:pt>
                <c:pt idx="460">
                  <c:v>9.2517269999952987</c:v>
                </c:pt>
                <c:pt idx="461">
                  <c:v>9.2573379999957979</c:v>
                </c:pt>
                <c:pt idx="462">
                  <c:v>9.2909749999962514</c:v>
                </c:pt>
                <c:pt idx="463">
                  <c:v>9.3134209999989253</c:v>
                </c:pt>
                <c:pt idx="464">
                  <c:v>9.3283890000020619</c:v>
                </c:pt>
                <c:pt idx="465">
                  <c:v>9.3499370000063209</c:v>
                </c:pt>
                <c:pt idx="466">
                  <c:v>9.368570999999065</c:v>
                </c:pt>
                <c:pt idx="467">
                  <c:v>9.3888219999935245</c:v>
                </c:pt>
                <c:pt idx="468">
                  <c:v>9.4126010000036331</c:v>
                </c:pt>
                <c:pt idx="469">
                  <c:v>9.4302449999959208</c:v>
                </c:pt>
                <c:pt idx="470">
                  <c:v>9.4511420000053477</c:v>
                </c:pt>
                <c:pt idx="471">
                  <c:v>9.4722259999980452</c:v>
                </c:pt>
                <c:pt idx="472">
                  <c:v>9.4890560000058031</c:v>
                </c:pt>
                <c:pt idx="473">
                  <c:v>9.5113600000040606</c:v>
                </c:pt>
                <c:pt idx="474">
                  <c:v>9.5310690000042086</c:v>
                </c:pt>
                <c:pt idx="475">
                  <c:v>9.5521520000038436</c:v>
                </c:pt>
                <c:pt idx="476">
                  <c:v>9.5712550000025658</c:v>
                </c:pt>
                <c:pt idx="477">
                  <c:v>9.5938239999959478</c:v>
                </c:pt>
                <c:pt idx="478">
                  <c:v>9.6115509999945061</c:v>
                </c:pt>
                <c:pt idx="479">
                  <c:v>9.6323450000054436</c:v>
                </c:pt>
                <c:pt idx="480">
                  <c:v>9.6483310000039637</c:v>
                </c:pt>
                <c:pt idx="481">
                  <c:v>9.6702510000031907</c:v>
                </c:pt>
                <c:pt idx="482">
                  <c:v>9.691634000002523</c:v>
                </c:pt>
                <c:pt idx="483">
                  <c:v>9.7088930000027176</c:v>
                </c:pt>
                <c:pt idx="484">
                  <c:v>9.7308289999928093</c:v>
                </c:pt>
                <c:pt idx="485">
                  <c:v>9.7508499999967171</c:v>
                </c:pt>
                <c:pt idx="486">
                  <c:v>9.7763399999967078</c:v>
                </c:pt>
                <c:pt idx="487">
                  <c:v>9.7917989999987185</c:v>
                </c:pt>
                <c:pt idx="488">
                  <c:v>9.811400999999023</c:v>
                </c:pt>
                <c:pt idx="489">
                  <c:v>9.8322630000038771</c:v>
                </c:pt>
                <c:pt idx="490">
                  <c:v>9.8472780000010971</c:v>
                </c:pt>
                <c:pt idx="491">
                  <c:v>9.872019000002183</c:v>
                </c:pt>
                <c:pt idx="492">
                  <c:v>9.8817750000016531</c:v>
                </c:pt>
                <c:pt idx="493">
                  <c:v>9.9077549999929033</c:v>
                </c:pt>
                <c:pt idx="494">
                  <c:v>9.9269689999928232</c:v>
                </c:pt>
                <c:pt idx="495">
                  <c:v>9.9470339999970747</c:v>
                </c:pt>
                <c:pt idx="496">
                  <c:v>9.9727089999942109</c:v>
                </c:pt>
                <c:pt idx="497">
                  <c:v>9.9884049999964191</c:v>
                </c:pt>
                <c:pt idx="498">
                  <c:v>10.013143000003765</c:v>
                </c:pt>
                <c:pt idx="499">
                  <c:v>10.027495999995153</c:v>
                </c:pt>
                <c:pt idx="500">
                  <c:v>10.05183300000499</c:v>
                </c:pt>
                <c:pt idx="501">
                  <c:v>10.06832900000154</c:v>
                </c:pt>
                <c:pt idx="502">
                  <c:v>10.089515999992727</c:v>
                </c:pt>
                <c:pt idx="503">
                  <c:v>10.109035000001313</c:v>
                </c:pt>
                <c:pt idx="504">
                  <c:v>10.131200000003446</c:v>
                </c:pt>
                <c:pt idx="505">
                  <c:v>10.148446000006516</c:v>
                </c:pt>
                <c:pt idx="506">
                  <c:v>10.171665000001667</c:v>
                </c:pt>
                <c:pt idx="507">
                  <c:v>10.192116999998689</c:v>
                </c:pt>
                <c:pt idx="508">
                  <c:v>10.209465000007185</c:v>
                </c:pt>
                <c:pt idx="509">
                  <c:v>10.229057999997167</c:v>
                </c:pt>
                <c:pt idx="510">
                  <c:v>10.250962999998592</c:v>
                </c:pt>
                <c:pt idx="511">
                  <c:v>10.269706000006408</c:v>
                </c:pt>
                <c:pt idx="512">
                  <c:v>10.289057000001776</c:v>
                </c:pt>
                <c:pt idx="513">
                  <c:v>10.306614999994054</c:v>
                </c:pt>
                <c:pt idx="514">
                  <c:v>10.331304999999702</c:v>
                </c:pt>
                <c:pt idx="515">
                  <c:v>10.351611999998568</c:v>
                </c:pt>
                <c:pt idx="516">
                  <c:v>10.3717089999991</c:v>
                </c:pt>
                <c:pt idx="517">
                  <c:v>10.391096000006655</c:v>
                </c:pt>
                <c:pt idx="518">
                  <c:v>10.41011399999843</c:v>
                </c:pt>
                <c:pt idx="519">
                  <c:v>10.429852999994182</c:v>
                </c:pt>
                <c:pt idx="520">
                  <c:v>10.445370999994338</c:v>
                </c:pt>
                <c:pt idx="521">
                  <c:v>10.470939999999246</c:v>
                </c:pt>
                <c:pt idx="522">
                  <c:v>10.490499000006821</c:v>
                </c:pt>
                <c:pt idx="523">
                  <c:v>10.510519000003114</c:v>
                </c:pt>
                <c:pt idx="524">
                  <c:v>10.522169000003487</c:v>
                </c:pt>
                <c:pt idx="525">
                  <c:v>10.552653000006103</c:v>
                </c:pt>
                <c:pt idx="526">
                  <c:v>10.571588999999221</c:v>
                </c:pt>
                <c:pt idx="527">
                  <c:v>10.591409000000567</c:v>
                </c:pt>
                <c:pt idx="528">
                  <c:v>10.608141999997315</c:v>
                </c:pt>
                <c:pt idx="529">
                  <c:v>10.629788000005647</c:v>
                </c:pt>
                <c:pt idx="530">
                  <c:v>10.650997000004281</c:v>
                </c:pt>
                <c:pt idx="531">
                  <c:v>10.666129999997793</c:v>
                </c:pt>
                <c:pt idx="532">
                  <c:v>10.691508999996586</c:v>
                </c:pt>
                <c:pt idx="533">
                  <c:v>10.711544999998296</c:v>
                </c:pt>
                <c:pt idx="534">
                  <c:v>10.731562999993912</c:v>
                </c:pt>
                <c:pt idx="535">
                  <c:v>10.752687999993213</c:v>
                </c:pt>
                <c:pt idx="536">
                  <c:v>10.768247999993037</c:v>
                </c:pt>
                <c:pt idx="537">
                  <c:v>10.792191000000457</c:v>
                </c:pt>
                <c:pt idx="538">
                  <c:v>10.812338000003365</c:v>
                </c:pt>
                <c:pt idx="539">
                  <c:v>10.827447999996366</c:v>
                </c:pt>
                <c:pt idx="540">
                  <c:v>10.847934000004898</c:v>
                </c:pt>
                <c:pt idx="541">
                  <c:v>10.869233000004897</c:v>
                </c:pt>
                <c:pt idx="542">
                  <c:v>10.892042000006768</c:v>
                </c:pt>
                <c:pt idx="543">
                  <c:v>10.907489000004716</c:v>
                </c:pt>
                <c:pt idx="544">
                  <c:v>10.928495000000112</c:v>
                </c:pt>
                <c:pt idx="545">
                  <c:v>10.949464000004809</c:v>
                </c:pt>
                <c:pt idx="546">
                  <c:v>10.970774999994319</c:v>
                </c:pt>
                <c:pt idx="547">
                  <c:v>10.988490000003367</c:v>
                </c:pt>
                <c:pt idx="548">
                  <c:v>11.00688899999659</c:v>
                </c:pt>
                <c:pt idx="549">
                  <c:v>11.030119999995804</c:v>
                </c:pt>
                <c:pt idx="550">
                  <c:v>11.045318999997107</c:v>
                </c:pt>
                <c:pt idx="551">
                  <c:v>11.070449999999255</c:v>
                </c:pt>
                <c:pt idx="552">
                  <c:v>11.089344000007259</c:v>
                </c:pt>
                <c:pt idx="553">
                  <c:v>11.109353000007104</c:v>
                </c:pt>
                <c:pt idx="554">
                  <c:v>11.128750999996555</c:v>
                </c:pt>
                <c:pt idx="555">
                  <c:v>11.151285999992979</c:v>
                </c:pt>
                <c:pt idx="556">
                  <c:v>11.171239999996033</c:v>
                </c:pt>
                <c:pt idx="557">
                  <c:v>11.192869000005885</c:v>
                </c:pt>
                <c:pt idx="558">
                  <c:v>11.210768999997526</c:v>
                </c:pt>
                <c:pt idx="559">
                  <c:v>11.231358000004548</c:v>
                </c:pt>
                <c:pt idx="560">
                  <c:v>11.249712999997428</c:v>
                </c:pt>
                <c:pt idx="561">
                  <c:v>11.271143999998458</c:v>
                </c:pt>
                <c:pt idx="562">
                  <c:v>11.291545999993104</c:v>
                </c:pt>
                <c:pt idx="563">
                  <c:v>11.310442000001785</c:v>
                </c:pt>
                <c:pt idx="564">
                  <c:v>11.3300040000031</c:v>
                </c:pt>
                <c:pt idx="565">
                  <c:v>11.350435000000289</c:v>
                </c:pt>
                <c:pt idx="566">
                  <c:v>11.372071999998298</c:v>
                </c:pt>
                <c:pt idx="567">
                  <c:v>11.39077699999325</c:v>
                </c:pt>
                <c:pt idx="568">
                  <c:v>11.410518999997294</c:v>
                </c:pt>
                <c:pt idx="569">
                  <c:v>11.43243000000075</c:v>
                </c:pt>
                <c:pt idx="570">
                  <c:v>11.451625000001513</c:v>
                </c:pt>
                <c:pt idx="571">
                  <c:v>11.471195999998599</c:v>
                </c:pt>
                <c:pt idx="572">
                  <c:v>11.486029000006965</c:v>
                </c:pt>
                <c:pt idx="573">
                  <c:v>11.510118999998667</c:v>
                </c:pt>
                <c:pt idx="574">
                  <c:v>11.528508000003058</c:v>
                </c:pt>
                <c:pt idx="575">
                  <c:v>11.551496000000043</c:v>
                </c:pt>
                <c:pt idx="576">
                  <c:v>11.571083999995608</c:v>
                </c:pt>
                <c:pt idx="577">
                  <c:v>11.587893000003533</c:v>
                </c:pt>
                <c:pt idx="578">
                  <c:v>11.611439000000246</c:v>
                </c:pt>
                <c:pt idx="579">
                  <c:v>11.632140000001527</c:v>
                </c:pt>
                <c:pt idx="580">
                  <c:v>11.647339999995893</c:v>
                </c:pt>
                <c:pt idx="581">
                  <c:v>11.672548999995342</c:v>
                </c:pt>
                <c:pt idx="582">
                  <c:v>11.687829999995301</c:v>
                </c:pt>
                <c:pt idx="583">
                  <c:v>11.70960699999705</c:v>
                </c:pt>
                <c:pt idx="584">
                  <c:v>11.7333409999992</c:v>
                </c:pt>
                <c:pt idx="585">
                  <c:v>11.748265000001993</c:v>
                </c:pt>
                <c:pt idx="586">
                  <c:v>11.772440999993705</c:v>
                </c:pt>
                <c:pt idx="587">
                  <c:v>11.793065000005299</c:v>
                </c:pt>
                <c:pt idx="588">
                  <c:v>11.808170000003884</c:v>
                </c:pt>
                <c:pt idx="589">
                  <c:v>11.828802999996697</c:v>
                </c:pt>
                <c:pt idx="590">
                  <c:v>11.84985400000005</c:v>
                </c:pt>
                <c:pt idx="591">
                  <c:v>11.868373999997857</c:v>
                </c:pt>
                <c:pt idx="592">
                  <c:v>11.888569000002462</c:v>
                </c:pt>
                <c:pt idx="593">
                  <c:v>11.910715999998502</c:v>
                </c:pt>
                <c:pt idx="594">
                  <c:v>11.929113999998663</c:v>
                </c:pt>
                <c:pt idx="595">
                  <c:v>11.950429999997141</c:v>
                </c:pt>
                <c:pt idx="596">
                  <c:v>11.969813999996404</c:v>
                </c:pt>
                <c:pt idx="597">
                  <c:v>11.988750000004075</c:v>
                </c:pt>
                <c:pt idx="598">
                  <c:v>12.009430000005523</c:v>
                </c:pt>
                <c:pt idx="599">
                  <c:v>12.0291819999984</c:v>
                </c:pt>
                <c:pt idx="600">
                  <c:v>12.047955999994883</c:v>
                </c:pt>
                <c:pt idx="601">
                  <c:v>12.069656000006944</c:v>
                </c:pt>
                <c:pt idx="602">
                  <c:v>12.09146700000565</c:v>
                </c:pt>
                <c:pt idx="603">
                  <c:v>12.106241999994381</c:v>
                </c:pt>
                <c:pt idx="604">
                  <c:v>12.129990000001271</c:v>
                </c:pt>
                <c:pt idx="605">
                  <c:v>12.152386999994633</c:v>
                </c:pt>
                <c:pt idx="606">
                  <c:v>12.175002000003587</c:v>
                </c:pt>
                <c:pt idx="607">
                  <c:v>12.18707899999572</c:v>
                </c:pt>
                <c:pt idx="608">
                  <c:v>12.211135999998078</c:v>
                </c:pt>
                <c:pt idx="609">
                  <c:v>12.230676999999559</c:v>
                </c:pt>
                <c:pt idx="610">
                  <c:v>12.251044999997248</c:v>
                </c:pt>
                <c:pt idx="611">
                  <c:v>12.270942000002833</c:v>
                </c:pt>
                <c:pt idx="612">
                  <c:v>12.29207700000552</c:v>
                </c:pt>
                <c:pt idx="613">
                  <c:v>12.30597200000193</c:v>
                </c:pt>
                <c:pt idx="614">
                  <c:v>12.330021999994642</c:v>
                </c:pt>
                <c:pt idx="615">
                  <c:v>12.33946499999729</c:v>
                </c:pt>
                <c:pt idx="616">
                  <c:v>13.351790000000619</c:v>
                </c:pt>
                <c:pt idx="617">
                  <c:v>13.371859999999288</c:v>
                </c:pt>
                <c:pt idx="618">
                  <c:v>13.388863999993191</c:v>
                </c:pt>
                <c:pt idx="619">
                  <c:v>13.407395000001998</c:v>
                </c:pt>
                <c:pt idx="620">
                  <c:v>13.42987500000163</c:v>
                </c:pt>
                <c:pt idx="621">
                  <c:v>13.450874999994994</c:v>
                </c:pt>
                <c:pt idx="622">
                  <c:v>13.467619999995804</c:v>
                </c:pt>
                <c:pt idx="623">
                  <c:v>13.488779000006616</c:v>
                </c:pt>
                <c:pt idx="624">
                  <c:v>13.507763999994495</c:v>
                </c:pt>
                <c:pt idx="625">
                  <c:v>13.528839999999036</c:v>
                </c:pt>
                <c:pt idx="626">
                  <c:v>13.549887999994098</c:v>
                </c:pt>
                <c:pt idx="627">
                  <c:v>13.568274999997811</c:v>
                </c:pt>
                <c:pt idx="628">
                  <c:v>13.584950999997091</c:v>
                </c:pt>
                <c:pt idx="629">
                  <c:v>13.608691999994335</c:v>
                </c:pt>
                <c:pt idx="630">
                  <c:v>13.631886000002851</c:v>
                </c:pt>
                <c:pt idx="631">
                  <c:v>13.651257000004989</c:v>
                </c:pt>
                <c:pt idx="632">
                  <c:v>13.670664999997825</c:v>
                </c:pt>
                <c:pt idx="633">
                  <c:v>13.690228000006755</c:v>
                </c:pt>
                <c:pt idx="634">
                  <c:v>13.707404999993742</c:v>
                </c:pt>
                <c:pt idx="635">
                  <c:v>13.729785000003176</c:v>
                </c:pt>
                <c:pt idx="636">
                  <c:v>13.750499000001582</c:v>
                </c:pt>
                <c:pt idx="637">
                  <c:v>13.769012000004295</c:v>
                </c:pt>
                <c:pt idx="638">
                  <c:v>13.793971000006422</c:v>
                </c:pt>
                <c:pt idx="639">
                  <c:v>13.809563999995589</c:v>
                </c:pt>
                <c:pt idx="640">
                  <c:v>13.831714999992982</c:v>
                </c:pt>
                <c:pt idx="641">
                  <c:v>13.85037800000282</c:v>
                </c:pt>
                <c:pt idx="642">
                  <c:v>13.87075200000254</c:v>
                </c:pt>
                <c:pt idx="643">
                  <c:v>13.889808000007179</c:v>
                </c:pt>
                <c:pt idx="644">
                  <c:v>13.909813999998732</c:v>
                </c:pt>
                <c:pt idx="645">
                  <c:v>13.932627000001958</c:v>
                </c:pt>
                <c:pt idx="646">
                  <c:v>13.950106999996933</c:v>
                </c:pt>
                <c:pt idx="647">
                  <c:v>13.970318000006955</c:v>
                </c:pt>
                <c:pt idx="648">
                  <c:v>13.992660000003525</c:v>
                </c:pt>
                <c:pt idx="649">
                  <c:v>14.01459399999294</c:v>
                </c:pt>
                <c:pt idx="650">
                  <c:v>14.025643000000855</c:v>
                </c:pt>
                <c:pt idx="651">
                  <c:v>14.051489999998012</c:v>
                </c:pt>
                <c:pt idx="652">
                  <c:v>14.072893999997177</c:v>
                </c:pt>
                <c:pt idx="653">
                  <c:v>14.091761999996379</c:v>
                </c:pt>
                <c:pt idx="654">
                  <c:v>14.111357999994652</c:v>
                </c:pt>
                <c:pt idx="655">
                  <c:v>14.127901999992901</c:v>
                </c:pt>
                <c:pt idx="656">
                  <c:v>14.146198000002187</c:v>
                </c:pt>
                <c:pt idx="657">
                  <c:v>14.166505999994115</c:v>
                </c:pt>
                <c:pt idx="658">
                  <c:v>14.191732000006596</c:v>
                </c:pt>
                <c:pt idx="659">
                  <c:v>14.211983999994118</c:v>
                </c:pt>
                <c:pt idx="660">
                  <c:v>14.228550999992876</c:v>
                </c:pt>
                <c:pt idx="661">
                  <c:v>14.247289000006276</c:v>
                </c:pt>
                <c:pt idx="662">
                  <c:v>14.270503000007011</c:v>
                </c:pt>
                <c:pt idx="663">
                  <c:v>14.291073000000324</c:v>
                </c:pt>
                <c:pt idx="664">
                  <c:v>14.311709000001429</c:v>
                </c:pt>
                <c:pt idx="665">
                  <c:v>14.330411999995704</c:v>
                </c:pt>
                <c:pt idx="666">
                  <c:v>14.347850000005565</c:v>
                </c:pt>
                <c:pt idx="667">
                  <c:v>14.369730999998865</c:v>
                </c:pt>
                <c:pt idx="668">
                  <c:v>14.389811000000918</c:v>
                </c:pt>
                <c:pt idx="669">
                  <c:v>14.393049000005703</c:v>
                </c:pt>
                <c:pt idx="670">
                  <c:v>14.420702999996138</c:v>
                </c:pt>
                <c:pt idx="671">
                  <c:v>14.448367999997572</c:v>
                </c:pt>
                <c:pt idx="672">
                  <c:v>14.468385999993188</c:v>
                </c:pt>
                <c:pt idx="673">
                  <c:v>14.490327999999863</c:v>
                </c:pt>
                <c:pt idx="674">
                  <c:v>14.505971999999019</c:v>
                </c:pt>
                <c:pt idx="675">
                  <c:v>14.53057699999772</c:v>
                </c:pt>
                <c:pt idx="676">
                  <c:v>14.550180000005639</c:v>
                </c:pt>
                <c:pt idx="677">
                  <c:v>14.574242999995477</c:v>
                </c:pt>
                <c:pt idx="678">
                  <c:v>14.589649000001373</c:v>
                </c:pt>
                <c:pt idx="679">
                  <c:v>14.611302000004798</c:v>
                </c:pt>
                <c:pt idx="680">
                  <c:v>14.62928799999645</c:v>
                </c:pt>
                <c:pt idx="681">
                  <c:v>14.649248999994597</c:v>
                </c:pt>
                <c:pt idx="682">
                  <c:v>14.669626999995671</c:v>
                </c:pt>
                <c:pt idx="683">
                  <c:v>14.690189999993891</c:v>
                </c:pt>
                <c:pt idx="684">
                  <c:v>14.709805000005872</c:v>
                </c:pt>
                <c:pt idx="685">
                  <c:v>14.731016999998246</c:v>
                </c:pt>
                <c:pt idx="686">
                  <c:v>14.746809999996913</c:v>
                </c:pt>
                <c:pt idx="687">
                  <c:v>14.770151999997324</c:v>
                </c:pt>
                <c:pt idx="688">
                  <c:v>14.790643999993335</c:v>
                </c:pt>
                <c:pt idx="689">
                  <c:v>14.810568999993848</c:v>
                </c:pt>
                <c:pt idx="690">
                  <c:v>14.832399000006262</c:v>
                </c:pt>
                <c:pt idx="691">
                  <c:v>14.853262000004179</c:v>
                </c:pt>
                <c:pt idx="692">
                  <c:v>14.870527999999467</c:v>
                </c:pt>
                <c:pt idx="693">
                  <c:v>14.892261000000872</c:v>
                </c:pt>
                <c:pt idx="694">
                  <c:v>14.912981999994372</c:v>
                </c:pt>
                <c:pt idx="695">
                  <c:v>14.93114400000195</c:v>
                </c:pt>
                <c:pt idx="696">
                  <c:v>14.952296999996179</c:v>
                </c:pt>
                <c:pt idx="697">
                  <c:v>14.958132999992813</c:v>
                </c:pt>
                <c:pt idx="698">
                  <c:v>14.990680999995675</c:v>
                </c:pt>
                <c:pt idx="699">
                  <c:v>15.011146999997436</c:v>
                </c:pt>
                <c:pt idx="700">
                  <c:v>15.032527999996091</c:v>
                </c:pt>
                <c:pt idx="701">
                  <c:v>15.048139999998966</c:v>
                </c:pt>
                <c:pt idx="702">
                  <c:v>15.066653999994742</c:v>
                </c:pt>
                <c:pt idx="703">
                  <c:v>15.078278000000864</c:v>
                </c:pt>
                <c:pt idx="704">
                  <c:v>15.109525000007125</c:v>
                </c:pt>
                <c:pt idx="705">
                  <c:v>15.129438000003574</c:v>
                </c:pt>
                <c:pt idx="706">
                  <c:v>15.149376000001212</c:v>
                </c:pt>
                <c:pt idx="707">
                  <c:v>15.171973999997135</c:v>
                </c:pt>
                <c:pt idx="708">
                  <c:v>15.187661000003573</c:v>
                </c:pt>
                <c:pt idx="709">
                  <c:v>15.21059800000512</c:v>
                </c:pt>
                <c:pt idx="710">
                  <c:v>15.227759000001242</c:v>
                </c:pt>
                <c:pt idx="711">
                  <c:v>15.244133000000147</c:v>
                </c:pt>
                <c:pt idx="712">
                  <c:v>15.269520999994711</c:v>
                </c:pt>
                <c:pt idx="713">
                  <c:v>15.280324999999721</c:v>
                </c:pt>
                <c:pt idx="714">
                  <c:v>15.305550999997649</c:v>
                </c:pt>
                <c:pt idx="715">
                  <c:v>15.331890000001295</c:v>
                </c:pt>
                <c:pt idx="716">
                  <c:v>15.337560999993002</c:v>
                </c:pt>
                <c:pt idx="717">
                  <c:v>15.368329000004451</c:v>
                </c:pt>
                <c:pt idx="718">
                  <c:v>15.384090999999898</c:v>
                </c:pt>
                <c:pt idx="719">
                  <c:v>15.409184000003734</c:v>
                </c:pt>
                <c:pt idx="720">
                  <c:v>15.430563999994774</c:v>
                </c:pt>
                <c:pt idx="721">
                  <c:v>15.449940000005881</c:v>
                </c:pt>
                <c:pt idx="722">
                  <c:v>15.471531999995932</c:v>
                </c:pt>
                <c:pt idx="723">
                  <c:v>15.489065999994637</c:v>
                </c:pt>
                <c:pt idx="724">
                  <c:v>15.510055999999167</c:v>
                </c:pt>
                <c:pt idx="725">
                  <c:v>15.5320950000023</c:v>
                </c:pt>
                <c:pt idx="726">
                  <c:v>15.549629999994067</c:v>
                </c:pt>
                <c:pt idx="727">
                  <c:v>15.569447000001674</c:v>
                </c:pt>
                <c:pt idx="728">
                  <c:v>15.590635000000475</c:v>
                </c:pt>
                <c:pt idx="729">
                  <c:v>15.606226000003517</c:v>
                </c:pt>
                <c:pt idx="730">
                  <c:v>15.632863000006182</c:v>
                </c:pt>
                <c:pt idx="731">
                  <c:v>15.651767999996082</c:v>
                </c:pt>
                <c:pt idx="732">
                  <c:v>15.667258000001311</c:v>
                </c:pt>
                <c:pt idx="733">
                  <c:v>15.68613099999493</c:v>
                </c:pt>
                <c:pt idx="734">
                  <c:v>15.712199000001419</c:v>
                </c:pt>
                <c:pt idx="735">
                  <c:v>15.73123299999861</c:v>
                </c:pt>
                <c:pt idx="736">
                  <c:v>15.747940000001108</c:v>
                </c:pt>
                <c:pt idx="737">
                  <c:v>15.771502999996301</c:v>
                </c:pt>
                <c:pt idx="738">
                  <c:v>15.791205999994418</c:v>
                </c:pt>
                <c:pt idx="739">
                  <c:v>15.811014000006253</c:v>
                </c:pt>
                <c:pt idx="740">
                  <c:v>15.833064000005834</c:v>
                </c:pt>
                <c:pt idx="741">
                  <c:v>15.851758000004338</c:v>
                </c:pt>
                <c:pt idx="742">
                  <c:v>15.872119999999995</c:v>
                </c:pt>
                <c:pt idx="743">
                  <c:v>15.886606000000029</c:v>
                </c:pt>
                <c:pt idx="744">
                  <c:v>15.912100999994436</c:v>
                </c:pt>
                <c:pt idx="745">
                  <c:v>15.931593000001158</c:v>
                </c:pt>
                <c:pt idx="746">
                  <c:v>15.946718999999575</c:v>
                </c:pt>
                <c:pt idx="747">
                  <c:v>15.96976100000029</c:v>
                </c:pt>
                <c:pt idx="748">
                  <c:v>15.988339999996242</c:v>
                </c:pt>
                <c:pt idx="749">
                  <c:v>16.011887999993633</c:v>
                </c:pt>
                <c:pt idx="750">
                  <c:v>16.032540999993216</c:v>
                </c:pt>
                <c:pt idx="751">
                  <c:v>16.046833999993396</c:v>
                </c:pt>
                <c:pt idx="752">
                  <c:v>16.073931000006269</c:v>
                </c:pt>
                <c:pt idx="753">
                  <c:v>16.089105999999447</c:v>
                </c:pt>
                <c:pt idx="754">
                  <c:v>16.108244000002742</c:v>
                </c:pt>
                <c:pt idx="755">
                  <c:v>16.124121999993804</c:v>
                </c:pt>
                <c:pt idx="756">
                  <c:v>16.150970000002417</c:v>
                </c:pt>
                <c:pt idx="757">
                  <c:v>16.168692000006558</c:v>
                </c:pt>
                <c:pt idx="758">
                  <c:v>16.188219999996363</c:v>
                </c:pt>
                <c:pt idx="759">
                  <c:v>16.207978000005824</c:v>
                </c:pt>
                <c:pt idx="760">
                  <c:v>16.231165999997756</c:v>
                </c:pt>
                <c:pt idx="761">
                  <c:v>16.248852000004263</c:v>
                </c:pt>
                <c:pt idx="762">
                  <c:v>16.26906200000667</c:v>
                </c:pt>
                <c:pt idx="763">
                  <c:v>16.288060000006226</c:v>
                </c:pt>
                <c:pt idx="764">
                  <c:v>16.308783000000403</c:v>
                </c:pt>
                <c:pt idx="765">
                  <c:v>16.328875000006519</c:v>
                </c:pt>
                <c:pt idx="766">
                  <c:v>16.336725999994087</c:v>
                </c:pt>
                <c:pt idx="767">
                  <c:v>16.388292999996338</c:v>
                </c:pt>
                <c:pt idx="768">
                  <c:v>16.409929000001284</c:v>
                </c:pt>
                <c:pt idx="769">
                  <c:v>16.429648000004818</c:v>
                </c:pt>
                <c:pt idx="770">
                  <c:v>16.444742000006954</c:v>
                </c:pt>
                <c:pt idx="771">
                  <c:v>16.469893999994383</c:v>
                </c:pt>
                <c:pt idx="772">
                  <c:v>16.491639999992913</c:v>
                </c:pt>
                <c:pt idx="773">
                  <c:v>16.512713999996777</c:v>
                </c:pt>
                <c:pt idx="774">
                  <c:v>16.530939999996917</c:v>
                </c:pt>
                <c:pt idx="775">
                  <c:v>16.54520799999591</c:v>
                </c:pt>
                <c:pt idx="776">
                  <c:v>16.56902799999807</c:v>
                </c:pt>
                <c:pt idx="777">
                  <c:v>16.580289999998058</c:v>
                </c:pt>
                <c:pt idx="778">
                  <c:v>16.612483000004431</c:v>
                </c:pt>
                <c:pt idx="779">
                  <c:v>16.631515999994008</c:v>
                </c:pt>
                <c:pt idx="780">
                  <c:v>16.652646999995341</c:v>
                </c:pt>
                <c:pt idx="781">
                  <c:v>16.666282000005594</c:v>
                </c:pt>
                <c:pt idx="782">
                  <c:v>16.690967000002274</c:v>
                </c:pt>
                <c:pt idx="783">
                  <c:v>16.711506000006921</c:v>
                </c:pt>
                <c:pt idx="784">
                  <c:v>16.730964000002132</c:v>
                </c:pt>
                <c:pt idx="785">
                  <c:v>16.751571999993757</c:v>
                </c:pt>
                <c:pt idx="786">
                  <c:v>16.768802999999025</c:v>
                </c:pt>
                <c:pt idx="787">
                  <c:v>16.786829000004218</c:v>
                </c:pt>
                <c:pt idx="788">
                  <c:v>16.815285999997286</c:v>
                </c:pt>
                <c:pt idx="789">
                  <c:v>16.832154999996419</c:v>
                </c:pt>
                <c:pt idx="790">
                  <c:v>16.852400000003399</c:v>
                </c:pt>
                <c:pt idx="791">
                  <c:v>16.870198999997228</c:v>
                </c:pt>
                <c:pt idx="792">
                  <c:v>16.891808999993373</c:v>
                </c:pt>
                <c:pt idx="793">
                  <c:v>16.910401999994065</c:v>
                </c:pt>
                <c:pt idx="794">
                  <c:v>16.929067999997642</c:v>
                </c:pt>
                <c:pt idx="795">
                  <c:v>16.9520909999992</c:v>
                </c:pt>
                <c:pt idx="796">
                  <c:v>16.966167000005953</c:v>
                </c:pt>
                <c:pt idx="797">
                  <c:v>16.982866000005743</c:v>
                </c:pt>
                <c:pt idx="798">
                  <c:v>17.002632000003359</c:v>
                </c:pt>
                <c:pt idx="799">
                  <c:v>17.025712000002386</c:v>
                </c:pt>
                <c:pt idx="800">
                  <c:v>17.050281000003451</c:v>
                </c:pt>
                <c:pt idx="801">
                  <c:v>17.07241900000372</c:v>
                </c:pt>
                <c:pt idx="802">
                  <c:v>17.091975999996066</c:v>
                </c:pt>
                <c:pt idx="803">
                  <c:v>17.101974999997765</c:v>
                </c:pt>
                <c:pt idx="804">
                  <c:v>17.132593999995152</c:v>
                </c:pt>
                <c:pt idx="805">
                  <c:v>17.14909799999441</c:v>
                </c:pt>
                <c:pt idx="806">
                  <c:v>17.17214999999851</c:v>
                </c:pt>
                <c:pt idx="807">
                  <c:v>17.184187000006204</c:v>
                </c:pt>
                <c:pt idx="808">
                  <c:v>17.209308999998029</c:v>
                </c:pt>
                <c:pt idx="809">
                  <c:v>17.22954000000027</c:v>
                </c:pt>
                <c:pt idx="810">
                  <c:v>17.251128999996581</c:v>
                </c:pt>
                <c:pt idx="811">
                  <c:v>17.26578800000425</c:v>
                </c:pt>
                <c:pt idx="812">
                  <c:v>17.290540000001783</c:v>
                </c:pt>
                <c:pt idx="813">
                  <c:v>17.310494000004837</c:v>
                </c:pt>
                <c:pt idx="814">
                  <c:v>17.330820999995922</c:v>
                </c:pt>
                <c:pt idx="815">
                  <c:v>17.352037000004202</c:v>
                </c:pt>
                <c:pt idx="816">
                  <c:v>17.369202000001678</c:v>
                </c:pt>
                <c:pt idx="817">
                  <c:v>17.387325000003329</c:v>
                </c:pt>
                <c:pt idx="818">
                  <c:v>17.410115999999107</c:v>
                </c:pt>
                <c:pt idx="819">
                  <c:v>17.429189999995288</c:v>
                </c:pt>
                <c:pt idx="820">
                  <c:v>17.450786999994307</c:v>
                </c:pt>
                <c:pt idx="821">
                  <c:v>17.472670999995898</c:v>
                </c:pt>
                <c:pt idx="822">
                  <c:v>17.49282200000016</c:v>
                </c:pt>
                <c:pt idx="823">
                  <c:v>17.498500999994576</c:v>
                </c:pt>
                <c:pt idx="824">
                  <c:v>17.530920999997761</c:v>
                </c:pt>
                <c:pt idx="825">
                  <c:v>17.550405000001774</c:v>
                </c:pt>
                <c:pt idx="826">
                  <c:v>17.566690000006929</c:v>
                </c:pt>
                <c:pt idx="827">
                  <c:v>17.582725999993272</c:v>
                </c:pt>
                <c:pt idx="828">
                  <c:v>17.606815999999526</c:v>
                </c:pt>
                <c:pt idx="829">
                  <c:v>17.632996999993338</c:v>
                </c:pt>
                <c:pt idx="830">
                  <c:v>17.651532000003499</c:v>
                </c:pt>
                <c:pt idx="831">
                  <c:v>17.672609999994165</c:v>
                </c:pt>
                <c:pt idx="832">
                  <c:v>17.712639999997918</c:v>
                </c:pt>
                <c:pt idx="833">
                  <c:v>17.73266500000318</c:v>
                </c:pt>
                <c:pt idx="834">
                  <c:v>17.737426000006963</c:v>
                </c:pt>
                <c:pt idx="835">
                  <c:v>17.773205000004964</c:v>
                </c:pt>
                <c:pt idx="836">
                  <c:v>17.787469999995665</c:v>
                </c:pt>
                <c:pt idx="837">
                  <c:v>17.813957000005757</c:v>
                </c:pt>
                <c:pt idx="838">
                  <c:v>17.824382000006153</c:v>
                </c:pt>
                <c:pt idx="839">
                  <c:v>17.850562000006903</c:v>
                </c:pt>
                <c:pt idx="840">
                  <c:v>17.854382000004989</c:v>
                </c:pt>
                <c:pt idx="841">
                  <c:v>17.892170000006445</c:v>
                </c:pt>
                <c:pt idx="842">
                  <c:v>17.908479999998235</c:v>
                </c:pt>
                <c:pt idx="843">
                  <c:v>17.928702999997768</c:v>
                </c:pt>
                <c:pt idx="844">
                  <c:v>17.949370999995153</c:v>
                </c:pt>
                <c:pt idx="845">
                  <c:v>17.962098000003607</c:v>
                </c:pt>
                <c:pt idx="846">
                  <c:v>17.990875000003143</c:v>
                </c:pt>
                <c:pt idx="847">
                  <c:v>17.994823000000906</c:v>
                </c:pt>
                <c:pt idx="848">
                  <c:v>18.027514000001247</c:v>
                </c:pt>
                <c:pt idx="849">
                  <c:v>18.050101000000723</c:v>
                </c:pt>
                <c:pt idx="850">
                  <c:v>18.062420999995084</c:v>
                </c:pt>
                <c:pt idx="851">
                  <c:v>18.106587999995099</c:v>
                </c:pt>
                <c:pt idx="852">
                  <c:v>18.167728999993415</c:v>
                </c:pt>
                <c:pt idx="853">
                  <c:v>18.180475999994087</c:v>
                </c:pt>
                <c:pt idx="854">
                  <c:v>18.320932000002358</c:v>
                </c:pt>
                <c:pt idx="855">
                  <c:v>18.380057000002125</c:v>
                </c:pt>
                <c:pt idx="856">
                  <c:v>18.405499000000418</c:v>
                </c:pt>
                <c:pt idx="857">
                  <c:v>18.422554000004311</c:v>
                </c:pt>
                <c:pt idx="858">
                  <c:v>18.450954999992973</c:v>
                </c:pt>
                <c:pt idx="859">
                  <c:v>18.457024000003003</c:v>
                </c:pt>
                <c:pt idx="860">
                  <c:v>18.531701999992947</c:v>
                </c:pt>
                <c:pt idx="861">
                  <c:v>18.592285999999149</c:v>
                </c:pt>
                <c:pt idx="862">
                  <c:v>18.600279000005685</c:v>
                </c:pt>
                <c:pt idx="863">
                  <c:v>18.643800000005285</c:v>
                </c:pt>
                <c:pt idx="864">
                  <c:v>18.669360999992932</c:v>
                </c:pt>
                <c:pt idx="865">
                  <c:v>18.70567700000538</c:v>
                </c:pt>
                <c:pt idx="866">
                  <c:v>18.727463999995962</c:v>
                </c:pt>
                <c:pt idx="867">
                  <c:v>18.75185899999633</c:v>
                </c:pt>
                <c:pt idx="868">
                  <c:v>18.771382999999332</c:v>
                </c:pt>
                <c:pt idx="869">
                  <c:v>18.788291000004392</c:v>
                </c:pt>
                <c:pt idx="870">
                  <c:v>18.848809000002802</c:v>
                </c:pt>
                <c:pt idx="871">
                  <c:v>18.853226000006543</c:v>
                </c:pt>
                <c:pt idx="872">
                  <c:v>18.931729999996605</c:v>
                </c:pt>
                <c:pt idx="873">
                  <c:v>18.949353999996674</c:v>
                </c:pt>
                <c:pt idx="874">
                  <c:v>18.969987000004039</c:v>
                </c:pt>
                <c:pt idx="875">
                  <c:v>18.990466999995988</c:v>
                </c:pt>
                <c:pt idx="876">
                  <c:v>19.001478999998653</c:v>
                </c:pt>
                <c:pt idx="877">
                  <c:v>19.030511000004481</c:v>
                </c:pt>
                <c:pt idx="878">
                  <c:v>19.071265000005951</c:v>
                </c:pt>
                <c:pt idx="879">
                  <c:v>19.087696999995387</c:v>
                </c:pt>
                <c:pt idx="880">
                  <c:v>19.109417999992729</c:v>
                </c:pt>
                <c:pt idx="881">
                  <c:v>19.121025999993435</c:v>
                </c:pt>
                <c:pt idx="882">
                  <c:v>19.135913999998593</c:v>
                </c:pt>
                <c:pt idx="883">
                  <c:v>19.192383000001428</c:v>
                </c:pt>
                <c:pt idx="884">
                  <c:v>19.210042999999132</c:v>
                </c:pt>
                <c:pt idx="885">
                  <c:v>19.269948000001023</c:v>
                </c:pt>
                <c:pt idx="886">
                  <c:v>19.277885999996215</c:v>
                </c:pt>
                <c:pt idx="887">
                  <c:v>19.330692000003182</c:v>
                </c:pt>
                <c:pt idx="888">
                  <c:v>19.347475000002305</c:v>
                </c:pt>
                <c:pt idx="889">
                  <c:v>19.412165999994613</c:v>
                </c:pt>
                <c:pt idx="890">
                  <c:v>19.416817000004812</c:v>
                </c:pt>
                <c:pt idx="891">
                  <c:v>19.470014000005904</c:v>
                </c:pt>
                <c:pt idx="892">
                  <c:v>19.473469000004116</c:v>
                </c:pt>
                <c:pt idx="893">
                  <c:v>19.558466000002227</c:v>
                </c:pt>
                <c:pt idx="894">
                  <c:v>19.60882799999672</c:v>
                </c:pt>
                <c:pt idx="895">
                  <c:v>19.616255999993882</c:v>
                </c:pt>
                <c:pt idx="896">
                  <c:v>19.681517000004533</c:v>
                </c:pt>
                <c:pt idx="897">
                  <c:v>19.754574999999022</c:v>
                </c:pt>
                <c:pt idx="898">
                  <c:v>19.829968999998528</c:v>
                </c:pt>
                <c:pt idx="899">
                  <c:v>19.89028999999573</c:v>
                </c:pt>
                <c:pt idx="900">
                  <c:v>19.896116000003531</c:v>
                </c:pt>
                <c:pt idx="901">
                  <c:v>20.026220999992802</c:v>
                </c:pt>
                <c:pt idx="902">
                  <c:v>20.03784099999757</c:v>
                </c:pt>
                <c:pt idx="903">
                  <c:v>20.085686000005808</c:v>
                </c:pt>
                <c:pt idx="904">
                  <c:v>20.106010000003153</c:v>
                </c:pt>
                <c:pt idx="905">
                  <c:v>20.16501199999766</c:v>
                </c:pt>
                <c:pt idx="906">
                  <c:v>20.175933000005898</c:v>
                </c:pt>
                <c:pt idx="907">
                  <c:v>20.24430599999323</c:v>
                </c:pt>
                <c:pt idx="908">
                  <c:v>20.372518000003765</c:v>
                </c:pt>
                <c:pt idx="909">
                  <c:v>20.380502999993041</c:v>
                </c:pt>
                <c:pt idx="910">
                  <c:v>20.444394999998622</c:v>
                </c:pt>
                <c:pt idx="911">
                  <c:v>20.50830099999439</c:v>
                </c:pt>
                <c:pt idx="912">
                  <c:v>20.521355999997468</c:v>
                </c:pt>
                <c:pt idx="913">
                  <c:v>20.557960000005551</c:v>
                </c:pt>
                <c:pt idx="914">
                  <c:v>20.587719999995898</c:v>
                </c:pt>
                <c:pt idx="915">
                  <c:v>20.609152999997605</c:v>
                </c:pt>
                <c:pt idx="916">
                  <c:v>20.619072000001324</c:v>
                </c:pt>
                <c:pt idx="917">
                  <c:v>20.67234799999278</c:v>
                </c:pt>
                <c:pt idx="918">
                  <c:v>20.689606999992975</c:v>
                </c:pt>
                <c:pt idx="919">
                  <c:v>20.710848000002443</c:v>
                </c:pt>
                <c:pt idx="920">
                  <c:v>20.713470999995479</c:v>
                </c:pt>
                <c:pt idx="921">
                  <c:v>20.770128999996814</c:v>
                </c:pt>
                <c:pt idx="922">
                  <c:v>20.781872999999905</c:v>
                </c:pt>
                <c:pt idx="923">
                  <c:v>20.851871999999275</c:v>
                </c:pt>
                <c:pt idx="924">
                  <c:v>20.910011999993003</c:v>
                </c:pt>
                <c:pt idx="925">
                  <c:v>20.917421000005561</c:v>
                </c:pt>
                <c:pt idx="926">
                  <c:v>20.990090000006603</c:v>
                </c:pt>
                <c:pt idx="927">
                  <c:v>21.059141000005184</c:v>
                </c:pt>
                <c:pt idx="928">
                  <c:v>21.123573999997461</c:v>
                </c:pt>
                <c:pt idx="929">
                  <c:v>21.189335000002757</c:v>
                </c:pt>
                <c:pt idx="930">
                  <c:v>21.193016999997781</c:v>
                </c:pt>
                <c:pt idx="931">
                  <c:v>21.267498000001069</c:v>
                </c:pt>
                <c:pt idx="932">
                  <c:v>21.39588100000401</c:v>
                </c:pt>
                <c:pt idx="933">
                  <c:v>21.476766000007046</c:v>
                </c:pt>
                <c:pt idx="934">
                  <c:v>21.671587999997428</c:v>
                </c:pt>
                <c:pt idx="935">
                  <c:v>21.80168699999922</c:v>
                </c:pt>
                <c:pt idx="936">
                  <c:v>21.819898000001558</c:v>
                </c:pt>
                <c:pt idx="937">
                  <c:v>21.929365999996662</c:v>
                </c:pt>
                <c:pt idx="938">
                  <c:v>21.950813999996171</c:v>
                </c:pt>
                <c:pt idx="939">
                  <c:v>21.969597000002977</c:v>
                </c:pt>
                <c:pt idx="940">
                  <c:v>21.988500000006752</c:v>
                </c:pt>
                <c:pt idx="941">
                  <c:v>22.009302000005846</c:v>
                </c:pt>
                <c:pt idx="942">
                  <c:v>22.03289699999732</c:v>
                </c:pt>
                <c:pt idx="943">
                  <c:v>22.050904999996419</c:v>
                </c:pt>
                <c:pt idx="944">
                  <c:v>22.10960100000375</c:v>
                </c:pt>
                <c:pt idx="945">
                  <c:v>22.129606000002241</c:v>
                </c:pt>
                <c:pt idx="946">
                  <c:v>22.153552999996464</c:v>
                </c:pt>
                <c:pt idx="947">
                  <c:v>22.216033999997308</c:v>
                </c:pt>
                <c:pt idx="948">
                  <c:v>22.269459999995888</c:v>
                </c:pt>
                <c:pt idx="949">
                  <c:v>22.339386999999988</c:v>
                </c:pt>
                <c:pt idx="950">
                  <c:v>22.35994500000379</c:v>
                </c:pt>
                <c:pt idx="951">
                  <c:v>22.697455999994418</c:v>
                </c:pt>
                <c:pt idx="952">
                  <c:v>22.752504999996745</c:v>
                </c:pt>
                <c:pt idx="953">
                  <c:v>22.776291000001947</c:v>
                </c:pt>
                <c:pt idx="954">
                  <c:v>22.894717000002856</c:v>
                </c:pt>
                <c:pt idx="955">
                  <c:v>22.936753999994835</c:v>
                </c:pt>
                <c:pt idx="956">
                  <c:v>22.964806000003591</c:v>
                </c:pt>
                <c:pt idx="957">
                  <c:v>23.011020000005374</c:v>
                </c:pt>
                <c:pt idx="958">
                  <c:v>23.041721999994479</c:v>
                </c:pt>
                <c:pt idx="959">
                  <c:v>23.059169000000111</c:v>
                </c:pt>
                <c:pt idx="960">
                  <c:v>23.078345000001718</c:v>
                </c:pt>
                <c:pt idx="961">
                  <c:v>23.101450999994995</c:v>
                </c:pt>
                <c:pt idx="962">
                  <c:v>23.149567999993451</c:v>
                </c:pt>
                <c:pt idx="963">
                  <c:v>23.170113999993191</c:v>
                </c:pt>
                <c:pt idx="964">
                  <c:v>23.187950000006822</c:v>
                </c:pt>
                <c:pt idx="965">
                  <c:v>23.217732000004617</c:v>
                </c:pt>
                <c:pt idx="966">
                  <c:v>23.238828000001376</c:v>
                </c:pt>
                <c:pt idx="967">
                  <c:v>23.273797999994713</c:v>
                </c:pt>
                <c:pt idx="968">
                  <c:v>23.282284999993863</c:v>
                </c:pt>
                <c:pt idx="969">
                  <c:v>23.304826999999932</c:v>
                </c:pt>
                <c:pt idx="970">
                  <c:v>23.322432999993907</c:v>
                </c:pt>
                <c:pt idx="971">
                  <c:v>23.340609000006225</c:v>
                </c:pt>
                <c:pt idx="972">
                  <c:v>23.358603999993647</c:v>
                </c:pt>
                <c:pt idx="973">
                  <c:v>23.387841000003391</c:v>
                </c:pt>
                <c:pt idx="974">
                  <c:v>23.408421999993152</c:v>
                </c:pt>
                <c:pt idx="975">
                  <c:v>23.436639000006835</c:v>
                </c:pt>
                <c:pt idx="976">
                  <c:v>23.466872999997577</c:v>
                </c:pt>
                <c:pt idx="977">
                  <c:v>23.485339000006206</c:v>
                </c:pt>
                <c:pt idx="978">
                  <c:v>23.504153000001679</c:v>
                </c:pt>
                <c:pt idx="979">
                  <c:v>23.521840000001248</c:v>
                </c:pt>
                <c:pt idx="980">
                  <c:v>23.545178999993368</c:v>
                </c:pt>
                <c:pt idx="981">
                  <c:v>23.571225000006962</c:v>
                </c:pt>
                <c:pt idx="982">
                  <c:v>23.592843000005814</c:v>
                </c:pt>
                <c:pt idx="983">
                  <c:v>23.609421000001021</c:v>
                </c:pt>
                <c:pt idx="984">
                  <c:v>23.626527000000351</c:v>
                </c:pt>
                <c:pt idx="985">
                  <c:v>23.645789999995031</c:v>
                </c:pt>
                <c:pt idx="986">
                  <c:v>23.655771000005188</c:v>
                </c:pt>
                <c:pt idx="987">
                  <c:v>23.690142000006745</c:v>
                </c:pt>
                <c:pt idx="988">
                  <c:v>23.70281299999624</c:v>
                </c:pt>
                <c:pt idx="989">
                  <c:v>23.730490999994799</c:v>
                </c:pt>
                <c:pt idx="990">
                  <c:v>23.752940000005765</c:v>
                </c:pt>
                <c:pt idx="991">
                  <c:v>23.771536999993259</c:v>
                </c:pt>
                <c:pt idx="992">
                  <c:v>23.787014999994426</c:v>
                </c:pt>
                <c:pt idx="993">
                  <c:v>23.808394000006956</c:v>
                </c:pt>
                <c:pt idx="994">
                  <c:v>23.829131999998935</c:v>
                </c:pt>
                <c:pt idx="995">
                  <c:v>23.851704000000609</c:v>
                </c:pt>
                <c:pt idx="996">
                  <c:v>23.872075999999652</c:v>
                </c:pt>
                <c:pt idx="997">
                  <c:v>23.891747000001487</c:v>
                </c:pt>
                <c:pt idx="998">
                  <c:v>23.913037999998778</c:v>
                </c:pt>
                <c:pt idx="999">
                  <c:v>23.928671000001486</c:v>
                </c:pt>
                <c:pt idx="1000">
                  <c:v>23.950268999993568</c:v>
                </c:pt>
                <c:pt idx="1001">
                  <c:v>23.969091999999364</c:v>
                </c:pt>
                <c:pt idx="1002">
                  <c:v>23.991341999993892</c:v>
                </c:pt>
                <c:pt idx="1003">
                  <c:v>24.004977999997209</c:v>
                </c:pt>
                <c:pt idx="1004">
                  <c:v>24.030178000000888</c:v>
                </c:pt>
                <c:pt idx="1005">
                  <c:v>24.051252999997814</c:v>
                </c:pt>
                <c:pt idx="1006">
                  <c:v>24.071083000002545</c:v>
                </c:pt>
                <c:pt idx="1007">
                  <c:v>24.08887799999502</c:v>
                </c:pt>
                <c:pt idx="1008">
                  <c:v>24.109505000000354</c:v>
                </c:pt>
                <c:pt idx="1009">
                  <c:v>24.130529000001843</c:v>
                </c:pt>
                <c:pt idx="1010">
                  <c:v>24.149757999999565</c:v>
                </c:pt>
                <c:pt idx="1011">
                  <c:v>24.169351999997161</c:v>
                </c:pt>
                <c:pt idx="1012">
                  <c:v>24.185184999994817</c:v>
                </c:pt>
                <c:pt idx="1013">
                  <c:v>24.210292000003392</c:v>
                </c:pt>
                <c:pt idx="1014">
                  <c:v>24.230257000002894</c:v>
                </c:pt>
                <c:pt idx="1015">
                  <c:v>24.251063000003342</c:v>
                </c:pt>
                <c:pt idx="1016">
                  <c:v>24.260286999997334</c:v>
                </c:pt>
                <c:pt idx="1017">
                  <c:v>24.290764000004856</c:v>
                </c:pt>
                <c:pt idx="1018">
                  <c:v>24.312315999995917</c:v>
                </c:pt>
                <c:pt idx="1019">
                  <c:v>24.332882999995491</c:v>
                </c:pt>
                <c:pt idx="1020">
                  <c:v>24.352180999994744</c:v>
                </c:pt>
                <c:pt idx="1021">
                  <c:v>24.370655000006082</c:v>
                </c:pt>
                <c:pt idx="1022">
                  <c:v>24.386303999999654</c:v>
                </c:pt>
                <c:pt idx="1023">
                  <c:v>24.411489999998594</c:v>
                </c:pt>
                <c:pt idx="1024">
                  <c:v>24.430787000004784</c:v>
                </c:pt>
                <c:pt idx="1025">
                  <c:v>24.451795999993919</c:v>
                </c:pt>
                <c:pt idx="1026">
                  <c:v>24.472370000003139</c:v>
                </c:pt>
                <c:pt idx="1027">
                  <c:v>24.493352999998024</c:v>
                </c:pt>
                <c:pt idx="1028">
                  <c:v>24.513412000000244</c:v>
                </c:pt>
                <c:pt idx="1029">
                  <c:v>24.527015999992727</c:v>
                </c:pt>
                <c:pt idx="1030">
                  <c:v>24.547990999999456</c:v>
                </c:pt>
                <c:pt idx="1031">
                  <c:v>24.568528000003425</c:v>
                </c:pt>
                <c:pt idx="1032">
                  <c:v>24.592092000006232</c:v>
                </c:pt>
                <c:pt idx="1033">
                  <c:v>24.612911000003805</c:v>
                </c:pt>
                <c:pt idx="1034">
                  <c:v>24.630116999993334</c:v>
                </c:pt>
                <c:pt idx="1035">
                  <c:v>24.647140999994008</c:v>
                </c:pt>
                <c:pt idx="1036">
                  <c:v>24.668594000002486</c:v>
                </c:pt>
                <c:pt idx="1037">
                  <c:v>24.690837999994983</c:v>
                </c:pt>
                <c:pt idx="1038">
                  <c:v>24.712589999995544</c:v>
                </c:pt>
                <c:pt idx="1039">
                  <c:v>24.729158999994979</c:v>
                </c:pt>
                <c:pt idx="1040">
                  <c:v>24.748250999997254</c:v>
                </c:pt>
                <c:pt idx="1041">
                  <c:v>24.772182999993674</c:v>
                </c:pt>
                <c:pt idx="1042">
                  <c:v>24.788973999995505</c:v>
                </c:pt>
                <c:pt idx="1043">
                  <c:v>24.810652000000118</c:v>
                </c:pt>
                <c:pt idx="1044">
                  <c:v>24.830902000001515</c:v>
                </c:pt>
                <c:pt idx="1045">
                  <c:v>24.851580000002286</c:v>
                </c:pt>
                <c:pt idx="1046">
                  <c:v>24.863641000003554</c:v>
                </c:pt>
                <c:pt idx="1047">
                  <c:v>24.889215000002878</c:v>
                </c:pt>
                <c:pt idx="1048">
                  <c:v>24.905175000007148</c:v>
                </c:pt>
                <c:pt idx="1049">
                  <c:v>24.923880999995163</c:v>
                </c:pt>
                <c:pt idx="1050">
                  <c:v>24.952577000003657</c:v>
                </c:pt>
                <c:pt idx="1051">
                  <c:v>24.970560000001569</c:v>
                </c:pt>
                <c:pt idx="1052">
                  <c:v>24.990554000003613</c:v>
                </c:pt>
                <c:pt idx="1053">
                  <c:v>25.009464999995544</c:v>
                </c:pt>
                <c:pt idx="1054">
                  <c:v>25.029137999998056</c:v>
                </c:pt>
                <c:pt idx="1055">
                  <c:v>25.049568000002182</c:v>
                </c:pt>
                <c:pt idx="1056">
                  <c:v>25.069510999994236</c:v>
                </c:pt>
                <c:pt idx="1057">
                  <c:v>25.090064000003622</c:v>
                </c:pt>
                <c:pt idx="1058">
                  <c:v>25.112080000006245</c:v>
                </c:pt>
                <c:pt idx="1059">
                  <c:v>25.130132000005688</c:v>
                </c:pt>
                <c:pt idx="1060">
                  <c:v>25.151247000001604</c:v>
                </c:pt>
                <c:pt idx="1061">
                  <c:v>25.170014000002993</c:v>
                </c:pt>
                <c:pt idx="1062">
                  <c:v>25.191411000007065</c:v>
                </c:pt>
                <c:pt idx="1063">
                  <c:v>25.195875000004889</c:v>
                </c:pt>
                <c:pt idx="1064">
                  <c:v>25.233873000004678</c:v>
                </c:pt>
                <c:pt idx="1065">
                  <c:v>25.248592000003555</c:v>
                </c:pt>
                <c:pt idx="1066">
                  <c:v>25.270485000000917</c:v>
                </c:pt>
                <c:pt idx="1067">
                  <c:v>25.291649999999208</c:v>
                </c:pt>
                <c:pt idx="1068">
                  <c:v>25.311413000003085</c:v>
                </c:pt>
                <c:pt idx="1069">
                  <c:v>25.331086000005598</c:v>
                </c:pt>
                <c:pt idx="1070">
                  <c:v>25.346539000005578</c:v>
                </c:pt>
                <c:pt idx="1071">
                  <c:v>25.366806000005454</c:v>
                </c:pt>
                <c:pt idx="1072">
                  <c:v>25.391757999997935</c:v>
                </c:pt>
                <c:pt idx="1073">
                  <c:v>25.409874999997555</c:v>
                </c:pt>
                <c:pt idx="1074">
                  <c:v>25.432696000003489</c:v>
                </c:pt>
                <c:pt idx="1075">
                  <c:v>25.448818999997457</c:v>
                </c:pt>
                <c:pt idx="1076">
                  <c:v>25.467323000004399</c:v>
                </c:pt>
                <c:pt idx="1077">
                  <c:v>25.487355999997817</c:v>
                </c:pt>
                <c:pt idx="1078">
                  <c:v>25.512679000006756</c:v>
                </c:pt>
                <c:pt idx="1079">
                  <c:v>25.532206999996561</c:v>
                </c:pt>
                <c:pt idx="1080">
                  <c:v>25.550080000000889</c:v>
                </c:pt>
                <c:pt idx="1081">
                  <c:v>25.568671999993967</c:v>
                </c:pt>
                <c:pt idx="1082">
                  <c:v>25.591994999995222</c:v>
                </c:pt>
                <c:pt idx="1083">
                  <c:v>25.604158999994979</c:v>
                </c:pt>
                <c:pt idx="1084">
                  <c:v>25.62855199999467</c:v>
                </c:pt>
                <c:pt idx="1085">
                  <c:v>25.64916099999391</c:v>
                </c:pt>
                <c:pt idx="1086">
                  <c:v>25.670091000007233</c:v>
                </c:pt>
                <c:pt idx="1087">
                  <c:v>25.688160000005155</c:v>
                </c:pt>
                <c:pt idx="1088">
                  <c:v>25.709323000002769</c:v>
                </c:pt>
                <c:pt idx="1089">
                  <c:v>25.728407000002335</c:v>
                </c:pt>
                <c:pt idx="1090">
                  <c:v>25.752332000003662</c:v>
                </c:pt>
                <c:pt idx="1091">
                  <c:v>25.768882999997004</c:v>
                </c:pt>
                <c:pt idx="1092">
                  <c:v>25.790080999999191</c:v>
                </c:pt>
                <c:pt idx="1093">
                  <c:v>25.80885099999432</c:v>
                </c:pt>
                <c:pt idx="1094">
                  <c:v>25.829733000005945</c:v>
                </c:pt>
                <c:pt idx="1095">
                  <c:v>25.844184999994468</c:v>
                </c:pt>
                <c:pt idx="1096">
                  <c:v>25.869984999997541</c:v>
                </c:pt>
                <c:pt idx="1097">
                  <c:v>25.889815000002272</c:v>
                </c:pt>
                <c:pt idx="1098">
                  <c:v>25.910757000005106</c:v>
                </c:pt>
                <c:pt idx="1099">
                  <c:v>25.929401000001235</c:v>
                </c:pt>
                <c:pt idx="1100">
                  <c:v>25.94962499999383</c:v>
                </c:pt>
                <c:pt idx="1101">
                  <c:v>25.972777999995742</c:v>
                </c:pt>
                <c:pt idx="1102">
                  <c:v>25.990013999995426</c:v>
                </c:pt>
                <c:pt idx="1103">
                  <c:v>26.010427000001073</c:v>
                </c:pt>
                <c:pt idx="1104">
                  <c:v>26.032560000006924</c:v>
                </c:pt>
                <c:pt idx="1105">
                  <c:v>26.051613999996334</c:v>
                </c:pt>
                <c:pt idx="1106">
                  <c:v>26.072595999998157</c:v>
                </c:pt>
                <c:pt idx="1107">
                  <c:v>26.092378999994253</c:v>
                </c:pt>
                <c:pt idx="1108">
                  <c:v>26.112676999997348</c:v>
                </c:pt>
                <c:pt idx="1109">
                  <c:v>26.130694999999832</c:v>
                </c:pt>
                <c:pt idx="1110">
                  <c:v>26.15151500000502</c:v>
                </c:pt>
                <c:pt idx="1111">
                  <c:v>26.160948999997345</c:v>
                </c:pt>
                <c:pt idx="1112">
                  <c:v>26.192194999995991</c:v>
                </c:pt>
                <c:pt idx="1113">
                  <c:v>26.212463999996544</c:v>
                </c:pt>
                <c:pt idx="1114">
                  <c:v>26.23177100000612</c:v>
                </c:pt>
                <c:pt idx="1115">
                  <c:v>26.252322999993339</c:v>
                </c:pt>
                <c:pt idx="1116">
                  <c:v>26.266526999999769</c:v>
                </c:pt>
                <c:pt idx="1117">
                  <c:v>26.289130999997724</c:v>
                </c:pt>
                <c:pt idx="1118">
                  <c:v>26.307276999999885</c:v>
                </c:pt>
                <c:pt idx="1119">
                  <c:v>26.328584999995655</c:v>
                </c:pt>
                <c:pt idx="1120">
                  <c:v>26.352679000003263</c:v>
                </c:pt>
                <c:pt idx="1121">
                  <c:v>26.372602999996161</c:v>
                </c:pt>
                <c:pt idx="1122">
                  <c:v>26.389469999994617</c:v>
                </c:pt>
                <c:pt idx="1123">
                  <c:v>0</c:v>
                </c:pt>
                <c:pt idx="1124">
                  <c:v>0</c:v>
                </c:pt>
                <c:pt idx="1125">
                  <c:v>0</c:v>
                </c:pt>
                <c:pt idx="1126">
                  <c:v>0</c:v>
                </c:pt>
                <c:pt idx="1127">
                  <c:v>0</c:v>
                </c:pt>
                <c:pt idx="1128">
                  <c:v>0</c:v>
                </c:pt>
                <c:pt idx="1129">
                  <c:v>0</c:v>
                </c:pt>
                <c:pt idx="1130">
                  <c:v>0</c:v>
                </c:pt>
                <c:pt idx="1131">
                  <c:v>0</c:v>
                </c:pt>
                <c:pt idx="1132">
                  <c:v>0</c:v>
                </c:pt>
                <c:pt idx="1133">
                  <c:v>0</c:v>
                </c:pt>
                <c:pt idx="1134">
                  <c:v>0</c:v>
                </c:pt>
                <c:pt idx="1135">
                  <c:v>0</c:v>
                </c:pt>
                <c:pt idx="1136">
                  <c:v>0</c:v>
                </c:pt>
                <c:pt idx="1137">
                  <c:v>0</c:v>
                </c:pt>
                <c:pt idx="1138">
                  <c:v>0</c:v>
                </c:pt>
                <c:pt idx="1139">
                  <c:v>0</c:v>
                </c:pt>
                <c:pt idx="1140">
                  <c:v>0</c:v>
                </c:pt>
                <c:pt idx="1141">
                  <c:v>0</c:v>
                </c:pt>
                <c:pt idx="1142">
                  <c:v>0</c:v>
                </c:pt>
                <c:pt idx="1143">
                  <c:v>0</c:v>
                </c:pt>
                <c:pt idx="1144">
                  <c:v>0</c:v>
                </c:pt>
                <c:pt idx="1145">
                  <c:v>0</c:v>
                </c:pt>
                <c:pt idx="1146">
                  <c:v>0</c:v>
                </c:pt>
                <c:pt idx="1147">
                  <c:v>0</c:v>
                </c:pt>
                <c:pt idx="1148">
                  <c:v>0</c:v>
                </c:pt>
                <c:pt idx="1149">
                  <c:v>0</c:v>
                </c:pt>
                <c:pt idx="1150">
                  <c:v>0</c:v>
                </c:pt>
              </c:numCache>
              <c:extLst xmlns:c15="http://schemas.microsoft.com/office/drawing/2012/chart"/>
            </c:numRef>
          </c:xVal>
          <c:yVal>
            <c:numRef>
              <c:f>'Real Values'!$K$2:$K$1800</c:f>
              <c:numCache>
                <c:formatCode>General</c:formatCode>
                <c:ptCount val="1799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  <c:pt idx="1001">
                  <c:v>0</c:v>
                </c:pt>
                <c:pt idx="1002">
                  <c:v>0</c:v>
                </c:pt>
                <c:pt idx="1003">
                  <c:v>0</c:v>
                </c:pt>
                <c:pt idx="1004">
                  <c:v>0</c:v>
                </c:pt>
                <c:pt idx="1005">
                  <c:v>0</c:v>
                </c:pt>
                <c:pt idx="1006">
                  <c:v>0</c:v>
                </c:pt>
                <c:pt idx="1007">
                  <c:v>0</c:v>
                </c:pt>
                <c:pt idx="1008">
                  <c:v>0</c:v>
                </c:pt>
                <c:pt idx="1009">
                  <c:v>0</c:v>
                </c:pt>
                <c:pt idx="1010">
                  <c:v>0</c:v>
                </c:pt>
                <c:pt idx="1011">
                  <c:v>0</c:v>
                </c:pt>
                <c:pt idx="1012">
                  <c:v>0</c:v>
                </c:pt>
                <c:pt idx="1013">
                  <c:v>0</c:v>
                </c:pt>
                <c:pt idx="1014">
                  <c:v>0</c:v>
                </c:pt>
                <c:pt idx="1015">
                  <c:v>0</c:v>
                </c:pt>
                <c:pt idx="1016">
                  <c:v>0</c:v>
                </c:pt>
                <c:pt idx="1017">
                  <c:v>0</c:v>
                </c:pt>
                <c:pt idx="1018">
                  <c:v>0</c:v>
                </c:pt>
                <c:pt idx="1019">
                  <c:v>0</c:v>
                </c:pt>
                <c:pt idx="1020">
                  <c:v>0</c:v>
                </c:pt>
                <c:pt idx="1021">
                  <c:v>0</c:v>
                </c:pt>
                <c:pt idx="1022">
                  <c:v>0</c:v>
                </c:pt>
                <c:pt idx="1023">
                  <c:v>0</c:v>
                </c:pt>
                <c:pt idx="1024">
                  <c:v>0</c:v>
                </c:pt>
                <c:pt idx="1025">
                  <c:v>0</c:v>
                </c:pt>
                <c:pt idx="1026">
                  <c:v>0</c:v>
                </c:pt>
                <c:pt idx="1027">
                  <c:v>0</c:v>
                </c:pt>
                <c:pt idx="1028">
                  <c:v>0</c:v>
                </c:pt>
                <c:pt idx="1029">
                  <c:v>0</c:v>
                </c:pt>
                <c:pt idx="1030">
                  <c:v>0</c:v>
                </c:pt>
                <c:pt idx="1031">
                  <c:v>0</c:v>
                </c:pt>
                <c:pt idx="1032">
                  <c:v>0</c:v>
                </c:pt>
                <c:pt idx="1033">
                  <c:v>0</c:v>
                </c:pt>
                <c:pt idx="1034">
                  <c:v>0</c:v>
                </c:pt>
                <c:pt idx="1035">
                  <c:v>0</c:v>
                </c:pt>
                <c:pt idx="1036">
                  <c:v>0</c:v>
                </c:pt>
                <c:pt idx="1037">
                  <c:v>0</c:v>
                </c:pt>
                <c:pt idx="1038">
                  <c:v>0</c:v>
                </c:pt>
                <c:pt idx="1039">
                  <c:v>0</c:v>
                </c:pt>
                <c:pt idx="1040">
                  <c:v>0</c:v>
                </c:pt>
                <c:pt idx="1041">
                  <c:v>0</c:v>
                </c:pt>
                <c:pt idx="1042">
                  <c:v>0</c:v>
                </c:pt>
                <c:pt idx="1043">
                  <c:v>0</c:v>
                </c:pt>
                <c:pt idx="1044">
                  <c:v>0</c:v>
                </c:pt>
                <c:pt idx="1045">
                  <c:v>0</c:v>
                </c:pt>
                <c:pt idx="1046">
                  <c:v>0</c:v>
                </c:pt>
                <c:pt idx="1047">
                  <c:v>0</c:v>
                </c:pt>
                <c:pt idx="1048">
                  <c:v>0</c:v>
                </c:pt>
                <c:pt idx="1049">
                  <c:v>0</c:v>
                </c:pt>
                <c:pt idx="1050">
                  <c:v>0</c:v>
                </c:pt>
                <c:pt idx="1051">
                  <c:v>0</c:v>
                </c:pt>
                <c:pt idx="1052">
                  <c:v>0</c:v>
                </c:pt>
                <c:pt idx="1053">
                  <c:v>0</c:v>
                </c:pt>
                <c:pt idx="1054">
                  <c:v>0</c:v>
                </c:pt>
                <c:pt idx="1055">
                  <c:v>0</c:v>
                </c:pt>
                <c:pt idx="1056">
                  <c:v>0</c:v>
                </c:pt>
                <c:pt idx="1057">
                  <c:v>0</c:v>
                </c:pt>
                <c:pt idx="1058">
                  <c:v>0</c:v>
                </c:pt>
                <c:pt idx="1059">
                  <c:v>0</c:v>
                </c:pt>
                <c:pt idx="1060">
                  <c:v>0</c:v>
                </c:pt>
                <c:pt idx="1061">
                  <c:v>0</c:v>
                </c:pt>
                <c:pt idx="1062">
                  <c:v>0</c:v>
                </c:pt>
                <c:pt idx="1063">
                  <c:v>0</c:v>
                </c:pt>
                <c:pt idx="1064">
                  <c:v>0</c:v>
                </c:pt>
                <c:pt idx="1065">
                  <c:v>0</c:v>
                </c:pt>
                <c:pt idx="1066">
                  <c:v>0</c:v>
                </c:pt>
                <c:pt idx="1067">
                  <c:v>0</c:v>
                </c:pt>
                <c:pt idx="1068">
                  <c:v>0</c:v>
                </c:pt>
                <c:pt idx="1069">
                  <c:v>0</c:v>
                </c:pt>
                <c:pt idx="1070">
                  <c:v>0</c:v>
                </c:pt>
                <c:pt idx="1071">
                  <c:v>0</c:v>
                </c:pt>
                <c:pt idx="1072">
                  <c:v>0</c:v>
                </c:pt>
                <c:pt idx="1073">
                  <c:v>0</c:v>
                </c:pt>
                <c:pt idx="1074">
                  <c:v>0</c:v>
                </c:pt>
                <c:pt idx="1075">
                  <c:v>0</c:v>
                </c:pt>
                <c:pt idx="1076">
                  <c:v>0</c:v>
                </c:pt>
                <c:pt idx="1077">
                  <c:v>0</c:v>
                </c:pt>
                <c:pt idx="1078">
                  <c:v>0</c:v>
                </c:pt>
                <c:pt idx="1079">
                  <c:v>0</c:v>
                </c:pt>
                <c:pt idx="1080">
                  <c:v>0</c:v>
                </c:pt>
                <c:pt idx="1081">
                  <c:v>0</c:v>
                </c:pt>
                <c:pt idx="1082">
                  <c:v>0</c:v>
                </c:pt>
                <c:pt idx="1083">
                  <c:v>0</c:v>
                </c:pt>
                <c:pt idx="1084">
                  <c:v>0</c:v>
                </c:pt>
                <c:pt idx="1085">
                  <c:v>0</c:v>
                </c:pt>
                <c:pt idx="1086">
                  <c:v>0</c:v>
                </c:pt>
                <c:pt idx="1087">
                  <c:v>0</c:v>
                </c:pt>
                <c:pt idx="1088">
                  <c:v>0</c:v>
                </c:pt>
                <c:pt idx="1089">
                  <c:v>0</c:v>
                </c:pt>
                <c:pt idx="1090">
                  <c:v>0</c:v>
                </c:pt>
                <c:pt idx="1091">
                  <c:v>0</c:v>
                </c:pt>
                <c:pt idx="1092">
                  <c:v>0</c:v>
                </c:pt>
                <c:pt idx="1093">
                  <c:v>0</c:v>
                </c:pt>
                <c:pt idx="1094">
                  <c:v>0</c:v>
                </c:pt>
                <c:pt idx="1095">
                  <c:v>0</c:v>
                </c:pt>
                <c:pt idx="1096">
                  <c:v>0</c:v>
                </c:pt>
                <c:pt idx="1097">
                  <c:v>0</c:v>
                </c:pt>
                <c:pt idx="1098">
                  <c:v>0</c:v>
                </c:pt>
                <c:pt idx="1099">
                  <c:v>0</c:v>
                </c:pt>
                <c:pt idx="1100">
                  <c:v>0</c:v>
                </c:pt>
                <c:pt idx="1101">
                  <c:v>0</c:v>
                </c:pt>
                <c:pt idx="1102">
                  <c:v>0</c:v>
                </c:pt>
                <c:pt idx="1103">
                  <c:v>0</c:v>
                </c:pt>
                <c:pt idx="1104">
                  <c:v>0</c:v>
                </c:pt>
                <c:pt idx="1105">
                  <c:v>0</c:v>
                </c:pt>
                <c:pt idx="1106">
                  <c:v>0</c:v>
                </c:pt>
                <c:pt idx="1107">
                  <c:v>0</c:v>
                </c:pt>
                <c:pt idx="1108">
                  <c:v>0</c:v>
                </c:pt>
                <c:pt idx="1109">
                  <c:v>0</c:v>
                </c:pt>
                <c:pt idx="1110">
                  <c:v>0</c:v>
                </c:pt>
                <c:pt idx="1111">
                  <c:v>0</c:v>
                </c:pt>
                <c:pt idx="1112">
                  <c:v>0</c:v>
                </c:pt>
                <c:pt idx="1113">
                  <c:v>0</c:v>
                </c:pt>
                <c:pt idx="1114">
                  <c:v>0</c:v>
                </c:pt>
                <c:pt idx="1115">
                  <c:v>0</c:v>
                </c:pt>
                <c:pt idx="1116">
                  <c:v>0</c:v>
                </c:pt>
                <c:pt idx="1117">
                  <c:v>0</c:v>
                </c:pt>
                <c:pt idx="1118">
                  <c:v>0</c:v>
                </c:pt>
                <c:pt idx="1119">
                  <c:v>0</c:v>
                </c:pt>
                <c:pt idx="1120">
                  <c:v>0</c:v>
                </c:pt>
                <c:pt idx="1121">
                  <c:v>0</c:v>
                </c:pt>
                <c:pt idx="1122">
                  <c:v>0</c:v>
                </c:pt>
                <c:pt idx="1123">
                  <c:v>0</c:v>
                </c:pt>
                <c:pt idx="1124">
                  <c:v>0</c:v>
                </c:pt>
                <c:pt idx="1125">
                  <c:v>0</c:v>
                </c:pt>
                <c:pt idx="1126">
                  <c:v>0</c:v>
                </c:pt>
                <c:pt idx="1127">
                  <c:v>0</c:v>
                </c:pt>
                <c:pt idx="1128">
                  <c:v>0</c:v>
                </c:pt>
                <c:pt idx="1129">
                  <c:v>0</c:v>
                </c:pt>
                <c:pt idx="1130">
                  <c:v>0</c:v>
                </c:pt>
                <c:pt idx="1131">
                  <c:v>0</c:v>
                </c:pt>
                <c:pt idx="1132">
                  <c:v>0</c:v>
                </c:pt>
                <c:pt idx="1133">
                  <c:v>0</c:v>
                </c:pt>
                <c:pt idx="1134">
                  <c:v>0</c:v>
                </c:pt>
                <c:pt idx="1135">
                  <c:v>0</c:v>
                </c:pt>
                <c:pt idx="1136">
                  <c:v>0</c:v>
                </c:pt>
                <c:pt idx="1137">
                  <c:v>0</c:v>
                </c:pt>
                <c:pt idx="1138">
                  <c:v>0</c:v>
                </c:pt>
                <c:pt idx="1139">
                  <c:v>0</c:v>
                </c:pt>
                <c:pt idx="1140">
                  <c:v>0</c:v>
                </c:pt>
                <c:pt idx="1141">
                  <c:v>0</c:v>
                </c:pt>
                <c:pt idx="1142">
                  <c:v>0</c:v>
                </c:pt>
                <c:pt idx="1143">
                  <c:v>0</c:v>
                </c:pt>
                <c:pt idx="1144">
                  <c:v>0</c:v>
                </c:pt>
                <c:pt idx="1145">
                  <c:v>0</c:v>
                </c:pt>
                <c:pt idx="1146">
                  <c:v>0</c:v>
                </c:pt>
                <c:pt idx="1147">
                  <c:v>0</c:v>
                </c:pt>
                <c:pt idx="1148">
                  <c:v>0</c:v>
                </c:pt>
                <c:pt idx="1149">
                  <c:v>0</c:v>
                </c:pt>
                <c:pt idx="1150">
                  <c:v>0</c:v>
                </c:pt>
              </c:numCache>
              <c:extLst xmlns:c15="http://schemas.microsoft.com/office/drawing/2012/chart"/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3-E01D-4CCD-A4C2-019A7266AA8F}"/>
            </c:ext>
          </c:extLst>
        </c:ser>
        <c:ser>
          <c:idx val="3"/>
          <c:order val="2"/>
          <c:tx>
            <c:v>Integral 2</c:v>
          </c:tx>
          <c:spPr>
            <a:ln w="19050">
              <a:noFill/>
            </a:ln>
          </c:spPr>
          <c:marker>
            <c:symbol val="circle"/>
            <c:size val="3"/>
            <c:spPr>
              <a:solidFill>
                <a:schemeClr val="accent2"/>
              </a:solidFill>
              <a:ln>
                <a:solidFill>
                  <a:schemeClr val="accent2"/>
                </a:solidFill>
              </a:ln>
            </c:spPr>
          </c:marker>
          <c:xVal>
            <c:numRef>
              <c:f>'Real Values'!$B$2:$B$1800</c:f>
              <c:numCache>
                <c:formatCode>General</c:formatCode>
                <c:ptCount val="1799"/>
                <c:pt idx="0">
                  <c:v>5.2599999995436519E-2</c:v>
                </c:pt>
                <c:pt idx="1">
                  <c:v>7.1112999998149462E-2</c:v>
                </c:pt>
                <c:pt idx="2">
                  <c:v>9.1904000000795349E-2</c:v>
                </c:pt>
                <c:pt idx="3">
                  <c:v>0.10767899999336805</c:v>
                </c:pt>
                <c:pt idx="4">
                  <c:v>0.13174199999775738</c:v>
                </c:pt>
                <c:pt idx="5">
                  <c:v>0.15130599999974947</c:v>
                </c:pt>
                <c:pt idx="6">
                  <c:v>0.16790099999343511</c:v>
                </c:pt>
                <c:pt idx="7">
                  <c:v>0.1887060000008205</c:v>
                </c:pt>
                <c:pt idx="8">
                  <c:v>0.21346100000664592</c:v>
                </c:pt>
                <c:pt idx="9">
                  <c:v>0.22705699999642093</c:v>
                </c:pt>
                <c:pt idx="10">
                  <c:v>0.24826999999640975</c:v>
                </c:pt>
                <c:pt idx="11">
                  <c:v>0.26694099999440368</c:v>
                </c:pt>
                <c:pt idx="12">
                  <c:v>0.29261899999983143</c:v>
                </c:pt>
                <c:pt idx="13">
                  <c:v>0.31316000000515487</c:v>
                </c:pt>
                <c:pt idx="14">
                  <c:v>0.33193600000231527</c:v>
                </c:pt>
                <c:pt idx="15">
                  <c:v>0.3471949999948265</c:v>
                </c:pt>
                <c:pt idx="16">
                  <c:v>0.36253399999986868</c:v>
                </c:pt>
                <c:pt idx="17">
                  <c:v>0.39266500000667293</c:v>
                </c:pt>
                <c:pt idx="18">
                  <c:v>0.40777599999273662</c:v>
                </c:pt>
                <c:pt idx="19">
                  <c:v>0.43277499999385327</c:v>
                </c:pt>
                <c:pt idx="20">
                  <c:v>0.45146999999997206</c:v>
                </c:pt>
                <c:pt idx="21">
                  <c:v>0.46772000000055414</c:v>
                </c:pt>
                <c:pt idx="22">
                  <c:v>0.48933199999737553</c:v>
                </c:pt>
                <c:pt idx="23">
                  <c:v>0.50939500000094995</c:v>
                </c:pt>
                <c:pt idx="24">
                  <c:v>0.52885000000242144</c:v>
                </c:pt>
                <c:pt idx="25">
                  <c:v>0.54839799999899697</c:v>
                </c:pt>
                <c:pt idx="26">
                  <c:v>0.56978499999968335</c:v>
                </c:pt>
                <c:pt idx="27">
                  <c:v>0.58849900000495836</c:v>
                </c:pt>
                <c:pt idx="28">
                  <c:v>0.61144700000295416</c:v>
                </c:pt>
                <c:pt idx="29">
                  <c:v>0.6288020000065444</c:v>
                </c:pt>
                <c:pt idx="30">
                  <c:v>0.65030599999590777</c:v>
                </c:pt>
                <c:pt idx="31">
                  <c:v>0.67232100000546779</c:v>
                </c:pt>
                <c:pt idx="32">
                  <c:v>0.68908599999849685</c:v>
                </c:pt>
                <c:pt idx="33">
                  <c:v>0.71103900000161957</c:v>
                </c:pt>
                <c:pt idx="34">
                  <c:v>0.73151300000608899</c:v>
                </c:pt>
                <c:pt idx="35">
                  <c:v>0.74727399999392219</c:v>
                </c:pt>
                <c:pt idx="36">
                  <c:v>0.76911399999517016</c:v>
                </c:pt>
                <c:pt idx="37">
                  <c:v>0.79029099999752361</c:v>
                </c:pt>
                <c:pt idx="38">
                  <c:v>0.79935000000114087</c:v>
                </c:pt>
                <c:pt idx="39">
                  <c:v>0.83206099999370053</c:v>
                </c:pt>
                <c:pt idx="40">
                  <c:v>0.85044399999605957</c:v>
                </c:pt>
                <c:pt idx="41">
                  <c:v>0.87058800000522751</c:v>
                </c:pt>
                <c:pt idx="42">
                  <c:v>0.89076300000306219</c:v>
                </c:pt>
                <c:pt idx="43">
                  <c:v>0.91084300000511575</c:v>
                </c:pt>
                <c:pt idx="44">
                  <c:v>0.93167299999913666</c:v>
                </c:pt>
                <c:pt idx="45">
                  <c:v>0.94603799999458715</c:v>
                </c:pt>
                <c:pt idx="46">
                  <c:v>0.97082400000363123</c:v>
                </c:pt>
                <c:pt idx="47">
                  <c:v>0.99126799999794457</c:v>
                </c:pt>
                <c:pt idx="48">
                  <c:v>1.0061920000007376</c:v>
                </c:pt>
                <c:pt idx="49">
                  <c:v>1.0268289999949047</c:v>
                </c:pt>
                <c:pt idx="50">
                  <c:v>1.046040000001085</c:v>
                </c:pt>
                <c:pt idx="51">
                  <c:v>1.0720909999945434</c:v>
                </c:pt>
                <c:pt idx="52">
                  <c:v>1.0898290000041015</c:v>
                </c:pt>
                <c:pt idx="53">
                  <c:v>1.10770500000217</c:v>
                </c:pt>
                <c:pt idx="54">
                  <c:v>1.1321060000045691</c:v>
                </c:pt>
                <c:pt idx="55">
                  <c:v>1.1494200000015553</c:v>
                </c:pt>
                <c:pt idx="56">
                  <c:v>1.1718129999935627</c:v>
                </c:pt>
                <c:pt idx="57">
                  <c:v>1.1912400000001071</c:v>
                </c:pt>
                <c:pt idx="58">
                  <c:v>1.2120719999948051</c:v>
                </c:pt>
                <c:pt idx="59">
                  <c:v>1.2298180000070715</c:v>
                </c:pt>
                <c:pt idx="60">
                  <c:v>1.2522989999997662</c:v>
                </c:pt>
                <c:pt idx="61">
                  <c:v>1.2725670000072569</c:v>
                </c:pt>
                <c:pt idx="62">
                  <c:v>1.2926980000047479</c:v>
                </c:pt>
                <c:pt idx="63">
                  <c:v>1.3091259999928297</c:v>
                </c:pt>
                <c:pt idx="64">
                  <c:v>1.3326839999936055</c:v>
                </c:pt>
                <c:pt idx="65">
                  <c:v>1.3498839999956544</c:v>
                </c:pt>
                <c:pt idx="66">
                  <c:v>1.370003000003635</c:v>
                </c:pt>
                <c:pt idx="67">
                  <c:v>1.388120000003255</c:v>
                </c:pt>
                <c:pt idx="68">
                  <c:v>1.4047730000020238</c:v>
                </c:pt>
                <c:pt idx="69">
                  <c:v>1.4334419999941019</c:v>
                </c:pt>
                <c:pt idx="70">
                  <c:v>1.4489659999962896</c:v>
                </c:pt>
                <c:pt idx="71">
                  <c:v>1.4688380000006873</c:v>
                </c:pt>
                <c:pt idx="72">
                  <c:v>1.4888170000049286</c:v>
                </c:pt>
                <c:pt idx="73">
                  <c:v>1.5088760000071488</c:v>
                </c:pt>
                <c:pt idx="74">
                  <c:v>1.5299470000027213</c:v>
                </c:pt>
                <c:pt idx="75">
                  <c:v>1.5525769999949262</c:v>
                </c:pt>
                <c:pt idx="76">
                  <c:v>1.569312000006903</c:v>
                </c:pt>
                <c:pt idx="77">
                  <c:v>1.5915329999988899</c:v>
                </c:pt>
                <c:pt idx="78">
                  <c:v>1.609452999997302</c:v>
                </c:pt>
                <c:pt idx="79">
                  <c:v>1.629335000005085</c:v>
                </c:pt>
                <c:pt idx="80">
                  <c:v>1.6445709999970859</c:v>
                </c:pt>
                <c:pt idx="81">
                  <c:v>1.6701780000003055</c:v>
                </c:pt>
                <c:pt idx="82">
                  <c:v>1.6902649999974528</c:v>
                </c:pt>
                <c:pt idx="83">
                  <c:v>1.7111560000048485</c:v>
                </c:pt>
                <c:pt idx="84">
                  <c:v>1.7268270000058692</c:v>
                </c:pt>
                <c:pt idx="85">
                  <c:v>1.7516009999962989</c:v>
                </c:pt>
                <c:pt idx="86">
                  <c:v>1.7652260000031674</c:v>
                </c:pt>
                <c:pt idx="87">
                  <c:v>1.7857209999929182</c:v>
                </c:pt>
                <c:pt idx="88">
                  <c:v>1.8108459999930346</c:v>
                </c:pt>
                <c:pt idx="89">
                  <c:v>1.8259269999980461</c:v>
                </c:pt>
                <c:pt idx="90">
                  <c:v>1.8516570000065258</c:v>
                </c:pt>
                <c:pt idx="91">
                  <c:v>1.8665509999991627</c:v>
                </c:pt>
                <c:pt idx="92">
                  <c:v>1.8916880000033416</c:v>
                </c:pt>
                <c:pt idx="93">
                  <c:v>1.9009709999954794</c:v>
                </c:pt>
                <c:pt idx="94">
                  <c:v>1.9325919999973848</c:v>
                </c:pt>
                <c:pt idx="95">
                  <c:v>1.9516719999955967</c:v>
                </c:pt>
                <c:pt idx="96">
                  <c:v>1.9624049999983981</c:v>
                </c:pt>
                <c:pt idx="97">
                  <c:v>1.9868080000014743</c:v>
                </c:pt>
                <c:pt idx="98">
                  <c:v>2.0070249999989755</c:v>
                </c:pt>
                <c:pt idx="99">
                  <c:v>2.0269549999939045</c:v>
                </c:pt>
                <c:pt idx="100">
                  <c:v>2.0515290000039386</c:v>
                </c:pt>
                <c:pt idx="101">
                  <c:v>2.06706000000122</c:v>
                </c:pt>
                <c:pt idx="102">
                  <c:v>2.0930939999961993</c:v>
                </c:pt>
                <c:pt idx="103">
                  <c:v>2.1083260000013979</c:v>
                </c:pt>
                <c:pt idx="104">
                  <c:v>2.1305220000067493</c:v>
                </c:pt>
                <c:pt idx="105">
                  <c:v>2.1532779999979539</c:v>
                </c:pt>
                <c:pt idx="106">
                  <c:v>2.1726889999990817</c:v>
                </c:pt>
                <c:pt idx="107">
                  <c:v>2.1923870000027819</c:v>
                </c:pt>
                <c:pt idx="108">
                  <c:v>2.2102259999956004</c:v>
                </c:pt>
                <c:pt idx="109">
                  <c:v>2.2300249999971129</c:v>
                </c:pt>
                <c:pt idx="110">
                  <c:v>2.24872800000594</c:v>
                </c:pt>
                <c:pt idx="111">
                  <c:v>2.2715969999990193</c:v>
                </c:pt>
                <c:pt idx="112">
                  <c:v>2.2880569999979343</c:v>
                </c:pt>
                <c:pt idx="113">
                  <c:v>2.3085750000027474</c:v>
                </c:pt>
                <c:pt idx="114">
                  <c:v>2.3256039999978384</c:v>
                </c:pt>
                <c:pt idx="115">
                  <c:v>2.3487920000043232</c:v>
                </c:pt>
                <c:pt idx="116">
                  <c:v>2.3692259999952512</c:v>
                </c:pt>
                <c:pt idx="117">
                  <c:v>2.3854379999975208</c:v>
                </c:pt>
                <c:pt idx="118">
                  <c:v>2.4134559999947669</c:v>
                </c:pt>
                <c:pt idx="119">
                  <c:v>2.4298479999997653</c:v>
                </c:pt>
                <c:pt idx="120">
                  <c:v>2.4493689999944763</c:v>
                </c:pt>
                <c:pt idx="121">
                  <c:v>2.4721229999995558</c:v>
                </c:pt>
                <c:pt idx="122">
                  <c:v>2.4891680000000633</c:v>
                </c:pt>
                <c:pt idx="123">
                  <c:v>2.509661000003689</c:v>
                </c:pt>
                <c:pt idx="124">
                  <c:v>2.5303010000061477</c:v>
                </c:pt>
                <c:pt idx="125">
                  <c:v>2.5504150000051595</c:v>
                </c:pt>
                <c:pt idx="126">
                  <c:v>2.5750589999952354</c:v>
                </c:pt>
                <c:pt idx="127">
                  <c:v>2.5918490000040038</c:v>
                </c:pt>
                <c:pt idx="128">
                  <c:v>2.6100290000031237</c:v>
                </c:pt>
                <c:pt idx="129">
                  <c:v>2.6315659999963827</c:v>
                </c:pt>
                <c:pt idx="130">
                  <c:v>2.6451470000029076</c:v>
                </c:pt>
                <c:pt idx="131">
                  <c:v>2.6706280000071274</c:v>
                </c:pt>
                <c:pt idx="132">
                  <c:v>2.6857840000011493</c:v>
                </c:pt>
                <c:pt idx="133">
                  <c:v>2.7118340000015451</c:v>
                </c:pt>
                <c:pt idx="134">
                  <c:v>2.7317559999937657</c:v>
                </c:pt>
                <c:pt idx="135">
                  <c:v>2.7467389999947045</c:v>
                </c:pt>
                <c:pt idx="136">
                  <c:v>2.7717359999951441</c:v>
                </c:pt>
                <c:pt idx="137">
                  <c:v>2.7823230000067269</c:v>
                </c:pt>
                <c:pt idx="138">
                  <c:v>2.8119140000053449</c:v>
                </c:pt>
                <c:pt idx="139">
                  <c:v>2.8209769999957643</c:v>
                </c:pt>
                <c:pt idx="140">
                  <c:v>2.8517180000053486</c:v>
                </c:pt>
                <c:pt idx="141">
                  <c:v>2.8717109999997774</c:v>
                </c:pt>
                <c:pt idx="142">
                  <c:v>2.8814480000000913</c:v>
                </c:pt>
                <c:pt idx="143">
                  <c:v>2.907361999998102</c:v>
                </c:pt>
                <c:pt idx="144">
                  <c:v>2.9234009999927366</c:v>
                </c:pt>
                <c:pt idx="145">
                  <c:v>2.9484079999965616</c:v>
                </c:pt>
                <c:pt idx="146">
                  <c:v>2.9674059999961173</c:v>
                </c:pt>
                <c:pt idx="147">
                  <c:v>2.9871710000006715</c:v>
                </c:pt>
                <c:pt idx="148">
                  <c:v>3.0097939999977825</c:v>
                </c:pt>
                <c:pt idx="149">
                  <c:v>3.0274820000049658</c:v>
                </c:pt>
                <c:pt idx="150">
                  <c:v>3.0492830000002868</c:v>
                </c:pt>
                <c:pt idx="151">
                  <c:v>3.0676649999950314</c:v>
                </c:pt>
                <c:pt idx="152">
                  <c:v>3.0877840000030119</c:v>
                </c:pt>
                <c:pt idx="153">
                  <c:v>3.1087350000016158</c:v>
                </c:pt>
                <c:pt idx="154">
                  <c:v>3.1290100000042003</c:v>
                </c:pt>
                <c:pt idx="155">
                  <c:v>3.1441970000014408</c:v>
                </c:pt>
                <c:pt idx="156">
                  <c:v>3.168403000003309</c:v>
                </c:pt>
                <c:pt idx="157">
                  <c:v>3.1924449999933131</c:v>
                </c:pt>
                <c:pt idx="158">
                  <c:v>3.2133500000054482</c:v>
                </c:pt>
                <c:pt idx="159">
                  <c:v>3.2285600000031991</c:v>
                </c:pt>
                <c:pt idx="160">
                  <c:v>3.2441200000030221</c:v>
                </c:pt>
                <c:pt idx="161">
                  <c:v>3.2694909999991069</c:v>
                </c:pt>
                <c:pt idx="162">
                  <c:v>3.2937539999984438</c:v>
                </c:pt>
                <c:pt idx="163">
                  <c:v>3.3104580000072019</c:v>
                </c:pt>
                <c:pt idx="164">
                  <c:v>3.3294350000069244</c:v>
                </c:pt>
                <c:pt idx="165">
                  <c:v>3.349277000001166</c:v>
                </c:pt>
                <c:pt idx="166">
                  <c:v>3.3719500000006519</c:v>
                </c:pt>
                <c:pt idx="167">
                  <c:v>3.3908150000061141</c:v>
                </c:pt>
                <c:pt idx="168">
                  <c:v>3.4054869999963557</c:v>
                </c:pt>
                <c:pt idx="169">
                  <c:v>3.4302049999969313</c:v>
                </c:pt>
                <c:pt idx="170">
                  <c:v>3.4520959999936167</c:v>
                </c:pt>
                <c:pt idx="171">
                  <c:v>3.4648049999959767</c:v>
                </c:pt>
                <c:pt idx="172">
                  <c:v>3.49079100000381</c:v>
                </c:pt>
                <c:pt idx="173">
                  <c:v>3.5001929999998538</c:v>
                </c:pt>
                <c:pt idx="174">
                  <c:v>3.530681000003824</c:v>
                </c:pt>
                <c:pt idx="175">
                  <c:v>3.5506500000046799</c:v>
                </c:pt>
                <c:pt idx="176">
                  <c:v>3.5687520000064978</c:v>
                </c:pt>
                <c:pt idx="177">
                  <c:v>3.5910089999961201</c:v>
                </c:pt>
                <c:pt idx="178">
                  <c:v>3.6056269999971846</c:v>
                </c:pt>
                <c:pt idx="179">
                  <c:v>3.6308080000017071</c:v>
                </c:pt>
                <c:pt idx="180">
                  <c:v>3.6516960000008112</c:v>
                </c:pt>
                <c:pt idx="181">
                  <c:v>3.667555000007269</c:v>
                </c:pt>
                <c:pt idx="182">
                  <c:v>3.6924319999961881</c:v>
                </c:pt>
                <c:pt idx="183">
                  <c:v>3.7116790000000037</c:v>
                </c:pt>
                <c:pt idx="184">
                  <c:v>3.7264719999948284</c:v>
                </c:pt>
                <c:pt idx="185">
                  <c:v>3.7474039999942761</c:v>
                </c:pt>
                <c:pt idx="186">
                  <c:v>3.7724869999947259</c:v>
                </c:pt>
                <c:pt idx="187">
                  <c:v>3.7934470000036526</c:v>
                </c:pt>
                <c:pt idx="188">
                  <c:v>3.8076810000056867</c:v>
                </c:pt>
                <c:pt idx="189">
                  <c:v>3.832116000005044</c:v>
                </c:pt>
                <c:pt idx="190">
                  <c:v>3.842545000006794</c:v>
                </c:pt>
                <c:pt idx="191">
                  <c:v>3.871406999998726</c:v>
                </c:pt>
                <c:pt idx="192">
                  <c:v>3.8925960000051418</c:v>
                </c:pt>
                <c:pt idx="193">
                  <c:v>3.9126749999995809</c:v>
                </c:pt>
                <c:pt idx="194">
                  <c:v>3.9245519999967655</c:v>
                </c:pt>
                <c:pt idx="195">
                  <c:v>3.9481229999946663</c:v>
                </c:pt>
                <c:pt idx="196">
                  <c:v>3.9634170000063023</c:v>
                </c:pt>
                <c:pt idx="197">
                  <c:v>3.9902120000042487</c:v>
                </c:pt>
                <c:pt idx="198">
                  <c:v>4.0082729999994626</c:v>
                </c:pt>
                <c:pt idx="199">
                  <c:v>4.0329040000069654</c:v>
                </c:pt>
                <c:pt idx="200">
                  <c:v>4.0485679999983404</c:v>
                </c:pt>
                <c:pt idx="201">
                  <c:v>4.0655729999998584</c:v>
                </c:pt>
                <c:pt idx="202">
                  <c:v>4.0885209999978542</c:v>
                </c:pt>
                <c:pt idx="203">
                  <c:v>4.1096580000012182</c:v>
                </c:pt>
                <c:pt idx="204">
                  <c:v>4.1296569999976782</c:v>
                </c:pt>
                <c:pt idx="205">
                  <c:v>4.1485169999941718</c:v>
                </c:pt>
                <c:pt idx="206">
                  <c:v>4.1641729999973904</c:v>
                </c:pt>
                <c:pt idx="207">
                  <c:v>4.1927120000036666</c:v>
                </c:pt>
                <c:pt idx="208">
                  <c:v>4.210573000003933</c:v>
                </c:pt>
                <c:pt idx="209">
                  <c:v>4.2300249999971129</c:v>
                </c:pt>
                <c:pt idx="210">
                  <c:v>4.2491770000051474</c:v>
                </c:pt>
                <c:pt idx="211">
                  <c:v>4.2693810000055237</c:v>
                </c:pt>
                <c:pt idx="212">
                  <c:v>4.2926810000062687</c:v>
                </c:pt>
                <c:pt idx="213">
                  <c:v>4.3123619999969378</c:v>
                </c:pt>
                <c:pt idx="214">
                  <c:v>4.3236270000052173</c:v>
                </c:pt>
                <c:pt idx="215">
                  <c:v>4.3512570000020787</c:v>
                </c:pt>
                <c:pt idx="216">
                  <c:v>4.370452999995905</c:v>
                </c:pt>
                <c:pt idx="217">
                  <c:v>4.3855949999997392</c:v>
                </c:pt>
                <c:pt idx="218">
                  <c:v>4.4116510000021663</c:v>
                </c:pt>
                <c:pt idx="219">
                  <c:v>4.4319560000003548</c:v>
                </c:pt>
                <c:pt idx="220">
                  <c:v>4.450609000006807</c:v>
                </c:pt>
                <c:pt idx="221">
                  <c:v>4.4711410000018077</c:v>
                </c:pt>
                <c:pt idx="222">
                  <c:v>4.4914649999991525</c:v>
                </c:pt>
                <c:pt idx="223">
                  <c:v>4.5113770000025397</c:v>
                </c:pt>
                <c:pt idx="224">
                  <c:v>4.5335110000014538</c:v>
                </c:pt>
                <c:pt idx="225">
                  <c:v>4.5518880000017816</c:v>
                </c:pt>
                <c:pt idx="226">
                  <c:v>4.5727159999951255</c:v>
                </c:pt>
                <c:pt idx="227">
                  <c:v>4.5875990000058664</c:v>
                </c:pt>
                <c:pt idx="228">
                  <c:v>4.6115790000039851</c:v>
                </c:pt>
                <c:pt idx="229">
                  <c:v>4.6289269999979297</c:v>
                </c:pt>
                <c:pt idx="230">
                  <c:v>4.6466459999937797</c:v>
                </c:pt>
                <c:pt idx="231">
                  <c:v>4.6679900000017369</c:v>
                </c:pt>
                <c:pt idx="232">
                  <c:v>4.6924699999945005</c:v>
                </c:pt>
                <c:pt idx="233">
                  <c:v>4.7072829999960959</c:v>
                </c:pt>
                <c:pt idx="234">
                  <c:v>4.7321640000009211</c:v>
                </c:pt>
                <c:pt idx="235">
                  <c:v>4.7488690000027418</c:v>
                </c:pt>
                <c:pt idx="236">
                  <c:v>4.7680560000007972</c:v>
                </c:pt>
                <c:pt idx="237">
                  <c:v>4.7922260000050301</c:v>
                </c:pt>
                <c:pt idx="238">
                  <c:v>4.8123060000070836</c:v>
                </c:pt>
                <c:pt idx="239">
                  <c:v>4.8278129999962403</c:v>
                </c:pt>
                <c:pt idx="240">
                  <c:v>4.8518710000062129</c:v>
                </c:pt>
                <c:pt idx="241">
                  <c:v>4.8685109999933047</c:v>
                </c:pt>
                <c:pt idx="242">
                  <c:v>4.8900969999958761</c:v>
                </c:pt>
                <c:pt idx="243">
                  <c:v>4.9109770000068238</c:v>
                </c:pt>
                <c:pt idx="244">
                  <c:v>4.9282450000027893</c:v>
                </c:pt>
                <c:pt idx="245">
                  <c:v>4.9505219999991823</c:v>
                </c:pt>
                <c:pt idx="246">
                  <c:v>4.9698499999940395</c:v>
                </c:pt>
                <c:pt idx="247">
                  <c:v>4.992593000002671</c:v>
                </c:pt>
                <c:pt idx="248">
                  <c:v>5.0088120000000345</c:v>
                </c:pt>
                <c:pt idx="249">
                  <c:v>5.0316100000054576</c:v>
                </c:pt>
                <c:pt idx="250">
                  <c:v>5.0499969999946188</c:v>
                </c:pt>
                <c:pt idx="251">
                  <c:v>5.0693129999999655</c:v>
                </c:pt>
                <c:pt idx="252">
                  <c:v>5.0893229999928735</c:v>
                </c:pt>
                <c:pt idx="253">
                  <c:v>5.1057020000007469</c:v>
                </c:pt>
                <c:pt idx="254">
                  <c:v>5.1303250000055414</c:v>
                </c:pt>
                <c:pt idx="255">
                  <c:v>5.1522410000034142</c:v>
                </c:pt>
                <c:pt idx="256">
                  <c:v>5.1705280000023777</c:v>
                </c:pt>
                <c:pt idx="257">
                  <c:v>5.1904260000010254</c:v>
                </c:pt>
                <c:pt idx="258">
                  <c:v>5.2120589999976801</c:v>
                </c:pt>
                <c:pt idx="259">
                  <c:v>5.23209499999939</c:v>
                </c:pt>
                <c:pt idx="260">
                  <c:v>5.2414469999930589</c:v>
                </c:pt>
                <c:pt idx="261">
                  <c:v>5.2651409999962198</c:v>
                </c:pt>
                <c:pt idx="262">
                  <c:v>5.2915400000056252</c:v>
                </c:pt>
                <c:pt idx="263">
                  <c:v>5.3114269999932731</c:v>
                </c:pt>
                <c:pt idx="264">
                  <c:v>5.3258539999951608</c:v>
                </c:pt>
                <c:pt idx="265">
                  <c:v>5.3507320000062464</c:v>
                </c:pt>
                <c:pt idx="266">
                  <c:v>5.3712130000058096</c:v>
                </c:pt>
                <c:pt idx="267">
                  <c:v>5.3883910000004107</c:v>
                </c:pt>
                <c:pt idx="268">
                  <c:v>5.411642999999458</c:v>
                </c:pt>
                <c:pt idx="269">
                  <c:v>5.4311230000021169</c:v>
                </c:pt>
                <c:pt idx="270">
                  <c:v>5.4486299999989569</c:v>
                </c:pt>
                <c:pt idx="271">
                  <c:v>5.4724680000072112</c:v>
                </c:pt>
                <c:pt idx="272">
                  <c:v>5.4919269999954849</c:v>
                </c:pt>
                <c:pt idx="273">
                  <c:v>5.511863000006997</c:v>
                </c:pt>
                <c:pt idx="274">
                  <c:v>5.5304809999943245</c:v>
                </c:pt>
                <c:pt idx="275">
                  <c:v>5.5470349999959581</c:v>
                </c:pt>
                <c:pt idx="276">
                  <c:v>5.5724880000052508</c:v>
                </c:pt>
                <c:pt idx="277">
                  <c:v>5.5827129999961471</c:v>
                </c:pt>
                <c:pt idx="278">
                  <c:v>5.6128069999977015</c:v>
                </c:pt>
                <c:pt idx="279">
                  <c:v>5.6301979999989271</c:v>
                </c:pt>
                <c:pt idx="280">
                  <c:v>5.6481090000015683</c:v>
                </c:pt>
                <c:pt idx="281">
                  <c:v>5.6710330000059912</c:v>
                </c:pt>
                <c:pt idx="282">
                  <c:v>5.688586000003852</c:v>
                </c:pt>
                <c:pt idx="283">
                  <c:v>5.7051849999988917</c:v>
                </c:pt>
                <c:pt idx="284">
                  <c:v>5.7317630000034114</c:v>
                </c:pt>
                <c:pt idx="285">
                  <c:v>5.7484459999977844</c:v>
                </c:pt>
                <c:pt idx="286">
                  <c:v>5.770009999992908</c:v>
                </c:pt>
                <c:pt idx="287">
                  <c:v>5.7910430000047199</c:v>
                </c:pt>
                <c:pt idx="288">
                  <c:v>5.811199999996461</c:v>
                </c:pt>
                <c:pt idx="289">
                  <c:v>5.8293629999971017</c:v>
                </c:pt>
                <c:pt idx="290">
                  <c:v>5.8445210000063526</c:v>
                </c:pt>
                <c:pt idx="291">
                  <c:v>5.8717230000038398</c:v>
                </c:pt>
                <c:pt idx="292">
                  <c:v>5.8918779999949038</c:v>
                </c:pt>
                <c:pt idx="293">
                  <c:v>5.9094639999966603</c:v>
                </c:pt>
                <c:pt idx="294">
                  <c:v>5.9309780000039609</c:v>
                </c:pt>
                <c:pt idx="295">
                  <c:v>5.9442010000057053</c:v>
                </c:pt>
                <c:pt idx="296">
                  <c:v>5.9691310000052908</c:v>
                </c:pt>
                <c:pt idx="297">
                  <c:v>5.9892129999934696</c:v>
                </c:pt>
                <c:pt idx="298">
                  <c:v>6.0112450000015087</c:v>
                </c:pt>
                <c:pt idx="299">
                  <c:v>6.0316659999953117</c:v>
                </c:pt>
                <c:pt idx="300">
                  <c:v>6.049723999996786</c:v>
                </c:pt>
                <c:pt idx="301">
                  <c:v>6.0702909999963595</c:v>
                </c:pt>
                <c:pt idx="302">
                  <c:v>6.0916339999967022</c:v>
                </c:pt>
                <c:pt idx="303">
                  <c:v>6.1098610000044573</c:v>
                </c:pt>
                <c:pt idx="304">
                  <c:v>6.1296969999966677</c:v>
                </c:pt>
                <c:pt idx="305">
                  <c:v>6.1473790000018198</c:v>
                </c:pt>
                <c:pt idx="306">
                  <c:v>6.1705170000059297</c:v>
                </c:pt>
                <c:pt idx="307">
                  <c:v>6.1910729999945033</c:v>
                </c:pt>
                <c:pt idx="308">
                  <c:v>6.2112950000009732</c:v>
                </c:pt>
                <c:pt idx="309">
                  <c:v>6.2324990000051912</c:v>
                </c:pt>
                <c:pt idx="310">
                  <c:v>6.2469310000014957</c:v>
                </c:pt>
                <c:pt idx="311">
                  <c:v>6.2678610000002664</c:v>
                </c:pt>
                <c:pt idx="312">
                  <c:v>6.2864479999989271</c:v>
                </c:pt>
                <c:pt idx="313">
                  <c:v>6.3126840000040829</c:v>
                </c:pt>
                <c:pt idx="314">
                  <c:v>6.3321949999954086</c:v>
                </c:pt>
                <c:pt idx="315">
                  <c:v>6.3515110000007553</c:v>
                </c:pt>
                <c:pt idx="316">
                  <c:v>6.3666939999966417</c:v>
                </c:pt>
                <c:pt idx="317">
                  <c:v>6.3825130000041099</c:v>
                </c:pt>
                <c:pt idx="318">
                  <c:v>6.4117300000070827</c:v>
                </c:pt>
                <c:pt idx="319">
                  <c:v>6.42871500000183</c:v>
                </c:pt>
                <c:pt idx="320">
                  <c:v>6.4473149999976158</c:v>
                </c:pt>
                <c:pt idx="321">
                  <c:v>6.4672019999998156</c:v>
                </c:pt>
                <c:pt idx="322">
                  <c:v>6.4927759999991395</c:v>
                </c:pt>
                <c:pt idx="323">
                  <c:v>6.5122140000021318</c:v>
                </c:pt>
                <c:pt idx="324">
                  <c:v>6.5327839999954449</c:v>
                </c:pt>
                <c:pt idx="325">
                  <c:v>6.5528210000047693</c:v>
                </c:pt>
                <c:pt idx="326">
                  <c:v>6.5691119999974035</c:v>
                </c:pt>
                <c:pt idx="327">
                  <c:v>6.5885390000039479</c:v>
                </c:pt>
                <c:pt idx="328">
                  <c:v>6.6088980000058655</c:v>
                </c:pt>
                <c:pt idx="329">
                  <c:v>6.6250469999940833</c:v>
                </c:pt>
                <c:pt idx="330">
                  <c:v>6.6494329999986803</c:v>
                </c:pt>
                <c:pt idx="331">
                  <c:v>6.6683259999990696</c:v>
                </c:pt>
                <c:pt idx="332">
                  <c:v>6.6891250000044238</c:v>
                </c:pt>
                <c:pt idx="333">
                  <c:v>6.7096219999948516</c:v>
                </c:pt>
                <c:pt idx="334">
                  <c:v>6.7310640000068815</c:v>
                </c:pt>
                <c:pt idx="335">
                  <c:v>6.750530000004801</c:v>
                </c:pt>
                <c:pt idx="336">
                  <c:v>6.7719000000070082</c:v>
                </c:pt>
                <c:pt idx="337">
                  <c:v>6.7896100000070874</c:v>
                </c:pt>
                <c:pt idx="338">
                  <c:v>6.8107880000025034</c:v>
                </c:pt>
                <c:pt idx="339">
                  <c:v>6.8291630000021541</c:v>
                </c:pt>
                <c:pt idx="340">
                  <c:v>6.8509550000017043</c:v>
                </c:pt>
                <c:pt idx="341">
                  <c:v>6.8708230000047479</c:v>
                </c:pt>
                <c:pt idx="342">
                  <c:v>6.8905999999988126</c:v>
                </c:pt>
                <c:pt idx="343">
                  <c:v>6.9100480000051903</c:v>
                </c:pt>
                <c:pt idx="344">
                  <c:v>6.9326330000039889</c:v>
                </c:pt>
                <c:pt idx="345">
                  <c:v>6.9449889999959851</c:v>
                </c:pt>
                <c:pt idx="346">
                  <c:v>6.9655269999930169</c:v>
                </c:pt>
                <c:pt idx="347">
                  <c:v>6.9883089999930235</c:v>
                </c:pt>
                <c:pt idx="348">
                  <c:v>7.0150399999984074</c:v>
                </c:pt>
                <c:pt idx="349">
                  <c:v>7.0287379999936093</c:v>
                </c:pt>
                <c:pt idx="350">
                  <c:v>7.0497789999935776</c:v>
                </c:pt>
                <c:pt idx="351">
                  <c:v>7.0709510000015143</c:v>
                </c:pt>
                <c:pt idx="352">
                  <c:v>7.0911889999988489</c:v>
                </c:pt>
                <c:pt idx="353">
                  <c:v>7.1107849999971222</c:v>
                </c:pt>
                <c:pt idx="354">
                  <c:v>7.129413000002387</c:v>
                </c:pt>
                <c:pt idx="355">
                  <c:v>7.1513030000060098</c:v>
                </c:pt>
                <c:pt idx="356">
                  <c:v>7.1711340000038035</c:v>
                </c:pt>
                <c:pt idx="357">
                  <c:v>7.1819510000059381</c:v>
                </c:pt>
                <c:pt idx="358">
                  <c:v>7.2112820000038482</c:v>
                </c:pt>
                <c:pt idx="359">
                  <c:v>7.2316540000028908</c:v>
                </c:pt>
                <c:pt idx="360">
                  <c:v>7.249498000004678</c:v>
                </c:pt>
                <c:pt idx="361">
                  <c:v>7.2723109999933513</c:v>
                </c:pt>
                <c:pt idx="362">
                  <c:v>7.2877690000022994</c:v>
                </c:pt>
                <c:pt idx="363">
                  <c:v>7.3076699999946868</c:v>
                </c:pt>
                <c:pt idx="364">
                  <c:v>7.3309580000059213</c:v>
                </c:pt>
                <c:pt idx="365">
                  <c:v>7.3470830000005662</c:v>
                </c:pt>
                <c:pt idx="366">
                  <c:v>7.3723239999962971</c:v>
                </c:pt>
                <c:pt idx="367">
                  <c:v>7.388491999998223</c:v>
                </c:pt>
                <c:pt idx="368">
                  <c:v>7.4141660000022966</c:v>
                </c:pt>
                <c:pt idx="369">
                  <c:v>7.4282570000068517</c:v>
                </c:pt>
                <c:pt idx="370">
                  <c:v>7.4526329999935115</c:v>
                </c:pt>
                <c:pt idx="371">
                  <c:v>7.4675129999959609</c:v>
                </c:pt>
                <c:pt idx="372">
                  <c:v>7.4838699999963865</c:v>
                </c:pt>
                <c:pt idx="373">
                  <c:v>7.5100749999983236</c:v>
                </c:pt>
                <c:pt idx="374">
                  <c:v>7.528613000002224</c:v>
                </c:pt>
                <c:pt idx="375">
                  <c:v>7.5522110000019893</c:v>
                </c:pt>
                <c:pt idx="376">
                  <c:v>7.5683180000050925</c:v>
                </c:pt>
                <c:pt idx="377">
                  <c:v>7.5886889999965206</c:v>
                </c:pt>
                <c:pt idx="378">
                  <c:v>7.6127379999961704</c:v>
                </c:pt>
                <c:pt idx="379">
                  <c:v>7.6298700000043027</c:v>
                </c:pt>
                <c:pt idx="380">
                  <c:v>7.6484230000060052</c:v>
                </c:pt>
                <c:pt idx="381">
                  <c:v>7.6698239999968791</c:v>
                </c:pt>
                <c:pt idx="382">
                  <c:v>7.6921860000002198</c:v>
                </c:pt>
                <c:pt idx="383">
                  <c:v>7.7091660000005504</c:v>
                </c:pt>
                <c:pt idx="384">
                  <c:v>7.7291450000047917</c:v>
                </c:pt>
                <c:pt idx="385">
                  <c:v>7.7497719999955734</c:v>
                </c:pt>
                <c:pt idx="386">
                  <c:v>7.7715639999951236</c:v>
                </c:pt>
                <c:pt idx="387">
                  <c:v>7.7911140000069281</c:v>
                </c:pt>
                <c:pt idx="388">
                  <c:v>7.8119900000019697</c:v>
                </c:pt>
                <c:pt idx="389">
                  <c:v>7.8302689999982249</c:v>
                </c:pt>
                <c:pt idx="390">
                  <c:v>7.8519539999979315</c:v>
                </c:pt>
                <c:pt idx="391">
                  <c:v>7.8683909999963362</c:v>
                </c:pt>
                <c:pt idx="392">
                  <c:v>7.8853410000010626</c:v>
                </c:pt>
                <c:pt idx="393">
                  <c:v>7.912956000000122</c:v>
                </c:pt>
                <c:pt idx="394">
                  <c:v>7.9313450000045123</c:v>
                </c:pt>
                <c:pt idx="395">
                  <c:v>7.9516210000001593</c:v>
                </c:pt>
                <c:pt idx="396">
                  <c:v>7.9659260000044014</c:v>
                </c:pt>
                <c:pt idx="397">
                  <c:v>7.9909760000009555</c:v>
                </c:pt>
                <c:pt idx="398">
                  <c:v>8.01231099999859</c:v>
                </c:pt>
                <c:pt idx="399">
                  <c:v>8.0322259999957168</c:v>
                </c:pt>
                <c:pt idx="400">
                  <c:v>8.0511189999961061</c:v>
                </c:pt>
                <c:pt idx="401">
                  <c:v>8.0714940000034403</c:v>
                </c:pt>
                <c:pt idx="402">
                  <c:v>8.0898069999966538</c:v>
                </c:pt>
                <c:pt idx="403">
                  <c:v>8.1068789999990258</c:v>
                </c:pt>
                <c:pt idx="404">
                  <c:v>8.1312029999971855</c:v>
                </c:pt>
                <c:pt idx="405">
                  <c:v>8.151650999992853</c:v>
                </c:pt>
                <c:pt idx="406">
                  <c:v>8.1723490000003949</c:v>
                </c:pt>
                <c:pt idx="407">
                  <c:v>8.1932720000040717</c:v>
                </c:pt>
                <c:pt idx="408">
                  <c:v>8.209526000006008</c:v>
                </c:pt>
                <c:pt idx="409">
                  <c:v>8.2299679999996442</c:v>
                </c:pt>
                <c:pt idx="410">
                  <c:v>8.2472580000030575</c:v>
                </c:pt>
                <c:pt idx="411">
                  <c:v>8.2727100000047358</c:v>
                </c:pt>
                <c:pt idx="412">
                  <c:v>8.2902400000020862</c:v>
                </c:pt>
                <c:pt idx="413">
                  <c:v>8.3125600000057602</c:v>
                </c:pt>
                <c:pt idx="414">
                  <c:v>8.32836299999326</c:v>
                </c:pt>
                <c:pt idx="415">
                  <c:v>8.3478409999952419</c:v>
                </c:pt>
                <c:pt idx="416">
                  <c:v>8.3705970000009984</c:v>
                </c:pt>
                <c:pt idx="417">
                  <c:v>8.3892280000000028</c:v>
                </c:pt>
                <c:pt idx="418">
                  <c:v>8.4092459999956191</c:v>
                </c:pt>
                <c:pt idx="419">
                  <c:v>8.4297820000065258</c:v>
                </c:pt>
                <c:pt idx="420">
                  <c:v>8.4489529999991646</c:v>
                </c:pt>
                <c:pt idx="421">
                  <c:v>8.4718020000000251</c:v>
                </c:pt>
                <c:pt idx="422">
                  <c:v>8.4891919999936363</c:v>
                </c:pt>
                <c:pt idx="423">
                  <c:v>8.5079549999936717</c:v>
                </c:pt>
                <c:pt idx="424">
                  <c:v>8.5307969999994384</c:v>
                </c:pt>
                <c:pt idx="425">
                  <c:v>8.5492760000051931</c:v>
                </c:pt>
                <c:pt idx="426">
                  <c:v>8.5697260000015376</c:v>
                </c:pt>
                <c:pt idx="427">
                  <c:v>8.5921099999977741</c:v>
                </c:pt>
                <c:pt idx="428">
                  <c:v>8.6114609999931417</c:v>
                </c:pt>
                <c:pt idx="429">
                  <c:v>8.6322240000008605</c:v>
                </c:pt>
                <c:pt idx="430">
                  <c:v>8.6513730000006035</c:v>
                </c:pt>
                <c:pt idx="431">
                  <c:v>8.6656849999999395</c:v>
                </c:pt>
                <c:pt idx="432">
                  <c:v>8.6921200000069803</c:v>
                </c:pt>
                <c:pt idx="433">
                  <c:v>8.7099770000058925</c:v>
                </c:pt>
                <c:pt idx="434">
                  <c:v>8.7308309999934863</c:v>
                </c:pt>
                <c:pt idx="435">
                  <c:v>8.7502260000037495</c:v>
                </c:pt>
                <c:pt idx="436">
                  <c:v>8.7707749999972293</c:v>
                </c:pt>
                <c:pt idx="437">
                  <c:v>8.7914420000015525</c:v>
                </c:pt>
                <c:pt idx="438">
                  <c:v>8.8122889999940526</c:v>
                </c:pt>
                <c:pt idx="439">
                  <c:v>8.8308479999977862</c:v>
                </c:pt>
                <c:pt idx="440">
                  <c:v>8.8516930000041611</c:v>
                </c:pt>
                <c:pt idx="441">
                  <c:v>8.8710469999932684</c:v>
                </c:pt>
                <c:pt idx="442">
                  <c:v>8.8911879999941448</c:v>
                </c:pt>
                <c:pt idx="443">
                  <c:v>8.9112809999933233</c:v>
                </c:pt>
                <c:pt idx="444">
                  <c:v>8.9323690000019269</c:v>
                </c:pt>
                <c:pt idx="445">
                  <c:v>8.9531209999986459</c:v>
                </c:pt>
                <c:pt idx="446">
                  <c:v>8.9713460000057239</c:v>
                </c:pt>
                <c:pt idx="447">
                  <c:v>8.9924549999996088</c:v>
                </c:pt>
                <c:pt idx="448">
                  <c:v>9.0075380000052974</c:v>
                </c:pt>
                <c:pt idx="449">
                  <c:v>9.0278510000061942</c:v>
                </c:pt>
                <c:pt idx="450">
                  <c:v>9.0519409999978961</c:v>
                </c:pt>
                <c:pt idx="451">
                  <c:v>9.068316999997478</c:v>
                </c:pt>
                <c:pt idx="452">
                  <c:v>9.0950299999967683</c:v>
                </c:pt>
                <c:pt idx="453">
                  <c:v>9.1123260000022128</c:v>
                </c:pt>
                <c:pt idx="454">
                  <c:v>9.132448000003933</c:v>
                </c:pt>
                <c:pt idx="455">
                  <c:v>9.1494289999973262</c:v>
                </c:pt>
                <c:pt idx="456">
                  <c:v>9.1725169999990612</c:v>
                </c:pt>
                <c:pt idx="457">
                  <c:v>9.1901320000033593</c:v>
                </c:pt>
                <c:pt idx="458">
                  <c:v>9.2093480000039563</c:v>
                </c:pt>
                <c:pt idx="459">
                  <c:v>9.2288129999942612</c:v>
                </c:pt>
                <c:pt idx="460">
                  <c:v>9.2517269999952987</c:v>
                </c:pt>
                <c:pt idx="461">
                  <c:v>9.2573379999957979</c:v>
                </c:pt>
                <c:pt idx="462">
                  <c:v>9.2909749999962514</c:v>
                </c:pt>
                <c:pt idx="463">
                  <c:v>9.3134209999989253</c:v>
                </c:pt>
                <c:pt idx="464">
                  <c:v>9.3283890000020619</c:v>
                </c:pt>
                <c:pt idx="465">
                  <c:v>9.3499370000063209</c:v>
                </c:pt>
                <c:pt idx="466">
                  <c:v>9.368570999999065</c:v>
                </c:pt>
                <c:pt idx="467">
                  <c:v>9.3888219999935245</c:v>
                </c:pt>
                <c:pt idx="468">
                  <c:v>9.4126010000036331</c:v>
                </c:pt>
                <c:pt idx="469">
                  <c:v>9.4302449999959208</c:v>
                </c:pt>
                <c:pt idx="470">
                  <c:v>9.4511420000053477</c:v>
                </c:pt>
                <c:pt idx="471">
                  <c:v>9.4722259999980452</c:v>
                </c:pt>
                <c:pt idx="472">
                  <c:v>9.4890560000058031</c:v>
                </c:pt>
                <c:pt idx="473">
                  <c:v>9.5113600000040606</c:v>
                </c:pt>
                <c:pt idx="474">
                  <c:v>9.5310690000042086</c:v>
                </c:pt>
                <c:pt idx="475">
                  <c:v>9.5521520000038436</c:v>
                </c:pt>
                <c:pt idx="476">
                  <c:v>9.5712550000025658</c:v>
                </c:pt>
                <c:pt idx="477">
                  <c:v>9.5938239999959478</c:v>
                </c:pt>
                <c:pt idx="478">
                  <c:v>9.6115509999945061</c:v>
                </c:pt>
                <c:pt idx="479">
                  <c:v>9.6323450000054436</c:v>
                </c:pt>
                <c:pt idx="480">
                  <c:v>9.6483310000039637</c:v>
                </c:pt>
                <c:pt idx="481">
                  <c:v>9.6702510000031907</c:v>
                </c:pt>
                <c:pt idx="482">
                  <c:v>9.691634000002523</c:v>
                </c:pt>
                <c:pt idx="483">
                  <c:v>9.7088930000027176</c:v>
                </c:pt>
                <c:pt idx="484">
                  <c:v>9.7308289999928093</c:v>
                </c:pt>
                <c:pt idx="485">
                  <c:v>9.7508499999967171</c:v>
                </c:pt>
                <c:pt idx="486">
                  <c:v>9.7763399999967078</c:v>
                </c:pt>
                <c:pt idx="487">
                  <c:v>9.7917989999987185</c:v>
                </c:pt>
                <c:pt idx="488">
                  <c:v>9.811400999999023</c:v>
                </c:pt>
                <c:pt idx="489">
                  <c:v>9.8322630000038771</c:v>
                </c:pt>
                <c:pt idx="490">
                  <c:v>9.8472780000010971</c:v>
                </c:pt>
                <c:pt idx="491">
                  <c:v>9.872019000002183</c:v>
                </c:pt>
                <c:pt idx="492">
                  <c:v>9.8817750000016531</c:v>
                </c:pt>
                <c:pt idx="493">
                  <c:v>9.9077549999929033</c:v>
                </c:pt>
                <c:pt idx="494">
                  <c:v>9.9269689999928232</c:v>
                </c:pt>
                <c:pt idx="495">
                  <c:v>9.9470339999970747</c:v>
                </c:pt>
                <c:pt idx="496">
                  <c:v>9.9727089999942109</c:v>
                </c:pt>
                <c:pt idx="497">
                  <c:v>9.9884049999964191</c:v>
                </c:pt>
                <c:pt idx="498">
                  <c:v>10.013143000003765</c:v>
                </c:pt>
                <c:pt idx="499">
                  <c:v>10.027495999995153</c:v>
                </c:pt>
                <c:pt idx="500">
                  <c:v>10.05183300000499</c:v>
                </c:pt>
                <c:pt idx="501">
                  <c:v>10.06832900000154</c:v>
                </c:pt>
                <c:pt idx="502">
                  <c:v>10.089515999992727</c:v>
                </c:pt>
                <c:pt idx="503">
                  <c:v>10.109035000001313</c:v>
                </c:pt>
                <c:pt idx="504">
                  <c:v>10.131200000003446</c:v>
                </c:pt>
                <c:pt idx="505">
                  <c:v>10.148446000006516</c:v>
                </c:pt>
                <c:pt idx="506">
                  <c:v>10.171665000001667</c:v>
                </c:pt>
                <c:pt idx="507">
                  <c:v>10.192116999998689</c:v>
                </c:pt>
                <c:pt idx="508">
                  <c:v>10.209465000007185</c:v>
                </c:pt>
                <c:pt idx="509">
                  <c:v>10.229057999997167</c:v>
                </c:pt>
                <c:pt idx="510">
                  <c:v>10.250962999998592</c:v>
                </c:pt>
                <c:pt idx="511">
                  <c:v>10.269706000006408</c:v>
                </c:pt>
                <c:pt idx="512">
                  <c:v>10.289057000001776</c:v>
                </c:pt>
                <c:pt idx="513">
                  <c:v>10.306614999994054</c:v>
                </c:pt>
                <c:pt idx="514">
                  <c:v>10.331304999999702</c:v>
                </c:pt>
                <c:pt idx="515">
                  <c:v>10.351611999998568</c:v>
                </c:pt>
                <c:pt idx="516">
                  <c:v>10.3717089999991</c:v>
                </c:pt>
                <c:pt idx="517">
                  <c:v>10.391096000006655</c:v>
                </c:pt>
                <c:pt idx="518">
                  <c:v>10.41011399999843</c:v>
                </c:pt>
                <c:pt idx="519">
                  <c:v>10.429852999994182</c:v>
                </c:pt>
                <c:pt idx="520">
                  <c:v>10.445370999994338</c:v>
                </c:pt>
                <c:pt idx="521">
                  <c:v>10.470939999999246</c:v>
                </c:pt>
                <c:pt idx="522">
                  <c:v>10.490499000006821</c:v>
                </c:pt>
                <c:pt idx="523">
                  <c:v>10.510519000003114</c:v>
                </c:pt>
                <c:pt idx="524">
                  <c:v>10.522169000003487</c:v>
                </c:pt>
                <c:pt idx="525">
                  <c:v>10.552653000006103</c:v>
                </c:pt>
                <c:pt idx="526">
                  <c:v>10.571588999999221</c:v>
                </c:pt>
                <c:pt idx="527">
                  <c:v>10.591409000000567</c:v>
                </c:pt>
                <c:pt idx="528">
                  <c:v>10.608141999997315</c:v>
                </c:pt>
                <c:pt idx="529">
                  <c:v>10.629788000005647</c:v>
                </c:pt>
                <c:pt idx="530">
                  <c:v>10.650997000004281</c:v>
                </c:pt>
                <c:pt idx="531">
                  <c:v>10.666129999997793</c:v>
                </c:pt>
                <c:pt idx="532">
                  <c:v>10.691508999996586</c:v>
                </c:pt>
                <c:pt idx="533">
                  <c:v>10.711544999998296</c:v>
                </c:pt>
                <c:pt idx="534">
                  <c:v>10.731562999993912</c:v>
                </c:pt>
                <c:pt idx="535">
                  <c:v>10.752687999993213</c:v>
                </c:pt>
                <c:pt idx="536">
                  <c:v>10.768247999993037</c:v>
                </c:pt>
                <c:pt idx="537">
                  <c:v>10.792191000000457</c:v>
                </c:pt>
                <c:pt idx="538">
                  <c:v>10.812338000003365</c:v>
                </c:pt>
                <c:pt idx="539">
                  <c:v>10.827447999996366</c:v>
                </c:pt>
                <c:pt idx="540">
                  <c:v>10.847934000004898</c:v>
                </c:pt>
                <c:pt idx="541">
                  <c:v>10.869233000004897</c:v>
                </c:pt>
                <c:pt idx="542">
                  <c:v>10.892042000006768</c:v>
                </c:pt>
                <c:pt idx="543">
                  <c:v>10.907489000004716</c:v>
                </c:pt>
                <c:pt idx="544">
                  <c:v>10.928495000000112</c:v>
                </c:pt>
                <c:pt idx="545">
                  <c:v>10.949464000004809</c:v>
                </c:pt>
                <c:pt idx="546">
                  <c:v>10.970774999994319</c:v>
                </c:pt>
                <c:pt idx="547">
                  <c:v>10.988490000003367</c:v>
                </c:pt>
                <c:pt idx="548">
                  <c:v>11.00688899999659</c:v>
                </c:pt>
                <c:pt idx="549">
                  <c:v>11.030119999995804</c:v>
                </c:pt>
                <c:pt idx="550">
                  <c:v>11.045318999997107</c:v>
                </c:pt>
                <c:pt idx="551">
                  <c:v>11.070449999999255</c:v>
                </c:pt>
                <c:pt idx="552">
                  <c:v>11.089344000007259</c:v>
                </c:pt>
                <c:pt idx="553">
                  <c:v>11.109353000007104</c:v>
                </c:pt>
                <c:pt idx="554">
                  <c:v>11.128750999996555</c:v>
                </c:pt>
                <c:pt idx="555">
                  <c:v>11.151285999992979</c:v>
                </c:pt>
                <c:pt idx="556">
                  <c:v>11.171239999996033</c:v>
                </c:pt>
                <c:pt idx="557">
                  <c:v>11.192869000005885</c:v>
                </c:pt>
                <c:pt idx="558">
                  <c:v>11.210768999997526</c:v>
                </c:pt>
                <c:pt idx="559">
                  <c:v>11.231358000004548</c:v>
                </c:pt>
                <c:pt idx="560">
                  <c:v>11.249712999997428</c:v>
                </c:pt>
                <c:pt idx="561">
                  <c:v>11.271143999998458</c:v>
                </c:pt>
                <c:pt idx="562">
                  <c:v>11.291545999993104</c:v>
                </c:pt>
                <c:pt idx="563">
                  <c:v>11.310442000001785</c:v>
                </c:pt>
                <c:pt idx="564">
                  <c:v>11.3300040000031</c:v>
                </c:pt>
                <c:pt idx="565">
                  <c:v>11.350435000000289</c:v>
                </c:pt>
                <c:pt idx="566">
                  <c:v>11.372071999998298</c:v>
                </c:pt>
                <c:pt idx="567">
                  <c:v>11.39077699999325</c:v>
                </c:pt>
                <c:pt idx="568">
                  <c:v>11.410518999997294</c:v>
                </c:pt>
                <c:pt idx="569">
                  <c:v>11.43243000000075</c:v>
                </c:pt>
                <c:pt idx="570">
                  <c:v>11.451625000001513</c:v>
                </c:pt>
                <c:pt idx="571">
                  <c:v>11.471195999998599</c:v>
                </c:pt>
                <c:pt idx="572">
                  <c:v>11.486029000006965</c:v>
                </c:pt>
                <c:pt idx="573">
                  <c:v>11.510118999998667</c:v>
                </c:pt>
                <c:pt idx="574">
                  <c:v>11.528508000003058</c:v>
                </c:pt>
                <c:pt idx="575">
                  <c:v>11.551496000000043</c:v>
                </c:pt>
                <c:pt idx="576">
                  <c:v>11.571083999995608</c:v>
                </c:pt>
                <c:pt idx="577">
                  <c:v>11.587893000003533</c:v>
                </c:pt>
                <c:pt idx="578">
                  <c:v>11.611439000000246</c:v>
                </c:pt>
                <c:pt idx="579">
                  <c:v>11.632140000001527</c:v>
                </c:pt>
                <c:pt idx="580">
                  <c:v>11.647339999995893</c:v>
                </c:pt>
                <c:pt idx="581">
                  <c:v>11.672548999995342</c:v>
                </c:pt>
                <c:pt idx="582">
                  <c:v>11.687829999995301</c:v>
                </c:pt>
                <c:pt idx="583">
                  <c:v>11.70960699999705</c:v>
                </c:pt>
                <c:pt idx="584">
                  <c:v>11.7333409999992</c:v>
                </c:pt>
                <c:pt idx="585">
                  <c:v>11.748265000001993</c:v>
                </c:pt>
                <c:pt idx="586">
                  <c:v>11.772440999993705</c:v>
                </c:pt>
                <c:pt idx="587">
                  <c:v>11.793065000005299</c:v>
                </c:pt>
                <c:pt idx="588">
                  <c:v>11.808170000003884</c:v>
                </c:pt>
                <c:pt idx="589">
                  <c:v>11.828802999996697</c:v>
                </c:pt>
                <c:pt idx="590">
                  <c:v>11.84985400000005</c:v>
                </c:pt>
                <c:pt idx="591">
                  <c:v>11.868373999997857</c:v>
                </c:pt>
                <c:pt idx="592">
                  <c:v>11.888569000002462</c:v>
                </c:pt>
                <c:pt idx="593">
                  <c:v>11.910715999998502</c:v>
                </c:pt>
                <c:pt idx="594">
                  <c:v>11.929113999998663</c:v>
                </c:pt>
                <c:pt idx="595">
                  <c:v>11.950429999997141</c:v>
                </c:pt>
                <c:pt idx="596">
                  <c:v>11.969813999996404</c:v>
                </c:pt>
                <c:pt idx="597">
                  <c:v>11.988750000004075</c:v>
                </c:pt>
                <c:pt idx="598">
                  <c:v>12.009430000005523</c:v>
                </c:pt>
                <c:pt idx="599">
                  <c:v>12.0291819999984</c:v>
                </c:pt>
                <c:pt idx="600">
                  <c:v>12.047955999994883</c:v>
                </c:pt>
                <c:pt idx="601">
                  <c:v>12.069656000006944</c:v>
                </c:pt>
                <c:pt idx="602">
                  <c:v>12.09146700000565</c:v>
                </c:pt>
                <c:pt idx="603">
                  <c:v>12.106241999994381</c:v>
                </c:pt>
                <c:pt idx="604">
                  <c:v>12.129990000001271</c:v>
                </c:pt>
                <c:pt idx="605">
                  <c:v>12.152386999994633</c:v>
                </c:pt>
                <c:pt idx="606">
                  <c:v>12.175002000003587</c:v>
                </c:pt>
                <c:pt idx="607">
                  <c:v>12.18707899999572</c:v>
                </c:pt>
                <c:pt idx="608">
                  <c:v>12.211135999998078</c:v>
                </c:pt>
                <c:pt idx="609">
                  <c:v>12.230676999999559</c:v>
                </c:pt>
                <c:pt idx="610">
                  <c:v>12.251044999997248</c:v>
                </c:pt>
                <c:pt idx="611">
                  <c:v>12.270942000002833</c:v>
                </c:pt>
                <c:pt idx="612">
                  <c:v>12.29207700000552</c:v>
                </c:pt>
                <c:pt idx="613">
                  <c:v>12.30597200000193</c:v>
                </c:pt>
                <c:pt idx="614">
                  <c:v>12.330021999994642</c:v>
                </c:pt>
                <c:pt idx="615">
                  <c:v>12.33946499999729</c:v>
                </c:pt>
                <c:pt idx="616">
                  <c:v>13.351790000000619</c:v>
                </c:pt>
                <c:pt idx="617">
                  <c:v>13.371859999999288</c:v>
                </c:pt>
                <c:pt idx="618">
                  <c:v>13.388863999993191</c:v>
                </c:pt>
                <c:pt idx="619">
                  <c:v>13.407395000001998</c:v>
                </c:pt>
                <c:pt idx="620">
                  <c:v>13.42987500000163</c:v>
                </c:pt>
                <c:pt idx="621">
                  <c:v>13.450874999994994</c:v>
                </c:pt>
                <c:pt idx="622">
                  <c:v>13.467619999995804</c:v>
                </c:pt>
                <c:pt idx="623">
                  <c:v>13.488779000006616</c:v>
                </c:pt>
                <c:pt idx="624">
                  <c:v>13.507763999994495</c:v>
                </c:pt>
                <c:pt idx="625">
                  <c:v>13.528839999999036</c:v>
                </c:pt>
                <c:pt idx="626">
                  <c:v>13.549887999994098</c:v>
                </c:pt>
                <c:pt idx="627">
                  <c:v>13.568274999997811</c:v>
                </c:pt>
                <c:pt idx="628">
                  <c:v>13.584950999997091</c:v>
                </c:pt>
                <c:pt idx="629">
                  <c:v>13.608691999994335</c:v>
                </c:pt>
                <c:pt idx="630">
                  <c:v>13.631886000002851</c:v>
                </c:pt>
                <c:pt idx="631">
                  <c:v>13.651257000004989</c:v>
                </c:pt>
                <c:pt idx="632">
                  <c:v>13.670664999997825</c:v>
                </c:pt>
                <c:pt idx="633">
                  <c:v>13.690228000006755</c:v>
                </c:pt>
                <c:pt idx="634">
                  <c:v>13.707404999993742</c:v>
                </c:pt>
                <c:pt idx="635">
                  <c:v>13.729785000003176</c:v>
                </c:pt>
                <c:pt idx="636">
                  <c:v>13.750499000001582</c:v>
                </c:pt>
                <c:pt idx="637">
                  <c:v>13.769012000004295</c:v>
                </c:pt>
                <c:pt idx="638">
                  <c:v>13.793971000006422</c:v>
                </c:pt>
                <c:pt idx="639">
                  <c:v>13.809563999995589</c:v>
                </c:pt>
                <c:pt idx="640">
                  <c:v>13.831714999992982</c:v>
                </c:pt>
                <c:pt idx="641">
                  <c:v>13.85037800000282</c:v>
                </c:pt>
                <c:pt idx="642">
                  <c:v>13.87075200000254</c:v>
                </c:pt>
                <c:pt idx="643">
                  <c:v>13.889808000007179</c:v>
                </c:pt>
                <c:pt idx="644">
                  <c:v>13.909813999998732</c:v>
                </c:pt>
                <c:pt idx="645">
                  <c:v>13.932627000001958</c:v>
                </c:pt>
                <c:pt idx="646">
                  <c:v>13.950106999996933</c:v>
                </c:pt>
                <c:pt idx="647">
                  <c:v>13.970318000006955</c:v>
                </c:pt>
                <c:pt idx="648">
                  <c:v>13.992660000003525</c:v>
                </c:pt>
                <c:pt idx="649">
                  <c:v>14.01459399999294</c:v>
                </c:pt>
                <c:pt idx="650">
                  <c:v>14.025643000000855</c:v>
                </c:pt>
                <c:pt idx="651">
                  <c:v>14.051489999998012</c:v>
                </c:pt>
                <c:pt idx="652">
                  <c:v>14.072893999997177</c:v>
                </c:pt>
                <c:pt idx="653">
                  <c:v>14.091761999996379</c:v>
                </c:pt>
                <c:pt idx="654">
                  <c:v>14.111357999994652</c:v>
                </c:pt>
                <c:pt idx="655">
                  <c:v>14.127901999992901</c:v>
                </c:pt>
                <c:pt idx="656">
                  <c:v>14.146198000002187</c:v>
                </c:pt>
                <c:pt idx="657">
                  <c:v>14.166505999994115</c:v>
                </c:pt>
                <c:pt idx="658">
                  <c:v>14.191732000006596</c:v>
                </c:pt>
                <c:pt idx="659">
                  <c:v>14.211983999994118</c:v>
                </c:pt>
                <c:pt idx="660">
                  <c:v>14.228550999992876</c:v>
                </c:pt>
                <c:pt idx="661">
                  <c:v>14.247289000006276</c:v>
                </c:pt>
                <c:pt idx="662">
                  <c:v>14.270503000007011</c:v>
                </c:pt>
                <c:pt idx="663">
                  <c:v>14.291073000000324</c:v>
                </c:pt>
                <c:pt idx="664">
                  <c:v>14.311709000001429</c:v>
                </c:pt>
                <c:pt idx="665">
                  <c:v>14.330411999995704</c:v>
                </c:pt>
                <c:pt idx="666">
                  <c:v>14.347850000005565</c:v>
                </c:pt>
                <c:pt idx="667">
                  <c:v>14.369730999998865</c:v>
                </c:pt>
                <c:pt idx="668">
                  <c:v>14.389811000000918</c:v>
                </c:pt>
                <c:pt idx="669">
                  <c:v>14.393049000005703</c:v>
                </c:pt>
                <c:pt idx="670">
                  <c:v>14.420702999996138</c:v>
                </c:pt>
                <c:pt idx="671">
                  <c:v>14.448367999997572</c:v>
                </c:pt>
                <c:pt idx="672">
                  <c:v>14.468385999993188</c:v>
                </c:pt>
                <c:pt idx="673">
                  <c:v>14.490327999999863</c:v>
                </c:pt>
                <c:pt idx="674">
                  <c:v>14.505971999999019</c:v>
                </c:pt>
                <c:pt idx="675">
                  <c:v>14.53057699999772</c:v>
                </c:pt>
                <c:pt idx="676">
                  <c:v>14.550180000005639</c:v>
                </c:pt>
                <c:pt idx="677">
                  <c:v>14.574242999995477</c:v>
                </c:pt>
                <c:pt idx="678">
                  <c:v>14.589649000001373</c:v>
                </c:pt>
                <c:pt idx="679">
                  <c:v>14.611302000004798</c:v>
                </c:pt>
                <c:pt idx="680">
                  <c:v>14.62928799999645</c:v>
                </c:pt>
                <c:pt idx="681">
                  <c:v>14.649248999994597</c:v>
                </c:pt>
                <c:pt idx="682">
                  <c:v>14.669626999995671</c:v>
                </c:pt>
                <c:pt idx="683">
                  <c:v>14.690189999993891</c:v>
                </c:pt>
                <c:pt idx="684">
                  <c:v>14.709805000005872</c:v>
                </c:pt>
                <c:pt idx="685">
                  <c:v>14.731016999998246</c:v>
                </c:pt>
                <c:pt idx="686">
                  <c:v>14.746809999996913</c:v>
                </c:pt>
                <c:pt idx="687">
                  <c:v>14.770151999997324</c:v>
                </c:pt>
                <c:pt idx="688">
                  <c:v>14.790643999993335</c:v>
                </c:pt>
                <c:pt idx="689">
                  <c:v>14.810568999993848</c:v>
                </c:pt>
                <c:pt idx="690">
                  <c:v>14.832399000006262</c:v>
                </c:pt>
                <c:pt idx="691">
                  <c:v>14.853262000004179</c:v>
                </c:pt>
                <c:pt idx="692">
                  <c:v>14.870527999999467</c:v>
                </c:pt>
                <c:pt idx="693">
                  <c:v>14.892261000000872</c:v>
                </c:pt>
                <c:pt idx="694">
                  <c:v>14.912981999994372</c:v>
                </c:pt>
                <c:pt idx="695">
                  <c:v>14.93114400000195</c:v>
                </c:pt>
                <c:pt idx="696">
                  <c:v>14.952296999996179</c:v>
                </c:pt>
                <c:pt idx="697">
                  <c:v>14.958132999992813</c:v>
                </c:pt>
                <c:pt idx="698">
                  <c:v>14.990680999995675</c:v>
                </c:pt>
                <c:pt idx="699">
                  <c:v>15.011146999997436</c:v>
                </c:pt>
                <c:pt idx="700">
                  <c:v>15.032527999996091</c:v>
                </c:pt>
                <c:pt idx="701">
                  <c:v>15.048139999998966</c:v>
                </c:pt>
                <c:pt idx="702">
                  <c:v>15.066653999994742</c:v>
                </c:pt>
                <c:pt idx="703">
                  <c:v>15.078278000000864</c:v>
                </c:pt>
                <c:pt idx="704">
                  <c:v>15.109525000007125</c:v>
                </c:pt>
                <c:pt idx="705">
                  <c:v>15.129438000003574</c:v>
                </c:pt>
                <c:pt idx="706">
                  <c:v>15.149376000001212</c:v>
                </c:pt>
                <c:pt idx="707">
                  <c:v>15.171973999997135</c:v>
                </c:pt>
                <c:pt idx="708">
                  <c:v>15.187661000003573</c:v>
                </c:pt>
                <c:pt idx="709">
                  <c:v>15.21059800000512</c:v>
                </c:pt>
                <c:pt idx="710">
                  <c:v>15.227759000001242</c:v>
                </c:pt>
                <c:pt idx="711">
                  <c:v>15.244133000000147</c:v>
                </c:pt>
                <c:pt idx="712">
                  <c:v>15.269520999994711</c:v>
                </c:pt>
                <c:pt idx="713">
                  <c:v>15.280324999999721</c:v>
                </c:pt>
                <c:pt idx="714">
                  <c:v>15.305550999997649</c:v>
                </c:pt>
                <c:pt idx="715">
                  <c:v>15.331890000001295</c:v>
                </c:pt>
                <c:pt idx="716">
                  <c:v>15.337560999993002</c:v>
                </c:pt>
                <c:pt idx="717">
                  <c:v>15.368329000004451</c:v>
                </c:pt>
                <c:pt idx="718">
                  <c:v>15.384090999999898</c:v>
                </c:pt>
                <c:pt idx="719">
                  <c:v>15.409184000003734</c:v>
                </c:pt>
                <c:pt idx="720">
                  <c:v>15.430563999994774</c:v>
                </c:pt>
                <c:pt idx="721">
                  <c:v>15.449940000005881</c:v>
                </c:pt>
                <c:pt idx="722">
                  <c:v>15.471531999995932</c:v>
                </c:pt>
                <c:pt idx="723">
                  <c:v>15.489065999994637</c:v>
                </c:pt>
                <c:pt idx="724">
                  <c:v>15.510055999999167</c:v>
                </c:pt>
                <c:pt idx="725">
                  <c:v>15.5320950000023</c:v>
                </c:pt>
                <c:pt idx="726">
                  <c:v>15.549629999994067</c:v>
                </c:pt>
                <c:pt idx="727">
                  <c:v>15.569447000001674</c:v>
                </c:pt>
                <c:pt idx="728">
                  <c:v>15.590635000000475</c:v>
                </c:pt>
                <c:pt idx="729">
                  <c:v>15.606226000003517</c:v>
                </c:pt>
                <c:pt idx="730">
                  <c:v>15.632863000006182</c:v>
                </c:pt>
                <c:pt idx="731">
                  <c:v>15.651767999996082</c:v>
                </c:pt>
                <c:pt idx="732">
                  <c:v>15.667258000001311</c:v>
                </c:pt>
                <c:pt idx="733">
                  <c:v>15.68613099999493</c:v>
                </c:pt>
                <c:pt idx="734">
                  <c:v>15.712199000001419</c:v>
                </c:pt>
                <c:pt idx="735">
                  <c:v>15.73123299999861</c:v>
                </c:pt>
                <c:pt idx="736">
                  <c:v>15.747940000001108</c:v>
                </c:pt>
                <c:pt idx="737">
                  <c:v>15.771502999996301</c:v>
                </c:pt>
                <c:pt idx="738">
                  <c:v>15.791205999994418</c:v>
                </c:pt>
                <c:pt idx="739">
                  <c:v>15.811014000006253</c:v>
                </c:pt>
                <c:pt idx="740">
                  <c:v>15.833064000005834</c:v>
                </c:pt>
                <c:pt idx="741">
                  <c:v>15.851758000004338</c:v>
                </c:pt>
                <c:pt idx="742">
                  <c:v>15.872119999999995</c:v>
                </c:pt>
                <c:pt idx="743">
                  <c:v>15.886606000000029</c:v>
                </c:pt>
                <c:pt idx="744">
                  <c:v>15.912100999994436</c:v>
                </c:pt>
                <c:pt idx="745">
                  <c:v>15.931593000001158</c:v>
                </c:pt>
                <c:pt idx="746">
                  <c:v>15.946718999999575</c:v>
                </c:pt>
                <c:pt idx="747">
                  <c:v>15.96976100000029</c:v>
                </c:pt>
                <c:pt idx="748">
                  <c:v>15.988339999996242</c:v>
                </c:pt>
                <c:pt idx="749">
                  <c:v>16.011887999993633</c:v>
                </c:pt>
                <c:pt idx="750">
                  <c:v>16.032540999993216</c:v>
                </c:pt>
                <c:pt idx="751">
                  <c:v>16.046833999993396</c:v>
                </c:pt>
                <c:pt idx="752">
                  <c:v>16.073931000006269</c:v>
                </c:pt>
                <c:pt idx="753">
                  <c:v>16.089105999999447</c:v>
                </c:pt>
                <c:pt idx="754">
                  <c:v>16.108244000002742</c:v>
                </c:pt>
                <c:pt idx="755">
                  <c:v>16.124121999993804</c:v>
                </c:pt>
                <c:pt idx="756">
                  <c:v>16.150970000002417</c:v>
                </c:pt>
                <c:pt idx="757">
                  <c:v>16.168692000006558</c:v>
                </c:pt>
                <c:pt idx="758">
                  <c:v>16.188219999996363</c:v>
                </c:pt>
                <c:pt idx="759">
                  <c:v>16.207978000005824</c:v>
                </c:pt>
                <c:pt idx="760">
                  <c:v>16.231165999997756</c:v>
                </c:pt>
                <c:pt idx="761">
                  <c:v>16.248852000004263</c:v>
                </c:pt>
                <c:pt idx="762">
                  <c:v>16.26906200000667</c:v>
                </c:pt>
                <c:pt idx="763">
                  <c:v>16.288060000006226</c:v>
                </c:pt>
                <c:pt idx="764">
                  <c:v>16.308783000000403</c:v>
                </c:pt>
                <c:pt idx="765">
                  <c:v>16.328875000006519</c:v>
                </c:pt>
                <c:pt idx="766">
                  <c:v>16.336725999994087</c:v>
                </c:pt>
                <c:pt idx="767">
                  <c:v>16.388292999996338</c:v>
                </c:pt>
                <c:pt idx="768">
                  <c:v>16.409929000001284</c:v>
                </c:pt>
                <c:pt idx="769">
                  <c:v>16.429648000004818</c:v>
                </c:pt>
                <c:pt idx="770">
                  <c:v>16.444742000006954</c:v>
                </c:pt>
                <c:pt idx="771">
                  <c:v>16.469893999994383</c:v>
                </c:pt>
                <c:pt idx="772">
                  <c:v>16.491639999992913</c:v>
                </c:pt>
                <c:pt idx="773">
                  <c:v>16.512713999996777</c:v>
                </c:pt>
                <c:pt idx="774">
                  <c:v>16.530939999996917</c:v>
                </c:pt>
                <c:pt idx="775">
                  <c:v>16.54520799999591</c:v>
                </c:pt>
                <c:pt idx="776">
                  <c:v>16.56902799999807</c:v>
                </c:pt>
                <c:pt idx="777">
                  <c:v>16.580289999998058</c:v>
                </c:pt>
                <c:pt idx="778">
                  <c:v>16.612483000004431</c:v>
                </c:pt>
                <c:pt idx="779">
                  <c:v>16.631515999994008</c:v>
                </c:pt>
                <c:pt idx="780">
                  <c:v>16.652646999995341</c:v>
                </c:pt>
                <c:pt idx="781">
                  <c:v>16.666282000005594</c:v>
                </c:pt>
                <c:pt idx="782">
                  <c:v>16.690967000002274</c:v>
                </c:pt>
                <c:pt idx="783">
                  <c:v>16.711506000006921</c:v>
                </c:pt>
                <c:pt idx="784">
                  <c:v>16.730964000002132</c:v>
                </c:pt>
                <c:pt idx="785">
                  <c:v>16.751571999993757</c:v>
                </c:pt>
                <c:pt idx="786">
                  <c:v>16.768802999999025</c:v>
                </c:pt>
                <c:pt idx="787">
                  <c:v>16.786829000004218</c:v>
                </c:pt>
                <c:pt idx="788">
                  <c:v>16.815285999997286</c:v>
                </c:pt>
                <c:pt idx="789">
                  <c:v>16.832154999996419</c:v>
                </c:pt>
                <c:pt idx="790">
                  <c:v>16.852400000003399</c:v>
                </c:pt>
                <c:pt idx="791">
                  <c:v>16.870198999997228</c:v>
                </c:pt>
                <c:pt idx="792">
                  <c:v>16.891808999993373</c:v>
                </c:pt>
                <c:pt idx="793">
                  <c:v>16.910401999994065</c:v>
                </c:pt>
                <c:pt idx="794">
                  <c:v>16.929067999997642</c:v>
                </c:pt>
                <c:pt idx="795">
                  <c:v>16.9520909999992</c:v>
                </c:pt>
                <c:pt idx="796">
                  <c:v>16.966167000005953</c:v>
                </c:pt>
                <c:pt idx="797">
                  <c:v>16.982866000005743</c:v>
                </c:pt>
                <c:pt idx="798">
                  <c:v>17.002632000003359</c:v>
                </c:pt>
                <c:pt idx="799">
                  <c:v>17.025712000002386</c:v>
                </c:pt>
                <c:pt idx="800">
                  <c:v>17.050281000003451</c:v>
                </c:pt>
                <c:pt idx="801">
                  <c:v>17.07241900000372</c:v>
                </c:pt>
                <c:pt idx="802">
                  <c:v>17.091975999996066</c:v>
                </c:pt>
                <c:pt idx="803">
                  <c:v>17.101974999997765</c:v>
                </c:pt>
                <c:pt idx="804">
                  <c:v>17.132593999995152</c:v>
                </c:pt>
                <c:pt idx="805">
                  <c:v>17.14909799999441</c:v>
                </c:pt>
                <c:pt idx="806">
                  <c:v>17.17214999999851</c:v>
                </c:pt>
                <c:pt idx="807">
                  <c:v>17.184187000006204</c:v>
                </c:pt>
                <c:pt idx="808">
                  <c:v>17.209308999998029</c:v>
                </c:pt>
                <c:pt idx="809">
                  <c:v>17.22954000000027</c:v>
                </c:pt>
                <c:pt idx="810">
                  <c:v>17.251128999996581</c:v>
                </c:pt>
                <c:pt idx="811">
                  <c:v>17.26578800000425</c:v>
                </c:pt>
                <c:pt idx="812">
                  <c:v>17.290540000001783</c:v>
                </c:pt>
                <c:pt idx="813">
                  <c:v>17.310494000004837</c:v>
                </c:pt>
                <c:pt idx="814">
                  <c:v>17.330820999995922</c:v>
                </c:pt>
                <c:pt idx="815">
                  <c:v>17.352037000004202</c:v>
                </c:pt>
                <c:pt idx="816">
                  <c:v>17.369202000001678</c:v>
                </c:pt>
                <c:pt idx="817">
                  <c:v>17.387325000003329</c:v>
                </c:pt>
                <c:pt idx="818">
                  <c:v>17.410115999999107</c:v>
                </c:pt>
                <c:pt idx="819">
                  <c:v>17.429189999995288</c:v>
                </c:pt>
                <c:pt idx="820">
                  <c:v>17.450786999994307</c:v>
                </c:pt>
                <c:pt idx="821">
                  <c:v>17.472670999995898</c:v>
                </c:pt>
                <c:pt idx="822">
                  <c:v>17.49282200000016</c:v>
                </c:pt>
                <c:pt idx="823">
                  <c:v>17.498500999994576</c:v>
                </c:pt>
                <c:pt idx="824">
                  <c:v>17.530920999997761</c:v>
                </c:pt>
                <c:pt idx="825">
                  <c:v>17.550405000001774</c:v>
                </c:pt>
                <c:pt idx="826">
                  <c:v>17.566690000006929</c:v>
                </c:pt>
                <c:pt idx="827">
                  <c:v>17.582725999993272</c:v>
                </c:pt>
                <c:pt idx="828">
                  <c:v>17.606815999999526</c:v>
                </c:pt>
                <c:pt idx="829">
                  <c:v>17.632996999993338</c:v>
                </c:pt>
                <c:pt idx="830">
                  <c:v>17.651532000003499</c:v>
                </c:pt>
                <c:pt idx="831">
                  <c:v>17.672609999994165</c:v>
                </c:pt>
                <c:pt idx="832">
                  <c:v>17.712639999997918</c:v>
                </c:pt>
                <c:pt idx="833">
                  <c:v>17.73266500000318</c:v>
                </c:pt>
                <c:pt idx="834">
                  <c:v>17.737426000006963</c:v>
                </c:pt>
                <c:pt idx="835">
                  <c:v>17.773205000004964</c:v>
                </c:pt>
                <c:pt idx="836">
                  <c:v>17.787469999995665</c:v>
                </c:pt>
                <c:pt idx="837">
                  <c:v>17.813957000005757</c:v>
                </c:pt>
                <c:pt idx="838">
                  <c:v>17.824382000006153</c:v>
                </c:pt>
                <c:pt idx="839">
                  <c:v>17.850562000006903</c:v>
                </c:pt>
                <c:pt idx="840">
                  <c:v>17.854382000004989</c:v>
                </c:pt>
                <c:pt idx="841">
                  <c:v>17.892170000006445</c:v>
                </c:pt>
                <c:pt idx="842">
                  <c:v>17.908479999998235</c:v>
                </c:pt>
                <c:pt idx="843">
                  <c:v>17.928702999997768</c:v>
                </c:pt>
                <c:pt idx="844">
                  <c:v>17.949370999995153</c:v>
                </c:pt>
                <c:pt idx="845">
                  <c:v>17.962098000003607</c:v>
                </c:pt>
                <c:pt idx="846">
                  <c:v>17.990875000003143</c:v>
                </c:pt>
                <c:pt idx="847">
                  <c:v>17.994823000000906</c:v>
                </c:pt>
                <c:pt idx="848">
                  <c:v>18.027514000001247</c:v>
                </c:pt>
                <c:pt idx="849">
                  <c:v>18.050101000000723</c:v>
                </c:pt>
                <c:pt idx="850">
                  <c:v>18.062420999995084</c:v>
                </c:pt>
                <c:pt idx="851">
                  <c:v>18.106587999995099</c:v>
                </c:pt>
                <c:pt idx="852">
                  <c:v>18.167728999993415</c:v>
                </c:pt>
                <c:pt idx="853">
                  <c:v>18.180475999994087</c:v>
                </c:pt>
                <c:pt idx="854">
                  <c:v>18.320932000002358</c:v>
                </c:pt>
                <c:pt idx="855">
                  <c:v>18.380057000002125</c:v>
                </c:pt>
                <c:pt idx="856">
                  <c:v>18.405499000000418</c:v>
                </c:pt>
                <c:pt idx="857">
                  <c:v>18.422554000004311</c:v>
                </c:pt>
                <c:pt idx="858">
                  <c:v>18.450954999992973</c:v>
                </c:pt>
                <c:pt idx="859">
                  <c:v>18.457024000003003</c:v>
                </c:pt>
                <c:pt idx="860">
                  <c:v>18.531701999992947</c:v>
                </c:pt>
                <c:pt idx="861">
                  <c:v>18.592285999999149</c:v>
                </c:pt>
                <c:pt idx="862">
                  <c:v>18.600279000005685</c:v>
                </c:pt>
                <c:pt idx="863">
                  <c:v>18.643800000005285</c:v>
                </c:pt>
                <c:pt idx="864">
                  <c:v>18.669360999992932</c:v>
                </c:pt>
                <c:pt idx="865">
                  <c:v>18.70567700000538</c:v>
                </c:pt>
                <c:pt idx="866">
                  <c:v>18.727463999995962</c:v>
                </c:pt>
                <c:pt idx="867">
                  <c:v>18.75185899999633</c:v>
                </c:pt>
                <c:pt idx="868">
                  <c:v>18.771382999999332</c:v>
                </c:pt>
                <c:pt idx="869">
                  <c:v>18.788291000004392</c:v>
                </c:pt>
                <c:pt idx="870">
                  <c:v>18.848809000002802</c:v>
                </c:pt>
                <c:pt idx="871">
                  <c:v>18.853226000006543</c:v>
                </c:pt>
                <c:pt idx="872">
                  <c:v>18.931729999996605</c:v>
                </c:pt>
                <c:pt idx="873">
                  <c:v>18.949353999996674</c:v>
                </c:pt>
                <c:pt idx="874">
                  <c:v>18.969987000004039</c:v>
                </c:pt>
                <c:pt idx="875">
                  <c:v>18.990466999995988</c:v>
                </c:pt>
                <c:pt idx="876">
                  <c:v>19.001478999998653</c:v>
                </c:pt>
                <c:pt idx="877">
                  <c:v>19.030511000004481</c:v>
                </c:pt>
                <c:pt idx="878">
                  <c:v>19.071265000005951</c:v>
                </c:pt>
                <c:pt idx="879">
                  <c:v>19.087696999995387</c:v>
                </c:pt>
                <c:pt idx="880">
                  <c:v>19.109417999992729</c:v>
                </c:pt>
                <c:pt idx="881">
                  <c:v>19.121025999993435</c:v>
                </c:pt>
                <c:pt idx="882">
                  <c:v>19.135913999998593</c:v>
                </c:pt>
                <c:pt idx="883">
                  <c:v>19.192383000001428</c:v>
                </c:pt>
                <c:pt idx="884">
                  <c:v>19.210042999999132</c:v>
                </c:pt>
                <c:pt idx="885">
                  <c:v>19.269948000001023</c:v>
                </c:pt>
                <c:pt idx="886">
                  <c:v>19.277885999996215</c:v>
                </c:pt>
                <c:pt idx="887">
                  <c:v>19.330692000003182</c:v>
                </c:pt>
                <c:pt idx="888">
                  <c:v>19.347475000002305</c:v>
                </c:pt>
                <c:pt idx="889">
                  <c:v>19.412165999994613</c:v>
                </c:pt>
                <c:pt idx="890">
                  <c:v>19.416817000004812</c:v>
                </c:pt>
                <c:pt idx="891">
                  <c:v>19.470014000005904</c:v>
                </c:pt>
                <c:pt idx="892">
                  <c:v>19.473469000004116</c:v>
                </c:pt>
                <c:pt idx="893">
                  <c:v>19.558466000002227</c:v>
                </c:pt>
                <c:pt idx="894">
                  <c:v>19.60882799999672</c:v>
                </c:pt>
                <c:pt idx="895">
                  <c:v>19.616255999993882</c:v>
                </c:pt>
                <c:pt idx="896">
                  <c:v>19.681517000004533</c:v>
                </c:pt>
                <c:pt idx="897">
                  <c:v>19.754574999999022</c:v>
                </c:pt>
                <c:pt idx="898">
                  <c:v>19.829968999998528</c:v>
                </c:pt>
                <c:pt idx="899">
                  <c:v>19.89028999999573</c:v>
                </c:pt>
                <c:pt idx="900">
                  <c:v>19.896116000003531</c:v>
                </c:pt>
                <c:pt idx="901">
                  <c:v>20.026220999992802</c:v>
                </c:pt>
                <c:pt idx="902">
                  <c:v>20.03784099999757</c:v>
                </c:pt>
                <c:pt idx="903">
                  <c:v>20.085686000005808</c:v>
                </c:pt>
                <c:pt idx="904">
                  <c:v>20.106010000003153</c:v>
                </c:pt>
                <c:pt idx="905">
                  <c:v>20.16501199999766</c:v>
                </c:pt>
                <c:pt idx="906">
                  <c:v>20.175933000005898</c:v>
                </c:pt>
                <c:pt idx="907">
                  <c:v>20.24430599999323</c:v>
                </c:pt>
                <c:pt idx="908">
                  <c:v>20.372518000003765</c:v>
                </c:pt>
                <c:pt idx="909">
                  <c:v>20.380502999993041</c:v>
                </c:pt>
                <c:pt idx="910">
                  <c:v>20.444394999998622</c:v>
                </c:pt>
                <c:pt idx="911">
                  <c:v>20.50830099999439</c:v>
                </c:pt>
                <c:pt idx="912">
                  <c:v>20.521355999997468</c:v>
                </c:pt>
                <c:pt idx="913">
                  <c:v>20.557960000005551</c:v>
                </c:pt>
                <c:pt idx="914">
                  <c:v>20.587719999995898</c:v>
                </c:pt>
                <c:pt idx="915">
                  <c:v>20.609152999997605</c:v>
                </c:pt>
                <c:pt idx="916">
                  <c:v>20.619072000001324</c:v>
                </c:pt>
                <c:pt idx="917">
                  <c:v>20.67234799999278</c:v>
                </c:pt>
                <c:pt idx="918">
                  <c:v>20.689606999992975</c:v>
                </c:pt>
                <c:pt idx="919">
                  <c:v>20.710848000002443</c:v>
                </c:pt>
                <c:pt idx="920">
                  <c:v>20.713470999995479</c:v>
                </c:pt>
                <c:pt idx="921">
                  <c:v>20.770128999996814</c:v>
                </c:pt>
                <c:pt idx="922">
                  <c:v>20.781872999999905</c:v>
                </c:pt>
                <c:pt idx="923">
                  <c:v>20.851871999999275</c:v>
                </c:pt>
                <c:pt idx="924">
                  <c:v>20.910011999993003</c:v>
                </c:pt>
                <c:pt idx="925">
                  <c:v>20.917421000005561</c:v>
                </c:pt>
                <c:pt idx="926">
                  <c:v>20.990090000006603</c:v>
                </c:pt>
                <c:pt idx="927">
                  <c:v>21.059141000005184</c:v>
                </c:pt>
                <c:pt idx="928">
                  <c:v>21.123573999997461</c:v>
                </c:pt>
                <c:pt idx="929">
                  <c:v>21.189335000002757</c:v>
                </c:pt>
                <c:pt idx="930">
                  <c:v>21.193016999997781</c:v>
                </c:pt>
                <c:pt idx="931">
                  <c:v>21.267498000001069</c:v>
                </c:pt>
                <c:pt idx="932">
                  <c:v>21.39588100000401</c:v>
                </c:pt>
                <c:pt idx="933">
                  <c:v>21.476766000007046</c:v>
                </c:pt>
                <c:pt idx="934">
                  <c:v>21.671587999997428</c:v>
                </c:pt>
                <c:pt idx="935">
                  <c:v>21.80168699999922</c:v>
                </c:pt>
                <c:pt idx="936">
                  <c:v>21.819898000001558</c:v>
                </c:pt>
                <c:pt idx="937">
                  <c:v>21.929365999996662</c:v>
                </c:pt>
                <c:pt idx="938">
                  <c:v>21.950813999996171</c:v>
                </c:pt>
                <c:pt idx="939">
                  <c:v>21.969597000002977</c:v>
                </c:pt>
                <c:pt idx="940">
                  <c:v>21.988500000006752</c:v>
                </c:pt>
                <c:pt idx="941">
                  <c:v>22.009302000005846</c:v>
                </c:pt>
                <c:pt idx="942">
                  <c:v>22.03289699999732</c:v>
                </c:pt>
                <c:pt idx="943">
                  <c:v>22.050904999996419</c:v>
                </c:pt>
                <c:pt idx="944">
                  <c:v>22.10960100000375</c:v>
                </c:pt>
                <c:pt idx="945">
                  <c:v>22.129606000002241</c:v>
                </c:pt>
                <c:pt idx="946">
                  <c:v>22.153552999996464</c:v>
                </c:pt>
                <c:pt idx="947">
                  <c:v>22.216033999997308</c:v>
                </c:pt>
                <c:pt idx="948">
                  <c:v>22.269459999995888</c:v>
                </c:pt>
                <c:pt idx="949">
                  <c:v>22.339386999999988</c:v>
                </c:pt>
                <c:pt idx="950">
                  <c:v>22.35994500000379</c:v>
                </c:pt>
                <c:pt idx="951">
                  <c:v>22.697455999994418</c:v>
                </c:pt>
                <c:pt idx="952">
                  <c:v>22.752504999996745</c:v>
                </c:pt>
                <c:pt idx="953">
                  <c:v>22.776291000001947</c:v>
                </c:pt>
                <c:pt idx="954">
                  <c:v>22.894717000002856</c:v>
                </c:pt>
                <c:pt idx="955">
                  <c:v>22.936753999994835</c:v>
                </c:pt>
                <c:pt idx="956">
                  <c:v>22.964806000003591</c:v>
                </c:pt>
                <c:pt idx="957">
                  <c:v>23.011020000005374</c:v>
                </c:pt>
                <c:pt idx="958">
                  <c:v>23.041721999994479</c:v>
                </c:pt>
                <c:pt idx="959">
                  <c:v>23.059169000000111</c:v>
                </c:pt>
                <c:pt idx="960">
                  <c:v>23.078345000001718</c:v>
                </c:pt>
                <c:pt idx="961">
                  <c:v>23.101450999994995</c:v>
                </c:pt>
                <c:pt idx="962">
                  <c:v>23.149567999993451</c:v>
                </c:pt>
                <c:pt idx="963">
                  <c:v>23.170113999993191</c:v>
                </c:pt>
                <c:pt idx="964">
                  <c:v>23.187950000006822</c:v>
                </c:pt>
                <c:pt idx="965">
                  <c:v>23.217732000004617</c:v>
                </c:pt>
                <c:pt idx="966">
                  <c:v>23.238828000001376</c:v>
                </c:pt>
                <c:pt idx="967">
                  <c:v>23.273797999994713</c:v>
                </c:pt>
                <c:pt idx="968">
                  <c:v>23.282284999993863</c:v>
                </c:pt>
                <c:pt idx="969">
                  <c:v>23.304826999999932</c:v>
                </c:pt>
                <c:pt idx="970">
                  <c:v>23.322432999993907</c:v>
                </c:pt>
                <c:pt idx="971">
                  <c:v>23.340609000006225</c:v>
                </c:pt>
                <c:pt idx="972">
                  <c:v>23.358603999993647</c:v>
                </c:pt>
                <c:pt idx="973">
                  <c:v>23.387841000003391</c:v>
                </c:pt>
                <c:pt idx="974">
                  <c:v>23.408421999993152</c:v>
                </c:pt>
                <c:pt idx="975">
                  <c:v>23.436639000006835</c:v>
                </c:pt>
                <c:pt idx="976">
                  <c:v>23.466872999997577</c:v>
                </c:pt>
                <c:pt idx="977">
                  <c:v>23.485339000006206</c:v>
                </c:pt>
                <c:pt idx="978">
                  <c:v>23.504153000001679</c:v>
                </c:pt>
                <c:pt idx="979">
                  <c:v>23.521840000001248</c:v>
                </c:pt>
                <c:pt idx="980">
                  <c:v>23.545178999993368</c:v>
                </c:pt>
                <c:pt idx="981">
                  <c:v>23.571225000006962</c:v>
                </c:pt>
                <c:pt idx="982">
                  <c:v>23.592843000005814</c:v>
                </c:pt>
                <c:pt idx="983">
                  <c:v>23.609421000001021</c:v>
                </c:pt>
                <c:pt idx="984">
                  <c:v>23.626527000000351</c:v>
                </c:pt>
                <c:pt idx="985">
                  <c:v>23.645789999995031</c:v>
                </c:pt>
                <c:pt idx="986">
                  <c:v>23.655771000005188</c:v>
                </c:pt>
                <c:pt idx="987">
                  <c:v>23.690142000006745</c:v>
                </c:pt>
                <c:pt idx="988">
                  <c:v>23.70281299999624</c:v>
                </c:pt>
                <c:pt idx="989">
                  <c:v>23.730490999994799</c:v>
                </c:pt>
                <c:pt idx="990">
                  <c:v>23.752940000005765</c:v>
                </c:pt>
                <c:pt idx="991">
                  <c:v>23.771536999993259</c:v>
                </c:pt>
                <c:pt idx="992">
                  <c:v>23.787014999994426</c:v>
                </c:pt>
                <c:pt idx="993">
                  <c:v>23.808394000006956</c:v>
                </c:pt>
                <c:pt idx="994">
                  <c:v>23.829131999998935</c:v>
                </c:pt>
                <c:pt idx="995">
                  <c:v>23.851704000000609</c:v>
                </c:pt>
                <c:pt idx="996">
                  <c:v>23.872075999999652</c:v>
                </c:pt>
                <c:pt idx="997">
                  <c:v>23.891747000001487</c:v>
                </c:pt>
                <c:pt idx="998">
                  <c:v>23.913037999998778</c:v>
                </c:pt>
                <c:pt idx="999">
                  <c:v>23.928671000001486</c:v>
                </c:pt>
                <c:pt idx="1000">
                  <c:v>23.950268999993568</c:v>
                </c:pt>
                <c:pt idx="1001">
                  <c:v>23.969091999999364</c:v>
                </c:pt>
                <c:pt idx="1002">
                  <c:v>23.991341999993892</c:v>
                </c:pt>
                <c:pt idx="1003">
                  <c:v>24.004977999997209</c:v>
                </c:pt>
                <c:pt idx="1004">
                  <c:v>24.030178000000888</c:v>
                </c:pt>
                <c:pt idx="1005">
                  <c:v>24.051252999997814</c:v>
                </c:pt>
                <c:pt idx="1006">
                  <c:v>24.071083000002545</c:v>
                </c:pt>
                <c:pt idx="1007">
                  <c:v>24.08887799999502</c:v>
                </c:pt>
                <c:pt idx="1008">
                  <c:v>24.109505000000354</c:v>
                </c:pt>
                <c:pt idx="1009">
                  <c:v>24.130529000001843</c:v>
                </c:pt>
                <c:pt idx="1010">
                  <c:v>24.149757999999565</c:v>
                </c:pt>
                <c:pt idx="1011">
                  <c:v>24.169351999997161</c:v>
                </c:pt>
                <c:pt idx="1012">
                  <c:v>24.185184999994817</c:v>
                </c:pt>
                <c:pt idx="1013">
                  <c:v>24.210292000003392</c:v>
                </c:pt>
                <c:pt idx="1014">
                  <c:v>24.230257000002894</c:v>
                </c:pt>
                <c:pt idx="1015">
                  <c:v>24.251063000003342</c:v>
                </c:pt>
                <c:pt idx="1016">
                  <c:v>24.260286999997334</c:v>
                </c:pt>
                <c:pt idx="1017">
                  <c:v>24.290764000004856</c:v>
                </c:pt>
                <c:pt idx="1018">
                  <c:v>24.312315999995917</c:v>
                </c:pt>
                <c:pt idx="1019">
                  <c:v>24.332882999995491</c:v>
                </c:pt>
                <c:pt idx="1020">
                  <c:v>24.352180999994744</c:v>
                </c:pt>
                <c:pt idx="1021">
                  <c:v>24.370655000006082</c:v>
                </c:pt>
                <c:pt idx="1022">
                  <c:v>24.386303999999654</c:v>
                </c:pt>
                <c:pt idx="1023">
                  <c:v>24.411489999998594</c:v>
                </c:pt>
                <c:pt idx="1024">
                  <c:v>24.430787000004784</c:v>
                </c:pt>
                <c:pt idx="1025">
                  <c:v>24.451795999993919</c:v>
                </c:pt>
                <c:pt idx="1026">
                  <c:v>24.472370000003139</c:v>
                </c:pt>
                <c:pt idx="1027">
                  <c:v>24.493352999998024</c:v>
                </c:pt>
                <c:pt idx="1028">
                  <c:v>24.513412000000244</c:v>
                </c:pt>
                <c:pt idx="1029">
                  <c:v>24.527015999992727</c:v>
                </c:pt>
                <c:pt idx="1030">
                  <c:v>24.547990999999456</c:v>
                </c:pt>
                <c:pt idx="1031">
                  <c:v>24.568528000003425</c:v>
                </c:pt>
                <c:pt idx="1032">
                  <c:v>24.592092000006232</c:v>
                </c:pt>
                <c:pt idx="1033">
                  <c:v>24.612911000003805</c:v>
                </c:pt>
                <c:pt idx="1034">
                  <c:v>24.630116999993334</c:v>
                </c:pt>
                <c:pt idx="1035">
                  <c:v>24.647140999994008</c:v>
                </c:pt>
                <c:pt idx="1036">
                  <c:v>24.668594000002486</c:v>
                </c:pt>
                <c:pt idx="1037">
                  <c:v>24.690837999994983</c:v>
                </c:pt>
                <c:pt idx="1038">
                  <c:v>24.712589999995544</c:v>
                </c:pt>
                <c:pt idx="1039">
                  <c:v>24.729158999994979</c:v>
                </c:pt>
                <c:pt idx="1040">
                  <c:v>24.748250999997254</c:v>
                </c:pt>
                <c:pt idx="1041">
                  <c:v>24.772182999993674</c:v>
                </c:pt>
                <c:pt idx="1042">
                  <c:v>24.788973999995505</c:v>
                </c:pt>
                <c:pt idx="1043">
                  <c:v>24.810652000000118</c:v>
                </c:pt>
                <c:pt idx="1044">
                  <c:v>24.830902000001515</c:v>
                </c:pt>
                <c:pt idx="1045">
                  <c:v>24.851580000002286</c:v>
                </c:pt>
                <c:pt idx="1046">
                  <c:v>24.863641000003554</c:v>
                </c:pt>
                <c:pt idx="1047">
                  <c:v>24.889215000002878</c:v>
                </c:pt>
                <c:pt idx="1048">
                  <c:v>24.905175000007148</c:v>
                </c:pt>
                <c:pt idx="1049">
                  <c:v>24.923880999995163</c:v>
                </c:pt>
                <c:pt idx="1050">
                  <c:v>24.952577000003657</c:v>
                </c:pt>
                <c:pt idx="1051">
                  <c:v>24.970560000001569</c:v>
                </c:pt>
                <c:pt idx="1052">
                  <c:v>24.990554000003613</c:v>
                </c:pt>
                <c:pt idx="1053">
                  <c:v>25.009464999995544</c:v>
                </c:pt>
                <c:pt idx="1054">
                  <c:v>25.029137999998056</c:v>
                </c:pt>
                <c:pt idx="1055">
                  <c:v>25.049568000002182</c:v>
                </c:pt>
                <c:pt idx="1056">
                  <c:v>25.069510999994236</c:v>
                </c:pt>
                <c:pt idx="1057">
                  <c:v>25.090064000003622</c:v>
                </c:pt>
                <c:pt idx="1058">
                  <c:v>25.112080000006245</c:v>
                </c:pt>
                <c:pt idx="1059">
                  <c:v>25.130132000005688</c:v>
                </c:pt>
                <c:pt idx="1060">
                  <c:v>25.151247000001604</c:v>
                </c:pt>
                <c:pt idx="1061">
                  <c:v>25.170014000002993</c:v>
                </c:pt>
                <c:pt idx="1062">
                  <c:v>25.191411000007065</c:v>
                </c:pt>
                <c:pt idx="1063">
                  <c:v>25.195875000004889</c:v>
                </c:pt>
                <c:pt idx="1064">
                  <c:v>25.233873000004678</c:v>
                </c:pt>
                <c:pt idx="1065">
                  <c:v>25.248592000003555</c:v>
                </c:pt>
                <c:pt idx="1066">
                  <c:v>25.270485000000917</c:v>
                </c:pt>
                <c:pt idx="1067">
                  <c:v>25.291649999999208</c:v>
                </c:pt>
                <c:pt idx="1068">
                  <c:v>25.311413000003085</c:v>
                </c:pt>
                <c:pt idx="1069">
                  <c:v>25.331086000005598</c:v>
                </c:pt>
                <c:pt idx="1070">
                  <c:v>25.346539000005578</c:v>
                </c:pt>
                <c:pt idx="1071">
                  <c:v>25.366806000005454</c:v>
                </c:pt>
                <c:pt idx="1072">
                  <c:v>25.391757999997935</c:v>
                </c:pt>
                <c:pt idx="1073">
                  <c:v>25.409874999997555</c:v>
                </c:pt>
                <c:pt idx="1074">
                  <c:v>25.432696000003489</c:v>
                </c:pt>
                <c:pt idx="1075">
                  <c:v>25.448818999997457</c:v>
                </c:pt>
                <c:pt idx="1076">
                  <c:v>25.467323000004399</c:v>
                </c:pt>
                <c:pt idx="1077">
                  <c:v>25.487355999997817</c:v>
                </c:pt>
                <c:pt idx="1078">
                  <c:v>25.512679000006756</c:v>
                </c:pt>
                <c:pt idx="1079">
                  <c:v>25.532206999996561</c:v>
                </c:pt>
                <c:pt idx="1080">
                  <c:v>25.550080000000889</c:v>
                </c:pt>
                <c:pt idx="1081">
                  <c:v>25.568671999993967</c:v>
                </c:pt>
                <c:pt idx="1082">
                  <c:v>25.591994999995222</c:v>
                </c:pt>
                <c:pt idx="1083">
                  <c:v>25.604158999994979</c:v>
                </c:pt>
                <c:pt idx="1084">
                  <c:v>25.62855199999467</c:v>
                </c:pt>
                <c:pt idx="1085">
                  <c:v>25.64916099999391</c:v>
                </c:pt>
                <c:pt idx="1086">
                  <c:v>25.670091000007233</c:v>
                </c:pt>
                <c:pt idx="1087">
                  <c:v>25.688160000005155</c:v>
                </c:pt>
                <c:pt idx="1088">
                  <c:v>25.709323000002769</c:v>
                </c:pt>
                <c:pt idx="1089">
                  <c:v>25.728407000002335</c:v>
                </c:pt>
                <c:pt idx="1090">
                  <c:v>25.752332000003662</c:v>
                </c:pt>
                <c:pt idx="1091">
                  <c:v>25.768882999997004</c:v>
                </c:pt>
                <c:pt idx="1092">
                  <c:v>25.790080999999191</c:v>
                </c:pt>
                <c:pt idx="1093">
                  <c:v>25.80885099999432</c:v>
                </c:pt>
                <c:pt idx="1094">
                  <c:v>25.829733000005945</c:v>
                </c:pt>
                <c:pt idx="1095">
                  <c:v>25.844184999994468</c:v>
                </c:pt>
                <c:pt idx="1096">
                  <c:v>25.869984999997541</c:v>
                </c:pt>
                <c:pt idx="1097">
                  <c:v>25.889815000002272</c:v>
                </c:pt>
                <c:pt idx="1098">
                  <c:v>25.910757000005106</c:v>
                </c:pt>
                <c:pt idx="1099">
                  <c:v>25.929401000001235</c:v>
                </c:pt>
                <c:pt idx="1100">
                  <c:v>25.94962499999383</c:v>
                </c:pt>
                <c:pt idx="1101">
                  <c:v>25.972777999995742</c:v>
                </c:pt>
                <c:pt idx="1102">
                  <c:v>25.990013999995426</c:v>
                </c:pt>
                <c:pt idx="1103">
                  <c:v>26.010427000001073</c:v>
                </c:pt>
                <c:pt idx="1104">
                  <c:v>26.032560000006924</c:v>
                </c:pt>
                <c:pt idx="1105">
                  <c:v>26.051613999996334</c:v>
                </c:pt>
                <c:pt idx="1106">
                  <c:v>26.072595999998157</c:v>
                </c:pt>
                <c:pt idx="1107">
                  <c:v>26.092378999994253</c:v>
                </c:pt>
                <c:pt idx="1108">
                  <c:v>26.112676999997348</c:v>
                </c:pt>
                <c:pt idx="1109">
                  <c:v>26.130694999999832</c:v>
                </c:pt>
                <c:pt idx="1110">
                  <c:v>26.15151500000502</c:v>
                </c:pt>
                <c:pt idx="1111">
                  <c:v>26.160948999997345</c:v>
                </c:pt>
                <c:pt idx="1112">
                  <c:v>26.192194999995991</c:v>
                </c:pt>
                <c:pt idx="1113">
                  <c:v>26.212463999996544</c:v>
                </c:pt>
                <c:pt idx="1114">
                  <c:v>26.23177100000612</c:v>
                </c:pt>
                <c:pt idx="1115">
                  <c:v>26.252322999993339</c:v>
                </c:pt>
                <c:pt idx="1116">
                  <c:v>26.266526999999769</c:v>
                </c:pt>
                <c:pt idx="1117">
                  <c:v>26.289130999997724</c:v>
                </c:pt>
                <c:pt idx="1118">
                  <c:v>26.307276999999885</c:v>
                </c:pt>
                <c:pt idx="1119">
                  <c:v>26.328584999995655</c:v>
                </c:pt>
                <c:pt idx="1120">
                  <c:v>26.352679000003263</c:v>
                </c:pt>
                <c:pt idx="1121">
                  <c:v>26.372602999996161</c:v>
                </c:pt>
                <c:pt idx="1122">
                  <c:v>26.389469999994617</c:v>
                </c:pt>
                <c:pt idx="1123">
                  <c:v>0</c:v>
                </c:pt>
                <c:pt idx="1124">
                  <c:v>0</c:v>
                </c:pt>
                <c:pt idx="1125">
                  <c:v>0</c:v>
                </c:pt>
                <c:pt idx="1126">
                  <c:v>0</c:v>
                </c:pt>
                <c:pt idx="1127">
                  <c:v>0</c:v>
                </c:pt>
                <c:pt idx="1128">
                  <c:v>0</c:v>
                </c:pt>
                <c:pt idx="1129">
                  <c:v>0</c:v>
                </c:pt>
                <c:pt idx="1130">
                  <c:v>0</c:v>
                </c:pt>
                <c:pt idx="1131">
                  <c:v>0</c:v>
                </c:pt>
                <c:pt idx="1132">
                  <c:v>0</c:v>
                </c:pt>
                <c:pt idx="1133">
                  <c:v>0</c:v>
                </c:pt>
                <c:pt idx="1134">
                  <c:v>0</c:v>
                </c:pt>
                <c:pt idx="1135">
                  <c:v>0</c:v>
                </c:pt>
                <c:pt idx="1136">
                  <c:v>0</c:v>
                </c:pt>
                <c:pt idx="1137">
                  <c:v>0</c:v>
                </c:pt>
                <c:pt idx="1138">
                  <c:v>0</c:v>
                </c:pt>
                <c:pt idx="1139">
                  <c:v>0</c:v>
                </c:pt>
                <c:pt idx="1140">
                  <c:v>0</c:v>
                </c:pt>
                <c:pt idx="1141">
                  <c:v>0</c:v>
                </c:pt>
                <c:pt idx="1142">
                  <c:v>0</c:v>
                </c:pt>
                <c:pt idx="1143">
                  <c:v>0</c:v>
                </c:pt>
                <c:pt idx="1144">
                  <c:v>0</c:v>
                </c:pt>
                <c:pt idx="1145">
                  <c:v>0</c:v>
                </c:pt>
                <c:pt idx="1146">
                  <c:v>0</c:v>
                </c:pt>
                <c:pt idx="1147">
                  <c:v>0</c:v>
                </c:pt>
                <c:pt idx="1148">
                  <c:v>0</c:v>
                </c:pt>
                <c:pt idx="1149">
                  <c:v>0</c:v>
                </c:pt>
                <c:pt idx="1150">
                  <c:v>0</c:v>
                </c:pt>
              </c:numCache>
            </c:numRef>
          </c:xVal>
          <c:yVal>
            <c:numRef>
              <c:f>'Real Values'!$L$2:$L$1800</c:f>
              <c:numCache>
                <c:formatCode>General</c:formatCode>
                <c:ptCount val="1799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  <c:pt idx="1001">
                  <c:v>0</c:v>
                </c:pt>
                <c:pt idx="1002">
                  <c:v>0</c:v>
                </c:pt>
                <c:pt idx="1003">
                  <c:v>0</c:v>
                </c:pt>
                <c:pt idx="1004">
                  <c:v>0</c:v>
                </c:pt>
                <c:pt idx="1005">
                  <c:v>0</c:v>
                </c:pt>
                <c:pt idx="1006">
                  <c:v>0</c:v>
                </c:pt>
                <c:pt idx="1007">
                  <c:v>0</c:v>
                </c:pt>
                <c:pt idx="1008">
                  <c:v>0</c:v>
                </c:pt>
                <c:pt idx="1009">
                  <c:v>0</c:v>
                </c:pt>
                <c:pt idx="1010">
                  <c:v>0</c:v>
                </c:pt>
                <c:pt idx="1011">
                  <c:v>0</c:v>
                </c:pt>
                <c:pt idx="1012">
                  <c:v>0</c:v>
                </c:pt>
                <c:pt idx="1013">
                  <c:v>0</c:v>
                </c:pt>
                <c:pt idx="1014">
                  <c:v>0</c:v>
                </c:pt>
                <c:pt idx="1015">
                  <c:v>0</c:v>
                </c:pt>
                <c:pt idx="1016">
                  <c:v>0</c:v>
                </c:pt>
                <c:pt idx="1017">
                  <c:v>0</c:v>
                </c:pt>
                <c:pt idx="1018">
                  <c:v>0</c:v>
                </c:pt>
                <c:pt idx="1019">
                  <c:v>0</c:v>
                </c:pt>
                <c:pt idx="1020">
                  <c:v>0</c:v>
                </c:pt>
                <c:pt idx="1021">
                  <c:v>0</c:v>
                </c:pt>
                <c:pt idx="1022">
                  <c:v>0</c:v>
                </c:pt>
                <c:pt idx="1023">
                  <c:v>0</c:v>
                </c:pt>
                <c:pt idx="1024">
                  <c:v>0</c:v>
                </c:pt>
                <c:pt idx="1025">
                  <c:v>0</c:v>
                </c:pt>
                <c:pt idx="1026">
                  <c:v>0</c:v>
                </c:pt>
                <c:pt idx="1027">
                  <c:v>0</c:v>
                </c:pt>
                <c:pt idx="1028">
                  <c:v>0</c:v>
                </c:pt>
                <c:pt idx="1029">
                  <c:v>0</c:v>
                </c:pt>
                <c:pt idx="1030">
                  <c:v>0</c:v>
                </c:pt>
                <c:pt idx="1031">
                  <c:v>0</c:v>
                </c:pt>
                <c:pt idx="1032">
                  <c:v>0</c:v>
                </c:pt>
                <c:pt idx="1033">
                  <c:v>0</c:v>
                </c:pt>
                <c:pt idx="1034">
                  <c:v>0</c:v>
                </c:pt>
                <c:pt idx="1035">
                  <c:v>0</c:v>
                </c:pt>
                <c:pt idx="1036">
                  <c:v>0</c:v>
                </c:pt>
                <c:pt idx="1037">
                  <c:v>0</c:v>
                </c:pt>
                <c:pt idx="1038">
                  <c:v>0</c:v>
                </c:pt>
                <c:pt idx="1039">
                  <c:v>0</c:v>
                </c:pt>
                <c:pt idx="1040">
                  <c:v>0</c:v>
                </c:pt>
                <c:pt idx="1041">
                  <c:v>0</c:v>
                </c:pt>
                <c:pt idx="1042">
                  <c:v>0</c:v>
                </c:pt>
                <c:pt idx="1043">
                  <c:v>0</c:v>
                </c:pt>
                <c:pt idx="1044">
                  <c:v>0</c:v>
                </c:pt>
                <c:pt idx="1045">
                  <c:v>0</c:v>
                </c:pt>
                <c:pt idx="1046">
                  <c:v>0</c:v>
                </c:pt>
                <c:pt idx="1047">
                  <c:v>0</c:v>
                </c:pt>
                <c:pt idx="1048">
                  <c:v>0</c:v>
                </c:pt>
                <c:pt idx="1049">
                  <c:v>0</c:v>
                </c:pt>
                <c:pt idx="1050">
                  <c:v>0</c:v>
                </c:pt>
                <c:pt idx="1051">
                  <c:v>0</c:v>
                </c:pt>
                <c:pt idx="1052">
                  <c:v>0</c:v>
                </c:pt>
                <c:pt idx="1053">
                  <c:v>0</c:v>
                </c:pt>
                <c:pt idx="1054">
                  <c:v>0</c:v>
                </c:pt>
                <c:pt idx="1055">
                  <c:v>0</c:v>
                </c:pt>
                <c:pt idx="1056">
                  <c:v>0</c:v>
                </c:pt>
                <c:pt idx="1057">
                  <c:v>0</c:v>
                </c:pt>
                <c:pt idx="1058">
                  <c:v>0</c:v>
                </c:pt>
                <c:pt idx="1059">
                  <c:v>0</c:v>
                </c:pt>
                <c:pt idx="1060">
                  <c:v>0</c:v>
                </c:pt>
                <c:pt idx="1061">
                  <c:v>0</c:v>
                </c:pt>
                <c:pt idx="1062">
                  <c:v>0</c:v>
                </c:pt>
                <c:pt idx="1063">
                  <c:v>0</c:v>
                </c:pt>
                <c:pt idx="1064">
                  <c:v>0</c:v>
                </c:pt>
                <c:pt idx="1065">
                  <c:v>0</c:v>
                </c:pt>
                <c:pt idx="1066">
                  <c:v>0</c:v>
                </c:pt>
                <c:pt idx="1067">
                  <c:v>0</c:v>
                </c:pt>
                <c:pt idx="1068">
                  <c:v>0</c:v>
                </c:pt>
                <c:pt idx="1069">
                  <c:v>0</c:v>
                </c:pt>
                <c:pt idx="1070">
                  <c:v>0</c:v>
                </c:pt>
                <c:pt idx="1071">
                  <c:v>0</c:v>
                </c:pt>
                <c:pt idx="1072">
                  <c:v>0</c:v>
                </c:pt>
                <c:pt idx="1073">
                  <c:v>0</c:v>
                </c:pt>
                <c:pt idx="1074">
                  <c:v>0</c:v>
                </c:pt>
                <c:pt idx="1075">
                  <c:v>0</c:v>
                </c:pt>
                <c:pt idx="1076">
                  <c:v>0</c:v>
                </c:pt>
                <c:pt idx="1077">
                  <c:v>0</c:v>
                </c:pt>
                <c:pt idx="1078">
                  <c:v>0</c:v>
                </c:pt>
                <c:pt idx="1079">
                  <c:v>0</c:v>
                </c:pt>
                <c:pt idx="1080">
                  <c:v>0</c:v>
                </c:pt>
                <c:pt idx="1081">
                  <c:v>0</c:v>
                </c:pt>
                <c:pt idx="1082">
                  <c:v>0</c:v>
                </c:pt>
                <c:pt idx="1083">
                  <c:v>0</c:v>
                </c:pt>
                <c:pt idx="1084">
                  <c:v>0</c:v>
                </c:pt>
                <c:pt idx="1085">
                  <c:v>0</c:v>
                </c:pt>
                <c:pt idx="1086">
                  <c:v>0</c:v>
                </c:pt>
                <c:pt idx="1087">
                  <c:v>0</c:v>
                </c:pt>
                <c:pt idx="1088">
                  <c:v>0</c:v>
                </c:pt>
                <c:pt idx="1089">
                  <c:v>0</c:v>
                </c:pt>
                <c:pt idx="1090">
                  <c:v>0</c:v>
                </c:pt>
                <c:pt idx="1091">
                  <c:v>0</c:v>
                </c:pt>
                <c:pt idx="1092">
                  <c:v>0</c:v>
                </c:pt>
                <c:pt idx="1093">
                  <c:v>0</c:v>
                </c:pt>
                <c:pt idx="1094">
                  <c:v>0</c:v>
                </c:pt>
                <c:pt idx="1095">
                  <c:v>0</c:v>
                </c:pt>
                <c:pt idx="1096">
                  <c:v>0</c:v>
                </c:pt>
                <c:pt idx="1097">
                  <c:v>0</c:v>
                </c:pt>
                <c:pt idx="1098">
                  <c:v>0</c:v>
                </c:pt>
                <c:pt idx="1099">
                  <c:v>0</c:v>
                </c:pt>
                <c:pt idx="1100">
                  <c:v>0</c:v>
                </c:pt>
                <c:pt idx="1101">
                  <c:v>0</c:v>
                </c:pt>
                <c:pt idx="1102">
                  <c:v>0</c:v>
                </c:pt>
                <c:pt idx="1103">
                  <c:v>0</c:v>
                </c:pt>
                <c:pt idx="1104">
                  <c:v>0</c:v>
                </c:pt>
                <c:pt idx="1105">
                  <c:v>0</c:v>
                </c:pt>
                <c:pt idx="1106">
                  <c:v>0</c:v>
                </c:pt>
                <c:pt idx="1107">
                  <c:v>0</c:v>
                </c:pt>
                <c:pt idx="1108">
                  <c:v>0</c:v>
                </c:pt>
                <c:pt idx="1109">
                  <c:v>0</c:v>
                </c:pt>
                <c:pt idx="1110">
                  <c:v>0</c:v>
                </c:pt>
                <c:pt idx="1111">
                  <c:v>0</c:v>
                </c:pt>
                <c:pt idx="1112">
                  <c:v>0</c:v>
                </c:pt>
                <c:pt idx="1113">
                  <c:v>0</c:v>
                </c:pt>
                <c:pt idx="1114">
                  <c:v>0</c:v>
                </c:pt>
                <c:pt idx="1115">
                  <c:v>0</c:v>
                </c:pt>
                <c:pt idx="1116">
                  <c:v>0</c:v>
                </c:pt>
                <c:pt idx="1117">
                  <c:v>0</c:v>
                </c:pt>
                <c:pt idx="1118">
                  <c:v>0</c:v>
                </c:pt>
                <c:pt idx="1119">
                  <c:v>0</c:v>
                </c:pt>
                <c:pt idx="1120">
                  <c:v>0</c:v>
                </c:pt>
                <c:pt idx="1121">
                  <c:v>0</c:v>
                </c:pt>
                <c:pt idx="1122">
                  <c:v>0</c:v>
                </c:pt>
                <c:pt idx="1123">
                  <c:v>0</c:v>
                </c:pt>
                <c:pt idx="1124">
                  <c:v>0</c:v>
                </c:pt>
                <c:pt idx="1125">
                  <c:v>0</c:v>
                </c:pt>
                <c:pt idx="1126">
                  <c:v>0</c:v>
                </c:pt>
                <c:pt idx="1127">
                  <c:v>0</c:v>
                </c:pt>
                <c:pt idx="1128">
                  <c:v>0</c:v>
                </c:pt>
                <c:pt idx="1129">
                  <c:v>0</c:v>
                </c:pt>
                <c:pt idx="1130">
                  <c:v>0</c:v>
                </c:pt>
                <c:pt idx="1131">
                  <c:v>0</c:v>
                </c:pt>
                <c:pt idx="1132">
                  <c:v>0</c:v>
                </c:pt>
                <c:pt idx="1133">
                  <c:v>0</c:v>
                </c:pt>
                <c:pt idx="1134">
                  <c:v>0</c:v>
                </c:pt>
                <c:pt idx="1135">
                  <c:v>0</c:v>
                </c:pt>
                <c:pt idx="1136">
                  <c:v>0</c:v>
                </c:pt>
                <c:pt idx="1137">
                  <c:v>0</c:v>
                </c:pt>
                <c:pt idx="1138">
                  <c:v>0</c:v>
                </c:pt>
                <c:pt idx="1139">
                  <c:v>0</c:v>
                </c:pt>
                <c:pt idx="1140">
                  <c:v>0</c:v>
                </c:pt>
                <c:pt idx="1141">
                  <c:v>0</c:v>
                </c:pt>
                <c:pt idx="1142">
                  <c:v>0</c:v>
                </c:pt>
                <c:pt idx="1143">
                  <c:v>0</c:v>
                </c:pt>
                <c:pt idx="1144">
                  <c:v>0</c:v>
                </c:pt>
                <c:pt idx="1145">
                  <c:v>0</c:v>
                </c:pt>
                <c:pt idx="1146">
                  <c:v>0</c:v>
                </c:pt>
                <c:pt idx="1147">
                  <c:v>0</c:v>
                </c:pt>
                <c:pt idx="1148">
                  <c:v>0</c:v>
                </c:pt>
                <c:pt idx="1149">
                  <c:v>0</c:v>
                </c:pt>
                <c:pt idx="115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E01D-4CCD-A4C2-019A7266AA8F}"/>
            </c:ext>
          </c:extLst>
        </c:ser>
        <c:ser>
          <c:idx val="0"/>
          <c:order val="3"/>
          <c:tx>
            <c:v>height</c:v>
          </c:tx>
          <c:spPr>
            <a:ln w="19050">
              <a:noFill/>
            </a:ln>
            <a:effectLst/>
          </c:spPr>
          <c:marker>
            <c:symbol val="diamond"/>
            <c:size val="3"/>
            <c:spPr>
              <a:solidFill>
                <a:srgbClr val="7030A0"/>
              </a:solidFill>
              <a:ln w="9525">
                <a:solidFill>
                  <a:srgbClr val="7030A0"/>
                </a:solidFill>
              </a:ln>
              <a:effectLst/>
            </c:spPr>
          </c:marker>
          <c:xVal>
            <c:numRef>
              <c:f>'Real Values'!$B$2:$B$1200</c:f>
              <c:numCache>
                <c:formatCode>General</c:formatCode>
                <c:ptCount val="1199"/>
                <c:pt idx="0">
                  <c:v>5.2599999995436519E-2</c:v>
                </c:pt>
                <c:pt idx="1">
                  <c:v>7.1112999998149462E-2</c:v>
                </c:pt>
                <c:pt idx="2">
                  <c:v>9.1904000000795349E-2</c:v>
                </c:pt>
                <c:pt idx="3">
                  <c:v>0.10767899999336805</c:v>
                </c:pt>
                <c:pt idx="4">
                  <c:v>0.13174199999775738</c:v>
                </c:pt>
                <c:pt idx="5">
                  <c:v>0.15130599999974947</c:v>
                </c:pt>
                <c:pt idx="6">
                  <c:v>0.16790099999343511</c:v>
                </c:pt>
                <c:pt idx="7">
                  <c:v>0.1887060000008205</c:v>
                </c:pt>
                <c:pt idx="8">
                  <c:v>0.21346100000664592</c:v>
                </c:pt>
                <c:pt idx="9">
                  <c:v>0.22705699999642093</c:v>
                </c:pt>
                <c:pt idx="10">
                  <c:v>0.24826999999640975</c:v>
                </c:pt>
                <c:pt idx="11">
                  <c:v>0.26694099999440368</c:v>
                </c:pt>
                <c:pt idx="12">
                  <c:v>0.29261899999983143</c:v>
                </c:pt>
                <c:pt idx="13">
                  <c:v>0.31316000000515487</c:v>
                </c:pt>
                <c:pt idx="14">
                  <c:v>0.33193600000231527</c:v>
                </c:pt>
                <c:pt idx="15">
                  <c:v>0.3471949999948265</c:v>
                </c:pt>
                <c:pt idx="16">
                  <c:v>0.36253399999986868</c:v>
                </c:pt>
                <c:pt idx="17">
                  <c:v>0.39266500000667293</c:v>
                </c:pt>
                <c:pt idx="18">
                  <c:v>0.40777599999273662</c:v>
                </c:pt>
                <c:pt idx="19">
                  <c:v>0.43277499999385327</c:v>
                </c:pt>
                <c:pt idx="20">
                  <c:v>0.45146999999997206</c:v>
                </c:pt>
                <c:pt idx="21">
                  <c:v>0.46772000000055414</c:v>
                </c:pt>
                <c:pt idx="22">
                  <c:v>0.48933199999737553</c:v>
                </c:pt>
                <c:pt idx="23">
                  <c:v>0.50939500000094995</c:v>
                </c:pt>
                <c:pt idx="24">
                  <c:v>0.52885000000242144</c:v>
                </c:pt>
                <c:pt idx="25">
                  <c:v>0.54839799999899697</c:v>
                </c:pt>
                <c:pt idx="26">
                  <c:v>0.56978499999968335</c:v>
                </c:pt>
                <c:pt idx="27">
                  <c:v>0.58849900000495836</c:v>
                </c:pt>
                <c:pt idx="28">
                  <c:v>0.61144700000295416</c:v>
                </c:pt>
                <c:pt idx="29">
                  <c:v>0.6288020000065444</c:v>
                </c:pt>
                <c:pt idx="30">
                  <c:v>0.65030599999590777</c:v>
                </c:pt>
                <c:pt idx="31">
                  <c:v>0.67232100000546779</c:v>
                </c:pt>
                <c:pt idx="32">
                  <c:v>0.68908599999849685</c:v>
                </c:pt>
                <c:pt idx="33">
                  <c:v>0.71103900000161957</c:v>
                </c:pt>
                <c:pt idx="34">
                  <c:v>0.73151300000608899</c:v>
                </c:pt>
                <c:pt idx="35">
                  <c:v>0.74727399999392219</c:v>
                </c:pt>
                <c:pt idx="36">
                  <c:v>0.76911399999517016</c:v>
                </c:pt>
                <c:pt idx="37">
                  <c:v>0.79029099999752361</c:v>
                </c:pt>
                <c:pt idx="38">
                  <c:v>0.79935000000114087</c:v>
                </c:pt>
                <c:pt idx="39">
                  <c:v>0.83206099999370053</c:v>
                </c:pt>
                <c:pt idx="40">
                  <c:v>0.85044399999605957</c:v>
                </c:pt>
                <c:pt idx="41">
                  <c:v>0.87058800000522751</c:v>
                </c:pt>
                <c:pt idx="42">
                  <c:v>0.89076300000306219</c:v>
                </c:pt>
                <c:pt idx="43">
                  <c:v>0.91084300000511575</c:v>
                </c:pt>
                <c:pt idx="44">
                  <c:v>0.93167299999913666</c:v>
                </c:pt>
                <c:pt idx="45">
                  <c:v>0.94603799999458715</c:v>
                </c:pt>
                <c:pt idx="46">
                  <c:v>0.97082400000363123</c:v>
                </c:pt>
                <c:pt idx="47">
                  <c:v>0.99126799999794457</c:v>
                </c:pt>
                <c:pt idx="48">
                  <c:v>1.0061920000007376</c:v>
                </c:pt>
                <c:pt idx="49">
                  <c:v>1.0268289999949047</c:v>
                </c:pt>
                <c:pt idx="50">
                  <c:v>1.046040000001085</c:v>
                </c:pt>
                <c:pt idx="51">
                  <c:v>1.0720909999945434</c:v>
                </c:pt>
                <c:pt idx="52">
                  <c:v>1.0898290000041015</c:v>
                </c:pt>
                <c:pt idx="53">
                  <c:v>1.10770500000217</c:v>
                </c:pt>
                <c:pt idx="54">
                  <c:v>1.1321060000045691</c:v>
                </c:pt>
                <c:pt idx="55">
                  <c:v>1.1494200000015553</c:v>
                </c:pt>
                <c:pt idx="56">
                  <c:v>1.1718129999935627</c:v>
                </c:pt>
                <c:pt idx="57">
                  <c:v>1.1912400000001071</c:v>
                </c:pt>
                <c:pt idx="58">
                  <c:v>1.2120719999948051</c:v>
                </c:pt>
                <c:pt idx="59">
                  <c:v>1.2298180000070715</c:v>
                </c:pt>
                <c:pt idx="60">
                  <c:v>1.2522989999997662</c:v>
                </c:pt>
                <c:pt idx="61">
                  <c:v>1.2725670000072569</c:v>
                </c:pt>
                <c:pt idx="62">
                  <c:v>1.2926980000047479</c:v>
                </c:pt>
                <c:pt idx="63">
                  <c:v>1.3091259999928297</c:v>
                </c:pt>
                <c:pt idx="64">
                  <c:v>1.3326839999936055</c:v>
                </c:pt>
                <c:pt idx="65">
                  <c:v>1.3498839999956544</c:v>
                </c:pt>
                <c:pt idx="66">
                  <c:v>1.370003000003635</c:v>
                </c:pt>
                <c:pt idx="67">
                  <c:v>1.388120000003255</c:v>
                </c:pt>
                <c:pt idx="68">
                  <c:v>1.4047730000020238</c:v>
                </c:pt>
                <c:pt idx="69">
                  <c:v>1.4334419999941019</c:v>
                </c:pt>
                <c:pt idx="70">
                  <c:v>1.4489659999962896</c:v>
                </c:pt>
                <c:pt idx="71">
                  <c:v>1.4688380000006873</c:v>
                </c:pt>
                <c:pt idx="72">
                  <c:v>1.4888170000049286</c:v>
                </c:pt>
                <c:pt idx="73">
                  <c:v>1.5088760000071488</c:v>
                </c:pt>
                <c:pt idx="74">
                  <c:v>1.5299470000027213</c:v>
                </c:pt>
                <c:pt idx="75">
                  <c:v>1.5525769999949262</c:v>
                </c:pt>
                <c:pt idx="76">
                  <c:v>1.569312000006903</c:v>
                </c:pt>
                <c:pt idx="77">
                  <c:v>1.5915329999988899</c:v>
                </c:pt>
                <c:pt idx="78">
                  <c:v>1.609452999997302</c:v>
                </c:pt>
                <c:pt idx="79">
                  <c:v>1.629335000005085</c:v>
                </c:pt>
                <c:pt idx="80">
                  <c:v>1.6445709999970859</c:v>
                </c:pt>
                <c:pt idx="81">
                  <c:v>1.6701780000003055</c:v>
                </c:pt>
                <c:pt idx="82">
                  <c:v>1.6902649999974528</c:v>
                </c:pt>
                <c:pt idx="83">
                  <c:v>1.7111560000048485</c:v>
                </c:pt>
                <c:pt idx="84">
                  <c:v>1.7268270000058692</c:v>
                </c:pt>
                <c:pt idx="85">
                  <c:v>1.7516009999962989</c:v>
                </c:pt>
                <c:pt idx="86">
                  <c:v>1.7652260000031674</c:v>
                </c:pt>
                <c:pt idx="87">
                  <c:v>1.7857209999929182</c:v>
                </c:pt>
                <c:pt idx="88">
                  <c:v>1.8108459999930346</c:v>
                </c:pt>
                <c:pt idx="89">
                  <c:v>1.8259269999980461</c:v>
                </c:pt>
                <c:pt idx="90">
                  <c:v>1.8516570000065258</c:v>
                </c:pt>
                <c:pt idx="91">
                  <c:v>1.8665509999991627</c:v>
                </c:pt>
                <c:pt idx="92">
                  <c:v>1.8916880000033416</c:v>
                </c:pt>
                <c:pt idx="93">
                  <c:v>1.9009709999954794</c:v>
                </c:pt>
                <c:pt idx="94">
                  <c:v>1.9325919999973848</c:v>
                </c:pt>
                <c:pt idx="95">
                  <c:v>1.9516719999955967</c:v>
                </c:pt>
                <c:pt idx="96">
                  <c:v>1.9624049999983981</c:v>
                </c:pt>
                <c:pt idx="97">
                  <c:v>1.9868080000014743</c:v>
                </c:pt>
                <c:pt idx="98">
                  <c:v>2.0070249999989755</c:v>
                </c:pt>
                <c:pt idx="99">
                  <c:v>2.0269549999939045</c:v>
                </c:pt>
                <c:pt idx="100">
                  <c:v>2.0515290000039386</c:v>
                </c:pt>
                <c:pt idx="101">
                  <c:v>2.06706000000122</c:v>
                </c:pt>
                <c:pt idx="102">
                  <c:v>2.0930939999961993</c:v>
                </c:pt>
                <c:pt idx="103">
                  <c:v>2.1083260000013979</c:v>
                </c:pt>
                <c:pt idx="104">
                  <c:v>2.1305220000067493</c:v>
                </c:pt>
                <c:pt idx="105">
                  <c:v>2.1532779999979539</c:v>
                </c:pt>
                <c:pt idx="106">
                  <c:v>2.1726889999990817</c:v>
                </c:pt>
                <c:pt idx="107">
                  <c:v>2.1923870000027819</c:v>
                </c:pt>
                <c:pt idx="108">
                  <c:v>2.2102259999956004</c:v>
                </c:pt>
                <c:pt idx="109">
                  <c:v>2.2300249999971129</c:v>
                </c:pt>
                <c:pt idx="110">
                  <c:v>2.24872800000594</c:v>
                </c:pt>
                <c:pt idx="111">
                  <c:v>2.2715969999990193</c:v>
                </c:pt>
                <c:pt idx="112">
                  <c:v>2.2880569999979343</c:v>
                </c:pt>
                <c:pt idx="113">
                  <c:v>2.3085750000027474</c:v>
                </c:pt>
                <c:pt idx="114">
                  <c:v>2.3256039999978384</c:v>
                </c:pt>
                <c:pt idx="115">
                  <c:v>2.3487920000043232</c:v>
                </c:pt>
                <c:pt idx="116">
                  <c:v>2.3692259999952512</c:v>
                </c:pt>
                <c:pt idx="117">
                  <c:v>2.3854379999975208</c:v>
                </c:pt>
                <c:pt idx="118">
                  <c:v>2.4134559999947669</c:v>
                </c:pt>
                <c:pt idx="119">
                  <c:v>2.4298479999997653</c:v>
                </c:pt>
                <c:pt idx="120">
                  <c:v>2.4493689999944763</c:v>
                </c:pt>
                <c:pt idx="121">
                  <c:v>2.4721229999995558</c:v>
                </c:pt>
                <c:pt idx="122">
                  <c:v>2.4891680000000633</c:v>
                </c:pt>
                <c:pt idx="123">
                  <c:v>2.509661000003689</c:v>
                </c:pt>
                <c:pt idx="124">
                  <c:v>2.5303010000061477</c:v>
                </c:pt>
                <c:pt idx="125">
                  <c:v>2.5504150000051595</c:v>
                </c:pt>
                <c:pt idx="126">
                  <c:v>2.5750589999952354</c:v>
                </c:pt>
                <c:pt idx="127">
                  <c:v>2.5918490000040038</c:v>
                </c:pt>
                <c:pt idx="128">
                  <c:v>2.6100290000031237</c:v>
                </c:pt>
                <c:pt idx="129">
                  <c:v>2.6315659999963827</c:v>
                </c:pt>
                <c:pt idx="130">
                  <c:v>2.6451470000029076</c:v>
                </c:pt>
                <c:pt idx="131">
                  <c:v>2.6706280000071274</c:v>
                </c:pt>
                <c:pt idx="132">
                  <c:v>2.6857840000011493</c:v>
                </c:pt>
                <c:pt idx="133">
                  <c:v>2.7118340000015451</c:v>
                </c:pt>
                <c:pt idx="134">
                  <c:v>2.7317559999937657</c:v>
                </c:pt>
                <c:pt idx="135">
                  <c:v>2.7467389999947045</c:v>
                </c:pt>
                <c:pt idx="136">
                  <c:v>2.7717359999951441</c:v>
                </c:pt>
                <c:pt idx="137">
                  <c:v>2.7823230000067269</c:v>
                </c:pt>
                <c:pt idx="138">
                  <c:v>2.8119140000053449</c:v>
                </c:pt>
                <c:pt idx="139">
                  <c:v>2.8209769999957643</c:v>
                </c:pt>
                <c:pt idx="140">
                  <c:v>2.8517180000053486</c:v>
                </c:pt>
                <c:pt idx="141">
                  <c:v>2.8717109999997774</c:v>
                </c:pt>
                <c:pt idx="142">
                  <c:v>2.8814480000000913</c:v>
                </c:pt>
                <c:pt idx="143">
                  <c:v>2.907361999998102</c:v>
                </c:pt>
                <c:pt idx="144">
                  <c:v>2.9234009999927366</c:v>
                </c:pt>
                <c:pt idx="145">
                  <c:v>2.9484079999965616</c:v>
                </c:pt>
                <c:pt idx="146">
                  <c:v>2.9674059999961173</c:v>
                </c:pt>
                <c:pt idx="147">
                  <c:v>2.9871710000006715</c:v>
                </c:pt>
                <c:pt idx="148">
                  <c:v>3.0097939999977825</c:v>
                </c:pt>
                <c:pt idx="149">
                  <c:v>3.0274820000049658</c:v>
                </c:pt>
                <c:pt idx="150">
                  <c:v>3.0492830000002868</c:v>
                </c:pt>
                <c:pt idx="151">
                  <c:v>3.0676649999950314</c:v>
                </c:pt>
                <c:pt idx="152">
                  <c:v>3.0877840000030119</c:v>
                </c:pt>
                <c:pt idx="153">
                  <c:v>3.1087350000016158</c:v>
                </c:pt>
                <c:pt idx="154">
                  <c:v>3.1290100000042003</c:v>
                </c:pt>
                <c:pt idx="155">
                  <c:v>3.1441970000014408</c:v>
                </c:pt>
                <c:pt idx="156">
                  <c:v>3.168403000003309</c:v>
                </c:pt>
                <c:pt idx="157">
                  <c:v>3.1924449999933131</c:v>
                </c:pt>
                <c:pt idx="158">
                  <c:v>3.2133500000054482</c:v>
                </c:pt>
                <c:pt idx="159">
                  <c:v>3.2285600000031991</c:v>
                </c:pt>
                <c:pt idx="160">
                  <c:v>3.2441200000030221</c:v>
                </c:pt>
                <c:pt idx="161">
                  <c:v>3.2694909999991069</c:v>
                </c:pt>
                <c:pt idx="162">
                  <c:v>3.2937539999984438</c:v>
                </c:pt>
                <c:pt idx="163">
                  <c:v>3.3104580000072019</c:v>
                </c:pt>
                <c:pt idx="164">
                  <c:v>3.3294350000069244</c:v>
                </c:pt>
                <c:pt idx="165">
                  <c:v>3.349277000001166</c:v>
                </c:pt>
                <c:pt idx="166">
                  <c:v>3.3719500000006519</c:v>
                </c:pt>
                <c:pt idx="167">
                  <c:v>3.3908150000061141</c:v>
                </c:pt>
                <c:pt idx="168">
                  <c:v>3.4054869999963557</c:v>
                </c:pt>
                <c:pt idx="169">
                  <c:v>3.4302049999969313</c:v>
                </c:pt>
                <c:pt idx="170">
                  <c:v>3.4520959999936167</c:v>
                </c:pt>
                <c:pt idx="171">
                  <c:v>3.4648049999959767</c:v>
                </c:pt>
                <c:pt idx="172">
                  <c:v>3.49079100000381</c:v>
                </c:pt>
                <c:pt idx="173">
                  <c:v>3.5001929999998538</c:v>
                </c:pt>
                <c:pt idx="174">
                  <c:v>3.530681000003824</c:v>
                </c:pt>
                <c:pt idx="175">
                  <c:v>3.5506500000046799</c:v>
                </c:pt>
                <c:pt idx="176">
                  <c:v>3.5687520000064978</c:v>
                </c:pt>
                <c:pt idx="177">
                  <c:v>3.5910089999961201</c:v>
                </c:pt>
                <c:pt idx="178">
                  <c:v>3.6056269999971846</c:v>
                </c:pt>
                <c:pt idx="179">
                  <c:v>3.6308080000017071</c:v>
                </c:pt>
                <c:pt idx="180">
                  <c:v>3.6516960000008112</c:v>
                </c:pt>
                <c:pt idx="181">
                  <c:v>3.667555000007269</c:v>
                </c:pt>
                <c:pt idx="182">
                  <c:v>3.6924319999961881</c:v>
                </c:pt>
                <c:pt idx="183">
                  <c:v>3.7116790000000037</c:v>
                </c:pt>
                <c:pt idx="184">
                  <c:v>3.7264719999948284</c:v>
                </c:pt>
                <c:pt idx="185">
                  <c:v>3.7474039999942761</c:v>
                </c:pt>
                <c:pt idx="186">
                  <c:v>3.7724869999947259</c:v>
                </c:pt>
                <c:pt idx="187">
                  <c:v>3.7934470000036526</c:v>
                </c:pt>
                <c:pt idx="188">
                  <c:v>3.8076810000056867</c:v>
                </c:pt>
                <c:pt idx="189">
                  <c:v>3.832116000005044</c:v>
                </c:pt>
                <c:pt idx="190">
                  <c:v>3.842545000006794</c:v>
                </c:pt>
                <c:pt idx="191">
                  <c:v>3.871406999998726</c:v>
                </c:pt>
                <c:pt idx="192">
                  <c:v>3.8925960000051418</c:v>
                </c:pt>
                <c:pt idx="193">
                  <c:v>3.9126749999995809</c:v>
                </c:pt>
                <c:pt idx="194">
                  <c:v>3.9245519999967655</c:v>
                </c:pt>
                <c:pt idx="195">
                  <c:v>3.9481229999946663</c:v>
                </c:pt>
                <c:pt idx="196">
                  <c:v>3.9634170000063023</c:v>
                </c:pt>
                <c:pt idx="197">
                  <c:v>3.9902120000042487</c:v>
                </c:pt>
                <c:pt idx="198">
                  <c:v>4.0082729999994626</c:v>
                </c:pt>
                <c:pt idx="199">
                  <c:v>4.0329040000069654</c:v>
                </c:pt>
                <c:pt idx="200">
                  <c:v>4.0485679999983404</c:v>
                </c:pt>
                <c:pt idx="201">
                  <c:v>4.0655729999998584</c:v>
                </c:pt>
                <c:pt idx="202">
                  <c:v>4.0885209999978542</c:v>
                </c:pt>
                <c:pt idx="203">
                  <c:v>4.1096580000012182</c:v>
                </c:pt>
                <c:pt idx="204">
                  <c:v>4.1296569999976782</c:v>
                </c:pt>
                <c:pt idx="205">
                  <c:v>4.1485169999941718</c:v>
                </c:pt>
                <c:pt idx="206">
                  <c:v>4.1641729999973904</c:v>
                </c:pt>
                <c:pt idx="207">
                  <c:v>4.1927120000036666</c:v>
                </c:pt>
                <c:pt idx="208">
                  <c:v>4.210573000003933</c:v>
                </c:pt>
                <c:pt idx="209">
                  <c:v>4.2300249999971129</c:v>
                </c:pt>
                <c:pt idx="210">
                  <c:v>4.2491770000051474</c:v>
                </c:pt>
                <c:pt idx="211">
                  <c:v>4.2693810000055237</c:v>
                </c:pt>
                <c:pt idx="212">
                  <c:v>4.2926810000062687</c:v>
                </c:pt>
                <c:pt idx="213">
                  <c:v>4.3123619999969378</c:v>
                </c:pt>
                <c:pt idx="214">
                  <c:v>4.3236270000052173</c:v>
                </c:pt>
                <c:pt idx="215">
                  <c:v>4.3512570000020787</c:v>
                </c:pt>
                <c:pt idx="216">
                  <c:v>4.370452999995905</c:v>
                </c:pt>
                <c:pt idx="217">
                  <c:v>4.3855949999997392</c:v>
                </c:pt>
                <c:pt idx="218">
                  <c:v>4.4116510000021663</c:v>
                </c:pt>
                <c:pt idx="219">
                  <c:v>4.4319560000003548</c:v>
                </c:pt>
                <c:pt idx="220">
                  <c:v>4.450609000006807</c:v>
                </c:pt>
                <c:pt idx="221">
                  <c:v>4.4711410000018077</c:v>
                </c:pt>
                <c:pt idx="222">
                  <c:v>4.4914649999991525</c:v>
                </c:pt>
                <c:pt idx="223">
                  <c:v>4.5113770000025397</c:v>
                </c:pt>
                <c:pt idx="224">
                  <c:v>4.5335110000014538</c:v>
                </c:pt>
                <c:pt idx="225">
                  <c:v>4.5518880000017816</c:v>
                </c:pt>
                <c:pt idx="226">
                  <c:v>4.5727159999951255</c:v>
                </c:pt>
                <c:pt idx="227">
                  <c:v>4.5875990000058664</c:v>
                </c:pt>
                <c:pt idx="228">
                  <c:v>4.6115790000039851</c:v>
                </c:pt>
                <c:pt idx="229">
                  <c:v>4.6289269999979297</c:v>
                </c:pt>
                <c:pt idx="230">
                  <c:v>4.6466459999937797</c:v>
                </c:pt>
                <c:pt idx="231">
                  <c:v>4.6679900000017369</c:v>
                </c:pt>
                <c:pt idx="232">
                  <c:v>4.6924699999945005</c:v>
                </c:pt>
                <c:pt idx="233">
                  <c:v>4.7072829999960959</c:v>
                </c:pt>
                <c:pt idx="234">
                  <c:v>4.7321640000009211</c:v>
                </c:pt>
                <c:pt idx="235">
                  <c:v>4.7488690000027418</c:v>
                </c:pt>
                <c:pt idx="236">
                  <c:v>4.7680560000007972</c:v>
                </c:pt>
                <c:pt idx="237">
                  <c:v>4.7922260000050301</c:v>
                </c:pt>
                <c:pt idx="238">
                  <c:v>4.8123060000070836</c:v>
                </c:pt>
                <c:pt idx="239">
                  <c:v>4.8278129999962403</c:v>
                </c:pt>
                <c:pt idx="240">
                  <c:v>4.8518710000062129</c:v>
                </c:pt>
                <c:pt idx="241">
                  <c:v>4.8685109999933047</c:v>
                </c:pt>
                <c:pt idx="242">
                  <c:v>4.8900969999958761</c:v>
                </c:pt>
                <c:pt idx="243">
                  <c:v>4.9109770000068238</c:v>
                </c:pt>
                <c:pt idx="244">
                  <c:v>4.9282450000027893</c:v>
                </c:pt>
                <c:pt idx="245">
                  <c:v>4.9505219999991823</c:v>
                </c:pt>
                <c:pt idx="246">
                  <c:v>4.9698499999940395</c:v>
                </c:pt>
                <c:pt idx="247">
                  <c:v>4.992593000002671</c:v>
                </c:pt>
                <c:pt idx="248">
                  <c:v>5.0088120000000345</c:v>
                </c:pt>
                <c:pt idx="249">
                  <c:v>5.0316100000054576</c:v>
                </c:pt>
                <c:pt idx="250">
                  <c:v>5.0499969999946188</c:v>
                </c:pt>
                <c:pt idx="251">
                  <c:v>5.0693129999999655</c:v>
                </c:pt>
                <c:pt idx="252">
                  <c:v>5.0893229999928735</c:v>
                </c:pt>
                <c:pt idx="253">
                  <c:v>5.1057020000007469</c:v>
                </c:pt>
                <c:pt idx="254">
                  <c:v>5.1303250000055414</c:v>
                </c:pt>
                <c:pt idx="255">
                  <c:v>5.1522410000034142</c:v>
                </c:pt>
                <c:pt idx="256">
                  <c:v>5.1705280000023777</c:v>
                </c:pt>
                <c:pt idx="257">
                  <c:v>5.1904260000010254</c:v>
                </c:pt>
                <c:pt idx="258">
                  <c:v>5.2120589999976801</c:v>
                </c:pt>
                <c:pt idx="259">
                  <c:v>5.23209499999939</c:v>
                </c:pt>
                <c:pt idx="260">
                  <c:v>5.2414469999930589</c:v>
                </c:pt>
                <c:pt idx="261">
                  <c:v>5.2651409999962198</c:v>
                </c:pt>
                <c:pt idx="262">
                  <c:v>5.2915400000056252</c:v>
                </c:pt>
                <c:pt idx="263">
                  <c:v>5.3114269999932731</c:v>
                </c:pt>
                <c:pt idx="264">
                  <c:v>5.3258539999951608</c:v>
                </c:pt>
                <c:pt idx="265">
                  <c:v>5.3507320000062464</c:v>
                </c:pt>
                <c:pt idx="266">
                  <c:v>5.3712130000058096</c:v>
                </c:pt>
                <c:pt idx="267">
                  <c:v>5.3883910000004107</c:v>
                </c:pt>
                <c:pt idx="268">
                  <c:v>5.411642999999458</c:v>
                </c:pt>
                <c:pt idx="269">
                  <c:v>5.4311230000021169</c:v>
                </c:pt>
                <c:pt idx="270">
                  <c:v>5.4486299999989569</c:v>
                </c:pt>
                <c:pt idx="271">
                  <c:v>5.4724680000072112</c:v>
                </c:pt>
                <c:pt idx="272">
                  <c:v>5.4919269999954849</c:v>
                </c:pt>
                <c:pt idx="273">
                  <c:v>5.511863000006997</c:v>
                </c:pt>
                <c:pt idx="274">
                  <c:v>5.5304809999943245</c:v>
                </c:pt>
                <c:pt idx="275">
                  <c:v>5.5470349999959581</c:v>
                </c:pt>
                <c:pt idx="276">
                  <c:v>5.5724880000052508</c:v>
                </c:pt>
                <c:pt idx="277">
                  <c:v>5.5827129999961471</c:v>
                </c:pt>
                <c:pt idx="278">
                  <c:v>5.6128069999977015</c:v>
                </c:pt>
                <c:pt idx="279">
                  <c:v>5.6301979999989271</c:v>
                </c:pt>
                <c:pt idx="280">
                  <c:v>5.6481090000015683</c:v>
                </c:pt>
                <c:pt idx="281">
                  <c:v>5.6710330000059912</c:v>
                </c:pt>
                <c:pt idx="282">
                  <c:v>5.688586000003852</c:v>
                </c:pt>
                <c:pt idx="283">
                  <c:v>5.7051849999988917</c:v>
                </c:pt>
                <c:pt idx="284">
                  <c:v>5.7317630000034114</c:v>
                </c:pt>
                <c:pt idx="285">
                  <c:v>5.7484459999977844</c:v>
                </c:pt>
                <c:pt idx="286">
                  <c:v>5.770009999992908</c:v>
                </c:pt>
                <c:pt idx="287">
                  <c:v>5.7910430000047199</c:v>
                </c:pt>
                <c:pt idx="288">
                  <c:v>5.811199999996461</c:v>
                </c:pt>
                <c:pt idx="289">
                  <c:v>5.8293629999971017</c:v>
                </c:pt>
                <c:pt idx="290">
                  <c:v>5.8445210000063526</c:v>
                </c:pt>
                <c:pt idx="291">
                  <c:v>5.8717230000038398</c:v>
                </c:pt>
                <c:pt idx="292">
                  <c:v>5.8918779999949038</c:v>
                </c:pt>
                <c:pt idx="293">
                  <c:v>5.9094639999966603</c:v>
                </c:pt>
                <c:pt idx="294">
                  <c:v>5.9309780000039609</c:v>
                </c:pt>
                <c:pt idx="295">
                  <c:v>5.9442010000057053</c:v>
                </c:pt>
                <c:pt idx="296">
                  <c:v>5.9691310000052908</c:v>
                </c:pt>
                <c:pt idx="297">
                  <c:v>5.9892129999934696</c:v>
                </c:pt>
                <c:pt idx="298">
                  <c:v>6.0112450000015087</c:v>
                </c:pt>
                <c:pt idx="299">
                  <c:v>6.0316659999953117</c:v>
                </c:pt>
                <c:pt idx="300">
                  <c:v>6.049723999996786</c:v>
                </c:pt>
                <c:pt idx="301">
                  <c:v>6.0702909999963595</c:v>
                </c:pt>
                <c:pt idx="302">
                  <c:v>6.0916339999967022</c:v>
                </c:pt>
                <c:pt idx="303">
                  <c:v>6.1098610000044573</c:v>
                </c:pt>
                <c:pt idx="304">
                  <c:v>6.1296969999966677</c:v>
                </c:pt>
                <c:pt idx="305">
                  <c:v>6.1473790000018198</c:v>
                </c:pt>
                <c:pt idx="306">
                  <c:v>6.1705170000059297</c:v>
                </c:pt>
                <c:pt idx="307">
                  <c:v>6.1910729999945033</c:v>
                </c:pt>
                <c:pt idx="308">
                  <c:v>6.2112950000009732</c:v>
                </c:pt>
                <c:pt idx="309">
                  <c:v>6.2324990000051912</c:v>
                </c:pt>
                <c:pt idx="310">
                  <c:v>6.2469310000014957</c:v>
                </c:pt>
                <c:pt idx="311">
                  <c:v>6.2678610000002664</c:v>
                </c:pt>
                <c:pt idx="312">
                  <c:v>6.2864479999989271</c:v>
                </c:pt>
                <c:pt idx="313">
                  <c:v>6.3126840000040829</c:v>
                </c:pt>
                <c:pt idx="314">
                  <c:v>6.3321949999954086</c:v>
                </c:pt>
                <c:pt idx="315">
                  <c:v>6.3515110000007553</c:v>
                </c:pt>
                <c:pt idx="316">
                  <c:v>6.3666939999966417</c:v>
                </c:pt>
                <c:pt idx="317">
                  <c:v>6.3825130000041099</c:v>
                </c:pt>
                <c:pt idx="318">
                  <c:v>6.4117300000070827</c:v>
                </c:pt>
                <c:pt idx="319">
                  <c:v>6.42871500000183</c:v>
                </c:pt>
                <c:pt idx="320">
                  <c:v>6.4473149999976158</c:v>
                </c:pt>
                <c:pt idx="321">
                  <c:v>6.4672019999998156</c:v>
                </c:pt>
                <c:pt idx="322">
                  <c:v>6.4927759999991395</c:v>
                </c:pt>
                <c:pt idx="323">
                  <c:v>6.5122140000021318</c:v>
                </c:pt>
                <c:pt idx="324">
                  <c:v>6.5327839999954449</c:v>
                </c:pt>
                <c:pt idx="325">
                  <c:v>6.5528210000047693</c:v>
                </c:pt>
                <c:pt idx="326">
                  <c:v>6.5691119999974035</c:v>
                </c:pt>
                <c:pt idx="327">
                  <c:v>6.5885390000039479</c:v>
                </c:pt>
                <c:pt idx="328">
                  <c:v>6.6088980000058655</c:v>
                </c:pt>
                <c:pt idx="329">
                  <c:v>6.6250469999940833</c:v>
                </c:pt>
                <c:pt idx="330">
                  <c:v>6.6494329999986803</c:v>
                </c:pt>
                <c:pt idx="331">
                  <c:v>6.6683259999990696</c:v>
                </c:pt>
                <c:pt idx="332">
                  <c:v>6.6891250000044238</c:v>
                </c:pt>
                <c:pt idx="333">
                  <c:v>6.7096219999948516</c:v>
                </c:pt>
                <c:pt idx="334">
                  <c:v>6.7310640000068815</c:v>
                </c:pt>
                <c:pt idx="335">
                  <c:v>6.750530000004801</c:v>
                </c:pt>
                <c:pt idx="336">
                  <c:v>6.7719000000070082</c:v>
                </c:pt>
                <c:pt idx="337">
                  <c:v>6.7896100000070874</c:v>
                </c:pt>
                <c:pt idx="338">
                  <c:v>6.8107880000025034</c:v>
                </c:pt>
                <c:pt idx="339">
                  <c:v>6.8291630000021541</c:v>
                </c:pt>
                <c:pt idx="340">
                  <c:v>6.8509550000017043</c:v>
                </c:pt>
                <c:pt idx="341">
                  <c:v>6.8708230000047479</c:v>
                </c:pt>
                <c:pt idx="342">
                  <c:v>6.8905999999988126</c:v>
                </c:pt>
                <c:pt idx="343">
                  <c:v>6.9100480000051903</c:v>
                </c:pt>
                <c:pt idx="344">
                  <c:v>6.9326330000039889</c:v>
                </c:pt>
                <c:pt idx="345">
                  <c:v>6.9449889999959851</c:v>
                </c:pt>
                <c:pt idx="346">
                  <c:v>6.9655269999930169</c:v>
                </c:pt>
                <c:pt idx="347">
                  <c:v>6.9883089999930235</c:v>
                </c:pt>
                <c:pt idx="348">
                  <c:v>7.0150399999984074</c:v>
                </c:pt>
                <c:pt idx="349">
                  <c:v>7.0287379999936093</c:v>
                </c:pt>
                <c:pt idx="350">
                  <c:v>7.0497789999935776</c:v>
                </c:pt>
                <c:pt idx="351">
                  <c:v>7.0709510000015143</c:v>
                </c:pt>
                <c:pt idx="352">
                  <c:v>7.0911889999988489</c:v>
                </c:pt>
                <c:pt idx="353">
                  <c:v>7.1107849999971222</c:v>
                </c:pt>
                <c:pt idx="354">
                  <c:v>7.129413000002387</c:v>
                </c:pt>
                <c:pt idx="355">
                  <c:v>7.1513030000060098</c:v>
                </c:pt>
                <c:pt idx="356">
                  <c:v>7.1711340000038035</c:v>
                </c:pt>
                <c:pt idx="357">
                  <c:v>7.1819510000059381</c:v>
                </c:pt>
                <c:pt idx="358">
                  <c:v>7.2112820000038482</c:v>
                </c:pt>
                <c:pt idx="359">
                  <c:v>7.2316540000028908</c:v>
                </c:pt>
                <c:pt idx="360">
                  <c:v>7.249498000004678</c:v>
                </c:pt>
                <c:pt idx="361">
                  <c:v>7.2723109999933513</c:v>
                </c:pt>
                <c:pt idx="362">
                  <c:v>7.2877690000022994</c:v>
                </c:pt>
                <c:pt idx="363">
                  <c:v>7.3076699999946868</c:v>
                </c:pt>
                <c:pt idx="364">
                  <c:v>7.3309580000059213</c:v>
                </c:pt>
                <c:pt idx="365">
                  <c:v>7.3470830000005662</c:v>
                </c:pt>
                <c:pt idx="366">
                  <c:v>7.3723239999962971</c:v>
                </c:pt>
                <c:pt idx="367">
                  <c:v>7.388491999998223</c:v>
                </c:pt>
                <c:pt idx="368">
                  <c:v>7.4141660000022966</c:v>
                </c:pt>
                <c:pt idx="369">
                  <c:v>7.4282570000068517</c:v>
                </c:pt>
                <c:pt idx="370">
                  <c:v>7.4526329999935115</c:v>
                </c:pt>
                <c:pt idx="371">
                  <c:v>7.4675129999959609</c:v>
                </c:pt>
                <c:pt idx="372">
                  <c:v>7.4838699999963865</c:v>
                </c:pt>
                <c:pt idx="373">
                  <c:v>7.5100749999983236</c:v>
                </c:pt>
                <c:pt idx="374">
                  <c:v>7.528613000002224</c:v>
                </c:pt>
                <c:pt idx="375">
                  <c:v>7.5522110000019893</c:v>
                </c:pt>
                <c:pt idx="376">
                  <c:v>7.5683180000050925</c:v>
                </c:pt>
                <c:pt idx="377">
                  <c:v>7.5886889999965206</c:v>
                </c:pt>
                <c:pt idx="378">
                  <c:v>7.6127379999961704</c:v>
                </c:pt>
                <c:pt idx="379">
                  <c:v>7.6298700000043027</c:v>
                </c:pt>
                <c:pt idx="380">
                  <c:v>7.6484230000060052</c:v>
                </c:pt>
                <c:pt idx="381">
                  <c:v>7.6698239999968791</c:v>
                </c:pt>
                <c:pt idx="382">
                  <c:v>7.6921860000002198</c:v>
                </c:pt>
                <c:pt idx="383">
                  <c:v>7.7091660000005504</c:v>
                </c:pt>
                <c:pt idx="384">
                  <c:v>7.7291450000047917</c:v>
                </c:pt>
                <c:pt idx="385">
                  <c:v>7.7497719999955734</c:v>
                </c:pt>
                <c:pt idx="386">
                  <c:v>7.7715639999951236</c:v>
                </c:pt>
                <c:pt idx="387">
                  <c:v>7.7911140000069281</c:v>
                </c:pt>
                <c:pt idx="388">
                  <c:v>7.8119900000019697</c:v>
                </c:pt>
                <c:pt idx="389">
                  <c:v>7.8302689999982249</c:v>
                </c:pt>
                <c:pt idx="390">
                  <c:v>7.8519539999979315</c:v>
                </c:pt>
                <c:pt idx="391">
                  <c:v>7.8683909999963362</c:v>
                </c:pt>
                <c:pt idx="392">
                  <c:v>7.8853410000010626</c:v>
                </c:pt>
                <c:pt idx="393">
                  <c:v>7.912956000000122</c:v>
                </c:pt>
                <c:pt idx="394">
                  <c:v>7.9313450000045123</c:v>
                </c:pt>
                <c:pt idx="395">
                  <c:v>7.9516210000001593</c:v>
                </c:pt>
                <c:pt idx="396">
                  <c:v>7.9659260000044014</c:v>
                </c:pt>
                <c:pt idx="397">
                  <c:v>7.9909760000009555</c:v>
                </c:pt>
                <c:pt idx="398">
                  <c:v>8.01231099999859</c:v>
                </c:pt>
                <c:pt idx="399">
                  <c:v>8.0322259999957168</c:v>
                </c:pt>
                <c:pt idx="400">
                  <c:v>8.0511189999961061</c:v>
                </c:pt>
                <c:pt idx="401">
                  <c:v>8.0714940000034403</c:v>
                </c:pt>
                <c:pt idx="402">
                  <c:v>8.0898069999966538</c:v>
                </c:pt>
                <c:pt idx="403">
                  <c:v>8.1068789999990258</c:v>
                </c:pt>
                <c:pt idx="404">
                  <c:v>8.1312029999971855</c:v>
                </c:pt>
                <c:pt idx="405">
                  <c:v>8.151650999992853</c:v>
                </c:pt>
                <c:pt idx="406">
                  <c:v>8.1723490000003949</c:v>
                </c:pt>
                <c:pt idx="407">
                  <c:v>8.1932720000040717</c:v>
                </c:pt>
                <c:pt idx="408">
                  <c:v>8.209526000006008</c:v>
                </c:pt>
                <c:pt idx="409">
                  <c:v>8.2299679999996442</c:v>
                </c:pt>
                <c:pt idx="410">
                  <c:v>8.2472580000030575</c:v>
                </c:pt>
                <c:pt idx="411">
                  <c:v>8.2727100000047358</c:v>
                </c:pt>
                <c:pt idx="412">
                  <c:v>8.2902400000020862</c:v>
                </c:pt>
                <c:pt idx="413">
                  <c:v>8.3125600000057602</c:v>
                </c:pt>
                <c:pt idx="414">
                  <c:v>8.32836299999326</c:v>
                </c:pt>
                <c:pt idx="415">
                  <c:v>8.3478409999952419</c:v>
                </c:pt>
                <c:pt idx="416">
                  <c:v>8.3705970000009984</c:v>
                </c:pt>
                <c:pt idx="417">
                  <c:v>8.3892280000000028</c:v>
                </c:pt>
                <c:pt idx="418">
                  <c:v>8.4092459999956191</c:v>
                </c:pt>
                <c:pt idx="419">
                  <c:v>8.4297820000065258</c:v>
                </c:pt>
                <c:pt idx="420">
                  <c:v>8.4489529999991646</c:v>
                </c:pt>
                <c:pt idx="421">
                  <c:v>8.4718020000000251</c:v>
                </c:pt>
                <c:pt idx="422">
                  <c:v>8.4891919999936363</c:v>
                </c:pt>
                <c:pt idx="423">
                  <c:v>8.5079549999936717</c:v>
                </c:pt>
                <c:pt idx="424">
                  <c:v>8.5307969999994384</c:v>
                </c:pt>
                <c:pt idx="425">
                  <c:v>8.5492760000051931</c:v>
                </c:pt>
                <c:pt idx="426">
                  <c:v>8.5697260000015376</c:v>
                </c:pt>
                <c:pt idx="427">
                  <c:v>8.5921099999977741</c:v>
                </c:pt>
                <c:pt idx="428">
                  <c:v>8.6114609999931417</c:v>
                </c:pt>
                <c:pt idx="429">
                  <c:v>8.6322240000008605</c:v>
                </c:pt>
                <c:pt idx="430">
                  <c:v>8.6513730000006035</c:v>
                </c:pt>
                <c:pt idx="431">
                  <c:v>8.6656849999999395</c:v>
                </c:pt>
                <c:pt idx="432">
                  <c:v>8.6921200000069803</c:v>
                </c:pt>
                <c:pt idx="433">
                  <c:v>8.7099770000058925</c:v>
                </c:pt>
                <c:pt idx="434">
                  <c:v>8.7308309999934863</c:v>
                </c:pt>
                <c:pt idx="435">
                  <c:v>8.7502260000037495</c:v>
                </c:pt>
                <c:pt idx="436">
                  <c:v>8.7707749999972293</c:v>
                </c:pt>
                <c:pt idx="437">
                  <c:v>8.7914420000015525</c:v>
                </c:pt>
                <c:pt idx="438">
                  <c:v>8.8122889999940526</c:v>
                </c:pt>
                <c:pt idx="439">
                  <c:v>8.8308479999977862</c:v>
                </c:pt>
                <c:pt idx="440">
                  <c:v>8.8516930000041611</c:v>
                </c:pt>
                <c:pt idx="441">
                  <c:v>8.8710469999932684</c:v>
                </c:pt>
                <c:pt idx="442">
                  <c:v>8.8911879999941448</c:v>
                </c:pt>
                <c:pt idx="443">
                  <c:v>8.9112809999933233</c:v>
                </c:pt>
                <c:pt idx="444">
                  <c:v>8.9323690000019269</c:v>
                </c:pt>
                <c:pt idx="445">
                  <c:v>8.9531209999986459</c:v>
                </c:pt>
                <c:pt idx="446">
                  <c:v>8.9713460000057239</c:v>
                </c:pt>
                <c:pt idx="447">
                  <c:v>8.9924549999996088</c:v>
                </c:pt>
                <c:pt idx="448">
                  <c:v>9.0075380000052974</c:v>
                </c:pt>
                <c:pt idx="449">
                  <c:v>9.0278510000061942</c:v>
                </c:pt>
                <c:pt idx="450">
                  <c:v>9.0519409999978961</c:v>
                </c:pt>
                <c:pt idx="451">
                  <c:v>9.068316999997478</c:v>
                </c:pt>
                <c:pt idx="452">
                  <c:v>9.0950299999967683</c:v>
                </c:pt>
                <c:pt idx="453">
                  <c:v>9.1123260000022128</c:v>
                </c:pt>
                <c:pt idx="454">
                  <c:v>9.132448000003933</c:v>
                </c:pt>
                <c:pt idx="455">
                  <c:v>9.1494289999973262</c:v>
                </c:pt>
                <c:pt idx="456">
                  <c:v>9.1725169999990612</c:v>
                </c:pt>
                <c:pt idx="457">
                  <c:v>9.1901320000033593</c:v>
                </c:pt>
                <c:pt idx="458">
                  <c:v>9.2093480000039563</c:v>
                </c:pt>
                <c:pt idx="459">
                  <c:v>9.2288129999942612</c:v>
                </c:pt>
                <c:pt idx="460">
                  <c:v>9.2517269999952987</c:v>
                </c:pt>
                <c:pt idx="461">
                  <c:v>9.2573379999957979</c:v>
                </c:pt>
                <c:pt idx="462">
                  <c:v>9.2909749999962514</c:v>
                </c:pt>
                <c:pt idx="463">
                  <c:v>9.3134209999989253</c:v>
                </c:pt>
                <c:pt idx="464">
                  <c:v>9.3283890000020619</c:v>
                </c:pt>
                <c:pt idx="465">
                  <c:v>9.3499370000063209</c:v>
                </c:pt>
                <c:pt idx="466">
                  <c:v>9.368570999999065</c:v>
                </c:pt>
                <c:pt idx="467">
                  <c:v>9.3888219999935245</c:v>
                </c:pt>
                <c:pt idx="468">
                  <c:v>9.4126010000036331</c:v>
                </c:pt>
                <c:pt idx="469">
                  <c:v>9.4302449999959208</c:v>
                </c:pt>
                <c:pt idx="470">
                  <c:v>9.4511420000053477</c:v>
                </c:pt>
                <c:pt idx="471">
                  <c:v>9.4722259999980452</c:v>
                </c:pt>
                <c:pt idx="472">
                  <c:v>9.4890560000058031</c:v>
                </c:pt>
                <c:pt idx="473">
                  <c:v>9.5113600000040606</c:v>
                </c:pt>
                <c:pt idx="474">
                  <c:v>9.5310690000042086</c:v>
                </c:pt>
                <c:pt idx="475">
                  <c:v>9.5521520000038436</c:v>
                </c:pt>
                <c:pt idx="476">
                  <c:v>9.5712550000025658</c:v>
                </c:pt>
                <c:pt idx="477">
                  <c:v>9.5938239999959478</c:v>
                </c:pt>
                <c:pt idx="478">
                  <c:v>9.6115509999945061</c:v>
                </c:pt>
                <c:pt idx="479">
                  <c:v>9.6323450000054436</c:v>
                </c:pt>
                <c:pt idx="480">
                  <c:v>9.6483310000039637</c:v>
                </c:pt>
                <c:pt idx="481">
                  <c:v>9.6702510000031907</c:v>
                </c:pt>
                <c:pt idx="482">
                  <c:v>9.691634000002523</c:v>
                </c:pt>
                <c:pt idx="483">
                  <c:v>9.7088930000027176</c:v>
                </c:pt>
                <c:pt idx="484">
                  <c:v>9.7308289999928093</c:v>
                </c:pt>
                <c:pt idx="485">
                  <c:v>9.7508499999967171</c:v>
                </c:pt>
                <c:pt idx="486">
                  <c:v>9.7763399999967078</c:v>
                </c:pt>
                <c:pt idx="487">
                  <c:v>9.7917989999987185</c:v>
                </c:pt>
                <c:pt idx="488">
                  <c:v>9.811400999999023</c:v>
                </c:pt>
                <c:pt idx="489">
                  <c:v>9.8322630000038771</c:v>
                </c:pt>
                <c:pt idx="490">
                  <c:v>9.8472780000010971</c:v>
                </c:pt>
                <c:pt idx="491">
                  <c:v>9.872019000002183</c:v>
                </c:pt>
                <c:pt idx="492">
                  <c:v>9.8817750000016531</c:v>
                </c:pt>
                <c:pt idx="493">
                  <c:v>9.9077549999929033</c:v>
                </c:pt>
                <c:pt idx="494">
                  <c:v>9.9269689999928232</c:v>
                </c:pt>
                <c:pt idx="495">
                  <c:v>9.9470339999970747</c:v>
                </c:pt>
                <c:pt idx="496">
                  <c:v>9.9727089999942109</c:v>
                </c:pt>
                <c:pt idx="497">
                  <c:v>9.9884049999964191</c:v>
                </c:pt>
                <c:pt idx="498">
                  <c:v>10.013143000003765</c:v>
                </c:pt>
                <c:pt idx="499">
                  <c:v>10.027495999995153</c:v>
                </c:pt>
                <c:pt idx="500">
                  <c:v>10.05183300000499</c:v>
                </c:pt>
                <c:pt idx="501">
                  <c:v>10.06832900000154</c:v>
                </c:pt>
                <c:pt idx="502">
                  <c:v>10.089515999992727</c:v>
                </c:pt>
                <c:pt idx="503">
                  <c:v>10.109035000001313</c:v>
                </c:pt>
                <c:pt idx="504">
                  <c:v>10.131200000003446</c:v>
                </c:pt>
                <c:pt idx="505">
                  <c:v>10.148446000006516</c:v>
                </c:pt>
                <c:pt idx="506">
                  <c:v>10.171665000001667</c:v>
                </c:pt>
                <c:pt idx="507">
                  <c:v>10.192116999998689</c:v>
                </c:pt>
                <c:pt idx="508">
                  <c:v>10.209465000007185</c:v>
                </c:pt>
                <c:pt idx="509">
                  <c:v>10.229057999997167</c:v>
                </c:pt>
                <c:pt idx="510">
                  <c:v>10.250962999998592</c:v>
                </c:pt>
                <c:pt idx="511">
                  <c:v>10.269706000006408</c:v>
                </c:pt>
                <c:pt idx="512">
                  <c:v>10.289057000001776</c:v>
                </c:pt>
                <c:pt idx="513">
                  <c:v>10.306614999994054</c:v>
                </c:pt>
                <c:pt idx="514">
                  <c:v>10.331304999999702</c:v>
                </c:pt>
                <c:pt idx="515">
                  <c:v>10.351611999998568</c:v>
                </c:pt>
                <c:pt idx="516">
                  <c:v>10.3717089999991</c:v>
                </c:pt>
                <c:pt idx="517">
                  <c:v>10.391096000006655</c:v>
                </c:pt>
                <c:pt idx="518">
                  <c:v>10.41011399999843</c:v>
                </c:pt>
                <c:pt idx="519">
                  <c:v>10.429852999994182</c:v>
                </c:pt>
                <c:pt idx="520">
                  <c:v>10.445370999994338</c:v>
                </c:pt>
                <c:pt idx="521">
                  <c:v>10.470939999999246</c:v>
                </c:pt>
                <c:pt idx="522">
                  <c:v>10.490499000006821</c:v>
                </c:pt>
                <c:pt idx="523">
                  <c:v>10.510519000003114</c:v>
                </c:pt>
                <c:pt idx="524">
                  <c:v>10.522169000003487</c:v>
                </c:pt>
                <c:pt idx="525">
                  <c:v>10.552653000006103</c:v>
                </c:pt>
                <c:pt idx="526">
                  <c:v>10.571588999999221</c:v>
                </c:pt>
                <c:pt idx="527">
                  <c:v>10.591409000000567</c:v>
                </c:pt>
                <c:pt idx="528">
                  <c:v>10.608141999997315</c:v>
                </c:pt>
                <c:pt idx="529">
                  <c:v>10.629788000005647</c:v>
                </c:pt>
                <c:pt idx="530">
                  <c:v>10.650997000004281</c:v>
                </c:pt>
                <c:pt idx="531">
                  <c:v>10.666129999997793</c:v>
                </c:pt>
                <c:pt idx="532">
                  <c:v>10.691508999996586</c:v>
                </c:pt>
                <c:pt idx="533">
                  <c:v>10.711544999998296</c:v>
                </c:pt>
                <c:pt idx="534">
                  <c:v>10.731562999993912</c:v>
                </c:pt>
                <c:pt idx="535">
                  <c:v>10.752687999993213</c:v>
                </c:pt>
                <c:pt idx="536">
                  <c:v>10.768247999993037</c:v>
                </c:pt>
                <c:pt idx="537">
                  <c:v>10.792191000000457</c:v>
                </c:pt>
                <c:pt idx="538">
                  <c:v>10.812338000003365</c:v>
                </c:pt>
                <c:pt idx="539">
                  <c:v>10.827447999996366</c:v>
                </c:pt>
                <c:pt idx="540">
                  <c:v>10.847934000004898</c:v>
                </c:pt>
                <c:pt idx="541">
                  <c:v>10.869233000004897</c:v>
                </c:pt>
                <c:pt idx="542">
                  <c:v>10.892042000006768</c:v>
                </c:pt>
                <c:pt idx="543">
                  <c:v>10.907489000004716</c:v>
                </c:pt>
                <c:pt idx="544">
                  <c:v>10.928495000000112</c:v>
                </c:pt>
                <c:pt idx="545">
                  <c:v>10.949464000004809</c:v>
                </c:pt>
                <c:pt idx="546">
                  <c:v>10.970774999994319</c:v>
                </c:pt>
                <c:pt idx="547">
                  <c:v>10.988490000003367</c:v>
                </c:pt>
                <c:pt idx="548">
                  <c:v>11.00688899999659</c:v>
                </c:pt>
                <c:pt idx="549">
                  <c:v>11.030119999995804</c:v>
                </c:pt>
                <c:pt idx="550">
                  <c:v>11.045318999997107</c:v>
                </c:pt>
                <c:pt idx="551">
                  <c:v>11.070449999999255</c:v>
                </c:pt>
                <c:pt idx="552">
                  <c:v>11.089344000007259</c:v>
                </c:pt>
                <c:pt idx="553">
                  <c:v>11.109353000007104</c:v>
                </c:pt>
                <c:pt idx="554">
                  <c:v>11.128750999996555</c:v>
                </c:pt>
                <c:pt idx="555">
                  <c:v>11.151285999992979</c:v>
                </c:pt>
                <c:pt idx="556">
                  <c:v>11.171239999996033</c:v>
                </c:pt>
                <c:pt idx="557">
                  <c:v>11.192869000005885</c:v>
                </c:pt>
                <c:pt idx="558">
                  <c:v>11.210768999997526</c:v>
                </c:pt>
                <c:pt idx="559">
                  <c:v>11.231358000004548</c:v>
                </c:pt>
                <c:pt idx="560">
                  <c:v>11.249712999997428</c:v>
                </c:pt>
                <c:pt idx="561">
                  <c:v>11.271143999998458</c:v>
                </c:pt>
                <c:pt idx="562">
                  <c:v>11.291545999993104</c:v>
                </c:pt>
                <c:pt idx="563">
                  <c:v>11.310442000001785</c:v>
                </c:pt>
                <c:pt idx="564">
                  <c:v>11.3300040000031</c:v>
                </c:pt>
                <c:pt idx="565">
                  <c:v>11.350435000000289</c:v>
                </c:pt>
                <c:pt idx="566">
                  <c:v>11.372071999998298</c:v>
                </c:pt>
                <c:pt idx="567">
                  <c:v>11.39077699999325</c:v>
                </c:pt>
                <c:pt idx="568">
                  <c:v>11.410518999997294</c:v>
                </c:pt>
                <c:pt idx="569">
                  <c:v>11.43243000000075</c:v>
                </c:pt>
                <c:pt idx="570">
                  <c:v>11.451625000001513</c:v>
                </c:pt>
                <c:pt idx="571">
                  <c:v>11.471195999998599</c:v>
                </c:pt>
                <c:pt idx="572">
                  <c:v>11.486029000006965</c:v>
                </c:pt>
                <c:pt idx="573">
                  <c:v>11.510118999998667</c:v>
                </c:pt>
                <c:pt idx="574">
                  <c:v>11.528508000003058</c:v>
                </c:pt>
                <c:pt idx="575">
                  <c:v>11.551496000000043</c:v>
                </c:pt>
                <c:pt idx="576">
                  <c:v>11.571083999995608</c:v>
                </c:pt>
                <c:pt idx="577">
                  <c:v>11.587893000003533</c:v>
                </c:pt>
                <c:pt idx="578">
                  <c:v>11.611439000000246</c:v>
                </c:pt>
                <c:pt idx="579">
                  <c:v>11.632140000001527</c:v>
                </c:pt>
                <c:pt idx="580">
                  <c:v>11.647339999995893</c:v>
                </c:pt>
                <c:pt idx="581">
                  <c:v>11.672548999995342</c:v>
                </c:pt>
                <c:pt idx="582">
                  <c:v>11.687829999995301</c:v>
                </c:pt>
                <c:pt idx="583">
                  <c:v>11.70960699999705</c:v>
                </c:pt>
                <c:pt idx="584">
                  <c:v>11.7333409999992</c:v>
                </c:pt>
                <c:pt idx="585">
                  <c:v>11.748265000001993</c:v>
                </c:pt>
                <c:pt idx="586">
                  <c:v>11.772440999993705</c:v>
                </c:pt>
                <c:pt idx="587">
                  <c:v>11.793065000005299</c:v>
                </c:pt>
                <c:pt idx="588">
                  <c:v>11.808170000003884</c:v>
                </c:pt>
                <c:pt idx="589">
                  <c:v>11.828802999996697</c:v>
                </c:pt>
                <c:pt idx="590">
                  <c:v>11.84985400000005</c:v>
                </c:pt>
                <c:pt idx="591">
                  <c:v>11.868373999997857</c:v>
                </c:pt>
                <c:pt idx="592">
                  <c:v>11.888569000002462</c:v>
                </c:pt>
                <c:pt idx="593">
                  <c:v>11.910715999998502</c:v>
                </c:pt>
                <c:pt idx="594">
                  <c:v>11.929113999998663</c:v>
                </c:pt>
                <c:pt idx="595">
                  <c:v>11.950429999997141</c:v>
                </c:pt>
                <c:pt idx="596">
                  <c:v>11.969813999996404</c:v>
                </c:pt>
                <c:pt idx="597">
                  <c:v>11.988750000004075</c:v>
                </c:pt>
                <c:pt idx="598">
                  <c:v>12.009430000005523</c:v>
                </c:pt>
                <c:pt idx="599">
                  <c:v>12.0291819999984</c:v>
                </c:pt>
                <c:pt idx="600">
                  <c:v>12.047955999994883</c:v>
                </c:pt>
                <c:pt idx="601">
                  <c:v>12.069656000006944</c:v>
                </c:pt>
                <c:pt idx="602">
                  <c:v>12.09146700000565</c:v>
                </c:pt>
                <c:pt idx="603">
                  <c:v>12.106241999994381</c:v>
                </c:pt>
                <c:pt idx="604">
                  <c:v>12.129990000001271</c:v>
                </c:pt>
                <c:pt idx="605">
                  <c:v>12.152386999994633</c:v>
                </c:pt>
                <c:pt idx="606">
                  <c:v>12.175002000003587</c:v>
                </c:pt>
                <c:pt idx="607">
                  <c:v>12.18707899999572</c:v>
                </c:pt>
                <c:pt idx="608">
                  <c:v>12.211135999998078</c:v>
                </c:pt>
                <c:pt idx="609">
                  <c:v>12.230676999999559</c:v>
                </c:pt>
                <c:pt idx="610">
                  <c:v>12.251044999997248</c:v>
                </c:pt>
                <c:pt idx="611">
                  <c:v>12.270942000002833</c:v>
                </c:pt>
                <c:pt idx="612">
                  <c:v>12.29207700000552</c:v>
                </c:pt>
                <c:pt idx="613">
                  <c:v>12.30597200000193</c:v>
                </c:pt>
                <c:pt idx="614">
                  <c:v>12.330021999994642</c:v>
                </c:pt>
                <c:pt idx="615">
                  <c:v>12.33946499999729</c:v>
                </c:pt>
                <c:pt idx="616">
                  <c:v>13.351790000000619</c:v>
                </c:pt>
                <c:pt idx="617">
                  <c:v>13.371859999999288</c:v>
                </c:pt>
                <c:pt idx="618">
                  <c:v>13.388863999993191</c:v>
                </c:pt>
                <c:pt idx="619">
                  <c:v>13.407395000001998</c:v>
                </c:pt>
                <c:pt idx="620">
                  <c:v>13.42987500000163</c:v>
                </c:pt>
                <c:pt idx="621">
                  <c:v>13.450874999994994</c:v>
                </c:pt>
                <c:pt idx="622">
                  <c:v>13.467619999995804</c:v>
                </c:pt>
                <c:pt idx="623">
                  <c:v>13.488779000006616</c:v>
                </c:pt>
                <c:pt idx="624">
                  <c:v>13.507763999994495</c:v>
                </c:pt>
                <c:pt idx="625">
                  <c:v>13.528839999999036</c:v>
                </c:pt>
                <c:pt idx="626">
                  <c:v>13.549887999994098</c:v>
                </c:pt>
                <c:pt idx="627">
                  <c:v>13.568274999997811</c:v>
                </c:pt>
                <c:pt idx="628">
                  <c:v>13.584950999997091</c:v>
                </c:pt>
                <c:pt idx="629">
                  <c:v>13.608691999994335</c:v>
                </c:pt>
                <c:pt idx="630">
                  <c:v>13.631886000002851</c:v>
                </c:pt>
                <c:pt idx="631">
                  <c:v>13.651257000004989</c:v>
                </c:pt>
                <c:pt idx="632">
                  <c:v>13.670664999997825</c:v>
                </c:pt>
                <c:pt idx="633">
                  <c:v>13.690228000006755</c:v>
                </c:pt>
                <c:pt idx="634">
                  <c:v>13.707404999993742</c:v>
                </c:pt>
                <c:pt idx="635">
                  <c:v>13.729785000003176</c:v>
                </c:pt>
                <c:pt idx="636">
                  <c:v>13.750499000001582</c:v>
                </c:pt>
                <c:pt idx="637">
                  <c:v>13.769012000004295</c:v>
                </c:pt>
                <c:pt idx="638">
                  <c:v>13.793971000006422</c:v>
                </c:pt>
                <c:pt idx="639">
                  <c:v>13.809563999995589</c:v>
                </c:pt>
                <c:pt idx="640">
                  <c:v>13.831714999992982</c:v>
                </c:pt>
                <c:pt idx="641">
                  <c:v>13.85037800000282</c:v>
                </c:pt>
                <c:pt idx="642">
                  <c:v>13.87075200000254</c:v>
                </c:pt>
                <c:pt idx="643">
                  <c:v>13.889808000007179</c:v>
                </c:pt>
                <c:pt idx="644">
                  <c:v>13.909813999998732</c:v>
                </c:pt>
                <c:pt idx="645">
                  <c:v>13.932627000001958</c:v>
                </c:pt>
                <c:pt idx="646">
                  <c:v>13.950106999996933</c:v>
                </c:pt>
                <c:pt idx="647">
                  <c:v>13.970318000006955</c:v>
                </c:pt>
                <c:pt idx="648">
                  <c:v>13.992660000003525</c:v>
                </c:pt>
                <c:pt idx="649">
                  <c:v>14.01459399999294</c:v>
                </c:pt>
                <c:pt idx="650">
                  <c:v>14.025643000000855</c:v>
                </c:pt>
                <c:pt idx="651">
                  <c:v>14.051489999998012</c:v>
                </c:pt>
                <c:pt idx="652">
                  <c:v>14.072893999997177</c:v>
                </c:pt>
                <c:pt idx="653">
                  <c:v>14.091761999996379</c:v>
                </c:pt>
                <c:pt idx="654">
                  <c:v>14.111357999994652</c:v>
                </c:pt>
                <c:pt idx="655">
                  <c:v>14.127901999992901</c:v>
                </c:pt>
                <c:pt idx="656">
                  <c:v>14.146198000002187</c:v>
                </c:pt>
                <c:pt idx="657">
                  <c:v>14.166505999994115</c:v>
                </c:pt>
                <c:pt idx="658">
                  <c:v>14.191732000006596</c:v>
                </c:pt>
                <c:pt idx="659">
                  <c:v>14.211983999994118</c:v>
                </c:pt>
                <c:pt idx="660">
                  <c:v>14.228550999992876</c:v>
                </c:pt>
                <c:pt idx="661">
                  <c:v>14.247289000006276</c:v>
                </c:pt>
                <c:pt idx="662">
                  <c:v>14.270503000007011</c:v>
                </c:pt>
                <c:pt idx="663">
                  <c:v>14.291073000000324</c:v>
                </c:pt>
                <c:pt idx="664">
                  <c:v>14.311709000001429</c:v>
                </c:pt>
                <c:pt idx="665">
                  <c:v>14.330411999995704</c:v>
                </c:pt>
                <c:pt idx="666">
                  <c:v>14.347850000005565</c:v>
                </c:pt>
                <c:pt idx="667">
                  <c:v>14.369730999998865</c:v>
                </c:pt>
                <c:pt idx="668">
                  <c:v>14.389811000000918</c:v>
                </c:pt>
                <c:pt idx="669">
                  <c:v>14.393049000005703</c:v>
                </c:pt>
                <c:pt idx="670">
                  <c:v>14.420702999996138</c:v>
                </c:pt>
                <c:pt idx="671">
                  <c:v>14.448367999997572</c:v>
                </c:pt>
                <c:pt idx="672">
                  <c:v>14.468385999993188</c:v>
                </c:pt>
                <c:pt idx="673">
                  <c:v>14.490327999999863</c:v>
                </c:pt>
                <c:pt idx="674">
                  <c:v>14.505971999999019</c:v>
                </c:pt>
                <c:pt idx="675">
                  <c:v>14.53057699999772</c:v>
                </c:pt>
                <c:pt idx="676">
                  <c:v>14.550180000005639</c:v>
                </c:pt>
                <c:pt idx="677">
                  <c:v>14.574242999995477</c:v>
                </c:pt>
                <c:pt idx="678">
                  <c:v>14.589649000001373</c:v>
                </c:pt>
                <c:pt idx="679">
                  <c:v>14.611302000004798</c:v>
                </c:pt>
                <c:pt idx="680">
                  <c:v>14.62928799999645</c:v>
                </c:pt>
                <c:pt idx="681">
                  <c:v>14.649248999994597</c:v>
                </c:pt>
                <c:pt idx="682">
                  <c:v>14.669626999995671</c:v>
                </c:pt>
                <c:pt idx="683">
                  <c:v>14.690189999993891</c:v>
                </c:pt>
                <c:pt idx="684">
                  <c:v>14.709805000005872</c:v>
                </c:pt>
                <c:pt idx="685">
                  <c:v>14.731016999998246</c:v>
                </c:pt>
                <c:pt idx="686">
                  <c:v>14.746809999996913</c:v>
                </c:pt>
                <c:pt idx="687">
                  <c:v>14.770151999997324</c:v>
                </c:pt>
                <c:pt idx="688">
                  <c:v>14.790643999993335</c:v>
                </c:pt>
                <c:pt idx="689">
                  <c:v>14.810568999993848</c:v>
                </c:pt>
                <c:pt idx="690">
                  <c:v>14.832399000006262</c:v>
                </c:pt>
                <c:pt idx="691">
                  <c:v>14.853262000004179</c:v>
                </c:pt>
                <c:pt idx="692">
                  <c:v>14.870527999999467</c:v>
                </c:pt>
                <c:pt idx="693">
                  <c:v>14.892261000000872</c:v>
                </c:pt>
                <c:pt idx="694">
                  <c:v>14.912981999994372</c:v>
                </c:pt>
                <c:pt idx="695">
                  <c:v>14.93114400000195</c:v>
                </c:pt>
                <c:pt idx="696">
                  <c:v>14.952296999996179</c:v>
                </c:pt>
                <c:pt idx="697">
                  <c:v>14.958132999992813</c:v>
                </c:pt>
                <c:pt idx="698">
                  <c:v>14.990680999995675</c:v>
                </c:pt>
                <c:pt idx="699">
                  <c:v>15.011146999997436</c:v>
                </c:pt>
                <c:pt idx="700">
                  <c:v>15.032527999996091</c:v>
                </c:pt>
                <c:pt idx="701">
                  <c:v>15.048139999998966</c:v>
                </c:pt>
                <c:pt idx="702">
                  <c:v>15.066653999994742</c:v>
                </c:pt>
                <c:pt idx="703">
                  <c:v>15.078278000000864</c:v>
                </c:pt>
                <c:pt idx="704">
                  <c:v>15.109525000007125</c:v>
                </c:pt>
                <c:pt idx="705">
                  <c:v>15.129438000003574</c:v>
                </c:pt>
                <c:pt idx="706">
                  <c:v>15.149376000001212</c:v>
                </c:pt>
                <c:pt idx="707">
                  <c:v>15.171973999997135</c:v>
                </c:pt>
                <c:pt idx="708">
                  <c:v>15.187661000003573</c:v>
                </c:pt>
                <c:pt idx="709">
                  <c:v>15.21059800000512</c:v>
                </c:pt>
                <c:pt idx="710">
                  <c:v>15.227759000001242</c:v>
                </c:pt>
                <c:pt idx="711">
                  <c:v>15.244133000000147</c:v>
                </c:pt>
                <c:pt idx="712">
                  <c:v>15.269520999994711</c:v>
                </c:pt>
                <c:pt idx="713">
                  <c:v>15.280324999999721</c:v>
                </c:pt>
                <c:pt idx="714">
                  <c:v>15.305550999997649</c:v>
                </c:pt>
                <c:pt idx="715">
                  <c:v>15.331890000001295</c:v>
                </c:pt>
                <c:pt idx="716">
                  <c:v>15.337560999993002</c:v>
                </c:pt>
                <c:pt idx="717">
                  <c:v>15.368329000004451</c:v>
                </c:pt>
                <c:pt idx="718">
                  <c:v>15.384090999999898</c:v>
                </c:pt>
                <c:pt idx="719">
                  <c:v>15.409184000003734</c:v>
                </c:pt>
                <c:pt idx="720">
                  <c:v>15.430563999994774</c:v>
                </c:pt>
                <c:pt idx="721">
                  <c:v>15.449940000005881</c:v>
                </c:pt>
                <c:pt idx="722">
                  <c:v>15.471531999995932</c:v>
                </c:pt>
                <c:pt idx="723">
                  <c:v>15.489065999994637</c:v>
                </c:pt>
                <c:pt idx="724">
                  <c:v>15.510055999999167</c:v>
                </c:pt>
                <c:pt idx="725">
                  <c:v>15.5320950000023</c:v>
                </c:pt>
                <c:pt idx="726">
                  <c:v>15.549629999994067</c:v>
                </c:pt>
                <c:pt idx="727">
                  <c:v>15.569447000001674</c:v>
                </c:pt>
                <c:pt idx="728">
                  <c:v>15.590635000000475</c:v>
                </c:pt>
                <c:pt idx="729">
                  <c:v>15.606226000003517</c:v>
                </c:pt>
                <c:pt idx="730">
                  <c:v>15.632863000006182</c:v>
                </c:pt>
                <c:pt idx="731">
                  <c:v>15.651767999996082</c:v>
                </c:pt>
                <c:pt idx="732">
                  <c:v>15.667258000001311</c:v>
                </c:pt>
                <c:pt idx="733">
                  <c:v>15.68613099999493</c:v>
                </c:pt>
                <c:pt idx="734">
                  <c:v>15.712199000001419</c:v>
                </c:pt>
                <c:pt idx="735">
                  <c:v>15.73123299999861</c:v>
                </c:pt>
                <c:pt idx="736">
                  <c:v>15.747940000001108</c:v>
                </c:pt>
                <c:pt idx="737">
                  <c:v>15.771502999996301</c:v>
                </c:pt>
                <c:pt idx="738">
                  <c:v>15.791205999994418</c:v>
                </c:pt>
                <c:pt idx="739">
                  <c:v>15.811014000006253</c:v>
                </c:pt>
                <c:pt idx="740">
                  <c:v>15.833064000005834</c:v>
                </c:pt>
                <c:pt idx="741">
                  <c:v>15.851758000004338</c:v>
                </c:pt>
                <c:pt idx="742">
                  <c:v>15.872119999999995</c:v>
                </c:pt>
                <c:pt idx="743">
                  <c:v>15.886606000000029</c:v>
                </c:pt>
                <c:pt idx="744">
                  <c:v>15.912100999994436</c:v>
                </c:pt>
                <c:pt idx="745">
                  <c:v>15.931593000001158</c:v>
                </c:pt>
                <c:pt idx="746">
                  <c:v>15.946718999999575</c:v>
                </c:pt>
                <c:pt idx="747">
                  <c:v>15.96976100000029</c:v>
                </c:pt>
                <c:pt idx="748">
                  <c:v>15.988339999996242</c:v>
                </c:pt>
                <c:pt idx="749">
                  <c:v>16.011887999993633</c:v>
                </c:pt>
                <c:pt idx="750">
                  <c:v>16.032540999993216</c:v>
                </c:pt>
                <c:pt idx="751">
                  <c:v>16.046833999993396</c:v>
                </c:pt>
                <c:pt idx="752">
                  <c:v>16.073931000006269</c:v>
                </c:pt>
                <c:pt idx="753">
                  <c:v>16.089105999999447</c:v>
                </c:pt>
                <c:pt idx="754">
                  <c:v>16.108244000002742</c:v>
                </c:pt>
                <c:pt idx="755">
                  <c:v>16.124121999993804</c:v>
                </c:pt>
                <c:pt idx="756">
                  <c:v>16.150970000002417</c:v>
                </c:pt>
                <c:pt idx="757">
                  <c:v>16.168692000006558</c:v>
                </c:pt>
                <c:pt idx="758">
                  <c:v>16.188219999996363</c:v>
                </c:pt>
                <c:pt idx="759">
                  <c:v>16.207978000005824</c:v>
                </c:pt>
                <c:pt idx="760">
                  <c:v>16.231165999997756</c:v>
                </c:pt>
                <c:pt idx="761">
                  <c:v>16.248852000004263</c:v>
                </c:pt>
                <c:pt idx="762">
                  <c:v>16.26906200000667</c:v>
                </c:pt>
                <c:pt idx="763">
                  <c:v>16.288060000006226</c:v>
                </c:pt>
                <c:pt idx="764">
                  <c:v>16.308783000000403</c:v>
                </c:pt>
                <c:pt idx="765">
                  <c:v>16.328875000006519</c:v>
                </c:pt>
                <c:pt idx="766">
                  <c:v>16.336725999994087</c:v>
                </c:pt>
                <c:pt idx="767">
                  <c:v>16.388292999996338</c:v>
                </c:pt>
                <c:pt idx="768">
                  <c:v>16.409929000001284</c:v>
                </c:pt>
                <c:pt idx="769">
                  <c:v>16.429648000004818</c:v>
                </c:pt>
                <c:pt idx="770">
                  <c:v>16.444742000006954</c:v>
                </c:pt>
                <c:pt idx="771">
                  <c:v>16.469893999994383</c:v>
                </c:pt>
                <c:pt idx="772">
                  <c:v>16.491639999992913</c:v>
                </c:pt>
                <c:pt idx="773">
                  <c:v>16.512713999996777</c:v>
                </c:pt>
                <c:pt idx="774">
                  <c:v>16.530939999996917</c:v>
                </c:pt>
                <c:pt idx="775">
                  <c:v>16.54520799999591</c:v>
                </c:pt>
                <c:pt idx="776">
                  <c:v>16.56902799999807</c:v>
                </c:pt>
                <c:pt idx="777">
                  <c:v>16.580289999998058</c:v>
                </c:pt>
                <c:pt idx="778">
                  <c:v>16.612483000004431</c:v>
                </c:pt>
                <c:pt idx="779">
                  <c:v>16.631515999994008</c:v>
                </c:pt>
                <c:pt idx="780">
                  <c:v>16.652646999995341</c:v>
                </c:pt>
                <c:pt idx="781">
                  <c:v>16.666282000005594</c:v>
                </c:pt>
                <c:pt idx="782">
                  <c:v>16.690967000002274</c:v>
                </c:pt>
                <c:pt idx="783">
                  <c:v>16.711506000006921</c:v>
                </c:pt>
                <c:pt idx="784">
                  <c:v>16.730964000002132</c:v>
                </c:pt>
                <c:pt idx="785">
                  <c:v>16.751571999993757</c:v>
                </c:pt>
                <c:pt idx="786">
                  <c:v>16.768802999999025</c:v>
                </c:pt>
                <c:pt idx="787">
                  <c:v>16.786829000004218</c:v>
                </c:pt>
                <c:pt idx="788">
                  <c:v>16.815285999997286</c:v>
                </c:pt>
                <c:pt idx="789">
                  <c:v>16.832154999996419</c:v>
                </c:pt>
                <c:pt idx="790">
                  <c:v>16.852400000003399</c:v>
                </c:pt>
                <c:pt idx="791">
                  <c:v>16.870198999997228</c:v>
                </c:pt>
                <c:pt idx="792">
                  <c:v>16.891808999993373</c:v>
                </c:pt>
                <c:pt idx="793">
                  <c:v>16.910401999994065</c:v>
                </c:pt>
                <c:pt idx="794">
                  <c:v>16.929067999997642</c:v>
                </c:pt>
                <c:pt idx="795">
                  <c:v>16.9520909999992</c:v>
                </c:pt>
                <c:pt idx="796">
                  <c:v>16.966167000005953</c:v>
                </c:pt>
                <c:pt idx="797">
                  <c:v>16.982866000005743</c:v>
                </c:pt>
                <c:pt idx="798">
                  <c:v>17.002632000003359</c:v>
                </c:pt>
                <c:pt idx="799">
                  <c:v>17.025712000002386</c:v>
                </c:pt>
                <c:pt idx="800">
                  <c:v>17.050281000003451</c:v>
                </c:pt>
                <c:pt idx="801">
                  <c:v>17.07241900000372</c:v>
                </c:pt>
                <c:pt idx="802">
                  <c:v>17.091975999996066</c:v>
                </c:pt>
                <c:pt idx="803">
                  <c:v>17.101974999997765</c:v>
                </c:pt>
                <c:pt idx="804">
                  <c:v>17.132593999995152</c:v>
                </c:pt>
                <c:pt idx="805">
                  <c:v>17.14909799999441</c:v>
                </c:pt>
                <c:pt idx="806">
                  <c:v>17.17214999999851</c:v>
                </c:pt>
                <c:pt idx="807">
                  <c:v>17.184187000006204</c:v>
                </c:pt>
                <c:pt idx="808">
                  <c:v>17.209308999998029</c:v>
                </c:pt>
                <c:pt idx="809">
                  <c:v>17.22954000000027</c:v>
                </c:pt>
                <c:pt idx="810">
                  <c:v>17.251128999996581</c:v>
                </c:pt>
                <c:pt idx="811">
                  <c:v>17.26578800000425</c:v>
                </c:pt>
                <c:pt idx="812">
                  <c:v>17.290540000001783</c:v>
                </c:pt>
                <c:pt idx="813">
                  <c:v>17.310494000004837</c:v>
                </c:pt>
                <c:pt idx="814">
                  <c:v>17.330820999995922</c:v>
                </c:pt>
                <c:pt idx="815">
                  <c:v>17.352037000004202</c:v>
                </c:pt>
                <c:pt idx="816">
                  <c:v>17.369202000001678</c:v>
                </c:pt>
                <c:pt idx="817">
                  <c:v>17.387325000003329</c:v>
                </c:pt>
                <c:pt idx="818">
                  <c:v>17.410115999999107</c:v>
                </c:pt>
                <c:pt idx="819">
                  <c:v>17.429189999995288</c:v>
                </c:pt>
                <c:pt idx="820">
                  <c:v>17.450786999994307</c:v>
                </c:pt>
                <c:pt idx="821">
                  <c:v>17.472670999995898</c:v>
                </c:pt>
                <c:pt idx="822">
                  <c:v>17.49282200000016</c:v>
                </c:pt>
                <c:pt idx="823">
                  <c:v>17.498500999994576</c:v>
                </c:pt>
                <c:pt idx="824">
                  <c:v>17.530920999997761</c:v>
                </c:pt>
                <c:pt idx="825">
                  <c:v>17.550405000001774</c:v>
                </c:pt>
                <c:pt idx="826">
                  <c:v>17.566690000006929</c:v>
                </c:pt>
                <c:pt idx="827">
                  <c:v>17.582725999993272</c:v>
                </c:pt>
                <c:pt idx="828">
                  <c:v>17.606815999999526</c:v>
                </c:pt>
                <c:pt idx="829">
                  <c:v>17.632996999993338</c:v>
                </c:pt>
                <c:pt idx="830">
                  <c:v>17.651532000003499</c:v>
                </c:pt>
                <c:pt idx="831">
                  <c:v>17.672609999994165</c:v>
                </c:pt>
                <c:pt idx="832">
                  <c:v>17.712639999997918</c:v>
                </c:pt>
                <c:pt idx="833">
                  <c:v>17.73266500000318</c:v>
                </c:pt>
                <c:pt idx="834">
                  <c:v>17.737426000006963</c:v>
                </c:pt>
                <c:pt idx="835">
                  <c:v>17.773205000004964</c:v>
                </c:pt>
                <c:pt idx="836">
                  <c:v>17.787469999995665</c:v>
                </c:pt>
                <c:pt idx="837">
                  <c:v>17.813957000005757</c:v>
                </c:pt>
                <c:pt idx="838">
                  <c:v>17.824382000006153</c:v>
                </c:pt>
                <c:pt idx="839">
                  <c:v>17.850562000006903</c:v>
                </c:pt>
                <c:pt idx="840">
                  <c:v>17.854382000004989</c:v>
                </c:pt>
                <c:pt idx="841">
                  <c:v>17.892170000006445</c:v>
                </c:pt>
                <c:pt idx="842">
                  <c:v>17.908479999998235</c:v>
                </c:pt>
                <c:pt idx="843">
                  <c:v>17.928702999997768</c:v>
                </c:pt>
                <c:pt idx="844">
                  <c:v>17.949370999995153</c:v>
                </c:pt>
                <c:pt idx="845">
                  <c:v>17.962098000003607</c:v>
                </c:pt>
                <c:pt idx="846">
                  <c:v>17.990875000003143</c:v>
                </c:pt>
                <c:pt idx="847">
                  <c:v>17.994823000000906</c:v>
                </c:pt>
                <c:pt idx="848">
                  <c:v>18.027514000001247</c:v>
                </c:pt>
                <c:pt idx="849">
                  <c:v>18.050101000000723</c:v>
                </c:pt>
                <c:pt idx="850">
                  <c:v>18.062420999995084</c:v>
                </c:pt>
                <c:pt idx="851">
                  <c:v>18.106587999995099</c:v>
                </c:pt>
                <c:pt idx="852">
                  <c:v>18.167728999993415</c:v>
                </c:pt>
                <c:pt idx="853">
                  <c:v>18.180475999994087</c:v>
                </c:pt>
                <c:pt idx="854">
                  <c:v>18.320932000002358</c:v>
                </c:pt>
                <c:pt idx="855">
                  <c:v>18.380057000002125</c:v>
                </c:pt>
                <c:pt idx="856">
                  <c:v>18.405499000000418</c:v>
                </c:pt>
                <c:pt idx="857">
                  <c:v>18.422554000004311</c:v>
                </c:pt>
                <c:pt idx="858">
                  <c:v>18.450954999992973</c:v>
                </c:pt>
                <c:pt idx="859">
                  <c:v>18.457024000003003</c:v>
                </c:pt>
                <c:pt idx="860">
                  <c:v>18.531701999992947</c:v>
                </c:pt>
                <c:pt idx="861">
                  <c:v>18.592285999999149</c:v>
                </c:pt>
                <c:pt idx="862">
                  <c:v>18.600279000005685</c:v>
                </c:pt>
                <c:pt idx="863">
                  <c:v>18.643800000005285</c:v>
                </c:pt>
                <c:pt idx="864">
                  <c:v>18.669360999992932</c:v>
                </c:pt>
                <c:pt idx="865">
                  <c:v>18.70567700000538</c:v>
                </c:pt>
                <c:pt idx="866">
                  <c:v>18.727463999995962</c:v>
                </c:pt>
                <c:pt idx="867">
                  <c:v>18.75185899999633</c:v>
                </c:pt>
                <c:pt idx="868">
                  <c:v>18.771382999999332</c:v>
                </c:pt>
                <c:pt idx="869">
                  <c:v>18.788291000004392</c:v>
                </c:pt>
                <c:pt idx="870">
                  <c:v>18.848809000002802</c:v>
                </c:pt>
                <c:pt idx="871">
                  <c:v>18.853226000006543</c:v>
                </c:pt>
                <c:pt idx="872">
                  <c:v>18.931729999996605</c:v>
                </c:pt>
                <c:pt idx="873">
                  <c:v>18.949353999996674</c:v>
                </c:pt>
                <c:pt idx="874">
                  <c:v>18.969987000004039</c:v>
                </c:pt>
                <c:pt idx="875">
                  <c:v>18.990466999995988</c:v>
                </c:pt>
                <c:pt idx="876">
                  <c:v>19.001478999998653</c:v>
                </c:pt>
                <c:pt idx="877">
                  <c:v>19.030511000004481</c:v>
                </c:pt>
                <c:pt idx="878">
                  <c:v>19.071265000005951</c:v>
                </c:pt>
                <c:pt idx="879">
                  <c:v>19.087696999995387</c:v>
                </c:pt>
                <c:pt idx="880">
                  <c:v>19.109417999992729</c:v>
                </c:pt>
                <c:pt idx="881">
                  <c:v>19.121025999993435</c:v>
                </c:pt>
                <c:pt idx="882">
                  <c:v>19.135913999998593</c:v>
                </c:pt>
                <c:pt idx="883">
                  <c:v>19.192383000001428</c:v>
                </c:pt>
                <c:pt idx="884">
                  <c:v>19.210042999999132</c:v>
                </c:pt>
                <c:pt idx="885">
                  <c:v>19.269948000001023</c:v>
                </c:pt>
                <c:pt idx="886">
                  <c:v>19.277885999996215</c:v>
                </c:pt>
                <c:pt idx="887">
                  <c:v>19.330692000003182</c:v>
                </c:pt>
                <c:pt idx="888">
                  <c:v>19.347475000002305</c:v>
                </c:pt>
                <c:pt idx="889">
                  <c:v>19.412165999994613</c:v>
                </c:pt>
                <c:pt idx="890">
                  <c:v>19.416817000004812</c:v>
                </c:pt>
                <c:pt idx="891">
                  <c:v>19.470014000005904</c:v>
                </c:pt>
                <c:pt idx="892">
                  <c:v>19.473469000004116</c:v>
                </c:pt>
                <c:pt idx="893">
                  <c:v>19.558466000002227</c:v>
                </c:pt>
                <c:pt idx="894">
                  <c:v>19.60882799999672</c:v>
                </c:pt>
                <c:pt idx="895">
                  <c:v>19.616255999993882</c:v>
                </c:pt>
                <c:pt idx="896">
                  <c:v>19.681517000004533</c:v>
                </c:pt>
                <c:pt idx="897">
                  <c:v>19.754574999999022</c:v>
                </c:pt>
                <c:pt idx="898">
                  <c:v>19.829968999998528</c:v>
                </c:pt>
                <c:pt idx="899">
                  <c:v>19.89028999999573</c:v>
                </c:pt>
                <c:pt idx="900">
                  <c:v>19.896116000003531</c:v>
                </c:pt>
                <c:pt idx="901">
                  <c:v>20.026220999992802</c:v>
                </c:pt>
                <c:pt idx="902">
                  <c:v>20.03784099999757</c:v>
                </c:pt>
                <c:pt idx="903">
                  <c:v>20.085686000005808</c:v>
                </c:pt>
                <c:pt idx="904">
                  <c:v>20.106010000003153</c:v>
                </c:pt>
                <c:pt idx="905">
                  <c:v>20.16501199999766</c:v>
                </c:pt>
                <c:pt idx="906">
                  <c:v>20.175933000005898</c:v>
                </c:pt>
                <c:pt idx="907">
                  <c:v>20.24430599999323</c:v>
                </c:pt>
                <c:pt idx="908">
                  <c:v>20.372518000003765</c:v>
                </c:pt>
                <c:pt idx="909">
                  <c:v>20.380502999993041</c:v>
                </c:pt>
                <c:pt idx="910">
                  <c:v>20.444394999998622</c:v>
                </c:pt>
                <c:pt idx="911">
                  <c:v>20.50830099999439</c:v>
                </c:pt>
                <c:pt idx="912">
                  <c:v>20.521355999997468</c:v>
                </c:pt>
                <c:pt idx="913">
                  <c:v>20.557960000005551</c:v>
                </c:pt>
                <c:pt idx="914">
                  <c:v>20.587719999995898</c:v>
                </c:pt>
                <c:pt idx="915">
                  <c:v>20.609152999997605</c:v>
                </c:pt>
                <c:pt idx="916">
                  <c:v>20.619072000001324</c:v>
                </c:pt>
                <c:pt idx="917">
                  <c:v>20.67234799999278</c:v>
                </c:pt>
                <c:pt idx="918">
                  <c:v>20.689606999992975</c:v>
                </c:pt>
                <c:pt idx="919">
                  <c:v>20.710848000002443</c:v>
                </c:pt>
                <c:pt idx="920">
                  <c:v>20.713470999995479</c:v>
                </c:pt>
                <c:pt idx="921">
                  <c:v>20.770128999996814</c:v>
                </c:pt>
                <c:pt idx="922">
                  <c:v>20.781872999999905</c:v>
                </c:pt>
                <c:pt idx="923">
                  <c:v>20.851871999999275</c:v>
                </c:pt>
                <c:pt idx="924">
                  <c:v>20.910011999993003</c:v>
                </c:pt>
                <c:pt idx="925">
                  <c:v>20.917421000005561</c:v>
                </c:pt>
                <c:pt idx="926">
                  <c:v>20.990090000006603</c:v>
                </c:pt>
                <c:pt idx="927">
                  <c:v>21.059141000005184</c:v>
                </c:pt>
                <c:pt idx="928">
                  <c:v>21.123573999997461</c:v>
                </c:pt>
                <c:pt idx="929">
                  <c:v>21.189335000002757</c:v>
                </c:pt>
                <c:pt idx="930">
                  <c:v>21.193016999997781</c:v>
                </c:pt>
                <c:pt idx="931">
                  <c:v>21.267498000001069</c:v>
                </c:pt>
                <c:pt idx="932">
                  <c:v>21.39588100000401</c:v>
                </c:pt>
                <c:pt idx="933">
                  <c:v>21.476766000007046</c:v>
                </c:pt>
                <c:pt idx="934">
                  <c:v>21.671587999997428</c:v>
                </c:pt>
                <c:pt idx="935">
                  <c:v>21.80168699999922</c:v>
                </c:pt>
                <c:pt idx="936">
                  <c:v>21.819898000001558</c:v>
                </c:pt>
                <c:pt idx="937">
                  <c:v>21.929365999996662</c:v>
                </c:pt>
                <c:pt idx="938">
                  <c:v>21.950813999996171</c:v>
                </c:pt>
                <c:pt idx="939">
                  <c:v>21.969597000002977</c:v>
                </c:pt>
                <c:pt idx="940">
                  <c:v>21.988500000006752</c:v>
                </c:pt>
                <c:pt idx="941">
                  <c:v>22.009302000005846</c:v>
                </c:pt>
                <c:pt idx="942">
                  <c:v>22.03289699999732</c:v>
                </c:pt>
                <c:pt idx="943">
                  <c:v>22.050904999996419</c:v>
                </c:pt>
                <c:pt idx="944">
                  <c:v>22.10960100000375</c:v>
                </c:pt>
                <c:pt idx="945">
                  <c:v>22.129606000002241</c:v>
                </c:pt>
                <c:pt idx="946">
                  <c:v>22.153552999996464</c:v>
                </c:pt>
                <c:pt idx="947">
                  <c:v>22.216033999997308</c:v>
                </c:pt>
                <c:pt idx="948">
                  <c:v>22.269459999995888</c:v>
                </c:pt>
                <c:pt idx="949">
                  <c:v>22.339386999999988</c:v>
                </c:pt>
                <c:pt idx="950">
                  <c:v>22.35994500000379</c:v>
                </c:pt>
                <c:pt idx="951">
                  <c:v>22.697455999994418</c:v>
                </c:pt>
                <c:pt idx="952">
                  <c:v>22.752504999996745</c:v>
                </c:pt>
                <c:pt idx="953">
                  <c:v>22.776291000001947</c:v>
                </c:pt>
                <c:pt idx="954">
                  <c:v>22.894717000002856</c:v>
                </c:pt>
                <c:pt idx="955">
                  <c:v>22.936753999994835</c:v>
                </c:pt>
                <c:pt idx="956">
                  <c:v>22.964806000003591</c:v>
                </c:pt>
                <c:pt idx="957">
                  <c:v>23.011020000005374</c:v>
                </c:pt>
                <c:pt idx="958">
                  <c:v>23.041721999994479</c:v>
                </c:pt>
                <c:pt idx="959">
                  <c:v>23.059169000000111</c:v>
                </c:pt>
                <c:pt idx="960">
                  <c:v>23.078345000001718</c:v>
                </c:pt>
                <c:pt idx="961">
                  <c:v>23.101450999994995</c:v>
                </c:pt>
                <c:pt idx="962">
                  <c:v>23.149567999993451</c:v>
                </c:pt>
                <c:pt idx="963">
                  <c:v>23.170113999993191</c:v>
                </c:pt>
                <c:pt idx="964">
                  <c:v>23.187950000006822</c:v>
                </c:pt>
                <c:pt idx="965">
                  <c:v>23.217732000004617</c:v>
                </c:pt>
                <c:pt idx="966">
                  <c:v>23.238828000001376</c:v>
                </c:pt>
                <c:pt idx="967">
                  <c:v>23.273797999994713</c:v>
                </c:pt>
                <c:pt idx="968">
                  <c:v>23.282284999993863</c:v>
                </c:pt>
                <c:pt idx="969">
                  <c:v>23.304826999999932</c:v>
                </c:pt>
                <c:pt idx="970">
                  <c:v>23.322432999993907</c:v>
                </c:pt>
                <c:pt idx="971">
                  <c:v>23.340609000006225</c:v>
                </c:pt>
                <c:pt idx="972">
                  <c:v>23.358603999993647</c:v>
                </c:pt>
                <c:pt idx="973">
                  <c:v>23.387841000003391</c:v>
                </c:pt>
                <c:pt idx="974">
                  <c:v>23.408421999993152</c:v>
                </c:pt>
                <c:pt idx="975">
                  <c:v>23.436639000006835</c:v>
                </c:pt>
                <c:pt idx="976">
                  <c:v>23.466872999997577</c:v>
                </c:pt>
                <c:pt idx="977">
                  <c:v>23.485339000006206</c:v>
                </c:pt>
                <c:pt idx="978">
                  <c:v>23.504153000001679</c:v>
                </c:pt>
                <c:pt idx="979">
                  <c:v>23.521840000001248</c:v>
                </c:pt>
                <c:pt idx="980">
                  <c:v>23.545178999993368</c:v>
                </c:pt>
                <c:pt idx="981">
                  <c:v>23.571225000006962</c:v>
                </c:pt>
                <c:pt idx="982">
                  <c:v>23.592843000005814</c:v>
                </c:pt>
                <c:pt idx="983">
                  <c:v>23.609421000001021</c:v>
                </c:pt>
                <c:pt idx="984">
                  <c:v>23.626527000000351</c:v>
                </c:pt>
                <c:pt idx="985">
                  <c:v>23.645789999995031</c:v>
                </c:pt>
                <c:pt idx="986">
                  <c:v>23.655771000005188</c:v>
                </c:pt>
                <c:pt idx="987">
                  <c:v>23.690142000006745</c:v>
                </c:pt>
                <c:pt idx="988">
                  <c:v>23.70281299999624</c:v>
                </c:pt>
                <c:pt idx="989">
                  <c:v>23.730490999994799</c:v>
                </c:pt>
                <c:pt idx="990">
                  <c:v>23.752940000005765</c:v>
                </c:pt>
                <c:pt idx="991">
                  <c:v>23.771536999993259</c:v>
                </c:pt>
                <c:pt idx="992">
                  <c:v>23.787014999994426</c:v>
                </c:pt>
                <c:pt idx="993">
                  <c:v>23.808394000006956</c:v>
                </c:pt>
                <c:pt idx="994">
                  <c:v>23.829131999998935</c:v>
                </c:pt>
                <c:pt idx="995">
                  <c:v>23.851704000000609</c:v>
                </c:pt>
                <c:pt idx="996">
                  <c:v>23.872075999999652</c:v>
                </c:pt>
                <c:pt idx="997">
                  <c:v>23.891747000001487</c:v>
                </c:pt>
                <c:pt idx="998">
                  <c:v>23.913037999998778</c:v>
                </c:pt>
                <c:pt idx="999">
                  <c:v>23.928671000001486</c:v>
                </c:pt>
                <c:pt idx="1000">
                  <c:v>23.950268999993568</c:v>
                </c:pt>
                <c:pt idx="1001">
                  <c:v>23.969091999999364</c:v>
                </c:pt>
                <c:pt idx="1002">
                  <c:v>23.991341999993892</c:v>
                </c:pt>
                <c:pt idx="1003">
                  <c:v>24.004977999997209</c:v>
                </c:pt>
                <c:pt idx="1004">
                  <c:v>24.030178000000888</c:v>
                </c:pt>
                <c:pt idx="1005">
                  <c:v>24.051252999997814</c:v>
                </c:pt>
                <c:pt idx="1006">
                  <c:v>24.071083000002545</c:v>
                </c:pt>
                <c:pt idx="1007">
                  <c:v>24.08887799999502</c:v>
                </c:pt>
                <c:pt idx="1008">
                  <c:v>24.109505000000354</c:v>
                </c:pt>
                <c:pt idx="1009">
                  <c:v>24.130529000001843</c:v>
                </c:pt>
                <c:pt idx="1010">
                  <c:v>24.149757999999565</c:v>
                </c:pt>
                <c:pt idx="1011">
                  <c:v>24.169351999997161</c:v>
                </c:pt>
                <c:pt idx="1012">
                  <c:v>24.185184999994817</c:v>
                </c:pt>
                <c:pt idx="1013">
                  <c:v>24.210292000003392</c:v>
                </c:pt>
                <c:pt idx="1014">
                  <c:v>24.230257000002894</c:v>
                </c:pt>
                <c:pt idx="1015">
                  <c:v>24.251063000003342</c:v>
                </c:pt>
                <c:pt idx="1016">
                  <c:v>24.260286999997334</c:v>
                </c:pt>
                <c:pt idx="1017">
                  <c:v>24.290764000004856</c:v>
                </c:pt>
                <c:pt idx="1018">
                  <c:v>24.312315999995917</c:v>
                </c:pt>
                <c:pt idx="1019">
                  <c:v>24.332882999995491</c:v>
                </c:pt>
                <c:pt idx="1020">
                  <c:v>24.352180999994744</c:v>
                </c:pt>
                <c:pt idx="1021">
                  <c:v>24.370655000006082</c:v>
                </c:pt>
                <c:pt idx="1022">
                  <c:v>24.386303999999654</c:v>
                </c:pt>
                <c:pt idx="1023">
                  <c:v>24.411489999998594</c:v>
                </c:pt>
                <c:pt idx="1024">
                  <c:v>24.430787000004784</c:v>
                </c:pt>
                <c:pt idx="1025">
                  <c:v>24.451795999993919</c:v>
                </c:pt>
                <c:pt idx="1026">
                  <c:v>24.472370000003139</c:v>
                </c:pt>
                <c:pt idx="1027">
                  <c:v>24.493352999998024</c:v>
                </c:pt>
                <c:pt idx="1028">
                  <c:v>24.513412000000244</c:v>
                </c:pt>
                <c:pt idx="1029">
                  <c:v>24.527015999992727</c:v>
                </c:pt>
                <c:pt idx="1030">
                  <c:v>24.547990999999456</c:v>
                </c:pt>
                <c:pt idx="1031">
                  <c:v>24.568528000003425</c:v>
                </c:pt>
                <c:pt idx="1032">
                  <c:v>24.592092000006232</c:v>
                </c:pt>
                <c:pt idx="1033">
                  <c:v>24.612911000003805</c:v>
                </c:pt>
                <c:pt idx="1034">
                  <c:v>24.630116999993334</c:v>
                </c:pt>
                <c:pt idx="1035">
                  <c:v>24.647140999994008</c:v>
                </c:pt>
                <c:pt idx="1036">
                  <c:v>24.668594000002486</c:v>
                </c:pt>
                <c:pt idx="1037">
                  <c:v>24.690837999994983</c:v>
                </c:pt>
                <c:pt idx="1038">
                  <c:v>24.712589999995544</c:v>
                </c:pt>
                <c:pt idx="1039">
                  <c:v>24.729158999994979</c:v>
                </c:pt>
                <c:pt idx="1040">
                  <c:v>24.748250999997254</c:v>
                </c:pt>
                <c:pt idx="1041">
                  <c:v>24.772182999993674</c:v>
                </c:pt>
                <c:pt idx="1042">
                  <c:v>24.788973999995505</c:v>
                </c:pt>
                <c:pt idx="1043">
                  <c:v>24.810652000000118</c:v>
                </c:pt>
                <c:pt idx="1044">
                  <c:v>24.830902000001515</c:v>
                </c:pt>
                <c:pt idx="1045">
                  <c:v>24.851580000002286</c:v>
                </c:pt>
                <c:pt idx="1046">
                  <c:v>24.863641000003554</c:v>
                </c:pt>
                <c:pt idx="1047">
                  <c:v>24.889215000002878</c:v>
                </c:pt>
                <c:pt idx="1048">
                  <c:v>24.905175000007148</c:v>
                </c:pt>
                <c:pt idx="1049">
                  <c:v>24.923880999995163</c:v>
                </c:pt>
                <c:pt idx="1050">
                  <c:v>24.952577000003657</c:v>
                </c:pt>
                <c:pt idx="1051">
                  <c:v>24.970560000001569</c:v>
                </c:pt>
                <c:pt idx="1052">
                  <c:v>24.990554000003613</c:v>
                </c:pt>
                <c:pt idx="1053">
                  <c:v>25.009464999995544</c:v>
                </c:pt>
                <c:pt idx="1054">
                  <c:v>25.029137999998056</c:v>
                </c:pt>
                <c:pt idx="1055">
                  <c:v>25.049568000002182</c:v>
                </c:pt>
                <c:pt idx="1056">
                  <c:v>25.069510999994236</c:v>
                </c:pt>
                <c:pt idx="1057">
                  <c:v>25.090064000003622</c:v>
                </c:pt>
                <c:pt idx="1058">
                  <c:v>25.112080000006245</c:v>
                </c:pt>
                <c:pt idx="1059">
                  <c:v>25.130132000005688</c:v>
                </c:pt>
                <c:pt idx="1060">
                  <c:v>25.151247000001604</c:v>
                </c:pt>
                <c:pt idx="1061">
                  <c:v>25.170014000002993</c:v>
                </c:pt>
                <c:pt idx="1062">
                  <c:v>25.191411000007065</c:v>
                </c:pt>
                <c:pt idx="1063">
                  <c:v>25.195875000004889</c:v>
                </c:pt>
                <c:pt idx="1064">
                  <c:v>25.233873000004678</c:v>
                </c:pt>
                <c:pt idx="1065">
                  <c:v>25.248592000003555</c:v>
                </c:pt>
                <c:pt idx="1066">
                  <c:v>25.270485000000917</c:v>
                </c:pt>
                <c:pt idx="1067">
                  <c:v>25.291649999999208</c:v>
                </c:pt>
                <c:pt idx="1068">
                  <c:v>25.311413000003085</c:v>
                </c:pt>
                <c:pt idx="1069">
                  <c:v>25.331086000005598</c:v>
                </c:pt>
                <c:pt idx="1070">
                  <c:v>25.346539000005578</c:v>
                </c:pt>
                <c:pt idx="1071">
                  <c:v>25.366806000005454</c:v>
                </c:pt>
                <c:pt idx="1072">
                  <c:v>25.391757999997935</c:v>
                </c:pt>
                <c:pt idx="1073">
                  <c:v>25.409874999997555</c:v>
                </c:pt>
                <c:pt idx="1074">
                  <c:v>25.432696000003489</c:v>
                </c:pt>
                <c:pt idx="1075">
                  <c:v>25.448818999997457</c:v>
                </c:pt>
                <c:pt idx="1076">
                  <c:v>25.467323000004399</c:v>
                </c:pt>
                <c:pt idx="1077">
                  <c:v>25.487355999997817</c:v>
                </c:pt>
                <c:pt idx="1078">
                  <c:v>25.512679000006756</c:v>
                </c:pt>
                <c:pt idx="1079">
                  <c:v>25.532206999996561</c:v>
                </c:pt>
                <c:pt idx="1080">
                  <c:v>25.550080000000889</c:v>
                </c:pt>
                <c:pt idx="1081">
                  <c:v>25.568671999993967</c:v>
                </c:pt>
                <c:pt idx="1082">
                  <c:v>25.591994999995222</c:v>
                </c:pt>
                <c:pt idx="1083">
                  <c:v>25.604158999994979</c:v>
                </c:pt>
                <c:pt idx="1084">
                  <c:v>25.62855199999467</c:v>
                </c:pt>
                <c:pt idx="1085">
                  <c:v>25.64916099999391</c:v>
                </c:pt>
                <c:pt idx="1086">
                  <c:v>25.670091000007233</c:v>
                </c:pt>
                <c:pt idx="1087">
                  <c:v>25.688160000005155</c:v>
                </c:pt>
                <c:pt idx="1088">
                  <c:v>25.709323000002769</c:v>
                </c:pt>
                <c:pt idx="1089">
                  <c:v>25.728407000002335</c:v>
                </c:pt>
                <c:pt idx="1090">
                  <c:v>25.752332000003662</c:v>
                </c:pt>
                <c:pt idx="1091">
                  <c:v>25.768882999997004</c:v>
                </c:pt>
                <c:pt idx="1092">
                  <c:v>25.790080999999191</c:v>
                </c:pt>
                <c:pt idx="1093">
                  <c:v>25.80885099999432</c:v>
                </c:pt>
                <c:pt idx="1094">
                  <c:v>25.829733000005945</c:v>
                </c:pt>
                <c:pt idx="1095">
                  <c:v>25.844184999994468</c:v>
                </c:pt>
                <c:pt idx="1096">
                  <c:v>25.869984999997541</c:v>
                </c:pt>
                <c:pt idx="1097">
                  <c:v>25.889815000002272</c:v>
                </c:pt>
                <c:pt idx="1098">
                  <c:v>25.910757000005106</c:v>
                </c:pt>
                <c:pt idx="1099">
                  <c:v>25.929401000001235</c:v>
                </c:pt>
                <c:pt idx="1100">
                  <c:v>25.94962499999383</c:v>
                </c:pt>
                <c:pt idx="1101">
                  <c:v>25.972777999995742</c:v>
                </c:pt>
                <c:pt idx="1102">
                  <c:v>25.990013999995426</c:v>
                </c:pt>
                <c:pt idx="1103">
                  <c:v>26.010427000001073</c:v>
                </c:pt>
                <c:pt idx="1104">
                  <c:v>26.032560000006924</c:v>
                </c:pt>
                <c:pt idx="1105">
                  <c:v>26.051613999996334</c:v>
                </c:pt>
                <c:pt idx="1106">
                  <c:v>26.072595999998157</c:v>
                </c:pt>
                <c:pt idx="1107">
                  <c:v>26.092378999994253</c:v>
                </c:pt>
                <c:pt idx="1108">
                  <c:v>26.112676999997348</c:v>
                </c:pt>
                <c:pt idx="1109">
                  <c:v>26.130694999999832</c:v>
                </c:pt>
                <c:pt idx="1110">
                  <c:v>26.15151500000502</c:v>
                </c:pt>
                <c:pt idx="1111">
                  <c:v>26.160948999997345</c:v>
                </c:pt>
                <c:pt idx="1112">
                  <c:v>26.192194999995991</c:v>
                </c:pt>
                <c:pt idx="1113">
                  <c:v>26.212463999996544</c:v>
                </c:pt>
                <c:pt idx="1114">
                  <c:v>26.23177100000612</c:v>
                </c:pt>
                <c:pt idx="1115">
                  <c:v>26.252322999993339</c:v>
                </c:pt>
                <c:pt idx="1116">
                  <c:v>26.266526999999769</c:v>
                </c:pt>
                <c:pt idx="1117">
                  <c:v>26.289130999997724</c:v>
                </c:pt>
                <c:pt idx="1118">
                  <c:v>26.307276999999885</c:v>
                </c:pt>
                <c:pt idx="1119">
                  <c:v>26.328584999995655</c:v>
                </c:pt>
                <c:pt idx="1120">
                  <c:v>26.352679000003263</c:v>
                </c:pt>
                <c:pt idx="1121">
                  <c:v>26.372602999996161</c:v>
                </c:pt>
                <c:pt idx="1122">
                  <c:v>26.389469999994617</c:v>
                </c:pt>
                <c:pt idx="1123">
                  <c:v>0</c:v>
                </c:pt>
                <c:pt idx="1124">
                  <c:v>0</c:v>
                </c:pt>
                <c:pt idx="1125">
                  <c:v>0</c:v>
                </c:pt>
                <c:pt idx="1126">
                  <c:v>0</c:v>
                </c:pt>
                <c:pt idx="1127">
                  <c:v>0</c:v>
                </c:pt>
                <c:pt idx="1128">
                  <c:v>0</c:v>
                </c:pt>
                <c:pt idx="1129">
                  <c:v>0</c:v>
                </c:pt>
                <c:pt idx="1130">
                  <c:v>0</c:v>
                </c:pt>
                <c:pt idx="1131">
                  <c:v>0</c:v>
                </c:pt>
                <c:pt idx="1132">
                  <c:v>0</c:v>
                </c:pt>
                <c:pt idx="1133">
                  <c:v>0</c:v>
                </c:pt>
                <c:pt idx="1134">
                  <c:v>0</c:v>
                </c:pt>
                <c:pt idx="1135">
                  <c:v>0</c:v>
                </c:pt>
                <c:pt idx="1136">
                  <c:v>0</c:v>
                </c:pt>
                <c:pt idx="1137">
                  <c:v>0</c:v>
                </c:pt>
                <c:pt idx="1138">
                  <c:v>0</c:v>
                </c:pt>
                <c:pt idx="1139">
                  <c:v>0</c:v>
                </c:pt>
                <c:pt idx="1140">
                  <c:v>0</c:v>
                </c:pt>
                <c:pt idx="1141">
                  <c:v>0</c:v>
                </c:pt>
                <c:pt idx="1142">
                  <c:v>0</c:v>
                </c:pt>
                <c:pt idx="1143">
                  <c:v>0</c:v>
                </c:pt>
                <c:pt idx="1144">
                  <c:v>0</c:v>
                </c:pt>
                <c:pt idx="1145">
                  <c:v>0</c:v>
                </c:pt>
                <c:pt idx="1146">
                  <c:v>0</c:v>
                </c:pt>
                <c:pt idx="1147">
                  <c:v>0</c:v>
                </c:pt>
                <c:pt idx="1148">
                  <c:v>0</c:v>
                </c:pt>
                <c:pt idx="1149">
                  <c:v>0</c:v>
                </c:pt>
                <c:pt idx="1150">
                  <c:v>0</c:v>
                </c:pt>
              </c:numCache>
            </c:numRef>
          </c:xVal>
          <c:yVal>
            <c:numRef>
              <c:f>'Real Values'!$N$2:$N$1200</c:f>
              <c:numCache>
                <c:formatCode>General</c:formatCode>
                <c:ptCount val="119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-0.63347299999999995</c:v>
                </c:pt>
                <c:pt idx="617">
                  <c:v>-0.63943399999999995</c:v>
                </c:pt>
                <c:pt idx="618">
                  <c:v>-0.64738200000000001</c:v>
                </c:pt>
                <c:pt idx="619">
                  <c:v>-0.659304</c:v>
                </c:pt>
                <c:pt idx="620">
                  <c:v>-0.66725199999999985</c:v>
                </c:pt>
                <c:pt idx="621">
                  <c:v>-0.67718699999999987</c:v>
                </c:pt>
                <c:pt idx="622">
                  <c:v>-0.6871219999999999</c:v>
                </c:pt>
                <c:pt idx="623">
                  <c:v>-0.69705699999999993</c:v>
                </c:pt>
                <c:pt idx="624">
                  <c:v>-0.71096599999999988</c:v>
                </c:pt>
                <c:pt idx="625">
                  <c:v>-0.7209009999999999</c:v>
                </c:pt>
                <c:pt idx="626">
                  <c:v>-0.73480999999999996</c:v>
                </c:pt>
                <c:pt idx="627">
                  <c:v>-0.74474499999999999</c:v>
                </c:pt>
                <c:pt idx="628">
                  <c:v>-0.75666699999999998</c:v>
                </c:pt>
                <c:pt idx="629">
                  <c:v>-0.77057599999999993</c:v>
                </c:pt>
                <c:pt idx="630">
                  <c:v>-0.78448499999999999</c:v>
                </c:pt>
                <c:pt idx="631">
                  <c:v>-0.79640699999999987</c:v>
                </c:pt>
                <c:pt idx="632">
                  <c:v>-0.81230299999999989</c:v>
                </c:pt>
                <c:pt idx="633">
                  <c:v>-0.82422499999999987</c:v>
                </c:pt>
                <c:pt idx="634">
                  <c:v>-0.83614699999999997</c:v>
                </c:pt>
                <c:pt idx="635">
                  <c:v>-0.85204299999999999</c:v>
                </c:pt>
                <c:pt idx="636">
                  <c:v>-0.86595199999999994</c:v>
                </c:pt>
                <c:pt idx="637">
                  <c:v>-0.87588699999999997</c:v>
                </c:pt>
                <c:pt idx="638">
                  <c:v>-0.89178299999999999</c:v>
                </c:pt>
                <c:pt idx="639">
                  <c:v>-0.89973099999999995</c:v>
                </c:pt>
                <c:pt idx="640">
                  <c:v>-0.91165299999999994</c:v>
                </c:pt>
                <c:pt idx="641">
                  <c:v>-0.91960099999999989</c:v>
                </c:pt>
                <c:pt idx="642">
                  <c:v>-0.93152299999999988</c:v>
                </c:pt>
                <c:pt idx="643">
                  <c:v>-0.94145799999999991</c:v>
                </c:pt>
                <c:pt idx="644">
                  <c:v>-0.94940599999999997</c:v>
                </c:pt>
                <c:pt idx="645">
                  <c:v>-0.95735399999999993</c:v>
                </c:pt>
                <c:pt idx="646">
                  <c:v>-0.96132799999999996</c:v>
                </c:pt>
                <c:pt idx="647">
                  <c:v>-0.97126299999999999</c:v>
                </c:pt>
                <c:pt idx="648">
                  <c:v>-0.97523699999999991</c:v>
                </c:pt>
                <c:pt idx="649">
                  <c:v>-0.98517199999999994</c:v>
                </c:pt>
                <c:pt idx="650">
                  <c:v>-0.98517199999999994</c:v>
                </c:pt>
                <c:pt idx="651">
                  <c:v>-0.99510699999999996</c:v>
                </c:pt>
                <c:pt idx="652">
                  <c:v>-0.99510699999999996</c:v>
                </c:pt>
                <c:pt idx="653">
                  <c:v>-1.0010680000000001</c:v>
                </c:pt>
                <c:pt idx="654">
                  <c:v>-1.003055</c:v>
                </c:pt>
                <c:pt idx="655">
                  <c:v>-1.005042</c:v>
                </c:pt>
                <c:pt idx="656">
                  <c:v>-1.005042</c:v>
                </c:pt>
                <c:pt idx="657">
                  <c:v>-1.0110029999999999</c:v>
                </c:pt>
                <c:pt idx="658">
                  <c:v>-1.014977</c:v>
                </c:pt>
                <c:pt idx="659">
                  <c:v>-1.0189509999999999</c:v>
                </c:pt>
                <c:pt idx="660">
                  <c:v>-1.014977</c:v>
                </c:pt>
                <c:pt idx="661">
                  <c:v>-1.0189509999999999</c:v>
                </c:pt>
                <c:pt idx="662">
                  <c:v>-1.0209379999999999</c:v>
                </c:pt>
                <c:pt idx="663">
                  <c:v>-1.024912</c:v>
                </c:pt>
                <c:pt idx="664">
                  <c:v>-1.026899</c:v>
                </c:pt>
                <c:pt idx="665">
                  <c:v>-1.0308729999999999</c:v>
                </c:pt>
                <c:pt idx="666">
                  <c:v>-1.0209379999999999</c:v>
                </c:pt>
                <c:pt idx="667">
                  <c:v>-1.0229249999999999</c:v>
                </c:pt>
                <c:pt idx="668">
                  <c:v>-1.024912</c:v>
                </c:pt>
                <c:pt idx="669">
                  <c:v>-1.026899</c:v>
                </c:pt>
                <c:pt idx="670">
                  <c:v>-1.026899</c:v>
                </c:pt>
                <c:pt idx="671">
                  <c:v>-1.0209379999999999</c:v>
                </c:pt>
                <c:pt idx="672">
                  <c:v>-1.0209379999999999</c:v>
                </c:pt>
                <c:pt idx="673">
                  <c:v>-1.0229249999999999</c:v>
                </c:pt>
                <c:pt idx="674">
                  <c:v>-1.024912</c:v>
                </c:pt>
                <c:pt idx="675">
                  <c:v>-1.026899</c:v>
                </c:pt>
                <c:pt idx="676">
                  <c:v>-1.028886</c:v>
                </c:pt>
                <c:pt idx="677">
                  <c:v>-1.028886</c:v>
                </c:pt>
                <c:pt idx="678">
                  <c:v>-1.016964</c:v>
                </c:pt>
                <c:pt idx="679">
                  <c:v>-1.0189509999999999</c:v>
                </c:pt>
                <c:pt idx="680">
                  <c:v>-1.0189509999999999</c:v>
                </c:pt>
                <c:pt idx="681">
                  <c:v>-1.0209379999999999</c:v>
                </c:pt>
                <c:pt idx="682">
                  <c:v>-1.0129899999999998</c:v>
                </c:pt>
                <c:pt idx="683">
                  <c:v>-1.0129899999999998</c:v>
                </c:pt>
                <c:pt idx="684">
                  <c:v>-1.0090159999999999</c:v>
                </c:pt>
                <c:pt idx="685">
                  <c:v>-1.0090159999999999</c:v>
                </c:pt>
                <c:pt idx="686">
                  <c:v>-1.007029</c:v>
                </c:pt>
                <c:pt idx="687">
                  <c:v>-1.007029</c:v>
                </c:pt>
                <c:pt idx="688">
                  <c:v>-1.0090159999999999</c:v>
                </c:pt>
                <c:pt idx="689">
                  <c:v>-1.0090159999999999</c:v>
                </c:pt>
                <c:pt idx="690">
                  <c:v>-1.005042</c:v>
                </c:pt>
                <c:pt idx="691">
                  <c:v>-1.005042</c:v>
                </c:pt>
                <c:pt idx="692">
                  <c:v>-1.003055</c:v>
                </c:pt>
                <c:pt idx="693">
                  <c:v>-1.005042</c:v>
                </c:pt>
                <c:pt idx="694">
                  <c:v>-1.003055</c:v>
                </c:pt>
                <c:pt idx="695">
                  <c:v>-1.003055</c:v>
                </c:pt>
                <c:pt idx="696">
                  <c:v>-1.0010680000000001</c:v>
                </c:pt>
                <c:pt idx="697">
                  <c:v>-1.0010680000000001</c:v>
                </c:pt>
                <c:pt idx="698">
                  <c:v>-1.0010680000000001</c:v>
                </c:pt>
                <c:pt idx="699">
                  <c:v>-1.003055</c:v>
                </c:pt>
                <c:pt idx="700">
                  <c:v>-1.003055</c:v>
                </c:pt>
                <c:pt idx="701">
                  <c:v>-1.003055</c:v>
                </c:pt>
                <c:pt idx="702">
                  <c:v>-1.003055</c:v>
                </c:pt>
                <c:pt idx="703">
                  <c:v>-1.003055</c:v>
                </c:pt>
                <c:pt idx="704">
                  <c:v>-1.003055</c:v>
                </c:pt>
                <c:pt idx="705">
                  <c:v>-1.003055</c:v>
                </c:pt>
                <c:pt idx="706">
                  <c:v>-0.999081</c:v>
                </c:pt>
                <c:pt idx="707">
                  <c:v>-0.999081</c:v>
                </c:pt>
                <c:pt idx="708">
                  <c:v>-0.99709399999999992</c:v>
                </c:pt>
                <c:pt idx="709">
                  <c:v>-0.99709399999999992</c:v>
                </c:pt>
                <c:pt idx="710">
                  <c:v>-0.99709399999999992</c:v>
                </c:pt>
                <c:pt idx="711">
                  <c:v>-0.99510699999999996</c:v>
                </c:pt>
                <c:pt idx="712">
                  <c:v>-0.99510699999999996</c:v>
                </c:pt>
                <c:pt idx="713">
                  <c:v>-0.99510699999999996</c:v>
                </c:pt>
                <c:pt idx="714">
                  <c:v>-0.99510699999999996</c:v>
                </c:pt>
                <c:pt idx="715">
                  <c:v>-0.99312</c:v>
                </c:pt>
                <c:pt idx="716">
                  <c:v>-0.99312</c:v>
                </c:pt>
                <c:pt idx="717">
                  <c:v>-0.99312</c:v>
                </c:pt>
                <c:pt idx="718">
                  <c:v>-0.99312</c:v>
                </c:pt>
                <c:pt idx="719">
                  <c:v>-0.99113300000000004</c:v>
                </c:pt>
                <c:pt idx="720">
                  <c:v>-0.99113300000000004</c:v>
                </c:pt>
                <c:pt idx="721">
                  <c:v>-0.98914599999999997</c:v>
                </c:pt>
                <c:pt idx="722">
                  <c:v>-0.98914599999999997</c:v>
                </c:pt>
                <c:pt idx="723">
                  <c:v>-0.98914599999999997</c:v>
                </c:pt>
                <c:pt idx="724">
                  <c:v>-0.9871589999999999</c:v>
                </c:pt>
                <c:pt idx="725">
                  <c:v>-0.98517199999999994</c:v>
                </c:pt>
                <c:pt idx="726">
                  <c:v>-0.98517199999999994</c:v>
                </c:pt>
                <c:pt idx="727">
                  <c:v>-0.98318499999999998</c:v>
                </c:pt>
                <c:pt idx="728">
                  <c:v>-0.9871589999999999</c:v>
                </c:pt>
                <c:pt idx="729">
                  <c:v>-0.9871589999999999</c:v>
                </c:pt>
                <c:pt idx="730">
                  <c:v>-0.98914599999999997</c:v>
                </c:pt>
                <c:pt idx="731">
                  <c:v>-0.9871589999999999</c:v>
                </c:pt>
                <c:pt idx="732">
                  <c:v>-0.9871589999999999</c:v>
                </c:pt>
                <c:pt idx="733">
                  <c:v>-0.9871589999999999</c:v>
                </c:pt>
                <c:pt idx="734">
                  <c:v>-0.9871589999999999</c:v>
                </c:pt>
                <c:pt idx="735">
                  <c:v>-0.98517199999999994</c:v>
                </c:pt>
                <c:pt idx="736">
                  <c:v>-0.98517199999999994</c:v>
                </c:pt>
                <c:pt idx="737">
                  <c:v>-0.98318499999999998</c:v>
                </c:pt>
                <c:pt idx="738">
                  <c:v>-0.98517199999999994</c:v>
                </c:pt>
                <c:pt idx="739">
                  <c:v>-0.98318499999999998</c:v>
                </c:pt>
                <c:pt idx="740">
                  <c:v>-0.98517199999999994</c:v>
                </c:pt>
                <c:pt idx="741">
                  <c:v>-0.98318499999999998</c:v>
                </c:pt>
                <c:pt idx="742">
                  <c:v>-0.98318499999999998</c:v>
                </c:pt>
                <c:pt idx="743">
                  <c:v>-0.98318499999999998</c:v>
                </c:pt>
                <c:pt idx="744">
                  <c:v>-0.98119800000000001</c:v>
                </c:pt>
                <c:pt idx="745">
                  <c:v>-0.98318499999999998</c:v>
                </c:pt>
                <c:pt idx="746">
                  <c:v>-0.98119800000000001</c:v>
                </c:pt>
                <c:pt idx="747">
                  <c:v>-0.97921099999999994</c:v>
                </c:pt>
                <c:pt idx="748">
                  <c:v>-0.97921099999999994</c:v>
                </c:pt>
                <c:pt idx="749">
                  <c:v>-0.97722399999999987</c:v>
                </c:pt>
                <c:pt idx="750">
                  <c:v>-0.97921099999999994</c:v>
                </c:pt>
                <c:pt idx="751">
                  <c:v>-0.97722399999999987</c:v>
                </c:pt>
                <c:pt idx="752">
                  <c:v>-0.97722399999999987</c:v>
                </c:pt>
                <c:pt idx="753">
                  <c:v>-0.97523699999999991</c:v>
                </c:pt>
                <c:pt idx="754">
                  <c:v>-0.97324999999999995</c:v>
                </c:pt>
                <c:pt idx="755">
                  <c:v>-0.97324999999999995</c:v>
                </c:pt>
                <c:pt idx="756">
                  <c:v>-0.97722399999999987</c:v>
                </c:pt>
                <c:pt idx="757">
                  <c:v>-0.97722399999999987</c:v>
                </c:pt>
                <c:pt idx="758">
                  <c:v>-0.97523699999999991</c:v>
                </c:pt>
                <c:pt idx="759">
                  <c:v>-0.97324999999999995</c:v>
                </c:pt>
                <c:pt idx="760">
                  <c:v>-0.97722399999999987</c:v>
                </c:pt>
                <c:pt idx="761">
                  <c:v>-0.97722399999999987</c:v>
                </c:pt>
                <c:pt idx="762">
                  <c:v>-0.97523699999999991</c:v>
                </c:pt>
                <c:pt idx="763">
                  <c:v>-0.97324999999999995</c:v>
                </c:pt>
                <c:pt idx="764">
                  <c:v>-0.97126299999999999</c:v>
                </c:pt>
                <c:pt idx="765">
                  <c:v>-0.96927599999999992</c:v>
                </c:pt>
                <c:pt idx="766">
                  <c:v>-0.96927599999999992</c:v>
                </c:pt>
                <c:pt idx="767">
                  <c:v>-0.96331499999999992</c:v>
                </c:pt>
                <c:pt idx="768">
                  <c:v>-0.96927599999999992</c:v>
                </c:pt>
                <c:pt idx="769">
                  <c:v>-0.96728899999999995</c:v>
                </c:pt>
                <c:pt idx="770">
                  <c:v>-0.96530199999999999</c:v>
                </c:pt>
                <c:pt idx="771">
                  <c:v>-0.97126299999999999</c:v>
                </c:pt>
                <c:pt idx="772">
                  <c:v>-0.96728899999999995</c:v>
                </c:pt>
                <c:pt idx="773">
                  <c:v>-0.97126299999999999</c:v>
                </c:pt>
                <c:pt idx="774">
                  <c:v>-0.96728899999999995</c:v>
                </c:pt>
                <c:pt idx="775">
                  <c:v>-0.96530199999999999</c:v>
                </c:pt>
                <c:pt idx="776">
                  <c:v>-0.96728899999999995</c:v>
                </c:pt>
                <c:pt idx="777">
                  <c:v>-0.96530199999999999</c:v>
                </c:pt>
                <c:pt idx="778">
                  <c:v>-0.96331499999999992</c:v>
                </c:pt>
                <c:pt idx="779">
                  <c:v>-0.96331499999999992</c:v>
                </c:pt>
                <c:pt idx="780">
                  <c:v>-0.95934099999999989</c:v>
                </c:pt>
                <c:pt idx="781">
                  <c:v>-0.95735399999999993</c:v>
                </c:pt>
                <c:pt idx="782">
                  <c:v>-0.95536699999999997</c:v>
                </c:pt>
                <c:pt idx="783">
                  <c:v>-0.95139299999999993</c:v>
                </c:pt>
                <c:pt idx="784">
                  <c:v>-0.94940599999999997</c:v>
                </c:pt>
                <c:pt idx="785">
                  <c:v>-0.9474189999999999</c:v>
                </c:pt>
                <c:pt idx="786">
                  <c:v>-0.94344499999999987</c:v>
                </c:pt>
                <c:pt idx="787">
                  <c:v>-0.93947099999999995</c:v>
                </c:pt>
                <c:pt idx="788">
                  <c:v>-0.93748399999999987</c:v>
                </c:pt>
                <c:pt idx="789">
                  <c:v>-0.93549699999999991</c:v>
                </c:pt>
                <c:pt idx="790">
                  <c:v>-0.93152299999999988</c:v>
                </c:pt>
                <c:pt idx="791">
                  <c:v>-0.92754899999999996</c:v>
                </c:pt>
                <c:pt idx="792">
                  <c:v>-0.92357499999999992</c:v>
                </c:pt>
                <c:pt idx="793">
                  <c:v>-0.91960099999999989</c:v>
                </c:pt>
                <c:pt idx="794">
                  <c:v>-0.91761399999999993</c:v>
                </c:pt>
                <c:pt idx="795">
                  <c:v>-0.9136399999999999</c:v>
                </c:pt>
                <c:pt idx="796">
                  <c:v>-0.91165299999999994</c:v>
                </c:pt>
                <c:pt idx="797">
                  <c:v>-0.90767900000000001</c:v>
                </c:pt>
                <c:pt idx="798">
                  <c:v>-0.90569199999999994</c:v>
                </c:pt>
                <c:pt idx="799">
                  <c:v>-0.89973099999999995</c:v>
                </c:pt>
                <c:pt idx="800">
                  <c:v>-0.89575700000000003</c:v>
                </c:pt>
                <c:pt idx="801">
                  <c:v>-0.89178299999999999</c:v>
                </c:pt>
                <c:pt idx="802">
                  <c:v>-0.89178299999999999</c:v>
                </c:pt>
                <c:pt idx="803">
                  <c:v>-0.88780899999999996</c:v>
                </c:pt>
                <c:pt idx="804">
                  <c:v>-0.88780899999999996</c:v>
                </c:pt>
                <c:pt idx="805">
                  <c:v>-0.88184799999999997</c:v>
                </c:pt>
                <c:pt idx="806">
                  <c:v>-0.88184799999999997</c:v>
                </c:pt>
                <c:pt idx="807">
                  <c:v>-0.87787399999999993</c:v>
                </c:pt>
                <c:pt idx="808">
                  <c:v>-0.87588699999999997</c:v>
                </c:pt>
                <c:pt idx="809">
                  <c:v>-0.87191299999999994</c:v>
                </c:pt>
                <c:pt idx="810">
                  <c:v>-0.87390000000000001</c:v>
                </c:pt>
                <c:pt idx="811">
                  <c:v>-0.86992599999999998</c:v>
                </c:pt>
                <c:pt idx="812">
                  <c:v>-0.86992599999999998</c:v>
                </c:pt>
                <c:pt idx="813">
                  <c:v>-0.86595199999999994</c:v>
                </c:pt>
                <c:pt idx="814">
                  <c:v>-0.86793899999999991</c:v>
                </c:pt>
                <c:pt idx="815">
                  <c:v>-0.86595199999999994</c:v>
                </c:pt>
                <c:pt idx="816">
                  <c:v>-0.86793899999999991</c:v>
                </c:pt>
                <c:pt idx="817">
                  <c:v>-0.86595199999999994</c:v>
                </c:pt>
                <c:pt idx="818">
                  <c:v>-0.86793899999999991</c:v>
                </c:pt>
                <c:pt idx="819">
                  <c:v>-0.86595199999999994</c:v>
                </c:pt>
                <c:pt idx="820">
                  <c:v>-0.86197799999999991</c:v>
                </c:pt>
                <c:pt idx="821">
                  <c:v>-0.85999099999999995</c:v>
                </c:pt>
                <c:pt idx="822">
                  <c:v>-0.85800399999999999</c:v>
                </c:pt>
                <c:pt idx="823">
                  <c:v>-0.85601699999999992</c:v>
                </c:pt>
                <c:pt idx="824">
                  <c:v>-0.86595199999999994</c:v>
                </c:pt>
                <c:pt idx="825">
                  <c:v>-0.86595199999999994</c:v>
                </c:pt>
                <c:pt idx="826">
                  <c:v>-0.87390000000000001</c:v>
                </c:pt>
                <c:pt idx="827">
                  <c:v>-0.87191299999999994</c:v>
                </c:pt>
                <c:pt idx="828">
                  <c:v>-0.88184799999999997</c:v>
                </c:pt>
                <c:pt idx="829">
                  <c:v>-0.88184799999999997</c:v>
                </c:pt>
                <c:pt idx="830">
                  <c:v>-0.88979600000000003</c:v>
                </c:pt>
                <c:pt idx="831">
                  <c:v>-0.88780899999999996</c:v>
                </c:pt>
                <c:pt idx="832">
                  <c:v>-0.89575700000000003</c:v>
                </c:pt>
                <c:pt idx="833">
                  <c:v>-0.90370499999999998</c:v>
                </c:pt>
                <c:pt idx="834">
                  <c:v>-0.90370499999999998</c:v>
                </c:pt>
                <c:pt idx="835">
                  <c:v>-0.90370499999999998</c:v>
                </c:pt>
                <c:pt idx="836">
                  <c:v>-0.90370499999999998</c:v>
                </c:pt>
                <c:pt idx="837">
                  <c:v>-0.91165299999999994</c:v>
                </c:pt>
                <c:pt idx="838">
                  <c:v>-0.91165299999999994</c:v>
                </c:pt>
                <c:pt idx="839">
                  <c:v>-0.91761399999999993</c:v>
                </c:pt>
                <c:pt idx="840">
                  <c:v>-0.91761399999999993</c:v>
                </c:pt>
                <c:pt idx="841">
                  <c:v>-0.92158799999999985</c:v>
                </c:pt>
                <c:pt idx="842">
                  <c:v>-0.92158799999999985</c:v>
                </c:pt>
                <c:pt idx="843">
                  <c:v>-0.92158799999999985</c:v>
                </c:pt>
                <c:pt idx="844">
                  <c:v>-0.92158799999999985</c:v>
                </c:pt>
                <c:pt idx="845">
                  <c:v>-0.92556199999999988</c:v>
                </c:pt>
                <c:pt idx="846">
                  <c:v>-0.92556199999999988</c:v>
                </c:pt>
                <c:pt idx="847">
                  <c:v>-0.92556199999999988</c:v>
                </c:pt>
                <c:pt idx="848">
                  <c:v>-0.92556199999999988</c:v>
                </c:pt>
                <c:pt idx="849">
                  <c:v>-0.92754899999999996</c:v>
                </c:pt>
                <c:pt idx="850">
                  <c:v>-0.92754899999999996</c:v>
                </c:pt>
                <c:pt idx="851">
                  <c:v>-0.92556199999999988</c:v>
                </c:pt>
                <c:pt idx="852">
                  <c:v>-0.92754899999999996</c:v>
                </c:pt>
                <c:pt idx="853">
                  <c:v>-0.92754899999999996</c:v>
                </c:pt>
                <c:pt idx="854">
                  <c:v>-0.92754899999999996</c:v>
                </c:pt>
                <c:pt idx="855">
                  <c:v>-0.92754899999999996</c:v>
                </c:pt>
                <c:pt idx="856">
                  <c:v>-0.92754899999999996</c:v>
                </c:pt>
                <c:pt idx="857">
                  <c:v>-0.92754899999999996</c:v>
                </c:pt>
                <c:pt idx="858">
                  <c:v>-0.92754899999999996</c:v>
                </c:pt>
                <c:pt idx="859">
                  <c:v>-0.92556199999999988</c:v>
                </c:pt>
                <c:pt idx="860">
                  <c:v>-0.92556199999999988</c:v>
                </c:pt>
                <c:pt idx="861">
                  <c:v>-0.92357499999999992</c:v>
                </c:pt>
                <c:pt idx="862">
                  <c:v>-0.92357499999999992</c:v>
                </c:pt>
                <c:pt idx="863">
                  <c:v>-0.92158799999999985</c:v>
                </c:pt>
                <c:pt idx="864">
                  <c:v>-0.92556199999999988</c:v>
                </c:pt>
                <c:pt idx="865">
                  <c:v>-0.92754899999999996</c:v>
                </c:pt>
                <c:pt idx="866">
                  <c:v>-0.92953599999999992</c:v>
                </c:pt>
                <c:pt idx="867">
                  <c:v>-0.93350999999999995</c:v>
                </c:pt>
                <c:pt idx="868">
                  <c:v>-0.93549699999999991</c:v>
                </c:pt>
                <c:pt idx="869">
                  <c:v>-0.93549699999999991</c:v>
                </c:pt>
                <c:pt idx="870">
                  <c:v>-0.93549699999999991</c:v>
                </c:pt>
                <c:pt idx="871">
                  <c:v>-0.93549699999999991</c:v>
                </c:pt>
                <c:pt idx="872">
                  <c:v>-0.93748399999999987</c:v>
                </c:pt>
                <c:pt idx="873">
                  <c:v>-0.93748399999999987</c:v>
                </c:pt>
                <c:pt idx="874">
                  <c:v>-0.94145799999999991</c:v>
                </c:pt>
                <c:pt idx="875">
                  <c:v>-0.94940599999999997</c:v>
                </c:pt>
                <c:pt idx="876">
                  <c:v>-0.95139299999999993</c:v>
                </c:pt>
                <c:pt idx="877">
                  <c:v>-0.95337999999999989</c:v>
                </c:pt>
                <c:pt idx="878">
                  <c:v>-0.95337999999999989</c:v>
                </c:pt>
                <c:pt idx="879">
                  <c:v>-0.95536699999999997</c:v>
                </c:pt>
                <c:pt idx="880">
                  <c:v>-0.95735399999999993</c:v>
                </c:pt>
                <c:pt idx="881">
                  <c:v>-0.95735399999999993</c:v>
                </c:pt>
                <c:pt idx="882">
                  <c:v>-0.95735399999999993</c:v>
                </c:pt>
                <c:pt idx="883">
                  <c:v>-0.95735399999999993</c:v>
                </c:pt>
                <c:pt idx="884">
                  <c:v>-0.95735399999999993</c:v>
                </c:pt>
                <c:pt idx="885">
                  <c:v>-0.95735399999999993</c:v>
                </c:pt>
                <c:pt idx="886">
                  <c:v>-0.95934099999999989</c:v>
                </c:pt>
                <c:pt idx="887">
                  <c:v>-0.95934099999999989</c:v>
                </c:pt>
                <c:pt idx="888">
                  <c:v>-0.96132799999999996</c:v>
                </c:pt>
                <c:pt idx="889">
                  <c:v>-0.96530199999999999</c:v>
                </c:pt>
                <c:pt idx="890">
                  <c:v>-0.96530199999999999</c:v>
                </c:pt>
                <c:pt idx="891">
                  <c:v>-0.96530199999999999</c:v>
                </c:pt>
                <c:pt idx="892">
                  <c:v>-0.96530199999999999</c:v>
                </c:pt>
                <c:pt idx="893">
                  <c:v>-0.96728899999999995</c:v>
                </c:pt>
                <c:pt idx="894">
                  <c:v>-0.96728899999999995</c:v>
                </c:pt>
                <c:pt idx="895">
                  <c:v>-0.96728899999999995</c:v>
                </c:pt>
                <c:pt idx="896">
                  <c:v>-0.96927599999999992</c:v>
                </c:pt>
                <c:pt idx="897">
                  <c:v>-0.97126299999999999</c:v>
                </c:pt>
                <c:pt idx="898">
                  <c:v>-0.97126299999999999</c:v>
                </c:pt>
                <c:pt idx="899">
                  <c:v>-0.97126299999999999</c:v>
                </c:pt>
                <c:pt idx="900">
                  <c:v>-0.97523699999999991</c:v>
                </c:pt>
                <c:pt idx="901">
                  <c:v>-0.97523699999999991</c:v>
                </c:pt>
                <c:pt idx="902">
                  <c:v>-0.96927599999999992</c:v>
                </c:pt>
                <c:pt idx="903">
                  <c:v>-0.96927599999999992</c:v>
                </c:pt>
                <c:pt idx="904">
                  <c:v>-0.97126299999999999</c:v>
                </c:pt>
                <c:pt idx="905">
                  <c:v>-0.96927599999999992</c:v>
                </c:pt>
                <c:pt idx="906">
                  <c:v>-0.96331499999999992</c:v>
                </c:pt>
                <c:pt idx="907">
                  <c:v>-0.95536699999999997</c:v>
                </c:pt>
                <c:pt idx="908">
                  <c:v>-0.95735399999999993</c:v>
                </c:pt>
                <c:pt idx="909">
                  <c:v>-0.94940599999999997</c:v>
                </c:pt>
                <c:pt idx="910">
                  <c:v>-0.95139299999999993</c:v>
                </c:pt>
                <c:pt idx="911">
                  <c:v>-0.94940599999999997</c:v>
                </c:pt>
                <c:pt idx="912">
                  <c:v>-0.9474189999999999</c:v>
                </c:pt>
                <c:pt idx="913">
                  <c:v>-0.94940599999999997</c:v>
                </c:pt>
                <c:pt idx="914">
                  <c:v>-0.95337999999999989</c:v>
                </c:pt>
                <c:pt idx="915">
                  <c:v>-0.94344499999999987</c:v>
                </c:pt>
                <c:pt idx="916">
                  <c:v>-0.9474189999999999</c:v>
                </c:pt>
                <c:pt idx="917">
                  <c:v>-0.9474189999999999</c:v>
                </c:pt>
                <c:pt idx="918">
                  <c:v>-0.95934099999999989</c:v>
                </c:pt>
                <c:pt idx="919">
                  <c:v>-0.9871589999999999</c:v>
                </c:pt>
                <c:pt idx="920">
                  <c:v>-0.99312</c:v>
                </c:pt>
                <c:pt idx="921">
                  <c:v>-1.036834</c:v>
                </c:pt>
                <c:pt idx="922">
                  <c:v>-1.0427949999999999</c:v>
                </c:pt>
                <c:pt idx="923">
                  <c:v>-1.0726</c:v>
                </c:pt>
                <c:pt idx="924">
                  <c:v>-1.0567039999999999</c:v>
                </c:pt>
                <c:pt idx="925">
                  <c:v>-1.062665</c:v>
                </c:pt>
                <c:pt idx="926">
                  <c:v>-1.1481059999999998</c:v>
                </c:pt>
                <c:pt idx="927">
                  <c:v>-1.1481059999999998</c:v>
                </c:pt>
                <c:pt idx="928">
                  <c:v>-1.2017549999999999</c:v>
                </c:pt>
                <c:pt idx="929">
                  <c:v>-1.207716</c:v>
                </c:pt>
                <c:pt idx="930">
                  <c:v>-1.2236119999999999</c:v>
                </c:pt>
                <c:pt idx="931">
                  <c:v>-1.2911699999999999</c:v>
                </c:pt>
                <c:pt idx="932">
                  <c:v>-1.299118</c:v>
                </c:pt>
                <c:pt idx="933">
                  <c:v>-1.322962</c:v>
                </c:pt>
                <c:pt idx="934">
                  <c:v>-1.4084030000000001</c:v>
                </c:pt>
                <c:pt idx="935">
                  <c:v>-1.424299</c:v>
                </c:pt>
                <c:pt idx="936">
                  <c:v>-1.4401949999999999</c:v>
                </c:pt>
                <c:pt idx="937">
                  <c:v>-1.3130269999999999</c:v>
                </c:pt>
                <c:pt idx="938">
                  <c:v>-1.320975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  <c:pt idx="1001">
                  <c:v>0</c:v>
                </c:pt>
                <c:pt idx="1002">
                  <c:v>0</c:v>
                </c:pt>
                <c:pt idx="1003">
                  <c:v>0</c:v>
                </c:pt>
                <c:pt idx="1004">
                  <c:v>0</c:v>
                </c:pt>
                <c:pt idx="1005">
                  <c:v>0</c:v>
                </c:pt>
                <c:pt idx="1006">
                  <c:v>0</c:v>
                </c:pt>
                <c:pt idx="1007">
                  <c:v>0</c:v>
                </c:pt>
                <c:pt idx="1008">
                  <c:v>0</c:v>
                </c:pt>
                <c:pt idx="1009">
                  <c:v>0</c:v>
                </c:pt>
                <c:pt idx="1010">
                  <c:v>0</c:v>
                </c:pt>
                <c:pt idx="1011">
                  <c:v>0</c:v>
                </c:pt>
                <c:pt idx="1012">
                  <c:v>0</c:v>
                </c:pt>
                <c:pt idx="1013">
                  <c:v>0</c:v>
                </c:pt>
                <c:pt idx="1014">
                  <c:v>0</c:v>
                </c:pt>
                <c:pt idx="1015">
                  <c:v>0</c:v>
                </c:pt>
                <c:pt idx="1016">
                  <c:v>0</c:v>
                </c:pt>
                <c:pt idx="1017">
                  <c:v>0</c:v>
                </c:pt>
                <c:pt idx="1018">
                  <c:v>0</c:v>
                </c:pt>
                <c:pt idx="1019">
                  <c:v>0</c:v>
                </c:pt>
                <c:pt idx="1020">
                  <c:v>0</c:v>
                </c:pt>
                <c:pt idx="1021">
                  <c:v>0</c:v>
                </c:pt>
                <c:pt idx="1022">
                  <c:v>0</c:v>
                </c:pt>
                <c:pt idx="1023">
                  <c:v>0</c:v>
                </c:pt>
                <c:pt idx="1024">
                  <c:v>0</c:v>
                </c:pt>
                <c:pt idx="1025">
                  <c:v>0</c:v>
                </c:pt>
                <c:pt idx="1026">
                  <c:v>0</c:v>
                </c:pt>
                <c:pt idx="1027">
                  <c:v>0</c:v>
                </c:pt>
                <c:pt idx="1028">
                  <c:v>0</c:v>
                </c:pt>
                <c:pt idx="1029">
                  <c:v>0</c:v>
                </c:pt>
                <c:pt idx="1030">
                  <c:v>0</c:v>
                </c:pt>
                <c:pt idx="1031">
                  <c:v>0</c:v>
                </c:pt>
                <c:pt idx="1032">
                  <c:v>0</c:v>
                </c:pt>
                <c:pt idx="1033">
                  <c:v>0</c:v>
                </c:pt>
                <c:pt idx="1034">
                  <c:v>0</c:v>
                </c:pt>
                <c:pt idx="1035">
                  <c:v>0</c:v>
                </c:pt>
                <c:pt idx="1036">
                  <c:v>0</c:v>
                </c:pt>
                <c:pt idx="1037">
                  <c:v>0</c:v>
                </c:pt>
                <c:pt idx="1038">
                  <c:v>0</c:v>
                </c:pt>
                <c:pt idx="1039">
                  <c:v>0</c:v>
                </c:pt>
                <c:pt idx="1040">
                  <c:v>0</c:v>
                </c:pt>
                <c:pt idx="1041">
                  <c:v>0</c:v>
                </c:pt>
                <c:pt idx="1042">
                  <c:v>0</c:v>
                </c:pt>
                <c:pt idx="1043">
                  <c:v>0</c:v>
                </c:pt>
                <c:pt idx="1044">
                  <c:v>0</c:v>
                </c:pt>
                <c:pt idx="1045">
                  <c:v>0</c:v>
                </c:pt>
                <c:pt idx="1046">
                  <c:v>0</c:v>
                </c:pt>
                <c:pt idx="1047">
                  <c:v>0</c:v>
                </c:pt>
                <c:pt idx="1048">
                  <c:v>0</c:v>
                </c:pt>
                <c:pt idx="1049">
                  <c:v>0</c:v>
                </c:pt>
                <c:pt idx="1050">
                  <c:v>0</c:v>
                </c:pt>
                <c:pt idx="1051">
                  <c:v>0</c:v>
                </c:pt>
                <c:pt idx="1052">
                  <c:v>0</c:v>
                </c:pt>
                <c:pt idx="1053">
                  <c:v>0</c:v>
                </c:pt>
                <c:pt idx="1054">
                  <c:v>0</c:v>
                </c:pt>
                <c:pt idx="1055">
                  <c:v>0</c:v>
                </c:pt>
                <c:pt idx="1056">
                  <c:v>0</c:v>
                </c:pt>
                <c:pt idx="1057">
                  <c:v>0</c:v>
                </c:pt>
                <c:pt idx="1058">
                  <c:v>0</c:v>
                </c:pt>
                <c:pt idx="1059">
                  <c:v>0</c:v>
                </c:pt>
                <c:pt idx="1060">
                  <c:v>0</c:v>
                </c:pt>
                <c:pt idx="1061">
                  <c:v>0</c:v>
                </c:pt>
                <c:pt idx="1062">
                  <c:v>0</c:v>
                </c:pt>
                <c:pt idx="1063">
                  <c:v>0</c:v>
                </c:pt>
                <c:pt idx="1064">
                  <c:v>0</c:v>
                </c:pt>
                <c:pt idx="1065">
                  <c:v>0</c:v>
                </c:pt>
                <c:pt idx="1066">
                  <c:v>0</c:v>
                </c:pt>
                <c:pt idx="1067">
                  <c:v>0</c:v>
                </c:pt>
                <c:pt idx="1068">
                  <c:v>0</c:v>
                </c:pt>
                <c:pt idx="1069">
                  <c:v>0</c:v>
                </c:pt>
                <c:pt idx="1070">
                  <c:v>0</c:v>
                </c:pt>
                <c:pt idx="1071">
                  <c:v>0</c:v>
                </c:pt>
                <c:pt idx="1072">
                  <c:v>0</c:v>
                </c:pt>
                <c:pt idx="1073">
                  <c:v>0</c:v>
                </c:pt>
                <c:pt idx="1074">
                  <c:v>0</c:v>
                </c:pt>
                <c:pt idx="1075">
                  <c:v>0</c:v>
                </c:pt>
                <c:pt idx="1076">
                  <c:v>0</c:v>
                </c:pt>
                <c:pt idx="1077">
                  <c:v>0</c:v>
                </c:pt>
                <c:pt idx="1078">
                  <c:v>0</c:v>
                </c:pt>
                <c:pt idx="1079">
                  <c:v>0</c:v>
                </c:pt>
                <c:pt idx="1080">
                  <c:v>0</c:v>
                </c:pt>
                <c:pt idx="1081">
                  <c:v>0</c:v>
                </c:pt>
                <c:pt idx="1082">
                  <c:v>0</c:v>
                </c:pt>
                <c:pt idx="1083">
                  <c:v>0</c:v>
                </c:pt>
                <c:pt idx="1084">
                  <c:v>0</c:v>
                </c:pt>
                <c:pt idx="1085">
                  <c:v>0</c:v>
                </c:pt>
                <c:pt idx="1086">
                  <c:v>0</c:v>
                </c:pt>
                <c:pt idx="1087">
                  <c:v>0</c:v>
                </c:pt>
                <c:pt idx="1088">
                  <c:v>0</c:v>
                </c:pt>
                <c:pt idx="1089">
                  <c:v>0</c:v>
                </c:pt>
                <c:pt idx="1090">
                  <c:v>0</c:v>
                </c:pt>
                <c:pt idx="1091">
                  <c:v>0</c:v>
                </c:pt>
                <c:pt idx="1092">
                  <c:v>0</c:v>
                </c:pt>
                <c:pt idx="1093">
                  <c:v>0</c:v>
                </c:pt>
                <c:pt idx="1094">
                  <c:v>0</c:v>
                </c:pt>
                <c:pt idx="1095">
                  <c:v>0</c:v>
                </c:pt>
                <c:pt idx="1096">
                  <c:v>0</c:v>
                </c:pt>
                <c:pt idx="1097">
                  <c:v>0</c:v>
                </c:pt>
                <c:pt idx="1098">
                  <c:v>0</c:v>
                </c:pt>
                <c:pt idx="1099">
                  <c:v>0</c:v>
                </c:pt>
                <c:pt idx="1100">
                  <c:v>0</c:v>
                </c:pt>
                <c:pt idx="1101">
                  <c:v>0</c:v>
                </c:pt>
                <c:pt idx="1102">
                  <c:v>0</c:v>
                </c:pt>
                <c:pt idx="1103">
                  <c:v>0</c:v>
                </c:pt>
                <c:pt idx="1104">
                  <c:v>0</c:v>
                </c:pt>
                <c:pt idx="1105">
                  <c:v>0</c:v>
                </c:pt>
                <c:pt idx="1106">
                  <c:v>0</c:v>
                </c:pt>
                <c:pt idx="1107">
                  <c:v>0</c:v>
                </c:pt>
                <c:pt idx="1108">
                  <c:v>0</c:v>
                </c:pt>
                <c:pt idx="1109">
                  <c:v>0</c:v>
                </c:pt>
                <c:pt idx="1110">
                  <c:v>0</c:v>
                </c:pt>
                <c:pt idx="1111">
                  <c:v>0</c:v>
                </c:pt>
                <c:pt idx="1112">
                  <c:v>0</c:v>
                </c:pt>
                <c:pt idx="1113">
                  <c:v>0</c:v>
                </c:pt>
                <c:pt idx="1114">
                  <c:v>0</c:v>
                </c:pt>
                <c:pt idx="1115">
                  <c:v>0</c:v>
                </c:pt>
                <c:pt idx="1116">
                  <c:v>0</c:v>
                </c:pt>
                <c:pt idx="1117">
                  <c:v>0</c:v>
                </c:pt>
                <c:pt idx="1118">
                  <c:v>0</c:v>
                </c:pt>
                <c:pt idx="1119">
                  <c:v>0</c:v>
                </c:pt>
                <c:pt idx="1120">
                  <c:v>0</c:v>
                </c:pt>
                <c:pt idx="1121">
                  <c:v>0</c:v>
                </c:pt>
                <c:pt idx="1122">
                  <c:v>0</c:v>
                </c:pt>
                <c:pt idx="1123">
                  <c:v>0</c:v>
                </c:pt>
                <c:pt idx="1124">
                  <c:v>0</c:v>
                </c:pt>
                <c:pt idx="1125">
                  <c:v>0</c:v>
                </c:pt>
                <c:pt idx="1126">
                  <c:v>0</c:v>
                </c:pt>
                <c:pt idx="1127">
                  <c:v>0</c:v>
                </c:pt>
                <c:pt idx="1128">
                  <c:v>0</c:v>
                </c:pt>
                <c:pt idx="1129">
                  <c:v>0</c:v>
                </c:pt>
                <c:pt idx="1130">
                  <c:v>0</c:v>
                </c:pt>
                <c:pt idx="1131">
                  <c:v>0</c:v>
                </c:pt>
                <c:pt idx="1132">
                  <c:v>0</c:v>
                </c:pt>
                <c:pt idx="1133">
                  <c:v>0</c:v>
                </c:pt>
                <c:pt idx="1134">
                  <c:v>0</c:v>
                </c:pt>
                <c:pt idx="1135">
                  <c:v>0</c:v>
                </c:pt>
                <c:pt idx="1136">
                  <c:v>0</c:v>
                </c:pt>
                <c:pt idx="1137">
                  <c:v>0</c:v>
                </c:pt>
                <c:pt idx="1138">
                  <c:v>0</c:v>
                </c:pt>
                <c:pt idx="1139">
                  <c:v>0</c:v>
                </c:pt>
                <c:pt idx="1140">
                  <c:v>0</c:v>
                </c:pt>
                <c:pt idx="1141">
                  <c:v>0</c:v>
                </c:pt>
                <c:pt idx="1142">
                  <c:v>0</c:v>
                </c:pt>
                <c:pt idx="1143">
                  <c:v>0</c:v>
                </c:pt>
                <c:pt idx="1144">
                  <c:v>0</c:v>
                </c:pt>
                <c:pt idx="1145">
                  <c:v>0</c:v>
                </c:pt>
                <c:pt idx="1146">
                  <c:v>0</c:v>
                </c:pt>
                <c:pt idx="1147">
                  <c:v>0</c:v>
                </c:pt>
                <c:pt idx="1148">
                  <c:v>0</c:v>
                </c:pt>
                <c:pt idx="1149">
                  <c:v>0</c:v>
                </c:pt>
                <c:pt idx="115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01D-4CCD-A4C2-019A7266AA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44083472"/>
        <c:axId val="644085768"/>
        <c:extLst>
          <c:ext xmlns:c15="http://schemas.microsoft.com/office/drawing/2012/chart" uri="{02D57815-91ED-43cb-92C2-25804820EDAC}">
            <c15:filteredScatterSeries>
              <c15:ser>
                <c:idx val="1"/>
                <c:order val="0"/>
                <c:tx>
                  <c:v>Data</c:v>
                </c:tx>
                <c:spPr>
                  <a:ln w="19050">
                    <a:noFill/>
                  </a:ln>
                </c:spPr>
                <c:marker>
                  <c:symbol val="circle"/>
                  <c:size val="3"/>
                  <c:spPr>
                    <a:solidFill>
                      <a:schemeClr val="accent3"/>
                    </a:solidFill>
                    <a:ln>
                      <a:solidFill>
                        <a:schemeClr val="accent3"/>
                      </a:solidFill>
                    </a:ln>
                  </c:spPr>
                </c:marker>
                <c:xVal>
                  <c:numRef>
                    <c:extLst>
                      <c:ext uri="{02D57815-91ED-43cb-92C2-25804820EDAC}">
                        <c15:formulaRef>
                          <c15:sqref>'Real Values'!$B$2:$B$1800</c15:sqref>
                        </c15:formulaRef>
                      </c:ext>
                    </c:extLst>
                    <c:numCache>
                      <c:formatCode>General</c:formatCode>
                      <c:ptCount val="1799"/>
                      <c:pt idx="0">
                        <c:v>5.2599999995436519E-2</c:v>
                      </c:pt>
                      <c:pt idx="1">
                        <c:v>7.1112999998149462E-2</c:v>
                      </c:pt>
                      <c:pt idx="2">
                        <c:v>9.1904000000795349E-2</c:v>
                      </c:pt>
                      <c:pt idx="3">
                        <c:v>0.10767899999336805</c:v>
                      </c:pt>
                      <c:pt idx="4">
                        <c:v>0.13174199999775738</c:v>
                      </c:pt>
                      <c:pt idx="5">
                        <c:v>0.15130599999974947</c:v>
                      </c:pt>
                      <c:pt idx="6">
                        <c:v>0.16790099999343511</c:v>
                      </c:pt>
                      <c:pt idx="7">
                        <c:v>0.1887060000008205</c:v>
                      </c:pt>
                      <c:pt idx="8">
                        <c:v>0.21346100000664592</c:v>
                      </c:pt>
                      <c:pt idx="9">
                        <c:v>0.22705699999642093</c:v>
                      </c:pt>
                      <c:pt idx="10">
                        <c:v>0.24826999999640975</c:v>
                      </c:pt>
                      <c:pt idx="11">
                        <c:v>0.26694099999440368</c:v>
                      </c:pt>
                      <c:pt idx="12">
                        <c:v>0.29261899999983143</c:v>
                      </c:pt>
                      <c:pt idx="13">
                        <c:v>0.31316000000515487</c:v>
                      </c:pt>
                      <c:pt idx="14">
                        <c:v>0.33193600000231527</c:v>
                      </c:pt>
                      <c:pt idx="15">
                        <c:v>0.3471949999948265</c:v>
                      </c:pt>
                      <c:pt idx="16">
                        <c:v>0.36253399999986868</c:v>
                      </c:pt>
                      <c:pt idx="17">
                        <c:v>0.39266500000667293</c:v>
                      </c:pt>
                      <c:pt idx="18">
                        <c:v>0.40777599999273662</c:v>
                      </c:pt>
                      <c:pt idx="19">
                        <c:v>0.43277499999385327</c:v>
                      </c:pt>
                      <c:pt idx="20">
                        <c:v>0.45146999999997206</c:v>
                      </c:pt>
                      <c:pt idx="21">
                        <c:v>0.46772000000055414</c:v>
                      </c:pt>
                      <c:pt idx="22">
                        <c:v>0.48933199999737553</c:v>
                      </c:pt>
                      <c:pt idx="23">
                        <c:v>0.50939500000094995</c:v>
                      </c:pt>
                      <c:pt idx="24">
                        <c:v>0.52885000000242144</c:v>
                      </c:pt>
                      <c:pt idx="25">
                        <c:v>0.54839799999899697</c:v>
                      </c:pt>
                      <c:pt idx="26">
                        <c:v>0.56978499999968335</c:v>
                      </c:pt>
                      <c:pt idx="27">
                        <c:v>0.58849900000495836</c:v>
                      </c:pt>
                      <c:pt idx="28">
                        <c:v>0.61144700000295416</c:v>
                      </c:pt>
                      <c:pt idx="29">
                        <c:v>0.6288020000065444</c:v>
                      </c:pt>
                      <c:pt idx="30">
                        <c:v>0.65030599999590777</c:v>
                      </c:pt>
                      <c:pt idx="31">
                        <c:v>0.67232100000546779</c:v>
                      </c:pt>
                      <c:pt idx="32">
                        <c:v>0.68908599999849685</c:v>
                      </c:pt>
                      <c:pt idx="33">
                        <c:v>0.71103900000161957</c:v>
                      </c:pt>
                      <c:pt idx="34">
                        <c:v>0.73151300000608899</c:v>
                      </c:pt>
                      <c:pt idx="35">
                        <c:v>0.74727399999392219</c:v>
                      </c:pt>
                      <c:pt idx="36">
                        <c:v>0.76911399999517016</c:v>
                      </c:pt>
                      <c:pt idx="37">
                        <c:v>0.79029099999752361</c:v>
                      </c:pt>
                      <c:pt idx="38">
                        <c:v>0.79935000000114087</c:v>
                      </c:pt>
                      <c:pt idx="39">
                        <c:v>0.83206099999370053</c:v>
                      </c:pt>
                      <c:pt idx="40">
                        <c:v>0.85044399999605957</c:v>
                      </c:pt>
                      <c:pt idx="41">
                        <c:v>0.87058800000522751</c:v>
                      </c:pt>
                      <c:pt idx="42">
                        <c:v>0.89076300000306219</c:v>
                      </c:pt>
                      <c:pt idx="43">
                        <c:v>0.91084300000511575</c:v>
                      </c:pt>
                      <c:pt idx="44">
                        <c:v>0.93167299999913666</c:v>
                      </c:pt>
                      <c:pt idx="45">
                        <c:v>0.94603799999458715</c:v>
                      </c:pt>
                      <c:pt idx="46">
                        <c:v>0.97082400000363123</c:v>
                      </c:pt>
                      <c:pt idx="47">
                        <c:v>0.99126799999794457</c:v>
                      </c:pt>
                      <c:pt idx="48">
                        <c:v>1.0061920000007376</c:v>
                      </c:pt>
                      <c:pt idx="49">
                        <c:v>1.0268289999949047</c:v>
                      </c:pt>
                      <c:pt idx="50">
                        <c:v>1.046040000001085</c:v>
                      </c:pt>
                      <c:pt idx="51">
                        <c:v>1.0720909999945434</c:v>
                      </c:pt>
                      <c:pt idx="52">
                        <c:v>1.0898290000041015</c:v>
                      </c:pt>
                      <c:pt idx="53">
                        <c:v>1.10770500000217</c:v>
                      </c:pt>
                      <c:pt idx="54">
                        <c:v>1.1321060000045691</c:v>
                      </c:pt>
                      <c:pt idx="55">
                        <c:v>1.1494200000015553</c:v>
                      </c:pt>
                      <c:pt idx="56">
                        <c:v>1.1718129999935627</c:v>
                      </c:pt>
                      <c:pt idx="57">
                        <c:v>1.1912400000001071</c:v>
                      </c:pt>
                      <c:pt idx="58">
                        <c:v>1.2120719999948051</c:v>
                      </c:pt>
                      <c:pt idx="59">
                        <c:v>1.2298180000070715</c:v>
                      </c:pt>
                      <c:pt idx="60">
                        <c:v>1.2522989999997662</c:v>
                      </c:pt>
                      <c:pt idx="61">
                        <c:v>1.2725670000072569</c:v>
                      </c:pt>
                      <c:pt idx="62">
                        <c:v>1.2926980000047479</c:v>
                      </c:pt>
                      <c:pt idx="63">
                        <c:v>1.3091259999928297</c:v>
                      </c:pt>
                      <c:pt idx="64">
                        <c:v>1.3326839999936055</c:v>
                      </c:pt>
                      <c:pt idx="65">
                        <c:v>1.3498839999956544</c:v>
                      </c:pt>
                      <c:pt idx="66">
                        <c:v>1.370003000003635</c:v>
                      </c:pt>
                      <c:pt idx="67">
                        <c:v>1.388120000003255</c:v>
                      </c:pt>
                      <c:pt idx="68">
                        <c:v>1.4047730000020238</c:v>
                      </c:pt>
                      <c:pt idx="69">
                        <c:v>1.4334419999941019</c:v>
                      </c:pt>
                      <c:pt idx="70">
                        <c:v>1.4489659999962896</c:v>
                      </c:pt>
                      <c:pt idx="71">
                        <c:v>1.4688380000006873</c:v>
                      </c:pt>
                      <c:pt idx="72">
                        <c:v>1.4888170000049286</c:v>
                      </c:pt>
                      <c:pt idx="73">
                        <c:v>1.5088760000071488</c:v>
                      </c:pt>
                      <c:pt idx="74">
                        <c:v>1.5299470000027213</c:v>
                      </c:pt>
                      <c:pt idx="75">
                        <c:v>1.5525769999949262</c:v>
                      </c:pt>
                      <c:pt idx="76">
                        <c:v>1.569312000006903</c:v>
                      </c:pt>
                      <c:pt idx="77">
                        <c:v>1.5915329999988899</c:v>
                      </c:pt>
                      <c:pt idx="78">
                        <c:v>1.609452999997302</c:v>
                      </c:pt>
                      <c:pt idx="79">
                        <c:v>1.629335000005085</c:v>
                      </c:pt>
                      <c:pt idx="80">
                        <c:v>1.6445709999970859</c:v>
                      </c:pt>
                      <c:pt idx="81">
                        <c:v>1.6701780000003055</c:v>
                      </c:pt>
                      <c:pt idx="82">
                        <c:v>1.6902649999974528</c:v>
                      </c:pt>
                      <c:pt idx="83">
                        <c:v>1.7111560000048485</c:v>
                      </c:pt>
                      <c:pt idx="84">
                        <c:v>1.7268270000058692</c:v>
                      </c:pt>
                      <c:pt idx="85">
                        <c:v>1.7516009999962989</c:v>
                      </c:pt>
                      <c:pt idx="86">
                        <c:v>1.7652260000031674</c:v>
                      </c:pt>
                      <c:pt idx="87">
                        <c:v>1.7857209999929182</c:v>
                      </c:pt>
                      <c:pt idx="88">
                        <c:v>1.8108459999930346</c:v>
                      </c:pt>
                      <c:pt idx="89">
                        <c:v>1.8259269999980461</c:v>
                      </c:pt>
                      <c:pt idx="90">
                        <c:v>1.8516570000065258</c:v>
                      </c:pt>
                      <c:pt idx="91">
                        <c:v>1.8665509999991627</c:v>
                      </c:pt>
                      <c:pt idx="92">
                        <c:v>1.8916880000033416</c:v>
                      </c:pt>
                      <c:pt idx="93">
                        <c:v>1.9009709999954794</c:v>
                      </c:pt>
                      <c:pt idx="94">
                        <c:v>1.9325919999973848</c:v>
                      </c:pt>
                      <c:pt idx="95">
                        <c:v>1.9516719999955967</c:v>
                      </c:pt>
                      <c:pt idx="96">
                        <c:v>1.9624049999983981</c:v>
                      </c:pt>
                      <c:pt idx="97">
                        <c:v>1.9868080000014743</c:v>
                      </c:pt>
                      <c:pt idx="98">
                        <c:v>2.0070249999989755</c:v>
                      </c:pt>
                      <c:pt idx="99">
                        <c:v>2.0269549999939045</c:v>
                      </c:pt>
                      <c:pt idx="100">
                        <c:v>2.0515290000039386</c:v>
                      </c:pt>
                      <c:pt idx="101">
                        <c:v>2.06706000000122</c:v>
                      </c:pt>
                      <c:pt idx="102">
                        <c:v>2.0930939999961993</c:v>
                      </c:pt>
                      <c:pt idx="103">
                        <c:v>2.1083260000013979</c:v>
                      </c:pt>
                      <c:pt idx="104">
                        <c:v>2.1305220000067493</c:v>
                      </c:pt>
                      <c:pt idx="105">
                        <c:v>2.1532779999979539</c:v>
                      </c:pt>
                      <c:pt idx="106">
                        <c:v>2.1726889999990817</c:v>
                      </c:pt>
                      <c:pt idx="107">
                        <c:v>2.1923870000027819</c:v>
                      </c:pt>
                      <c:pt idx="108">
                        <c:v>2.2102259999956004</c:v>
                      </c:pt>
                      <c:pt idx="109">
                        <c:v>2.2300249999971129</c:v>
                      </c:pt>
                      <c:pt idx="110">
                        <c:v>2.24872800000594</c:v>
                      </c:pt>
                      <c:pt idx="111">
                        <c:v>2.2715969999990193</c:v>
                      </c:pt>
                      <c:pt idx="112">
                        <c:v>2.2880569999979343</c:v>
                      </c:pt>
                      <c:pt idx="113">
                        <c:v>2.3085750000027474</c:v>
                      </c:pt>
                      <c:pt idx="114">
                        <c:v>2.3256039999978384</c:v>
                      </c:pt>
                      <c:pt idx="115">
                        <c:v>2.3487920000043232</c:v>
                      </c:pt>
                      <c:pt idx="116">
                        <c:v>2.3692259999952512</c:v>
                      </c:pt>
                      <c:pt idx="117">
                        <c:v>2.3854379999975208</c:v>
                      </c:pt>
                      <c:pt idx="118">
                        <c:v>2.4134559999947669</c:v>
                      </c:pt>
                      <c:pt idx="119">
                        <c:v>2.4298479999997653</c:v>
                      </c:pt>
                      <c:pt idx="120">
                        <c:v>2.4493689999944763</c:v>
                      </c:pt>
                      <c:pt idx="121">
                        <c:v>2.4721229999995558</c:v>
                      </c:pt>
                      <c:pt idx="122">
                        <c:v>2.4891680000000633</c:v>
                      </c:pt>
                      <c:pt idx="123">
                        <c:v>2.509661000003689</c:v>
                      </c:pt>
                      <c:pt idx="124">
                        <c:v>2.5303010000061477</c:v>
                      </c:pt>
                      <c:pt idx="125">
                        <c:v>2.5504150000051595</c:v>
                      </c:pt>
                      <c:pt idx="126">
                        <c:v>2.5750589999952354</c:v>
                      </c:pt>
                      <c:pt idx="127">
                        <c:v>2.5918490000040038</c:v>
                      </c:pt>
                      <c:pt idx="128">
                        <c:v>2.6100290000031237</c:v>
                      </c:pt>
                      <c:pt idx="129">
                        <c:v>2.6315659999963827</c:v>
                      </c:pt>
                      <c:pt idx="130">
                        <c:v>2.6451470000029076</c:v>
                      </c:pt>
                      <c:pt idx="131">
                        <c:v>2.6706280000071274</c:v>
                      </c:pt>
                      <c:pt idx="132">
                        <c:v>2.6857840000011493</c:v>
                      </c:pt>
                      <c:pt idx="133">
                        <c:v>2.7118340000015451</c:v>
                      </c:pt>
                      <c:pt idx="134">
                        <c:v>2.7317559999937657</c:v>
                      </c:pt>
                      <c:pt idx="135">
                        <c:v>2.7467389999947045</c:v>
                      </c:pt>
                      <c:pt idx="136">
                        <c:v>2.7717359999951441</c:v>
                      </c:pt>
                      <c:pt idx="137">
                        <c:v>2.7823230000067269</c:v>
                      </c:pt>
                      <c:pt idx="138">
                        <c:v>2.8119140000053449</c:v>
                      </c:pt>
                      <c:pt idx="139">
                        <c:v>2.8209769999957643</c:v>
                      </c:pt>
                      <c:pt idx="140">
                        <c:v>2.8517180000053486</c:v>
                      </c:pt>
                      <c:pt idx="141">
                        <c:v>2.8717109999997774</c:v>
                      </c:pt>
                      <c:pt idx="142">
                        <c:v>2.8814480000000913</c:v>
                      </c:pt>
                      <c:pt idx="143">
                        <c:v>2.907361999998102</c:v>
                      </c:pt>
                      <c:pt idx="144">
                        <c:v>2.9234009999927366</c:v>
                      </c:pt>
                      <c:pt idx="145">
                        <c:v>2.9484079999965616</c:v>
                      </c:pt>
                      <c:pt idx="146">
                        <c:v>2.9674059999961173</c:v>
                      </c:pt>
                      <c:pt idx="147">
                        <c:v>2.9871710000006715</c:v>
                      </c:pt>
                      <c:pt idx="148">
                        <c:v>3.0097939999977825</c:v>
                      </c:pt>
                      <c:pt idx="149">
                        <c:v>3.0274820000049658</c:v>
                      </c:pt>
                      <c:pt idx="150">
                        <c:v>3.0492830000002868</c:v>
                      </c:pt>
                      <c:pt idx="151">
                        <c:v>3.0676649999950314</c:v>
                      </c:pt>
                      <c:pt idx="152">
                        <c:v>3.0877840000030119</c:v>
                      </c:pt>
                      <c:pt idx="153">
                        <c:v>3.1087350000016158</c:v>
                      </c:pt>
                      <c:pt idx="154">
                        <c:v>3.1290100000042003</c:v>
                      </c:pt>
                      <c:pt idx="155">
                        <c:v>3.1441970000014408</c:v>
                      </c:pt>
                      <c:pt idx="156">
                        <c:v>3.168403000003309</c:v>
                      </c:pt>
                      <c:pt idx="157">
                        <c:v>3.1924449999933131</c:v>
                      </c:pt>
                      <c:pt idx="158">
                        <c:v>3.2133500000054482</c:v>
                      </c:pt>
                      <c:pt idx="159">
                        <c:v>3.2285600000031991</c:v>
                      </c:pt>
                      <c:pt idx="160">
                        <c:v>3.2441200000030221</c:v>
                      </c:pt>
                      <c:pt idx="161">
                        <c:v>3.2694909999991069</c:v>
                      </c:pt>
                      <c:pt idx="162">
                        <c:v>3.2937539999984438</c:v>
                      </c:pt>
                      <c:pt idx="163">
                        <c:v>3.3104580000072019</c:v>
                      </c:pt>
                      <c:pt idx="164">
                        <c:v>3.3294350000069244</c:v>
                      </c:pt>
                      <c:pt idx="165">
                        <c:v>3.349277000001166</c:v>
                      </c:pt>
                      <c:pt idx="166">
                        <c:v>3.3719500000006519</c:v>
                      </c:pt>
                      <c:pt idx="167">
                        <c:v>3.3908150000061141</c:v>
                      </c:pt>
                      <c:pt idx="168">
                        <c:v>3.4054869999963557</c:v>
                      </c:pt>
                      <c:pt idx="169">
                        <c:v>3.4302049999969313</c:v>
                      </c:pt>
                      <c:pt idx="170">
                        <c:v>3.4520959999936167</c:v>
                      </c:pt>
                      <c:pt idx="171">
                        <c:v>3.4648049999959767</c:v>
                      </c:pt>
                      <c:pt idx="172">
                        <c:v>3.49079100000381</c:v>
                      </c:pt>
                      <c:pt idx="173">
                        <c:v>3.5001929999998538</c:v>
                      </c:pt>
                      <c:pt idx="174">
                        <c:v>3.530681000003824</c:v>
                      </c:pt>
                      <c:pt idx="175">
                        <c:v>3.5506500000046799</c:v>
                      </c:pt>
                      <c:pt idx="176">
                        <c:v>3.5687520000064978</c:v>
                      </c:pt>
                      <c:pt idx="177">
                        <c:v>3.5910089999961201</c:v>
                      </c:pt>
                      <c:pt idx="178">
                        <c:v>3.6056269999971846</c:v>
                      </c:pt>
                      <c:pt idx="179">
                        <c:v>3.6308080000017071</c:v>
                      </c:pt>
                      <c:pt idx="180">
                        <c:v>3.6516960000008112</c:v>
                      </c:pt>
                      <c:pt idx="181">
                        <c:v>3.667555000007269</c:v>
                      </c:pt>
                      <c:pt idx="182">
                        <c:v>3.6924319999961881</c:v>
                      </c:pt>
                      <c:pt idx="183">
                        <c:v>3.7116790000000037</c:v>
                      </c:pt>
                      <c:pt idx="184">
                        <c:v>3.7264719999948284</c:v>
                      </c:pt>
                      <c:pt idx="185">
                        <c:v>3.7474039999942761</c:v>
                      </c:pt>
                      <c:pt idx="186">
                        <c:v>3.7724869999947259</c:v>
                      </c:pt>
                      <c:pt idx="187">
                        <c:v>3.7934470000036526</c:v>
                      </c:pt>
                      <c:pt idx="188">
                        <c:v>3.8076810000056867</c:v>
                      </c:pt>
                      <c:pt idx="189">
                        <c:v>3.832116000005044</c:v>
                      </c:pt>
                      <c:pt idx="190">
                        <c:v>3.842545000006794</c:v>
                      </c:pt>
                      <c:pt idx="191">
                        <c:v>3.871406999998726</c:v>
                      </c:pt>
                      <c:pt idx="192">
                        <c:v>3.8925960000051418</c:v>
                      </c:pt>
                      <c:pt idx="193">
                        <c:v>3.9126749999995809</c:v>
                      </c:pt>
                      <c:pt idx="194">
                        <c:v>3.9245519999967655</c:v>
                      </c:pt>
                      <c:pt idx="195">
                        <c:v>3.9481229999946663</c:v>
                      </c:pt>
                      <c:pt idx="196">
                        <c:v>3.9634170000063023</c:v>
                      </c:pt>
                      <c:pt idx="197">
                        <c:v>3.9902120000042487</c:v>
                      </c:pt>
                      <c:pt idx="198">
                        <c:v>4.0082729999994626</c:v>
                      </c:pt>
                      <c:pt idx="199">
                        <c:v>4.0329040000069654</c:v>
                      </c:pt>
                      <c:pt idx="200">
                        <c:v>4.0485679999983404</c:v>
                      </c:pt>
                      <c:pt idx="201">
                        <c:v>4.0655729999998584</c:v>
                      </c:pt>
                      <c:pt idx="202">
                        <c:v>4.0885209999978542</c:v>
                      </c:pt>
                      <c:pt idx="203">
                        <c:v>4.1096580000012182</c:v>
                      </c:pt>
                      <c:pt idx="204">
                        <c:v>4.1296569999976782</c:v>
                      </c:pt>
                      <c:pt idx="205">
                        <c:v>4.1485169999941718</c:v>
                      </c:pt>
                      <c:pt idx="206">
                        <c:v>4.1641729999973904</c:v>
                      </c:pt>
                      <c:pt idx="207">
                        <c:v>4.1927120000036666</c:v>
                      </c:pt>
                      <c:pt idx="208">
                        <c:v>4.210573000003933</c:v>
                      </c:pt>
                      <c:pt idx="209">
                        <c:v>4.2300249999971129</c:v>
                      </c:pt>
                      <c:pt idx="210">
                        <c:v>4.2491770000051474</c:v>
                      </c:pt>
                      <c:pt idx="211">
                        <c:v>4.2693810000055237</c:v>
                      </c:pt>
                      <c:pt idx="212">
                        <c:v>4.2926810000062687</c:v>
                      </c:pt>
                      <c:pt idx="213">
                        <c:v>4.3123619999969378</c:v>
                      </c:pt>
                      <c:pt idx="214">
                        <c:v>4.3236270000052173</c:v>
                      </c:pt>
                      <c:pt idx="215">
                        <c:v>4.3512570000020787</c:v>
                      </c:pt>
                      <c:pt idx="216">
                        <c:v>4.370452999995905</c:v>
                      </c:pt>
                      <c:pt idx="217">
                        <c:v>4.3855949999997392</c:v>
                      </c:pt>
                      <c:pt idx="218">
                        <c:v>4.4116510000021663</c:v>
                      </c:pt>
                      <c:pt idx="219">
                        <c:v>4.4319560000003548</c:v>
                      </c:pt>
                      <c:pt idx="220">
                        <c:v>4.450609000006807</c:v>
                      </c:pt>
                      <c:pt idx="221">
                        <c:v>4.4711410000018077</c:v>
                      </c:pt>
                      <c:pt idx="222">
                        <c:v>4.4914649999991525</c:v>
                      </c:pt>
                      <c:pt idx="223">
                        <c:v>4.5113770000025397</c:v>
                      </c:pt>
                      <c:pt idx="224">
                        <c:v>4.5335110000014538</c:v>
                      </c:pt>
                      <c:pt idx="225">
                        <c:v>4.5518880000017816</c:v>
                      </c:pt>
                      <c:pt idx="226">
                        <c:v>4.5727159999951255</c:v>
                      </c:pt>
                      <c:pt idx="227">
                        <c:v>4.5875990000058664</c:v>
                      </c:pt>
                      <c:pt idx="228">
                        <c:v>4.6115790000039851</c:v>
                      </c:pt>
                      <c:pt idx="229">
                        <c:v>4.6289269999979297</c:v>
                      </c:pt>
                      <c:pt idx="230">
                        <c:v>4.6466459999937797</c:v>
                      </c:pt>
                      <c:pt idx="231">
                        <c:v>4.6679900000017369</c:v>
                      </c:pt>
                      <c:pt idx="232">
                        <c:v>4.6924699999945005</c:v>
                      </c:pt>
                      <c:pt idx="233">
                        <c:v>4.7072829999960959</c:v>
                      </c:pt>
                      <c:pt idx="234">
                        <c:v>4.7321640000009211</c:v>
                      </c:pt>
                      <c:pt idx="235">
                        <c:v>4.7488690000027418</c:v>
                      </c:pt>
                      <c:pt idx="236">
                        <c:v>4.7680560000007972</c:v>
                      </c:pt>
                      <c:pt idx="237">
                        <c:v>4.7922260000050301</c:v>
                      </c:pt>
                      <c:pt idx="238">
                        <c:v>4.8123060000070836</c:v>
                      </c:pt>
                      <c:pt idx="239">
                        <c:v>4.8278129999962403</c:v>
                      </c:pt>
                      <c:pt idx="240">
                        <c:v>4.8518710000062129</c:v>
                      </c:pt>
                      <c:pt idx="241">
                        <c:v>4.8685109999933047</c:v>
                      </c:pt>
                      <c:pt idx="242">
                        <c:v>4.8900969999958761</c:v>
                      </c:pt>
                      <c:pt idx="243">
                        <c:v>4.9109770000068238</c:v>
                      </c:pt>
                      <c:pt idx="244">
                        <c:v>4.9282450000027893</c:v>
                      </c:pt>
                      <c:pt idx="245">
                        <c:v>4.9505219999991823</c:v>
                      </c:pt>
                      <c:pt idx="246">
                        <c:v>4.9698499999940395</c:v>
                      </c:pt>
                      <c:pt idx="247">
                        <c:v>4.992593000002671</c:v>
                      </c:pt>
                      <c:pt idx="248">
                        <c:v>5.0088120000000345</c:v>
                      </c:pt>
                      <c:pt idx="249">
                        <c:v>5.0316100000054576</c:v>
                      </c:pt>
                      <c:pt idx="250">
                        <c:v>5.0499969999946188</c:v>
                      </c:pt>
                      <c:pt idx="251">
                        <c:v>5.0693129999999655</c:v>
                      </c:pt>
                      <c:pt idx="252">
                        <c:v>5.0893229999928735</c:v>
                      </c:pt>
                      <c:pt idx="253">
                        <c:v>5.1057020000007469</c:v>
                      </c:pt>
                      <c:pt idx="254">
                        <c:v>5.1303250000055414</c:v>
                      </c:pt>
                      <c:pt idx="255">
                        <c:v>5.1522410000034142</c:v>
                      </c:pt>
                      <c:pt idx="256">
                        <c:v>5.1705280000023777</c:v>
                      </c:pt>
                      <c:pt idx="257">
                        <c:v>5.1904260000010254</c:v>
                      </c:pt>
                      <c:pt idx="258">
                        <c:v>5.2120589999976801</c:v>
                      </c:pt>
                      <c:pt idx="259">
                        <c:v>5.23209499999939</c:v>
                      </c:pt>
                      <c:pt idx="260">
                        <c:v>5.2414469999930589</c:v>
                      </c:pt>
                      <c:pt idx="261">
                        <c:v>5.2651409999962198</c:v>
                      </c:pt>
                      <c:pt idx="262">
                        <c:v>5.2915400000056252</c:v>
                      </c:pt>
                      <c:pt idx="263">
                        <c:v>5.3114269999932731</c:v>
                      </c:pt>
                      <c:pt idx="264">
                        <c:v>5.3258539999951608</c:v>
                      </c:pt>
                      <c:pt idx="265">
                        <c:v>5.3507320000062464</c:v>
                      </c:pt>
                      <c:pt idx="266">
                        <c:v>5.3712130000058096</c:v>
                      </c:pt>
                      <c:pt idx="267">
                        <c:v>5.3883910000004107</c:v>
                      </c:pt>
                      <c:pt idx="268">
                        <c:v>5.411642999999458</c:v>
                      </c:pt>
                      <c:pt idx="269">
                        <c:v>5.4311230000021169</c:v>
                      </c:pt>
                      <c:pt idx="270">
                        <c:v>5.4486299999989569</c:v>
                      </c:pt>
                      <c:pt idx="271">
                        <c:v>5.4724680000072112</c:v>
                      </c:pt>
                      <c:pt idx="272">
                        <c:v>5.4919269999954849</c:v>
                      </c:pt>
                      <c:pt idx="273">
                        <c:v>5.511863000006997</c:v>
                      </c:pt>
                      <c:pt idx="274">
                        <c:v>5.5304809999943245</c:v>
                      </c:pt>
                      <c:pt idx="275">
                        <c:v>5.5470349999959581</c:v>
                      </c:pt>
                      <c:pt idx="276">
                        <c:v>5.5724880000052508</c:v>
                      </c:pt>
                      <c:pt idx="277">
                        <c:v>5.5827129999961471</c:v>
                      </c:pt>
                      <c:pt idx="278">
                        <c:v>5.6128069999977015</c:v>
                      </c:pt>
                      <c:pt idx="279">
                        <c:v>5.6301979999989271</c:v>
                      </c:pt>
                      <c:pt idx="280">
                        <c:v>5.6481090000015683</c:v>
                      </c:pt>
                      <c:pt idx="281">
                        <c:v>5.6710330000059912</c:v>
                      </c:pt>
                      <c:pt idx="282">
                        <c:v>5.688586000003852</c:v>
                      </c:pt>
                      <c:pt idx="283">
                        <c:v>5.7051849999988917</c:v>
                      </c:pt>
                      <c:pt idx="284">
                        <c:v>5.7317630000034114</c:v>
                      </c:pt>
                      <c:pt idx="285">
                        <c:v>5.7484459999977844</c:v>
                      </c:pt>
                      <c:pt idx="286">
                        <c:v>5.770009999992908</c:v>
                      </c:pt>
                      <c:pt idx="287">
                        <c:v>5.7910430000047199</c:v>
                      </c:pt>
                      <c:pt idx="288">
                        <c:v>5.811199999996461</c:v>
                      </c:pt>
                      <c:pt idx="289">
                        <c:v>5.8293629999971017</c:v>
                      </c:pt>
                      <c:pt idx="290">
                        <c:v>5.8445210000063526</c:v>
                      </c:pt>
                      <c:pt idx="291">
                        <c:v>5.8717230000038398</c:v>
                      </c:pt>
                      <c:pt idx="292">
                        <c:v>5.8918779999949038</c:v>
                      </c:pt>
                      <c:pt idx="293">
                        <c:v>5.9094639999966603</c:v>
                      </c:pt>
                      <c:pt idx="294">
                        <c:v>5.9309780000039609</c:v>
                      </c:pt>
                      <c:pt idx="295">
                        <c:v>5.9442010000057053</c:v>
                      </c:pt>
                      <c:pt idx="296">
                        <c:v>5.9691310000052908</c:v>
                      </c:pt>
                      <c:pt idx="297">
                        <c:v>5.9892129999934696</c:v>
                      </c:pt>
                      <c:pt idx="298">
                        <c:v>6.0112450000015087</c:v>
                      </c:pt>
                      <c:pt idx="299">
                        <c:v>6.0316659999953117</c:v>
                      </c:pt>
                      <c:pt idx="300">
                        <c:v>6.049723999996786</c:v>
                      </c:pt>
                      <c:pt idx="301">
                        <c:v>6.0702909999963595</c:v>
                      </c:pt>
                      <c:pt idx="302">
                        <c:v>6.0916339999967022</c:v>
                      </c:pt>
                      <c:pt idx="303">
                        <c:v>6.1098610000044573</c:v>
                      </c:pt>
                      <c:pt idx="304">
                        <c:v>6.1296969999966677</c:v>
                      </c:pt>
                      <c:pt idx="305">
                        <c:v>6.1473790000018198</c:v>
                      </c:pt>
                      <c:pt idx="306">
                        <c:v>6.1705170000059297</c:v>
                      </c:pt>
                      <c:pt idx="307">
                        <c:v>6.1910729999945033</c:v>
                      </c:pt>
                      <c:pt idx="308">
                        <c:v>6.2112950000009732</c:v>
                      </c:pt>
                      <c:pt idx="309">
                        <c:v>6.2324990000051912</c:v>
                      </c:pt>
                      <c:pt idx="310">
                        <c:v>6.2469310000014957</c:v>
                      </c:pt>
                      <c:pt idx="311">
                        <c:v>6.2678610000002664</c:v>
                      </c:pt>
                      <c:pt idx="312">
                        <c:v>6.2864479999989271</c:v>
                      </c:pt>
                      <c:pt idx="313">
                        <c:v>6.3126840000040829</c:v>
                      </c:pt>
                      <c:pt idx="314">
                        <c:v>6.3321949999954086</c:v>
                      </c:pt>
                      <c:pt idx="315">
                        <c:v>6.3515110000007553</c:v>
                      </c:pt>
                      <c:pt idx="316">
                        <c:v>6.3666939999966417</c:v>
                      </c:pt>
                      <c:pt idx="317">
                        <c:v>6.3825130000041099</c:v>
                      </c:pt>
                      <c:pt idx="318">
                        <c:v>6.4117300000070827</c:v>
                      </c:pt>
                      <c:pt idx="319">
                        <c:v>6.42871500000183</c:v>
                      </c:pt>
                      <c:pt idx="320">
                        <c:v>6.4473149999976158</c:v>
                      </c:pt>
                      <c:pt idx="321">
                        <c:v>6.4672019999998156</c:v>
                      </c:pt>
                      <c:pt idx="322">
                        <c:v>6.4927759999991395</c:v>
                      </c:pt>
                      <c:pt idx="323">
                        <c:v>6.5122140000021318</c:v>
                      </c:pt>
                      <c:pt idx="324">
                        <c:v>6.5327839999954449</c:v>
                      </c:pt>
                      <c:pt idx="325">
                        <c:v>6.5528210000047693</c:v>
                      </c:pt>
                      <c:pt idx="326">
                        <c:v>6.5691119999974035</c:v>
                      </c:pt>
                      <c:pt idx="327">
                        <c:v>6.5885390000039479</c:v>
                      </c:pt>
                      <c:pt idx="328">
                        <c:v>6.6088980000058655</c:v>
                      </c:pt>
                      <c:pt idx="329">
                        <c:v>6.6250469999940833</c:v>
                      </c:pt>
                      <c:pt idx="330">
                        <c:v>6.6494329999986803</c:v>
                      </c:pt>
                      <c:pt idx="331">
                        <c:v>6.6683259999990696</c:v>
                      </c:pt>
                      <c:pt idx="332">
                        <c:v>6.6891250000044238</c:v>
                      </c:pt>
                      <c:pt idx="333">
                        <c:v>6.7096219999948516</c:v>
                      </c:pt>
                      <c:pt idx="334">
                        <c:v>6.7310640000068815</c:v>
                      </c:pt>
                      <c:pt idx="335">
                        <c:v>6.750530000004801</c:v>
                      </c:pt>
                      <c:pt idx="336">
                        <c:v>6.7719000000070082</c:v>
                      </c:pt>
                      <c:pt idx="337">
                        <c:v>6.7896100000070874</c:v>
                      </c:pt>
                      <c:pt idx="338">
                        <c:v>6.8107880000025034</c:v>
                      </c:pt>
                      <c:pt idx="339">
                        <c:v>6.8291630000021541</c:v>
                      </c:pt>
                      <c:pt idx="340">
                        <c:v>6.8509550000017043</c:v>
                      </c:pt>
                      <c:pt idx="341">
                        <c:v>6.8708230000047479</c:v>
                      </c:pt>
                      <c:pt idx="342">
                        <c:v>6.8905999999988126</c:v>
                      </c:pt>
                      <c:pt idx="343">
                        <c:v>6.9100480000051903</c:v>
                      </c:pt>
                      <c:pt idx="344">
                        <c:v>6.9326330000039889</c:v>
                      </c:pt>
                      <c:pt idx="345">
                        <c:v>6.9449889999959851</c:v>
                      </c:pt>
                      <c:pt idx="346">
                        <c:v>6.9655269999930169</c:v>
                      </c:pt>
                      <c:pt idx="347">
                        <c:v>6.9883089999930235</c:v>
                      </c:pt>
                      <c:pt idx="348">
                        <c:v>7.0150399999984074</c:v>
                      </c:pt>
                      <c:pt idx="349">
                        <c:v>7.0287379999936093</c:v>
                      </c:pt>
                      <c:pt idx="350">
                        <c:v>7.0497789999935776</c:v>
                      </c:pt>
                      <c:pt idx="351">
                        <c:v>7.0709510000015143</c:v>
                      </c:pt>
                      <c:pt idx="352">
                        <c:v>7.0911889999988489</c:v>
                      </c:pt>
                      <c:pt idx="353">
                        <c:v>7.1107849999971222</c:v>
                      </c:pt>
                      <c:pt idx="354">
                        <c:v>7.129413000002387</c:v>
                      </c:pt>
                      <c:pt idx="355">
                        <c:v>7.1513030000060098</c:v>
                      </c:pt>
                      <c:pt idx="356">
                        <c:v>7.1711340000038035</c:v>
                      </c:pt>
                      <c:pt idx="357">
                        <c:v>7.1819510000059381</c:v>
                      </c:pt>
                      <c:pt idx="358">
                        <c:v>7.2112820000038482</c:v>
                      </c:pt>
                      <c:pt idx="359">
                        <c:v>7.2316540000028908</c:v>
                      </c:pt>
                      <c:pt idx="360">
                        <c:v>7.249498000004678</c:v>
                      </c:pt>
                      <c:pt idx="361">
                        <c:v>7.2723109999933513</c:v>
                      </c:pt>
                      <c:pt idx="362">
                        <c:v>7.2877690000022994</c:v>
                      </c:pt>
                      <c:pt idx="363">
                        <c:v>7.3076699999946868</c:v>
                      </c:pt>
                      <c:pt idx="364">
                        <c:v>7.3309580000059213</c:v>
                      </c:pt>
                      <c:pt idx="365">
                        <c:v>7.3470830000005662</c:v>
                      </c:pt>
                      <c:pt idx="366">
                        <c:v>7.3723239999962971</c:v>
                      </c:pt>
                      <c:pt idx="367">
                        <c:v>7.388491999998223</c:v>
                      </c:pt>
                      <c:pt idx="368">
                        <c:v>7.4141660000022966</c:v>
                      </c:pt>
                      <c:pt idx="369">
                        <c:v>7.4282570000068517</c:v>
                      </c:pt>
                      <c:pt idx="370">
                        <c:v>7.4526329999935115</c:v>
                      </c:pt>
                      <c:pt idx="371">
                        <c:v>7.4675129999959609</c:v>
                      </c:pt>
                      <c:pt idx="372">
                        <c:v>7.4838699999963865</c:v>
                      </c:pt>
                      <c:pt idx="373">
                        <c:v>7.5100749999983236</c:v>
                      </c:pt>
                      <c:pt idx="374">
                        <c:v>7.528613000002224</c:v>
                      </c:pt>
                      <c:pt idx="375">
                        <c:v>7.5522110000019893</c:v>
                      </c:pt>
                      <c:pt idx="376">
                        <c:v>7.5683180000050925</c:v>
                      </c:pt>
                      <c:pt idx="377">
                        <c:v>7.5886889999965206</c:v>
                      </c:pt>
                      <c:pt idx="378">
                        <c:v>7.6127379999961704</c:v>
                      </c:pt>
                      <c:pt idx="379">
                        <c:v>7.6298700000043027</c:v>
                      </c:pt>
                      <c:pt idx="380">
                        <c:v>7.6484230000060052</c:v>
                      </c:pt>
                      <c:pt idx="381">
                        <c:v>7.6698239999968791</c:v>
                      </c:pt>
                      <c:pt idx="382">
                        <c:v>7.6921860000002198</c:v>
                      </c:pt>
                      <c:pt idx="383">
                        <c:v>7.7091660000005504</c:v>
                      </c:pt>
                      <c:pt idx="384">
                        <c:v>7.7291450000047917</c:v>
                      </c:pt>
                      <c:pt idx="385">
                        <c:v>7.7497719999955734</c:v>
                      </c:pt>
                      <c:pt idx="386">
                        <c:v>7.7715639999951236</c:v>
                      </c:pt>
                      <c:pt idx="387">
                        <c:v>7.7911140000069281</c:v>
                      </c:pt>
                      <c:pt idx="388">
                        <c:v>7.8119900000019697</c:v>
                      </c:pt>
                      <c:pt idx="389">
                        <c:v>7.8302689999982249</c:v>
                      </c:pt>
                      <c:pt idx="390">
                        <c:v>7.8519539999979315</c:v>
                      </c:pt>
                      <c:pt idx="391">
                        <c:v>7.8683909999963362</c:v>
                      </c:pt>
                      <c:pt idx="392">
                        <c:v>7.8853410000010626</c:v>
                      </c:pt>
                      <c:pt idx="393">
                        <c:v>7.912956000000122</c:v>
                      </c:pt>
                      <c:pt idx="394">
                        <c:v>7.9313450000045123</c:v>
                      </c:pt>
                      <c:pt idx="395">
                        <c:v>7.9516210000001593</c:v>
                      </c:pt>
                      <c:pt idx="396">
                        <c:v>7.9659260000044014</c:v>
                      </c:pt>
                      <c:pt idx="397">
                        <c:v>7.9909760000009555</c:v>
                      </c:pt>
                      <c:pt idx="398">
                        <c:v>8.01231099999859</c:v>
                      </c:pt>
                      <c:pt idx="399">
                        <c:v>8.0322259999957168</c:v>
                      </c:pt>
                      <c:pt idx="400">
                        <c:v>8.0511189999961061</c:v>
                      </c:pt>
                      <c:pt idx="401">
                        <c:v>8.0714940000034403</c:v>
                      </c:pt>
                      <c:pt idx="402">
                        <c:v>8.0898069999966538</c:v>
                      </c:pt>
                      <c:pt idx="403">
                        <c:v>8.1068789999990258</c:v>
                      </c:pt>
                      <c:pt idx="404">
                        <c:v>8.1312029999971855</c:v>
                      </c:pt>
                      <c:pt idx="405">
                        <c:v>8.151650999992853</c:v>
                      </c:pt>
                      <c:pt idx="406">
                        <c:v>8.1723490000003949</c:v>
                      </c:pt>
                      <c:pt idx="407">
                        <c:v>8.1932720000040717</c:v>
                      </c:pt>
                      <c:pt idx="408">
                        <c:v>8.209526000006008</c:v>
                      </c:pt>
                      <c:pt idx="409">
                        <c:v>8.2299679999996442</c:v>
                      </c:pt>
                      <c:pt idx="410">
                        <c:v>8.2472580000030575</c:v>
                      </c:pt>
                      <c:pt idx="411">
                        <c:v>8.2727100000047358</c:v>
                      </c:pt>
                      <c:pt idx="412">
                        <c:v>8.2902400000020862</c:v>
                      </c:pt>
                      <c:pt idx="413">
                        <c:v>8.3125600000057602</c:v>
                      </c:pt>
                      <c:pt idx="414">
                        <c:v>8.32836299999326</c:v>
                      </c:pt>
                      <c:pt idx="415">
                        <c:v>8.3478409999952419</c:v>
                      </c:pt>
                      <c:pt idx="416">
                        <c:v>8.3705970000009984</c:v>
                      </c:pt>
                      <c:pt idx="417">
                        <c:v>8.3892280000000028</c:v>
                      </c:pt>
                      <c:pt idx="418">
                        <c:v>8.4092459999956191</c:v>
                      </c:pt>
                      <c:pt idx="419">
                        <c:v>8.4297820000065258</c:v>
                      </c:pt>
                      <c:pt idx="420">
                        <c:v>8.4489529999991646</c:v>
                      </c:pt>
                      <c:pt idx="421">
                        <c:v>8.4718020000000251</c:v>
                      </c:pt>
                      <c:pt idx="422">
                        <c:v>8.4891919999936363</c:v>
                      </c:pt>
                      <c:pt idx="423">
                        <c:v>8.5079549999936717</c:v>
                      </c:pt>
                      <c:pt idx="424">
                        <c:v>8.5307969999994384</c:v>
                      </c:pt>
                      <c:pt idx="425">
                        <c:v>8.5492760000051931</c:v>
                      </c:pt>
                      <c:pt idx="426">
                        <c:v>8.5697260000015376</c:v>
                      </c:pt>
                      <c:pt idx="427">
                        <c:v>8.5921099999977741</c:v>
                      </c:pt>
                      <c:pt idx="428">
                        <c:v>8.6114609999931417</c:v>
                      </c:pt>
                      <c:pt idx="429">
                        <c:v>8.6322240000008605</c:v>
                      </c:pt>
                      <c:pt idx="430">
                        <c:v>8.6513730000006035</c:v>
                      </c:pt>
                      <c:pt idx="431">
                        <c:v>8.6656849999999395</c:v>
                      </c:pt>
                      <c:pt idx="432">
                        <c:v>8.6921200000069803</c:v>
                      </c:pt>
                      <c:pt idx="433">
                        <c:v>8.7099770000058925</c:v>
                      </c:pt>
                      <c:pt idx="434">
                        <c:v>8.7308309999934863</c:v>
                      </c:pt>
                      <c:pt idx="435">
                        <c:v>8.7502260000037495</c:v>
                      </c:pt>
                      <c:pt idx="436">
                        <c:v>8.7707749999972293</c:v>
                      </c:pt>
                      <c:pt idx="437">
                        <c:v>8.7914420000015525</c:v>
                      </c:pt>
                      <c:pt idx="438">
                        <c:v>8.8122889999940526</c:v>
                      </c:pt>
                      <c:pt idx="439">
                        <c:v>8.8308479999977862</c:v>
                      </c:pt>
                      <c:pt idx="440">
                        <c:v>8.8516930000041611</c:v>
                      </c:pt>
                      <c:pt idx="441">
                        <c:v>8.8710469999932684</c:v>
                      </c:pt>
                      <c:pt idx="442">
                        <c:v>8.8911879999941448</c:v>
                      </c:pt>
                      <c:pt idx="443">
                        <c:v>8.9112809999933233</c:v>
                      </c:pt>
                      <c:pt idx="444">
                        <c:v>8.9323690000019269</c:v>
                      </c:pt>
                      <c:pt idx="445">
                        <c:v>8.9531209999986459</c:v>
                      </c:pt>
                      <c:pt idx="446">
                        <c:v>8.9713460000057239</c:v>
                      </c:pt>
                      <c:pt idx="447">
                        <c:v>8.9924549999996088</c:v>
                      </c:pt>
                      <c:pt idx="448">
                        <c:v>9.0075380000052974</c:v>
                      </c:pt>
                      <c:pt idx="449">
                        <c:v>9.0278510000061942</c:v>
                      </c:pt>
                      <c:pt idx="450">
                        <c:v>9.0519409999978961</c:v>
                      </c:pt>
                      <c:pt idx="451">
                        <c:v>9.068316999997478</c:v>
                      </c:pt>
                      <c:pt idx="452">
                        <c:v>9.0950299999967683</c:v>
                      </c:pt>
                      <c:pt idx="453">
                        <c:v>9.1123260000022128</c:v>
                      </c:pt>
                      <c:pt idx="454">
                        <c:v>9.132448000003933</c:v>
                      </c:pt>
                      <c:pt idx="455">
                        <c:v>9.1494289999973262</c:v>
                      </c:pt>
                      <c:pt idx="456">
                        <c:v>9.1725169999990612</c:v>
                      </c:pt>
                      <c:pt idx="457">
                        <c:v>9.1901320000033593</c:v>
                      </c:pt>
                      <c:pt idx="458">
                        <c:v>9.2093480000039563</c:v>
                      </c:pt>
                      <c:pt idx="459">
                        <c:v>9.2288129999942612</c:v>
                      </c:pt>
                      <c:pt idx="460">
                        <c:v>9.2517269999952987</c:v>
                      </c:pt>
                      <c:pt idx="461">
                        <c:v>9.2573379999957979</c:v>
                      </c:pt>
                      <c:pt idx="462">
                        <c:v>9.2909749999962514</c:v>
                      </c:pt>
                      <c:pt idx="463">
                        <c:v>9.3134209999989253</c:v>
                      </c:pt>
                      <c:pt idx="464">
                        <c:v>9.3283890000020619</c:v>
                      </c:pt>
                      <c:pt idx="465">
                        <c:v>9.3499370000063209</c:v>
                      </c:pt>
                      <c:pt idx="466">
                        <c:v>9.368570999999065</c:v>
                      </c:pt>
                      <c:pt idx="467">
                        <c:v>9.3888219999935245</c:v>
                      </c:pt>
                      <c:pt idx="468">
                        <c:v>9.4126010000036331</c:v>
                      </c:pt>
                      <c:pt idx="469">
                        <c:v>9.4302449999959208</c:v>
                      </c:pt>
                      <c:pt idx="470">
                        <c:v>9.4511420000053477</c:v>
                      </c:pt>
                      <c:pt idx="471">
                        <c:v>9.4722259999980452</c:v>
                      </c:pt>
                      <c:pt idx="472">
                        <c:v>9.4890560000058031</c:v>
                      </c:pt>
                      <c:pt idx="473">
                        <c:v>9.5113600000040606</c:v>
                      </c:pt>
                      <c:pt idx="474">
                        <c:v>9.5310690000042086</c:v>
                      </c:pt>
                      <c:pt idx="475">
                        <c:v>9.5521520000038436</c:v>
                      </c:pt>
                      <c:pt idx="476">
                        <c:v>9.5712550000025658</c:v>
                      </c:pt>
                      <c:pt idx="477">
                        <c:v>9.5938239999959478</c:v>
                      </c:pt>
                      <c:pt idx="478">
                        <c:v>9.6115509999945061</c:v>
                      </c:pt>
                      <c:pt idx="479">
                        <c:v>9.6323450000054436</c:v>
                      </c:pt>
                      <c:pt idx="480">
                        <c:v>9.6483310000039637</c:v>
                      </c:pt>
                      <c:pt idx="481">
                        <c:v>9.6702510000031907</c:v>
                      </c:pt>
                      <c:pt idx="482">
                        <c:v>9.691634000002523</c:v>
                      </c:pt>
                      <c:pt idx="483">
                        <c:v>9.7088930000027176</c:v>
                      </c:pt>
                      <c:pt idx="484">
                        <c:v>9.7308289999928093</c:v>
                      </c:pt>
                      <c:pt idx="485">
                        <c:v>9.7508499999967171</c:v>
                      </c:pt>
                      <c:pt idx="486">
                        <c:v>9.7763399999967078</c:v>
                      </c:pt>
                      <c:pt idx="487">
                        <c:v>9.7917989999987185</c:v>
                      </c:pt>
                      <c:pt idx="488">
                        <c:v>9.811400999999023</c:v>
                      </c:pt>
                      <c:pt idx="489">
                        <c:v>9.8322630000038771</c:v>
                      </c:pt>
                      <c:pt idx="490">
                        <c:v>9.8472780000010971</c:v>
                      </c:pt>
                      <c:pt idx="491">
                        <c:v>9.872019000002183</c:v>
                      </c:pt>
                      <c:pt idx="492">
                        <c:v>9.8817750000016531</c:v>
                      </c:pt>
                      <c:pt idx="493">
                        <c:v>9.9077549999929033</c:v>
                      </c:pt>
                      <c:pt idx="494">
                        <c:v>9.9269689999928232</c:v>
                      </c:pt>
                      <c:pt idx="495">
                        <c:v>9.9470339999970747</c:v>
                      </c:pt>
                      <c:pt idx="496">
                        <c:v>9.9727089999942109</c:v>
                      </c:pt>
                      <c:pt idx="497">
                        <c:v>9.9884049999964191</c:v>
                      </c:pt>
                      <c:pt idx="498">
                        <c:v>10.013143000003765</c:v>
                      </c:pt>
                      <c:pt idx="499">
                        <c:v>10.027495999995153</c:v>
                      </c:pt>
                      <c:pt idx="500">
                        <c:v>10.05183300000499</c:v>
                      </c:pt>
                      <c:pt idx="501">
                        <c:v>10.06832900000154</c:v>
                      </c:pt>
                      <c:pt idx="502">
                        <c:v>10.089515999992727</c:v>
                      </c:pt>
                      <c:pt idx="503">
                        <c:v>10.109035000001313</c:v>
                      </c:pt>
                      <c:pt idx="504">
                        <c:v>10.131200000003446</c:v>
                      </c:pt>
                      <c:pt idx="505">
                        <c:v>10.148446000006516</c:v>
                      </c:pt>
                      <c:pt idx="506">
                        <c:v>10.171665000001667</c:v>
                      </c:pt>
                      <c:pt idx="507">
                        <c:v>10.192116999998689</c:v>
                      </c:pt>
                      <c:pt idx="508">
                        <c:v>10.209465000007185</c:v>
                      </c:pt>
                      <c:pt idx="509">
                        <c:v>10.229057999997167</c:v>
                      </c:pt>
                      <c:pt idx="510">
                        <c:v>10.250962999998592</c:v>
                      </c:pt>
                      <c:pt idx="511">
                        <c:v>10.269706000006408</c:v>
                      </c:pt>
                      <c:pt idx="512">
                        <c:v>10.289057000001776</c:v>
                      </c:pt>
                      <c:pt idx="513">
                        <c:v>10.306614999994054</c:v>
                      </c:pt>
                      <c:pt idx="514">
                        <c:v>10.331304999999702</c:v>
                      </c:pt>
                      <c:pt idx="515">
                        <c:v>10.351611999998568</c:v>
                      </c:pt>
                      <c:pt idx="516">
                        <c:v>10.3717089999991</c:v>
                      </c:pt>
                      <c:pt idx="517">
                        <c:v>10.391096000006655</c:v>
                      </c:pt>
                      <c:pt idx="518">
                        <c:v>10.41011399999843</c:v>
                      </c:pt>
                      <c:pt idx="519">
                        <c:v>10.429852999994182</c:v>
                      </c:pt>
                      <c:pt idx="520">
                        <c:v>10.445370999994338</c:v>
                      </c:pt>
                      <c:pt idx="521">
                        <c:v>10.470939999999246</c:v>
                      </c:pt>
                      <c:pt idx="522">
                        <c:v>10.490499000006821</c:v>
                      </c:pt>
                      <c:pt idx="523">
                        <c:v>10.510519000003114</c:v>
                      </c:pt>
                      <c:pt idx="524">
                        <c:v>10.522169000003487</c:v>
                      </c:pt>
                      <c:pt idx="525">
                        <c:v>10.552653000006103</c:v>
                      </c:pt>
                      <c:pt idx="526">
                        <c:v>10.571588999999221</c:v>
                      </c:pt>
                      <c:pt idx="527">
                        <c:v>10.591409000000567</c:v>
                      </c:pt>
                      <c:pt idx="528">
                        <c:v>10.608141999997315</c:v>
                      </c:pt>
                      <c:pt idx="529">
                        <c:v>10.629788000005647</c:v>
                      </c:pt>
                      <c:pt idx="530">
                        <c:v>10.650997000004281</c:v>
                      </c:pt>
                      <c:pt idx="531">
                        <c:v>10.666129999997793</c:v>
                      </c:pt>
                      <c:pt idx="532">
                        <c:v>10.691508999996586</c:v>
                      </c:pt>
                      <c:pt idx="533">
                        <c:v>10.711544999998296</c:v>
                      </c:pt>
                      <c:pt idx="534">
                        <c:v>10.731562999993912</c:v>
                      </c:pt>
                      <c:pt idx="535">
                        <c:v>10.752687999993213</c:v>
                      </c:pt>
                      <c:pt idx="536">
                        <c:v>10.768247999993037</c:v>
                      </c:pt>
                      <c:pt idx="537">
                        <c:v>10.792191000000457</c:v>
                      </c:pt>
                      <c:pt idx="538">
                        <c:v>10.812338000003365</c:v>
                      </c:pt>
                      <c:pt idx="539">
                        <c:v>10.827447999996366</c:v>
                      </c:pt>
                      <c:pt idx="540">
                        <c:v>10.847934000004898</c:v>
                      </c:pt>
                      <c:pt idx="541">
                        <c:v>10.869233000004897</c:v>
                      </c:pt>
                      <c:pt idx="542">
                        <c:v>10.892042000006768</c:v>
                      </c:pt>
                      <c:pt idx="543">
                        <c:v>10.907489000004716</c:v>
                      </c:pt>
                      <c:pt idx="544">
                        <c:v>10.928495000000112</c:v>
                      </c:pt>
                      <c:pt idx="545">
                        <c:v>10.949464000004809</c:v>
                      </c:pt>
                      <c:pt idx="546">
                        <c:v>10.970774999994319</c:v>
                      </c:pt>
                      <c:pt idx="547">
                        <c:v>10.988490000003367</c:v>
                      </c:pt>
                      <c:pt idx="548">
                        <c:v>11.00688899999659</c:v>
                      </c:pt>
                      <c:pt idx="549">
                        <c:v>11.030119999995804</c:v>
                      </c:pt>
                      <c:pt idx="550">
                        <c:v>11.045318999997107</c:v>
                      </c:pt>
                      <c:pt idx="551">
                        <c:v>11.070449999999255</c:v>
                      </c:pt>
                      <c:pt idx="552">
                        <c:v>11.089344000007259</c:v>
                      </c:pt>
                      <c:pt idx="553">
                        <c:v>11.109353000007104</c:v>
                      </c:pt>
                      <c:pt idx="554">
                        <c:v>11.128750999996555</c:v>
                      </c:pt>
                      <c:pt idx="555">
                        <c:v>11.151285999992979</c:v>
                      </c:pt>
                      <c:pt idx="556">
                        <c:v>11.171239999996033</c:v>
                      </c:pt>
                      <c:pt idx="557">
                        <c:v>11.192869000005885</c:v>
                      </c:pt>
                      <c:pt idx="558">
                        <c:v>11.210768999997526</c:v>
                      </c:pt>
                      <c:pt idx="559">
                        <c:v>11.231358000004548</c:v>
                      </c:pt>
                      <c:pt idx="560">
                        <c:v>11.249712999997428</c:v>
                      </c:pt>
                      <c:pt idx="561">
                        <c:v>11.271143999998458</c:v>
                      </c:pt>
                      <c:pt idx="562">
                        <c:v>11.291545999993104</c:v>
                      </c:pt>
                      <c:pt idx="563">
                        <c:v>11.310442000001785</c:v>
                      </c:pt>
                      <c:pt idx="564">
                        <c:v>11.3300040000031</c:v>
                      </c:pt>
                      <c:pt idx="565">
                        <c:v>11.350435000000289</c:v>
                      </c:pt>
                      <c:pt idx="566">
                        <c:v>11.372071999998298</c:v>
                      </c:pt>
                      <c:pt idx="567">
                        <c:v>11.39077699999325</c:v>
                      </c:pt>
                      <c:pt idx="568">
                        <c:v>11.410518999997294</c:v>
                      </c:pt>
                      <c:pt idx="569">
                        <c:v>11.43243000000075</c:v>
                      </c:pt>
                      <c:pt idx="570">
                        <c:v>11.451625000001513</c:v>
                      </c:pt>
                      <c:pt idx="571">
                        <c:v>11.471195999998599</c:v>
                      </c:pt>
                      <c:pt idx="572">
                        <c:v>11.486029000006965</c:v>
                      </c:pt>
                      <c:pt idx="573">
                        <c:v>11.510118999998667</c:v>
                      </c:pt>
                      <c:pt idx="574">
                        <c:v>11.528508000003058</c:v>
                      </c:pt>
                      <c:pt idx="575">
                        <c:v>11.551496000000043</c:v>
                      </c:pt>
                      <c:pt idx="576">
                        <c:v>11.571083999995608</c:v>
                      </c:pt>
                      <c:pt idx="577">
                        <c:v>11.587893000003533</c:v>
                      </c:pt>
                      <c:pt idx="578">
                        <c:v>11.611439000000246</c:v>
                      </c:pt>
                      <c:pt idx="579">
                        <c:v>11.632140000001527</c:v>
                      </c:pt>
                      <c:pt idx="580">
                        <c:v>11.647339999995893</c:v>
                      </c:pt>
                      <c:pt idx="581">
                        <c:v>11.672548999995342</c:v>
                      </c:pt>
                      <c:pt idx="582">
                        <c:v>11.687829999995301</c:v>
                      </c:pt>
                      <c:pt idx="583">
                        <c:v>11.70960699999705</c:v>
                      </c:pt>
                      <c:pt idx="584">
                        <c:v>11.7333409999992</c:v>
                      </c:pt>
                      <c:pt idx="585">
                        <c:v>11.748265000001993</c:v>
                      </c:pt>
                      <c:pt idx="586">
                        <c:v>11.772440999993705</c:v>
                      </c:pt>
                      <c:pt idx="587">
                        <c:v>11.793065000005299</c:v>
                      </c:pt>
                      <c:pt idx="588">
                        <c:v>11.808170000003884</c:v>
                      </c:pt>
                      <c:pt idx="589">
                        <c:v>11.828802999996697</c:v>
                      </c:pt>
                      <c:pt idx="590">
                        <c:v>11.84985400000005</c:v>
                      </c:pt>
                      <c:pt idx="591">
                        <c:v>11.868373999997857</c:v>
                      </c:pt>
                      <c:pt idx="592">
                        <c:v>11.888569000002462</c:v>
                      </c:pt>
                      <c:pt idx="593">
                        <c:v>11.910715999998502</c:v>
                      </c:pt>
                      <c:pt idx="594">
                        <c:v>11.929113999998663</c:v>
                      </c:pt>
                      <c:pt idx="595">
                        <c:v>11.950429999997141</c:v>
                      </c:pt>
                      <c:pt idx="596">
                        <c:v>11.969813999996404</c:v>
                      </c:pt>
                      <c:pt idx="597">
                        <c:v>11.988750000004075</c:v>
                      </c:pt>
                      <c:pt idx="598">
                        <c:v>12.009430000005523</c:v>
                      </c:pt>
                      <c:pt idx="599">
                        <c:v>12.0291819999984</c:v>
                      </c:pt>
                      <c:pt idx="600">
                        <c:v>12.047955999994883</c:v>
                      </c:pt>
                      <c:pt idx="601">
                        <c:v>12.069656000006944</c:v>
                      </c:pt>
                      <c:pt idx="602">
                        <c:v>12.09146700000565</c:v>
                      </c:pt>
                      <c:pt idx="603">
                        <c:v>12.106241999994381</c:v>
                      </c:pt>
                      <c:pt idx="604">
                        <c:v>12.129990000001271</c:v>
                      </c:pt>
                      <c:pt idx="605">
                        <c:v>12.152386999994633</c:v>
                      </c:pt>
                      <c:pt idx="606">
                        <c:v>12.175002000003587</c:v>
                      </c:pt>
                      <c:pt idx="607">
                        <c:v>12.18707899999572</c:v>
                      </c:pt>
                      <c:pt idx="608">
                        <c:v>12.211135999998078</c:v>
                      </c:pt>
                      <c:pt idx="609">
                        <c:v>12.230676999999559</c:v>
                      </c:pt>
                      <c:pt idx="610">
                        <c:v>12.251044999997248</c:v>
                      </c:pt>
                      <c:pt idx="611">
                        <c:v>12.270942000002833</c:v>
                      </c:pt>
                      <c:pt idx="612">
                        <c:v>12.29207700000552</c:v>
                      </c:pt>
                      <c:pt idx="613">
                        <c:v>12.30597200000193</c:v>
                      </c:pt>
                      <c:pt idx="614">
                        <c:v>12.330021999994642</c:v>
                      </c:pt>
                      <c:pt idx="615">
                        <c:v>12.33946499999729</c:v>
                      </c:pt>
                      <c:pt idx="616">
                        <c:v>13.351790000000619</c:v>
                      </c:pt>
                      <c:pt idx="617">
                        <c:v>13.371859999999288</c:v>
                      </c:pt>
                      <c:pt idx="618">
                        <c:v>13.388863999993191</c:v>
                      </c:pt>
                      <c:pt idx="619">
                        <c:v>13.407395000001998</c:v>
                      </c:pt>
                      <c:pt idx="620">
                        <c:v>13.42987500000163</c:v>
                      </c:pt>
                      <c:pt idx="621">
                        <c:v>13.450874999994994</c:v>
                      </c:pt>
                      <c:pt idx="622">
                        <c:v>13.467619999995804</c:v>
                      </c:pt>
                      <c:pt idx="623">
                        <c:v>13.488779000006616</c:v>
                      </c:pt>
                      <c:pt idx="624">
                        <c:v>13.507763999994495</c:v>
                      </c:pt>
                      <c:pt idx="625">
                        <c:v>13.528839999999036</c:v>
                      </c:pt>
                      <c:pt idx="626">
                        <c:v>13.549887999994098</c:v>
                      </c:pt>
                      <c:pt idx="627">
                        <c:v>13.568274999997811</c:v>
                      </c:pt>
                      <c:pt idx="628">
                        <c:v>13.584950999997091</c:v>
                      </c:pt>
                      <c:pt idx="629">
                        <c:v>13.608691999994335</c:v>
                      </c:pt>
                      <c:pt idx="630">
                        <c:v>13.631886000002851</c:v>
                      </c:pt>
                      <c:pt idx="631">
                        <c:v>13.651257000004989</c:v>
                      </c:pt>
                      <c:pt idx="632">
                        <c:v>13.670664999997825</c:v>
                      </c:pt>
                      <c:pt idx="633">
                        <c:v>13.690228000006755</c:v>
                      </c:pt>
                      <c:pt idx="634">
                        <c:v>13.707404999993742</c:v>
                      </c:pt>
                      <c:pt idx="635">
                        <c:v>13.729785000003176</c:v>
                      </c:pt>
                      <c:pt idx="636">
                        <c:v>13.750499000001582</c:v>
                      </c:pt>
                      <c:pt idx="637">
                        <c:v>13.769012000004295</c:v>
                      </c:pt>
                      <c:pt idx="638">
                        <c:v>13.793971000006422</c:v>
                      </c:pt>
                      <c:pt idx="639">
                        <c:v>13.809563999995589</c:v>
                      </c:pt>
                      <c:pt idx="640">
                        <c:v>13.831714999992982</c:v>
                      </c:pt>
                      <c:pt idx="641">
                        <c:v>13.85037800000282</c:v>
                      </c:pt>
                      <c:pt idx="642">
                        <c:v>13.87075200000254</c:v>
                      </c:pt>
                      <c:pt idx="643">
                        <c:v>13.889808000007179</c:v>
                      </c:pt>
                      <c:pt idx="644">
                        <c:v>13.909813999998732</c:v>
                      </c:pt>
                      <c:pt idx="645">
                        <c:v>13.932627000001958</c:v>
                      </c:pt>
                      <c:pt idx="646">
                        <c:v>13.950106999996933</c:v>
                      </c:pt>
                      <c:pt idx="647">
                        <c:v>13.970318000006955</c:v>
                      </c:pt>
                      <c:pt idx="648">
                        <c:v>13.992660000003525</c:v>
                      </c:pt>
                      <c:pt idx="649">
                        <c:v>14.01459399999294</c:v>
                      </c:pt>
                      <c:pt idx="650">
                        <c:v>14.025643000000855</c:v>
                      </c:pt>
                      <c:pt idx="651">
                        <c:v>14.051489999998012</c:v>
                      </c:pt>
                      <c:pt idx="652">
                        <c:v>14.072893999997177</c:v>
                      </c:pt>
                      <c:pt idx="653">
                        <c:v>14.091761999996379</c:v>
                      </c:pt>
                      <c:pt idx="654">
                        <c:v>14.111357999994652</c:v>
                      </c:pt>
                      <c:pt idx="655">
                        <c:v>14.127901999992901</c:v>
                      </c:pt>
                      <c:pt idx="656">
                        <c:v>14.146198000002187</c:v>
                      </c:pt>
                      <c:pt idx="657">
                        <c:v>14.166505999994115</c:v>
                      </c:pt>
                      <c:pt idx="658">
                        <c:v>14.191732000006596</c:v>
                      </c:pt>
                      <c:pt idx="659">
                        <c:v>14.211983999994118</c:v>
                      </c:pt>
                      <c:pt idx="660">
                        <c:v>14.228550999992876</c:v>
                      </c:pt>
                      <c:pt idx="661">
                        <c:v>14.247289000006276</c:v>
                      </c:pt>
                      <c:pt idx="662">
                        <c:v>14.270503000007011</c:v>
                      </c:pt>
                      <c:pt idx="663">
                        <c:v>14.291073000000324</c:v>
                      </c:pt>
                      <c:pt idx="664">
                        <c:v>14.311709000001429</c:v>
                      </c:pt>
                      <c:pt idx="665">
                        <c:v>14.330411999995704</c:v>
                      </c:pt>
                      <c:pt idx="666">
                        <c:v>14.347850000005565</c:v>
                      </c:pt>
                      <c:pt idx="667">
                        <c:v>14.369730999998865</c:v>
                      </c:pt>
                      <c:pt idx="668">
                        <c:v>14.389811000000918</c:v>
                      </c:pt>
                      <c:pt idx="669">
                        <c:v>14.393049000005703</c:v>
                      </c:pt>
                      <c:pt idx="670">
                        <c:v>14.420702999996138</c:v>
                      </c:pt>
                      <c:pt idx="671">
                        <c:v>14.448367999997572</c:v>
                      </c:pt>
                      <c:pt idx="672">
                        <c:v>14.468385999993188</c:v>
                      </c:pt>
                      <c:pt idx="673">
                        <c:v>14.490327999999863</c:v>
                      </c:pt>
                      <c:pt idx="674">
                        <c:v>14.505971999999019</c:v>
                      </c:pt>
                      <c:pt idx="675">
                        <c:v>14.53057699999772</c:v>
                      </c:pt>
                      <c:pt idx="676">
                        <c:v>14.550180000005639</c:v>
                      </c:pt>
                      <c:pt idx="677">
                        <c:v>14.574242999995477</c:v>
                      </c:pt>
                      <c:pt idx="678">
                        <c:v>14.589649000001373</c:v>
                      </c:pt>
                      <c:pt idx="679">
                        <c:v>14.611302000004798</c:v>
                      </c:pt>
                      <c:pt idx="680">
                        <c:v>14.62928799999645</c:v>
                      </c:pt>
                      <c:pt idx="681">
                        <c:v>14.649248999994597</c:v>
                      </c:pt>
                      <c:pt idx="682">
                        <c:v>14.669626999995671</c:v>
                      </c:pt>
                      <c:pt idx="683">
                        <c:v>14.690189999993891</c:v>
                      </c:pt>
                      <c:pt idx="684">
                        <c:v>14.709805000005872</c:v>
                      </c:pt>
                      <c:pt idx="685">
                        <c:v>14.731016999998246</c:v>
                      </c:pt>
                      <c:pt idx="686">
                        <c:v>14.746809999996913</c:v>
                      </c:pt>
                      <c:pt idx="687">
                        <c:v>14.770151999997324</c:v>
                      </c:pt>
                      <c:pt idx="688">
                        <c:v>14.790643999993335</c:v>
                      </c:pt>
                      <c:pt idx="689">
                        <c:v>14.810568999993848</c:v>
                      </c:pt>
                      <c:pt idx="690">
                        <c:v>14.832399000006262</c:v>
                      </c:pt>
                      <c:pt idx="691">
                        <c:v>14.853262000004179</c:v>
                      </c:pt>
                      <c:pt idx="692">
                        <c:v>14.870527999999467</c:v>
                      </c:pt>
                      <c:pt idx="693">
                        <c:v>14.892261000000872</c:v>
                      </c:pt>
                      <c:pt idx="694">
                        <c:v>14.912981999994372</c:v>
                      </c:pt>
                      <c:pt idx="695">
                        <c:v>14.93114400000195</c:v>
                      </c:pt>
                      <c:pt idx="696">
                        <c:v>14.952296999996179</c:v>
                      </c:pt>
                      <c:pt idx="697">
                        <c:v>14.958132999992813</c:v>
                      </c:pt>
                      <c:pt idx="698">
                        <c:v>14.990680999995675</c:v>
                      </c:pt>
                      <c:pt idx="699">
                        <c:v>15.011146999997436</c:v>
                      </c:pt>
                      <c:pt idx="700">
                        <c:v>15.032527999996091</c:v>
                      </c:pt>
                      <c:pt idx="701">
                        <c:v>15.048139999998966</c:v>
                      </c:pt>
                      <c:pt idx="702">
                        <c:v>15.066653999994742</c:v>
                      </c:pt>
                      <c:pt idx="703">
                        <c:v>15.078278000000864</c:v>
                      </c:pt>
                      <c:pt idx="704">
                        <c:v>15.109525000007125</c:v>
                      </c:pt>
                      <c:pt idx="705">
                        <c:v>15.129438000003574</c:v>
                      </c:pt>
                      <c:pt idx="706">
                        <c:v>15.149376000001212</c:v>
                      </c:pt>
                      <c:pt idx="707">
                        <c:v>15.171973999997135</c:v>
                      </c:pt>
                      <c:pt idx="708">
                        <c:v>15.187661000003573</c:v>
                      </c:pt>
                      <c:pt idx="709">
                        <c:v>15.21059800000512</c:v>
                      </c:pt>
                      <c:pt idx="710">
                        <c:v>15.227759000001242</c:v>
                      </c:pt>
                      <c:pt idx="711">
                        <c:v>15.244133000000147</c:v>
                      </c:pt>
                      <c:pt idx="712">
                        <c:v>15.269520999994711</c:v>
                      </c:pt>
                      <c:pt idx="713">
                        <c:v>15.280324999999721</c:v>
                      </c:pt>
                      <c:pt idx="714">
                        <c:v>15.305550999997649</c:v>
                      </c:pt>
                      <c:pt idx="715">
                        <c:v>15.331890000001295</c:v>
                      </c:pt>
                      <c:pt idx="716">
                        <c:v>15.337560999993002</c:v>
                      </c:pt>
                      <c:pt idx="717">
                        <c:v>15.368329000004451</c:v>
                      </c:pt>
                      <c:pt idx="718">
                        <c:v>15.384090999999898</c:v>
                      </c:pt>
                      <c:pt idx="719">
                        <c:v>15.409184000003734</c:v>
                      </c:pt>
                      <c:pt idx="720">
                        <c:v>15.430563999994774</c:v>
                      </c:pt>
                      <c:pt idx="721">
                        <c:v>15.449940000005881</c:v>
                      </c:pt>
                      <c:pt idx="722">
                        <c:v>15.471531999995932</c:v>
                      </c:pt>
                      <c:pt idx="723">
                        <c:v>15.489065999994637</c:v>
                      </c:pt>
                      <c:pt idx="724">
                        <c:v>15.510055999999167</c:v>
                      </c:pt>
                      <c:pt idx="725">
                        <c:v>15.5320950000023</c:v>
                      </c:pt>
                      <c:pt idx="726">
                        <c:v>15.549629999994067</c:v>
                      </c:pt>
                      <c:pt idx="727">
                        <c:v>15.569447000001674</c:v>
                      </c:pt>
                      <c:pt idx="728">
                        <c:v>15.590635000000475</c:v>
                      </c:pt>
                      <c:pt idx="729">
                        <c:v>15.606226000003517</c:v>
                      </c:pt>
                      <c:pt idx="730">
                        <c:v>15.632863000006182</c:v>
                      </c:pt>
                      <c:pt idx="731">
                        <c:v>15.651767999996082</c:v>
                      </c:pt>
                      <c:pt idx="732">
                        <c:v>15.667258000001311</c:v>
                      </c:pt>
                      <c:pt idx="733">
                        <c:v>15.68613099999493</c:v>
                      </c:pt>
                      <c:pt idx="734">
                        <c:v>15.712199000001419</c:v>
                      </c:pt>
                      <c:pt idx="735">
                        <c:v>15.73123299999861</c:v>
                      </c:pt>
                      <c:pt idx="736">
                        <c:v>15.747940000001108</c:v>
                      </c:pt>
                      <c:pt idx="737">
                        <c:v>15.771502999996301</c:v>
                      </c:pt>
                      <c:pt idx="738">
                        <c:v>15.791205999994418</c:v>
                      </c:pt>
                      <c:pt idx="739">
                        <c:v>15.811014000006253</c:v>
                      </c:pt>
                      <c:pt idx="740">
                        <c:v>15.833064000005834</c:v>
                      </c:pt>
                      <c:pt idx="741">
                        <c:v>15.851758000004338</c:v>
                      </c:pt>
                      <c:pt idx="742">
                        <c:v>15.872119999999995</c:v>
                      </c:pt>
                      <c:pt idx="743">
                        <c:v>15.886606000000029</c:v>
                      </c:pt>
                      <c:pt idx="744">
                        <c:v>15.912100999994436</c:v>
                      </c:pt>
                      <c:pt idx="745">
                        <c:v>15.931593000001158</c:v>
                      </c:pt>
                      <c:pt idx="746">
                        <c:v>15.946718999999575</c:v>
                      </c:pt>
                      <c:pt idx="747">
                        <c:v>15.96976100000029</c:v>
                      </c:pt>
                      <c:pt idx="748">
                        <c:v>15.988339999996242</c:v>
                      </c:pt>
                      <c:pt idx="749">
                        <c:v>16.011887999993633</c:v>
                      </c:pt>
                      <c:pt idx="750">
                        <c:v>16.032540999993216</c:v>
                      </c:pt>
                      <c:pt idx="751">
                        <c:v>16.046833999993396</c:v>
                      </c:pt>
                      <c:pt idx="752">
                        <c:v>16.073931000006269</c:v>
                      </c:pt>
                      <c:pt idx="753">
                        <c:v>16.089105999999447</c:v>
                      </c:pt>
                      <c:pt idx="754">
                        <c:v>16.108244000002742</c:v>
                      </c:pt>
                      <c:pt idx="755">
                        <c:v>16.124121999993804</c:v>
                      </c:pt>
                      <c:pt idx="756">
                        <c:v>16.150970000002417</c:v>
                      </c:pt>
                      <c:pt idx="757">
                        <c:v>16.168692000006558</c:v>
                      </c:pt>
                      <c:pt idx="758">
                        <c:v>16.188219999996363</c:v>
                      </c:pt>
                      <c:pt idx="759">
                        <c:v>16.207978000005824</c:v>
                      </c:pt>
                      <c:pt idx="760">
                        <c:v>16.231165999997756</c:v>
                      </c:pt>
                      <c:pt idx="761">
                        <c:v>16.248852000004263</c:v>
                      </c:pt>
                      <c:pt idx="762">
                        <c:v>16.26906200000667</c:v>
                      </c:pt>
                      <c:pt idx="763">
                        <c:v>16.288060000006226</c:v>
                      </c:pt>
                      <c:pt idx="764">
                        <c:v>16.308783000000403</c:v>
                      </c:pt>
                      <c:pt idx="765">
                        <c:v>16.328875000006519</c:v>
                      </c:pt>
                      <c:pt idx="766">
                        <c:v>16.336725999994087</c:v>
                      </c:pt>
                      <c:pt idx="767">
                        <c:v>16.388292999996338</c:v>
                      </c:pt>
                      <c:pt idx="768">
                        <c:v>16.409929000001284</c:v>
                      </c:pt>
                      <c:pt idx="769">
                        <c:v>16.429648000004818</c:v>
                      </c:pt>
                      <c:pt idx="770">
                        <c:v>16.444742000006954</c:v>
                      </c:pt>
                      <c:pt idx="771">
                        <c:v>16.469893999994383</c:v>
                      </c:pt>
                      <c:pt idx="772">
                        <c:v>16.491639999992913</c:v>
                      </c:pt>
                      <c:pt idx="773">
                        <c:v>16.512713999996777</c:v>
                      </c:pt>
                      <c:pt idx="774">
                        <c:v>16.530939999996917</c:v>
                      </c:pt>
                      <c:pt idx="775">
                        <c:v>16.54520799999591</c:v>
                      </c:pt>
                      <c:pt idx="776">
                        <c:v>16.56902799999807</c:v>
                      </c:pt>
                      <c:pt idx="777">
                        <c:v>16.580289999998058</c:v>
                      </c:pt>
                      <c:pt idx="778">
                        <c:v>16.612483000004431</c:v>
                      </c:pt>
                      <c:pt idx="779">
                        <c:v>16.631515999994008</c:v>
                      </c:pt>
                      <c:pt idx="780">
                        <c:v>16.652646999995341</c:v>
                      </c:pt>
                      <c:pt idx="781">
                        <c:v>16.666282000005594</c:v>
                      </c:pt>
                      <c:pt idx="782">
                        <c:v>16.690967000002274</c:v>
                      </c:pt>
                      <c:pt idx="783">
                        <c:v>16.711506000006921</c:v>
                      </c:pt>
                      <c:pt idx="784">
                        <c:v>16.730964000002132</c:v>
                      </c:pt>
                      <c:pt idx="785">
                        <c:v>16.751571999993757</c:v>
                      </c:pt>
                      <c:pt idx="786">
                        <c:v>16.768802999999025</c:v>
                      </c:pt>
                      <c:pt idx="787">
                        <c:v>16.786829000004218</c:v>
                      </c:pt>
                      <c:pt idx="788">
                        <c:v>16.815285999997286</c:v>
                      </c:pt>
                      <c:pt idx="789">
                        <c:v>16.832154999996419</c:v>
                      </c:pt>
                      <c:pt idx="790">
                        <c:v>16.852400000003399</c:v>
                      </c:pt>
                      <c:pt idx="791">
                        <c:v>16.870198999997228</c:v>
                      </c:pt>
                      <c:pt idx="792">
                        <c:v>16.891808999993373</c:v>
                      </c:pt>
                      <c:pt idx="793">
                        <c:v>16.910401999994065</c:v>
                      </c:pt>
                      <c:pt idx="794">
                        <c:v>16.929067999997642</c:v>
                      </c:pt>
                      <c:pt idx="795">
                        <c:v>16.9520909999992</c:v>
                      </c:pt>
                      <c:pt idx="796">
                        <c:v>16.966167000005953</c:v>
                      </c:pt>
                      <c:pt idx="797">
                        <c:v>16.982866000005743</c:v>
                      </c:pt>
                      <c:pt idx="798">
                        <c:v>17.002632000003359</c:v>
                      </c:pt>
                      <c:pt idx="799">
                        <c:v>17.025712000002386</c:v>
                      </c:pt>
                      <c:pt idx="800">
                        <c:v>17.050281000003451</c:v>
                      </c:pt>
                      <c:pt idx="801">
                        <c:v>17.07241900000372</c:v>
                      </c:pt>
                      <c:pt idx="802">
                        <c:v>17.091975999996066</c:v>
                      </c:pt>
                      <c:pt idx="803">
                        <c:v>17.101974999997765</c:v>
                      </c:pt>
                      <c:pt idx="804">
                        <c:v>17.132593999995152</c:v>
                      </c:pt>
                      <c:pt idx="805">
                        <c:v>17.14909799999441</c:v>
                      </c:pt>
                      <c:pt idx="806">
                        <c:v>17.17214999999851</c:v>
                      </c:pt>
                      <c:pt idx="807">
                        <c:v>17.184187000006204</c:v>
                      </c:pt>
                      <c:pt idx="808">
                        <c:v>17.209308999998029</c:v>
                      </c:pt>
                      <c:pt idx="809">
                        <c:v>17.22954000000027</c:v>
                      </c:pt>
                      <c:pt idx="810">
                        <c:v>17.251128999996581</c:v>
                      </c:pt>
                      <c:pt idx="811">
                        <c:v>17.26578800000425</c:v>
                      </c:pt>
                      <c:pt idx="812">
                        <c:v>17.290540000001783</c:v>
                      </c:pt>
                      <c:pt idx="813">
                        <c:v>17.310494000004837</c:v>
                      </c:pt>
                      <c:pt idx="814">
                        <c:v>17.330820999995922</c:v>
                      </c:pt>
                      <c:pt idx="815">
                        <c:v>17.352037000004202</c:v>
                      </c:pt>
                      <c:pt idx="816">
                        <c:v>17.369202000001678</c:v>
                      </c:pt>
                      <c:pt idx="817">
                        <c:v>17.387325000003329</c:v>
                      </c:pt>
                      <c:pt idx="818">
                        <c:v>17.410115999999107</c:v>
                      </c:pt>
                      <c:pt idx="819">
                        <c:v>17.429189999995288</c:v>
                      </c:pt>
                      <c:pt idx="820">
                        <c:v>17.450786999994307</c:v>
                      </c:pt>
                      <c:pt idx="821">
                        <c:v>17.472670999995898</c:v>
                      </c:pt>
                      <c:pt idx="822">
                        <c:v>17.49282200000016</c:v>
                      </c:pt>
                      <c:pt idx="823">
                        <c:v>17.498500999994576</c:v>
                      </c:pt>
                      <c:pt idx="824">
                        <c:v>17.530920999997761</c:v>
                      </c:pt>
                      <c:pt idx="825">
                        <c:v>17.550405000001774</c:v>
                      </c:pt>
                      <c:pt idx="826">
                        <c:v>17.566690000006929</c:v>
                      </c:pt>
                      <c:pt idx="827">
                        <c:v>17.582725999993272</c:v>
                      </c:pt>
                      <c:pt idx="828">
                        <c:v>17.606815999999526</c:v>
                      </c:pt>
                      <c:pt idx="829">
                        <c:v>17.632996999993338</c:v>
                      </c:pt>
                      <c:pt idx="830">
                        <c:v>17.651532000003499</c:v>
                      </c:pt>
                      <c:pt idx="831">
                        <c:v>17.672609999994165</c:v>
                      </c:pt>
                      <c:pt idx="832">
                        <c:v>17.712639999997918</c:v>
                      </c:pt>
                      <c:pt idx="833">
                        <c:v>17.73266500000318</c:v>
                      </c:pt>
                      <c:pt idx="834">
                        <c:v>17.737426000006963</c:v>
                      </c:pt>
                      <c:pt idx="835">
                        <c:v>17.773205000004964</c:v>
                      </c:pt>
                      <c:pt idx="836">
                        <c:v>17.787469999995665</c:v>
                      </c:pt>
                      <c:pt idx="837">
                        <c:v>17.813957000005757</c:v>
                      </c:pt>
                      <c:pt idx="838">
                        <c:v>17.824382000006153</c:v>
                      </c:pt>
                      <c:pt idx="839">
                        <c:v>17.850562000006903</c:v>
                      </c:pt>
                      <c:pt idx="840">
                        <c:v>17.854382000004989</c:v>
                      </c:pt>
                      <c:pt idx="841">
                        <c:v>17.892170000006445</c:v>
                      </c:pt>
                      <c:pt idx="842">
                        <c:v>17.908479999998235</c:v>
                      </c:pt>
                      <c:pt idx="843">
                        <c:v>17.928702999997768</c:v>
                      </c:pt>
                      <c:pt idx="844">
                        <c:v>17.949370999995153</c:v>
                      </c:pt>
                      <c:pt idx="845">
                        <c:v>17.962098000003607</c:v>
                      </c:pt>
                      <c:pt idx="846">
                        <c:v>17.990875000003143</c:v>
                      </c:pt>
                      <c:pt idx="847">
                        <c:v>17.994823000000906</c:v>
                      </c:pt>
                      <c:pt idx="848">
                        <c:v>18.027514000001247</c:v>
                      </c:pt>
                      <c:pt idx="849">
                        <c:v>18.050101000000723</c:v>
                      </c:pt>
                      <c:pt idx="850">
                        <c:v>18.062420999995084</c:v>
                      </c:pt>
                      <c:pt idx="851">
                        <c:v>18.106587999995099</c:v>
                      </c:pt>
                      <c:pt idx="852">
                        <c:v>18.167728999993415</c:v>
                      </c:pt>
                      <c:pt idx="853">
                        <c:v>18.180475999994087</c:v>
                      </c:pt>
                      <c:pt idx="854">
                        <c:v>18.320932000002358</c:v>
                      </c:pt>
                      <c:pt idx="855">
                        <c:v>18.380057000002125</c:v>
                      </c:pt>
                      <c:pt idx="856">
                        <c:v>18.405499000000418</c:v>
                      </c:pt>
                      <c:pt idx="857">
                        <c:v>18.422554000004311</c:v>
                      </c:pt>
                      <c:pt idx="858">
                        <c:v>18.450954999992973</c:v>
                      </c:pt>
                      <c:pt idx="859">
                        <c:v>18.457024000003003</c:v>
                      </c:pt>
                      <c:pt idx="860">
                        <c:v>18.531701999992947</c:v>
                      </c:pt>
                      <c:pt idx="861">
                        <c:v>18.592285999999149</c:v>
                      </c:pt>
                      <c:pt idx="862">
                        <c:v>18.600279000005685</c:v>
                      </c:pt>
                      <c:pt idx="863">
                        <c:v>18.643800000005285</c:v>
                      </c:pt>
                      <c:pt idx="864">
                        <c:v>18.669360999992932</c:v>
                      </c:pt>
                      <c:pt idx="865">
                        <c:v>18.70567700000538</c:v>
                      </c:pt>
                      <c:pt idx="866">
                        <c:v>18.727463999995962</c:v>
                      </c:pt>
                      <c:pt idx="867">
                        <c:v>18.75185899999633</c:v>
                      </c:pt>
                      <c:pt idx="868">
                        <c:v>18.771382999999332</c:v>
                      </c:pt>
                      <c:pt idx="869">
                        <c:v>18.788291000004392</c:v>
                      </c:pt>
                      <c:pt idx="870">
                        <c:v>18.848809000002802</c:v>
                      </c:pt>
                      <c:pt idx="871">
                        <c:v>18.853226000006543</c:v>
                      </c:pt>
                      <c:pt idx="872">
                        <c:v>18.931729999996605</c:v>
                      </c:pt>
                      <c:pt idx="873">
                        <c:v>18.949353999996674</c:v>
                      </c:pt>
                      <c:pt idx="874">
                        <c:v>18.969987000004039</c:v>
                      </c:pt>
                      <c:pt idx="875">
                        <c:v>18.990466999995988</c:v>
                      </c:pt>
                      <c:pt idx="876">
                        <c:v>19.001478999998653</c:v>
                      </c:pt>
                      <c:pt idx="877">
                        <c:v>19.030511000004481</c:v>
                      </c:pt>
                      <c:pt idx="878">
                        <c:v>19.071265000005951</c:v>
                      </c:pt>
                      <c:pt idx="879">
                        <c:v>19.087696999995387</c:v>
                      </c:pt>
                      <c:pt idx="880">
                        <c:v>19.109417999992729</c:v>
                      </c:pt>
                      <c:pt idx="881">
                        <c:v>19.121025999993435</c:v>
                      </c:pt>
                      <c:pt idx="882">
                        <c:v>19.135913999998593</c:v>
                      </c:pt>
                      <c:pt idx="883">
                        <c:v>19.192383000001428</c:v>
                      </c:pt>
                      <c:pt idx="884">
                        <c:v>19.210042999999132</c:v>
                      </c:pt>
                      <c:pt idx="885">
                        <c:v>19.269948000001023</c:v>
                      </c:pt>
                      <c:pt idx="886">
                        <c:v>19.277885999996215</c:v>
                      </c:pt>
                      <c:pt idx="887">
                        <c:v>19.330692000003182</c:v>
                      </c:pt>
                      <c:pt idx="888">
                        <c:v>19.347475000002305</c:v>
                      </c:pt>
                      <c:pt idx="889">
                        <c:v>19.412165999994613</c:v>
                      </c:pt>
                      <c:pt idx="890">
                        <c:v>19.416817000004812</c:v>
                      </c:pt>
                      <c:pt idx="891">
                        <c:v>19.470014000005904</c:v>
                      </c:pt>
                      <c:pt idx="892">
                        <c:v>19.473469000004116</c:v>
                      </c:pt>
                      <c:pt idx="893">
                        <c:v>19.558466000002227</c:v>
                      </c:pt>
                      <c:pt idx="894">
                        <c:v>19.60882799999672</c:v>
                      </c:pt>
                      <c:pt idx="895">
                        <c:v>19.616255999993882</c:v>
                      </c:pt>
                      <c:pt idx="896">
                        <c:v>19.681517000004533</c:v>
                      </c:pt>
                      <c:pt idx="897">
                        <c:v>19.754574999999022</c:v>
                      </c:pt>
                      <c:pt idx="898">
                        <c:v>19.829968999998528</c:v>
                      </c:pt>
                      <c:pt idx="899">
                        <c:v>19.89028999999573</c:v>
                      </c:pt>
                      <c:pt idx="900">
                        <c:v>19.896116000003531</c:v>
                      </c:pt>
                      <c:pt idx="901">
                        <c:v>20.026220999992802</c:v>
                      </c:pt>
                      <c:pt idx="902">
                        <c:v>20.03784099999757</c:v>
                      </c:pt>
                      <c:pt idx="903">
                        <c:v>20.085686000005808</c:v>
                      </c:pt>
                      <c:pt idx="904">
                        <c:v>20.106010000003153</c:v>
                      </c:pt>
                      <c:pt idx="905">
                        <c:v>20.16501199999766</c:v>
                      </c:pt>
                      <c:pt idx="906">
                        <c:v>20.175933000005898</c:v>
                      </c:pt>
                      <c:pt idx="907">
                        <c:v>20.24430599999323</c:v>
                      </c:pt>
                      <c:pt idx="908">
                        <c:v>20.372518000003765</c:v>
                      </c:pt>
                      <c:pt idx="909">
                        <c:v>20.380502999993041</c:v>
                      </c:pt>
                      <c:pt idx="910">
                        <c:v>20.444394999998622</c:v>
                      </c:pt>
                      <c:pt idx="911">
                        <c:v>20.50830099999439</c:v>
                      </c:pt>
                      <c:pt idx="912">
                        <c:v>20.521355999997468</c:v>
                      </c:pt>
                      <c:pt idx="913">
                        <c:v>20.557960000005551</c:v>
                      </c:pt>
                      <c:pt idx="914">
                        <c:v>20.587719999995898</c:v>
                      </c:pt>
                      <c:pt idx="915">
                        <c:v>20.609152999997605</c:v>
                      </c:pt>
                      <c:pt idx="916">
                        <c:v>20.619072000001324</c:v>
                      </c:pt>
                      <c:pt idx="917">
                        <c:v>20.67234799999278</c:v>
                      </c:pt>
                      <c:pt idx="918">
                        <c:v>20.689606999992975</c:v>
                      </c:pt>
                      <c:pt idx="919">
                        <c:v>20.710848000002443</c:v>
                      </c:pt>
                      <c:pt idx="920">
                        <c:v>20.713470999995479</c:v>
                      </c:pt>
                      <c:pt idx="921">
                        <c:v>20.770128999996814</c:v>
                      </c:pt>
                      <c:pt idx="922">
                        <c:v>20.781872999999905</c:v>
                      </c:pt>
                      <c:pt idx="923">
                        <c:v>20.851871999999275</c:v>
                      </c:pt>
                      <c:pt idx="924">
                        <c:v>20.910011999993003</c:v>
                      </c:pt>
                      <c:pt idx="925">
                        <c:v>20.917421000005561</c:v>
                      </c:pt>
                      <c:pt idx="926">
                        <c:v>20.990090000006603</c:v>
                      </c:pt>
                      <c:pt idx="927">
                        <c:v>21.059141000005184</c:v>
                      </c:pt>
                      <c:pt idx="928">
                        <c:v>21.123573999997461</c:v>
                      </c:pt>
                      <c:pt idx="929">
                        <c:v>21.189335000002757</c:v>
                      </c:pt>
                      <c:pt idx="930">
                        <c:v>21.193016999997781</c:v>
                      </c:pt>
                      <c:pt idx="931">
                        <c:v>21.267498000001069</c:v>
                      </c:pt>
                      <c:pt idx="932">
                        <c:v>21.39588100000401</c:v>
                      </c:pt>
                      <c:pt idx="933">
                        <c:v>21.476766000007046</c:v>
                      </c:pt>
                      <c:pt idx="934">
                        <c:v>21.671587999997428</c:v>
                      </c:pt>
                      <c:pt idx="935">
                        <c:v>21.80168699999922</c:v>
                      </c:pt>
                      <c:pt idx="936">
                        <c:v>21.819898000001558</c:v>
                      </c:pt>
                      <c:pt idx="937">
                        <c:v>21.929365999996662</c:v>
                      </c:pt>
                      <c:pt idx="938">
                        <c:v>21.950813999996171</c:v>
                      </c:pt>
                      <c:pt idx="939">
                        <c:v>21.969597000002977</c:v>
                      </c:pt>
                      <c:pt idx="940">
                        <c:v>21.988500000006752</c:v>
                      </c:pt>
                      <c:pt idx="941">
                        <c:v>22.009302000005846</c:v>
                      </c:pt>
                      <c:pt idx="942">
                        <c:v>22.03289699999732</c:v>
                      </c:pt>
                      <c:pt idx="943">
                        <c:v>22.050904999996419</c:v>
                      </c:pt>
                      <c:pt idx="944">
                        <c:v>22.10960100000375</c:v>
                      </c:pt>
                      <c:pt idx="945">
                        <c:v>22.129606000002241</c:v>
                      </c:pt>
                      <c:pt idx="946">
                        <c:v>22.153552999996464</c:v>
                      </c:pt>
                      <c:pt idx="947">
                        <c:v>22.216033999997308</c:v>
                      </c:pt>
                      <c:pt idx="948">
                        <c:v>22.269459999995888</c:v>
                      </c:pt>
                      <c:pt idx="949">
                        <c:v>22.339386999999988</c:v>
                      </c:pt>
                      <c:pt idx="950">
                        <c:v>22.35994500000379</c:v>
                      </c:pt>
                      <c:pt idx="951">
                        <c:v>22.697455999994418</c:v>
                      </c:pt>
                      <c:pt idx="952">
                        <c:v>22.752504999996745</c:v>
                      </c:pt>
                      <c:pt idx="953">
                        <c:v>22.776291000001947</c:v>
                      </c:pt>
                      <c:pt idx="954">
                        <c:v>22.894717000002856</c:v>
                      </c:pt>
                      <c:pt idx="955">
                        <c:v>22.936753999994835</c:v>
                      </c:pt>
                      <c:pt idx="956">
                        <c:v>22.964806000003591</c:v>
                      </c:pt>
                      <c:pt idx="957">
                        <c:v>23.011020000005374</c:v>
                      </c:pt>
                      <c:pt idx="958">
                        <c:v>23.041721999994479</c:v>
                      </c:pt>
                      <c:pt idx="959">
                        <c:v>23.059169000000111</c:v>
                      </c:pt>
                      <c:pt idx="960">
                        <c:v>23.078345000001718</c:v>
                      </c:pt>
                      <c:pt idx="961">
                        <c:v>23.101450999994995</c:v>
                      </c:pt>
                      <c:pt idx="962">
                        <c:v>23.149567999993451</c:v>
                      </c:pt>
                      <c:pt idx="963">
                        <c:v>23.170113999993191</c:v>
                      </c:pt>
                      <c:pt idx="964">
                        <c:v>23.187950000006822</c:v>
                      </c:pt>
                      <c:pt idx="965">
                        <c:v>23.217732000004617</c:v>
                      </c:pt>
                      <c:pt idx="966">
                        <c:v>23.238828000001376</c:v>
                      </c:pt>
                      <c:pt idx="967">
                        <c:v>23.273797999994713</c:v>
                      </c:pt>
                      <c:pt idx="968">
                        <c:v>23.282284999993863</c:v>
                      </c:pt>
                      <c:pt idx="969">
                        <c:v>23.304826999999932</c:v>
                      </c:pt>
                      <c:pt idx="970">
                        <c:v>23.322432999993907</c:v>
                      </c:pt>
                      <c:pt idx="971">
                        <c:v>23.340609000006225</c:v>
                      </c:pt>
                      <c:pt idx="972">
                        <c:v>23.358603999993647</c:v>
                      </c:pt>
                      <c:pt idx="973">
                        <c:v>23.387841000003391</c:v>
                      </c:pt>
                      <c:pt idx="974">
                        <c:v>23.408421999993152</c:v>
                      </c:pt>
                      <c:pt idx="975">
                        <c:v>23.436639000006835</c:v>
                      </c:pt>
                      <c:pt idx="976">
                        <c:v>23.466872999997577</c:v>
                      </c:pt>
                      <c:pt idx="977">
                        <c:v>23.485339000006206</c:v>
                      </c:pt>
                      <c:pt idx="978">
                        <c:v>23.504153000001679</c:v>
                      </c:pt>
                      <c:pt idx="979">
                        <c:v>23.521840000001248</c:v>
                      </c:pt>
                      <c:pt idx="980">
                        <c:v>23.545178999993368</c:v>
                      </c:pt>
                      <c:pt idx="981">
                        <c:v>23.571225000006962</c:v>
                      </c:pt>
                      <c:pt idx="982">
                        <c:v>23.592843000005814</c:v>
                      </c:pt>
                      <c:pt idx="983">
                        <c:v>23.609421000001021</c:v>
                      </c:pt>
                      <c:pt idx="984">
                        <c:v>23.626527000000351</c:v>
                      </c:pt>
                      <c:pt idx="985">
                        <c:v>23.645789999995031</c:v>
                      </c:pt>
                      <c:pt idx="986">
                        <c:v>23.655771000005188</c:v>
                      </c:pt>
                      <c:pt idx="987">
                        <c:v>23.690142000006745</c:v>
                      </c:pt>
                      <c:pt idx="988">
                        <c:v>23.70281299999624</c:v>
                      </c:pt>
                      <c:pt idx="989">
                        <c:v>23.730490999994799</c:v>
                      </c:pt>
                      <c:pt idx="990">
                        <c:v>23.752940000005765</c:v>
                      </c:pt>
                      <c:pt idx="991">
                        <c:v>23.771536999993259</c:v>
                      </c:pt>
                      <c:pt idx="992">
                        <c:v>23.787014999994426</c:v>
                      </c:pt>
                      <c:pt idx="993">
                        <c:v>23.808394000006956</c:v>
                      </c:pt>
                      <c:pt idx="994">
                        <c:v>23.829131999998935</c:v>
                      </c:pt>
                      <c:pt idx="995">
                        <c:v>23.851704000000609</c:v>
                      </c:pt>
                      <c:pt idx="996">
                        <c:v>23.872075999999652</c:v>
                      </c:pt>
                      <c:pt idx="997">
                        <c:v>23.891747000001487</c:v>
                      </c:pt>
                      <c:pt idx="998">
                        <c:v>23.913037999998778</c:v>
                      </c:pt>
                      <c:pt idx="999">
                        <c:v>23.928671000001486</c:v>
                      </c:pt>
                      <c:pt idx="1000">
                        <c:v>23.950268999993568</c:v>
                      </c:pt>
                      <c:pt idx="1001">
                        <c:v>23.969091999999364</c:v>
                      </c:pt>
                      <c:pt idx="1002">
                        <c:v>23.991341999993892</c:v>
                      </c:pt>
                      <c:pt idx="1003">
                        <c:v>24.004977999997209</c:v>
                      </c:pt>
                      <c:pt idx="1004">
                        <c:v>24.030178000000888</c:v>
                      </c:pt>
                      <c:pt idx="1005">
                        <c:v>24.051252999997814</c:v>
                      </c:pt>
                      <c:pt idx="1006">
                        <c:v>24.071083000002545</c:v>
                      </c:pt>
                      <c:pt idx="1007">
                        <c:v>24.08887799999502</c:v>
                      </c:pt>
                      <c:pt idx="1008">
                        <c:v>24.109505000000354</c:v>
                      </c:pt>
                      <c:pt idx="1009">
                        <c:v>24.130529000001843</c:v>
                      </c:pt>
                      <c:pt idx="1010">
                        <c:v>24.149757999999565</c:v>
                      </c:pt>
                      <c:pt idx="1011">
                        <c:v>24.169351999997161</c:v>
                      </c:pt>
                      <c:pt idx="1012">
                        <c:v>24.185184999994817</c:v>
                      </c:pt>
                      <c:pt idx="1013">
                        <c:v>24.210292000003392</c:v>
                      </c:pt>
                      <c:pt idx="1014">
                        <c:v>24.230257000002894</c:v>
                      </c:pt>
                      <c:pt idx="1015">
                        <c:v>24.251063000003342</c:v>
                      </c:pt>
                      <c:pt idx="1016">
                        <c:v>24.260286999997334</c:v>
                      </c:pt>
                      <c:pt idx="1017">
                        <c:v>24.290764000004856</c:v>
                      </c:pt>
                      <c:pt idx="1018">
                        <c:v>24.312315999995917</c:v>
                      </c:pt>
                      <c:pt idx="1019">
                        <c:v>24.332882999995491</c:v>
                      </c:pt>
                      <c:pt idx="1020">
                        <c:v>24.352180999994744</c:v>
                      </c:pt>
                      <c:pt idx="1021">
                        <c:v>24.370655000006082</c:v>
                      </c:pt>
                      <c:pt idx="1022">
                        <c:v>24.386303999999654</c:v>
                      </c:pt>
                      <c:pt idx="1023">
                        <c:v>24.411489999998594</c:v>
                      </c:pt>
                      <c:pt idx="1024">
                        <c:v>24.430787000004784</c:v>
                      </c:pt>
                      <c:pt idx="1025">
                        <c:v>24.451795999993919</c:v>
                      </c:pt>
                      <c:pt idx="1026">
                        <c:v>24.472370000003139</c:v>
                      </c:pt>
                      <c:pt idx="1027">
                        <c:v>24.493352999998024</c:v>
                      </c:pt>
                      <c:pt idx="1028">
                        <c:v>24.513412000000244</c:v>
                      </c:pt>
                      <c:pt idx="1029">
                        <c:v>24.527015999992727</c:v>
                      </c:pt>
                      <c:pt idx="1030">
                        <c:v>24.547990999999456</c:v>
                      </c:pt>
                      <c:pt idx="1031">
                        <c:v>24.568528000003425</c:v>
                      </c:pt>
                      <c:pt idx="1032">
                        <c:v>24.592092000006232</c:v>
                      </c:pt>
                      <c:pt idx="1033">
                        <c:v>24.612911000003805</c:v>
                      </c:pt>
                      <c:pt idx="1034">
                        <c:v>24.630116999993334</c:v>
                      </c:pt>
                      <c:pt idx="1035">
                        <c:v>24.647140999994008</c:v>
                      </c:pt>
                      <c:pt idx="1036">
                        <c:v>24.668594000002486</c:v>
                      </c:pt>
                      <c:pt idx="1037">
                        <c:v>24.690837999994983</c:v>
                      </c:pt>
                      <c:pt idx="1038">
                        <c:v>24.712589999995544</c:v>
                      </c:pt>
                      <c:pt idx="1039">
                        <c:v>24.729158999994979</c:v>
                      </c:pt>
                      <c:pt idx="1040">
                        <c:v>24.748250999997254</c:v>
                      </c:pt>
                      <c:pt idx="1041">
                        <c:v>24.772182999993674</c:v>
                      </c:pt>
                      <c:pt idx="1042">
                        <c:v>24.788973999995505</c:v>
                      </c:pt>
                      <c:pt idx="1043">
                        <c:v>24.810652000000118</c:v>
                      </c:pt>
                      <c:pt idx="1044">
                        <c:v>24.830902000001515</c:v>
                      </c:pt>
                      <c:pt idx="1045">
                        <c:v>24.851580000002286</c:v>
                      </c:pt>
                      <c:pt idx="1046">
                        <c:v>24.863641000003554</c:v>
                      </c:pt>
                      <c:pt idx="1047">
                        <c:v>24.889215000002878</c:v>
                      </c:pt>
                      <c:pt idx="1048">
                        <c:v>24.905175000007148</c:v>
                      </c:pt>
                      <c:pt idx="1049">
                        <c:v>24.923880999995163</c:v>
                      </c:pt>
                      <c:pt idx="1050">
                        <c:v>24.952577000003657</c:v>
                      </c:pt>
                      <c:pt idx="1051">
                        <c:v>24.970560000001569</c:v>
                      </c:pt>
                      <c:pt idx="1052">
                        <c:v>24.990554000003613</c:v>
                      </c:pt>
                      <c:pt idx="1053">
                        <c:v>25.009464999995544</c:v>
                      </c:pt>
                      <c:pt idx="1054">
                        <c:v>25.029137999998056</c:v>
                      </c:pt>
                      <c:pt idx="1055">
                        <c:v>25.049568000002182</c:v>
                      </c:pt>
                      <c:pt idx="1056">
                        <c:v>25.069510999994236</c:v>
                      </c:pt>
                      <c:pt idx="1057">
                        <c:v>25.090064000003622</c:v>
                      </c:pt>
                      <c:pt idx="1058">
                        <c:v>25.112080000006245</c:v>
                      </c:pt>
                      <c:pt idx="1059">
                        <c:v>25.130132000005688</c:v>
                      </c:pt>
                      <c:pt idx="1060">
                        <c:v>25.151247000001604</c:v>
                      </c:pt>
                      <c:pt idx="1061">
                        <c:v>25.170014000002993</c:v>
                      </c:pt>
                      <c:pt idx="1062">
                        <c:v>25.191411000007065</c:v>
                      </c:pt>
                      <c:pt idx="1063">
                        <c:v>25.195875000004889</c:v>
                      </c:pt>
                      <c:pt idx="1064">
                        <c:v>25.233873000004678</c:v>
                      </c:pt>
                      <c:pt idx="1065">
                        <c:v>25.248592000003555</c:v>
                      </c:pt>
                      <c:pt idx="1066">
                        <c:v>25.270485000000917</c:v>
                      </c:pt>
                      <c:pt idx="1067">
                        <c:v>25.291649999999208</c:v>
                      </c:pt>
                      <c:pt idx="1068">
                        <c:v>25.311413000003085</c:v>
                      </c:pt>
                      <c:pt idx="1069">
                        <c:v>25.331086000005598</c:v>
                      </c:pt>
                      <c:pt idx="1070">
                        <c:v>25.346539000005578</c:v>
                      </c:pt>
                      <c:pt idx="1071">
                        <c:v>25.366806000005454</c:v>
                      </c:pt>
                      <c:pt idx="1072">
                        <c:v>25.391757999997935</c:v>
                      </c:pt>
                      <c:pt idx="1073">
                        <c:v>25.409874999997555</c:v>
                      </c:pt>
                      <c:pt idx="1074">
                        <c:v>25.432696000003489</c:v>
                      </c:pt>
                      <c:pt idx="1075">
                        <c:v>25.448818999997457</c:v>
                      </c:pt>
                      <c:pt idx="1076">
                        <c:v>25.467323000004399</c:v>
                      </c:pt>
                      <c:pt idx="1077">
                        <c:v>25.487355999997817</c:v>
                      </c:pt>
                      <c:pt idx="1078">
                        <c:v>25.512679000006756</c:v>
                      </c:pt>
                      <c:pt idx="1079">
                        <c:v>25.532206999996561</c:v>
                      </c:pt>
                      <c:pt idx="1080">
                        <c:v>25.550080000000889</c:v>
                      </c:pt>
                      <c:pt idx="1081">
                        <c:v>25.568671999993967</c:v>
                      </c:pt>
                      <c:pt idx="1082">
                        <c:v>25.591994999995222</c:v>
                      </c:pt>
                      <c:pt idx="1083">
                        <c:v>25.604158999994979</c:v>
                      </c:pt>
                      <c:pt idx="1084">
                        <c:v>25.62855199999467</c:v>
                      </c:pt>
                      <c:pt idx="1085">
                        <c:v>25.64916099999391</c:v>
                      </c:pt>
                      <c:pt idx="1086">
                        <c:v>25.670091000007233</c:v>
                      </c:pt>
                      <c:pt idx="1087">
                        <c:v>25.688160000005155</c:v>
                      </c:pt>
                      <c:pt idx="1088">
                        <c:v>25.709323000002769</c:v>
                      </c:pt>
                      <c:pt idx="1089">
                        <c:v>25.728407000002335</c:v>
                      </c:pt>
                      <c:pt idx="1090">
                        <c:v>25.752332000003662</c:v>
                      </c:pt>
                      <c:pt idx="1091">
                        <c:v>25.768882999997004</c:v>
                      </c:pt>
                      <c:pt idx="1092">
                        <c:v>25.790080999999191</c:v>
                      </c:pt>
                      <c:pt idx="1093">
                        <c:v>25.80885099999432</c:v>
                      </c:pt>
                      <c:pt idx="1094">
                        <c:v>25.829733000005945</c:v>
                      </c:pt>
                      <c:pt idx="1095">
                        <c:v>25.844184999994468</c:v>
                      </c:pt>
                      <c:pt idx="1096">
                        <c:v>25.869984999997541</c:v>
                      </c:pt>
                      <c:pt idx="1097">
                        <c:v>25.889815000002272</c:v>
                      </c:pt>
                      <c:pt idx="1098">
                        <c:v>25.910757000005106</c:v>
                      </c:pt>
                      <c:pt idx="1099">
                        <c:v>25.929401000001235</c:v>
                      </c:pt>
                      <c:pt idx="1100">
                        <c:v>25.94962499999383</c:v>
                      </c:pt>
                      <c:pt idx="1101">
                        <c:v>25.972777999995742</c:v>
                      </c:pt>
                      <c:pt idx="1102">
                        <c:v>25.990013999995426</c:v>
                      </c:pt>
                      <c:pt idx="1103">
                        <c:v>26.010427000001073</c:v>
                      </c:pt>
                      <c:pt idx="1104">
                        <c:v>26.032560000006924</c:v>
                      </c:pt>
                      <c:pt idx="1105">
                        <c:v>26.051613999996334</c:v>
                      </c:pt>
                      <c:pt idx="1106">
                        <c:v>26.072595999998157</c:v>
                      </c:pt>
                      <c:pt idx="1107">
                        <c:v>26.092378999994253</c:v>
                      </c:pt>
                      <c:pt idx="1108">
                        <c:v>26.112676999997348</c:v>
                      </c:pt>
                      <c:pt idx="1109">
                        <c:v>26.130694999999832</c:v>
                      </c:pt>
                      <c:pt idx="1110">
                        <c:v>26.15151500000502</c:v>
                      </c:pt>
                      <c:pt idx="1111">
                        <c:v>26.160948999997345</c:v>
                      </c:pt>
                      <c:pt idx="1112">
                        <c:v>26.192194999995991</c:v>
                      </c:pt>
                      <c:pt idx="1113">
                        <c:v>26.212463999996544</c:v>
                      </c:pt>
                      <c:pt idx="1114">
                        <c:v>26.23177100000612</c:v>
                      </c:pt>
                      <c:pt idx="1115">
                        <c:v>26.252322999993339</c:v>
                      </c:pt>
                      <c:pt idx="1116">
                        <c:v>26.266526999999769</c:v>
                      </c:pt>
                      <c:pt idx="1117">
                        <c:v>26.289130999997724</c:v>
                      </c:pt>
                      <c:pt idx="1118">
                        <c:v>26.307276999999885</c:v>
                      </c:pt>
                      <c:pt idx="1119">
                        <c:v>26.328584999995655</c:v>
                      </c:pt>
                      <c:pt idx="1120">
                        <c:v>26.352679000003263</c:v>
                      </c:pt>
                      <c:pt idx="1121">
                        <c:v>26.372602999996161</c:v>
                      </c:pt>
                      <c:pt idx="1122">
                        <c:v>26.389469999994617</c:v>
                      </c:pt>
                      <c:pt idx="1123">
                        <c:v>0</c:v>
                      </c:pt>
                      <c:pt idx="1124">
                        <c:v>0</c:v>
                      </c:pt>
                      <c:pt idx="1125">
                        <c:v>0</c:v>
                      </c:pt>
                      <c:pt idx="1126">
                        <c:v>0</c:v>
                      </c:pt>
                      <c:pt idx="1127">
                        <c:v>0</c:v>
                      </c:pt>
                      <c:pt idx="1128">
                        <c:v>0</c:v>
                      </c:pt>
                      <c:pt idx="1129">
                        <c:v>0</c:v>
                      </c:pt>
                      <c:pt idx="1130">
                        <c:v>0</c:v>
                      </c:pt>
                      <c:pt idx="1131">
                        <c:v>0</c:v>
                      </c:pt>
                      <c:pt idx="1132">
                        <c:v>0</c:v>
                      </c:pt>
                      <c:pt idx="1133">
                        <c:v>0</c:v>
                      </c:pt>
                      <c:pt idx="1134">
                        <c:v>0</c:v>
                      </c:pt>
                      <c:pt idx="1135">
                        <c:v>0</c:v>
                      </c:pt>
                      <c:pt idx="1136">
                        <c:v>0</c:v>
                      </c:pt>
                      <c:pt idx="1137">
                        <c:v>0</c:v>
                      </c:pt>
                      <c:pt idx="1138">
                        <c:v>0</c:v>
                      </c:pt>
                      <c:pt idx="1139">
                        <c:v>0</c:v>
                      </c:pt>
                      <c:pt idx="1140">
                        <c:v>0</c:v>
                      </c:pt>
                      <c:pt idx="1141">
                        <c:v>0</c:v>
                      </c:pt>
                      <c:pt idx="1142">
                        <c:v>0</c:v>
                      </c:pt>
                      <c:pt idx="1143">
                        <c:v>0</c:v>
                      </c:pt>
                      <c:pt idx="1144">
                        <c:v>0</c:v>
                      </c:pt>
                      <c:pt idx="1145">
                        <c:v>0</c:v>
                      </c:pt>
                      <c:pt idx="1146">
                        <c:v>0</c:v>
                      </c:pt>
                      <c:pt idx="1147">
                        <c:v>0</c:v>
                      </c:pt>
                      <c:pt idx="1148">
                        <c:v>0</c:v>
                      </c:pt>
                      <c:pt idx="1149">
                        <c:v>0</c:v>
                      </c:pt>
                      <c:pt idx="1150">
                        <c:v>0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'Real Values'!$E$2:$E$1800</c15:sqref>
                        </c15:formulaRef>
                      </c:ext>
                    </c:extLst>
                    <c:numCache>
                      <c:formatCode>General</c:formatCode>
                      <c:ptCount val="1799"/>
                      <c:pt idx="0">
                        <c:v>-4.9871237142795621E-4</c:v>
                      </c:pt>
                      <c:pt idx="1">
                        <c:v>-2.4410923714270893E-3</c:v>
                      </c:pt>
                      <c:pt idx="2">
                        <c:v>-2.450902371425201E-3</c:v>
                      </c:pt>
                      <c:pt idx="3">
                        <c:v>-1.9505923714273621E-3</c:v>
                      </c:pt>
                      <c:pt idx="4">
                        <c:v>-2.6569123714264009E-3</c:v>
                      </c:pt>
                      <c:pt idx="5">
                        <c:v>-3.0100723714276967E-3</c:v>
                      </c:pt>
                      <c:pt idx="6">
                        <c:v>-2.9021623714271527E-3</c:v>
                      </c:pt>
                      <c:pt idx="7">
                        <c:v>-3.0002623714260324E-3</c:v>
                      </c:pt>
                      <c:pt idx="8">
                        <c:v>-2.9806423714262564E-3</c:v>
                      </c:pt>
                      <c:pt idx="9">
                        <c:v>-2.9806423714262564E-3</c:v>
                      </c:pt>
                      <c:pt idx="10">
                        <c:v>-3.4122823714266559E-3</c:v>
                      </c:pt>
                      <c:pt idx="11">
                        <c:v>-6.2571823714261399E-3</c:v>
                      </c:pt>
                      <c:pt idx="12">
                        <c:v>-5.3939023714271173E-3</c:v>
                      </c:pt>
                      <c:pt idx="13">
                        <c:v>-2.3429923714264334E-3</c:v>
                      </c:pt>
                      <c:pt idx="14">
                        <c:v>-3.0689323714270245E-3</c:v>
                      </c:pt>
                      <c:pt idx="15">
                        <c:v>-2.9217823714269286E-3</c:v>
                      </c:pt>
                      <c:pt idx="16">
                        <c:v>-2.8531123714277129E-3</c:v>
                      </c:pt>
                      <c:pt idx="17">
                        <c:v>-5.6680582371425814E-2</c:v>
                      </c:pt>
                      <c:pt idx="18">
                        <c:v>-2.4116623714274255E-3</c:v>
                      </c:pt>
                      <c:pt idx="19">
                        <c:v>-7.1204623714269388E-3</c:v>
                      </c:pt>
                      <c:pt idx="20">
                        <c:v>1.5864367628573461E-2</c:v>
                      </c:pt>
                      <c:pt idx="21">
                        <c:v>4.4077927628574542E-2</c:v>
                      </c:pt>
                      <c:pt idx="22">
                        <c:v>-1.4036512371426113E-2</c:v>
                      </c:pt>
                      <c:pt idx="23">
                        <c:v>-2.6078623714251847E-3</c:v>
                      </c:pt>
                      <c:pt idx="24">
                        <c:v>-3.9125923714280475E-3</c:v>
                      </c:pt>
                      <c:pt idx="25">
                        <c:v>-6.423952371427788E-3</c:v>
                      </c:pt>
                      <c:pt idx="26">
                        <c:v>8.0316067628572796E-2</c:v>
                      </c:pt>
                      <c:pt idx="27">
                        <c:v>3.8496037628572566E-2</c:v>
                      </c:pt>
                      <c:pt idx="28">
                        <c:v>6.9666976285720494E-3</c:v>
                      </c:pt>
                      <c:pt idx="29">
                        <c:v>3.3492937628572861E-2</c:v>
                      </c:pt>
                      <c:pt idx="30">
                        <c:v>-1.9716502371426969E-2</c:v>
                      </c:pt>
                      <c:pt idx="31">
                        <c:v>-1.0308712371426054E-2</c:v>
                      </c:pt>
                      <c:pt idx="32">
                        <c:v>1.3161376285744097E-3</c:v>
                      </c:pt>
                      <c:pt idx="33">
                        <c:v>-4.3736623714263345E-3</c:v>
                      </c:pt>
                      <c:pt idx="34">
                        <c:v>-2.627482371426737E-3</c:v>
                      </c:pt>
                      <c:pt idx="35">
                        <c:v>-3.0885523714268004E-3</c:v>
                      </c:pt>
                      <c:pt idx="36">
                        <c:v>-3.0100723714276967E-3</c:v>
                      </c:pt>
                      <c:pt idx="37">
                        <c:v>2.8608762857373904E-4</c:v>
                      </c:pt>
                      <c:pt idx="38">
                        <c:v>1.6836762857153076E-4</c:v>
                      </c:pt>
                      <c:pt idx="39">
                        <c:v>-9.7887823714266631E-3</c:v>
                      </c:pt>
                      <c:pt idx="40">
                        <c:v>5.1616576285731242E-3</c:v>
                      </c:pt>
                      <c:pt idx="41">
                        <c:v>-4.4325223714256623E-3</c:v>
                      </c:pt>
                      <c:pt idx="42">
                        <c:v>-2.450902371425201E-3</c:v>
                      </c:pt>
                      <c:pt idx="43">
                        <c:v>-3.1572223714260161E-3</c:v>
                      </c:pt>
                      <c:pt idx="44">
                        <c:v>-3.0100723714276967E-3</c:v>
                      </c:pt>
                      <c:pt idx="45">
                        <c:v>-3.0983623714266884E-3</c:v>
                      </c:pt>
                      <c:pt idx="46">
                        <c:v>-7.2082282371427553E-2</c:v>
                      </c:pt>
                      <c:pt idx="47">
                        <c:v>-5.0996023714269256E-3</c:v>
                      </c:pt>
                      <c:pt idx="48">
                        <c:v>1.296060762857465E-2</c:v>
                      </c:pt>
                      <c:pt idx="49">
                        <c:v>9.0071776285736149E-3</c:v>
                      </c:pt>
                      <c:pt idx="50">
                        <c:v>-6.9242623714256268E-3</c:v>
                      </c:pt>
                      <c:pt idx="51">
                        <c:v>-5.2958023714264613E-3</c:v>
                      </c:pt>
                      <c:pt idx="52">
                        <c:v>-3.8630182371427679E-2</c:v>
                      </c:pt>
                      <c:pt idx="53">
                        <c:v>9.9587476285734056E-3</c:v>
                      </c:pt>
                      <c:pt idx="54">
                        <c:v>-6.8510237142760388E-4</c:v>
                      </c:pt>
                      <c:pt idx="55">
                        <c:v>-5.8353523714256283E-3</c:v>
                      </c:pt>
                      <c:pt idx="56">
                        <c:v>1.4893177628573895E-2</c:v>
                      </c:pt>
                      <c:pt idx="57">
                        <c:v>3.7230547628572808E-2</c:v>
                      </c:pt>
                      <c:pt idx="58">
                        <c:v>1.1626447628572123E-2</c:v>
                      </c:pt>
                      <c:pt idx="59">
                        <c:v>-3.382852371426992E-3</c:v>
                      </c:pt>
                      <c:pt idx="60">
                        <c:v>-7.9243582371425703E-2</c:v>
                      </c:pt>
                      <c:pt idx="61">
                        <c:v>-2.1609832371426663E-2</c:v>
                      </c:pt>
                      <c:pt idx="62">
                        <c:v>4.8281176285716043E-3</c:v>
                      </c:pt>
                      <c:pt idx="63">
                        <c:v>-1.2947602371426115E-2</c:v>
                      </c:pt>
                      <c:pt idx="64">
                        <c:v>-5.8059223714259645E-3</c:v>
                      </c:pt>
                      <c:pt idx="65">
                        <c:v>-2.9512123714265925E-3</c:v>
                      </c:pt>
                      <c:pt idx="66">
                        <c:v>-3.0885523714268004E-3</c:v>
                      </c:pt>
                      <c:pt idx="67">
                        <c:v>3.7437762857273071E-4</c:v>
                      </c:pt>
                      <c:pt idx="68">
                        <c:v>-1.847923714262123E-4</c:v>
                      </c:pt>
                      <c:pt idx="69">
                        <c:v>-6.9109852371425973E-2</c:v>
                      </c:pt>
                      <c:pt idx="70">
                        <c:v>-3.4097962371427926E-2</c:v>
                      </c:pt>
                      <c:pt idx="71">
                        <c:v>-5.7568723714265246E-3</c:v>
                      </c:pt>
                      <c:pt idx="72">
                        <c:v>-6.2866123714258038E-3</c:v>
                      </c:pt>
                      <c:pt idx="73">
                        <c:v>-9.2054237142669137E-4</c:v>
                      </c:pt>
                      <c:pt idx="74">
                        <c:v>-3.8635423714268313E-3</c:v>
                      </c:pt>
                      <c:pt idx="75">
                        <c:v>-2.6667223714280652E-3</c:v>
                      </c:pt>
                      <c:pt idx="76">
                        <c:v>-2.9512123714265925E-3</c:v>
                      </c:pt>
                      <c:pt idx="77">
                        <c:v>-2.1855082371425638E-2</c:v>
                      </c:pt>
                      <c:pt idx="78">
                        <c:v>-6.5136802371426938E-2</c:v>
                      </c:pt>
                      <c:pt idx="79">
                        <c:v>-8.2559362371426914E-2</c:v>
                      </c:pt>
                      <c:pt idx="80">
                        <c:v>-8.534540237142707E-2</c:v>
                      </c:pt>
                      <c:pt idx="81">
                        <c:v>1.0488487628572685E-2</c:v>
                      </c:pt>
                      <c:pt idx="82">
                        <c:v>-4.0401223714248147E-3</c:v>
                      </c:pt>
                      <c:pt idx="83">
                        <c:v>-3.2258923714270082E-3</c:v>
                      </c:pt>
                      <c:pt idx="84">
                        <c:v>-2.3528023714263213E-3</c:v>
                      </c:pt>
                      <c:pt idx="85">
                        <c:v>-2.7746323714268328E-3</c:v>
                      </c:pt>
                      <c:pt idx="86">
                        <c:v>-3.1277923714263522E-3</c:v>
                      </c:pt>
                      <c:pt idx="87">
                        <c:v>-2.9119723714270407E-3</c:v>
                      </c:pt>
                      <c:pt idx="88">
                        <c:v>-2.9512123714265925E-3</c:v>
                      </c:pt>
                      <c:pt idx="89">
                        <c:v>-2.8433023714260486E-3</c:v>
                      </c:pt>
                      <c:pt idx="90">
                        <c:v>-3.7011532371426625E-2</c:v>
                      </c:pt>
                      <c:pt idx="91">
                        <c:v>-2.4935422371427762E-2</c:v>
                      </c:pt>
                      <c:pt idx="92">
                        <c:v>-9.15113237142684E-3</c:v>
                      </c:pt>
                      <c:pt idx="93">
                        <c:v>3.1113676285734471E-3</c:v>
                      </c:pt>
                      <c:pt idx="94">
                        <c:v>-4.7856823714269581E-3</c:v>
                      </c:pt>
                      <c:pt idx="95">
                        <c:v>-2.3233723714266574E-3</c:v>
                      </c:pt>
                      <c:pt idx="96">
                        <c:v>-3.0787423714269124E-3</c:v>
                      </c:pt>
                      <c:pt idx="97">
                        <c:v>-2.9904523714261444E-3</c:v>
                      </c:pt>
                      <c:pt idx="98">
                        <c:v>-2.9806423714262564E-3</c:v>
                      </c:pt>
                      <c:pt idx="99">
                        <c:v>-2.9512123714265925E-3</c:v>
                      </c:pt>
                      <c:pt idx="100">
                        <c:v>-2.9708323714263685E-3</c:v>
                      </c:pt>
                      <c:pt idx="101">
                        <c:v>-2.4018523714275375E-3</c:v>
                      </c:pt>
                      <c:pt idx="102">
                        <c:v>-1.0088323714274594E-3</c:v>
                      </c:pt>
                      <c:pt idx="103">
                        <c:v>-3.7727662371427328E-2</c:v>
                      </c:pt>
                      <c:pt idx="104">
                        <c:v>1.0341337628574365E-2</c:v>
                      </c:pt>
                      <c:pt idx="105">
                        <c:v>-4.8641623714278381E-3</c:v>
                      </c:pt>
                      <c:pt idx="106">
                        <c:v>2.2722762857441126E-4</c:v>
                      </c:pt>
                      <c:pt idx="107">
                        <c:v>-4.9720723714266057E-3</c:v>
                      </c:pt>
                      <c:pt idx="108">
                        <c:v>5.0647628572875192E-5</c:v>
                      </c:pt>
                      <c:pt idx="109">
                        <c:v>-4.2167023714263507E-3</c:v>
                      </c:pt>
                      <c:pt idx="110">
                        <c:v>-2.5391923714277453E-3</c:v>
                      </c:pt>
                      <c:pt idx="111">
                        <c:v>-3.0983623714266884E-3</c:v>
                      </c:pt>
                      <c:pt idx="112">
                        <c:v>-2.8923523714254884E-3</c:v>
                      </c:pt>
                      <c:pt idx="113">
                        <c:v>-2.9904523714261444E-3</c:v>
                      </c:pt>
                      <c:pt idx="114">
                        <c:v>-2.9414023714267046E-3</c:v>
                      </c:pt>
                      <c:pt idx="115">
                        <c:v>-5.6980123714271969E-3</c:v>
                      </c:pt>
                      <c:pt idx="116">
                        <c:v>-2.9512123714265925E-3</c:v>
                      </c:pt>
                      <c:pt idx="117">
                        <c:v>-2.8825423714273768E-3</c:v>
                      </c:pt>
                      <c:pt idx="118">
                        <c:v>-2.7059623714258407E-3</c:v>
                      </c:pt>
                      <c:pt idx="119">
                        <c:v>-7.0812223714256106E-3</c:v>
                      </c:pt>
                      <c:pt idx="120">
                        <c:v>5.9019762857204228E-4</c:v>
                      </c:pt>
                      <c:pt idx="121">
                        <c:v>-1.4797123714274107E-3</c:v>
                      </c:pt>
                      <c:pt idx="122">
                        <c:v>4.9209762857493899E-4</c:v>
                      </c:pt>
                      <c:pt idx="123">
                        <c:v>2.6646762857218675E-4</c:v>
                      </c:pt>
                      <c:pt idx="124">
                        <c:v>-1.6072423714277306E-3</c:v>
                      </c:pt>
                      <c:pt idx="125">
                        <c:v>-3.0395023714273606E-3</c:v>
                      </c:pt>
                      <c:pt idx="126">
                        <c:v>-2.3724223714278736E-3</c:v>
                      </c:pt>
                      <c:pt idx="127">
                        <c:v>-3.6137237142774836E-4</c:v>
                      </c:pt>
                      <c:pt idx="128">
                        <c:v>-1.3521823714270909E-3</c:v>
                      </c:pt>
                      <c:pt idx="129">
                        <c:v>-3.0591223714253601E-3</c:v>
                      </c:pt>
                      <c:pt idx="130">
                        <c:v>-2.7942523714248324E-3</c:v>
                      </c:pt>
                      <c:pt idx="131">
                        <c:v>-2.8825423714273768E-3</c:v>
                      </c:pt>
                      <c:pt idx="132">
                        <c:v>-2.9315923714268166E-3</c:v>
                      </c:pt>
                      <c:pt idx="133">
                        <c:v>-2.9512123714265925E-3</c:v>
                      </c:pt>
                      <c:pt idx="134">
                        <c:v>-2.9806423714262564E-3</c:v>
                      </c:pt>
                      <c:pt idx="135">
                        <c:v>-2.9512123714265925E-3</c:v>
                      </c:pt>
                      <c:pt idx="136">
                        <c:v>-2.9610223714264805E-3</c:v>
                      </c:pt>
                      <c:pt idx="137">
                        <c:v>-2.9708323714263685E-3</c:v>
                      </c:pt>
                      <c:pt idx="138">
                        <c:v>-2.9610223714264805E-3</c:v>
                      </c:pt>
                      <c:pt idx="139">
                        <c:v>-1.6759123714269464E-3</c:v>
                      </c:pt>
                      <c:pt idx="140">
                        <c:v>-3.2749423714282244E-3</c:v>
                      </c:pt>
                      <c:pt idx="141">
                        <c:v>-2.9610223714264805E-3</c:v>
                      </c:pt>
                      <c:pt idx="142">
                        <c:v>-3.2062723714272323E-3</c:v>
                      </c:pt>
                      <c:pt idx="143">
                        <c:v>-3.0296923714256963E-3</c:v>
                      </c:pt>
                      <c:pt idx="144">
                        <c:v>-2.9806423714262564E-3</c:v>
                      </c:pt>
                      <c:pt idx="145">
                        <c:v>-2.9806423714262564E-3</c:v>
                      </c:pt>
                      <c:pt idx="146">
                        <c:v>8.2621417628573113E-2</c:v>
                      </c:pt>
                      <c:pt idx="147">
                        <c:v>7.4547787628574724E-2</c:v>
                      </c:pt>
                      <c:pt idx="148">
                        <c:v>-1.0897312371426437E-2</c:v>
                      </c:pt>
                      <c:pt idx="149">
                        <c:v>-1.2050323714252187E-3</c:v>
                      </c:pt>
                      <c:pt idx="150">
                        <c:v>-3.5589082371426883E-2</c:v>
                      </c:pt>
                      <c:pt idx="151">
                        <c:v>-5.3688532371426234E-2</c:v>
                      </c:pt>
                      <c:pt idx="152">
                        <c:v>-2.1521542371427671E-2</c:v>
                      </c:pt>
                      <c:pt idx="153">
                        <c:v>-2.6863423714260648E-3</c:v>
                      </c:pt>
                      <c:pt idx="154">
                        <c:v>-2.4901423714265292E-3</c:v>
                      </c:pt>
                      <c:pt idx="155">
                        <c:v>-6.0707923714264922E-3</c:v>
                      </c:pt>
                      <c:pt idx="156">
                        <c:v>3.5778667628573402E-2</c:v>
                      </c:pt>
                      <c:pt idx="157">
                        <c:v>1.0537537628573901E-2</c:v>
                      </c:pt>
                      <c:pt idx="158">
                        <c:v>-1.9113523714260339E-3</c:v>
                      </c:pt>
                      <c:pt idx="159">
                        <c:v>-6.2866123714258038E-3</c:v>
                      </c:pt>
                      <c:pt idx="160">
                        <c:v>-5.4561622371426921E-2</c:v>
                      </c:pt>
                      <c:pt idx="161">
                        <c:v>4.631917628573845E-3</c:v>
                      </c:pt>
                      <c:pt idx="162">
                        <c:v>-1.6562923714253941E-3</c:v>
                      </c:pt>
                      <c:pt idx="163">
                        <c:v>-4.7660623714271821E-3</c:v>
                      </c:pt>
                      <c:pt idx="164">
                        <c:v>-4.4966237142674004E-4</c:v>
                      </c:pt>
                      <c:pt idx="165">
                        <c:v>-3.4122823714266559E-3</c:v>
                      </c:pt>
                      <c:pt idx="166">
                        <c:v>-2.9119723714270407E-3</c:v>
                      </c:pt>
                      <c:pt idx="167">
                        <c:v>-2.8138723714263847E-3</c:v>
                      </c:pt>
                      <c:pt idx="168">
                        <c:v>-2.9414023714267046E-3</c:v>
                      </c:pt>
                      <c:pt idx="169">
                        <c:v>-2.9806423714262564E-3</c:v>
                      </c:pt>
                      <c:pt idx="170">
                        <c:v>-2.9708323714263685E-3</c:v>
                      </c:pt>
                      <c:pt idx="171">
                        <c:v>-2.9610223714264805E-3</c:v>
                      </c:pt>
                      <c:pt idx="172">
                        <c:v>-2.9610223714264805E-3</c:v>
                      </c:pt>
                      <c:pt idx="173">
                        <c:v>-2.9806423714262564E-3</c:v>
                      </c:pt>
                      <c:pt idx="174">
                        <c:v>-2.9610223714264805E-3</c:v>
                      </c:pt>
                      <c:pt idx="175">
                        <c:v>-2.9806423714262564E-3</c:v>
                      </c:pt>
                      <c:pt idx="176">
                        <c:v>-2.9512123714265925E-3</c:v>
                      </c:pt>
                      <c:pt idx="177">
                        <c:v>-2.9610223714264805E-3</c:v>
                      </c:pt>
                      <c:pt idx="178">
                        <c:v>-2.9610223714264805E-3</c:v>
                      </c:pt>
                      <c:pt idx="179">
                        <c:v>-2.9610223714264805E-3</c:v>
                      </c:pt>
                      <c:pt idx="180">
                        <c:v>-2.9414023714267046E-3</c:v>
                      </c:pt>
                      <c:pt idx="181">
                        <c:v>-2.9806423714262564E-3</c:v>
                      </c:pt>
                      <c:pt idx="182">
                        <c:v>-5.7470623714266367E-3</c:v>
                      </c:pt>
                      <c:pt idx="183">
                        <c:v>-6.3454723714269079E-3</c:v>
                      </c:pt>
                      <c:pt idx="184">
                        <c:v>-4.1186023714256947E-3</c:v>
                      </c:pt>
                      <c:pt idx="185">
                        <c:v>-2.4410923714270893E-3</c:v>
                      </c:pt>
                      <c:pt idx="186">
                        <c:v>-2.8138723714263847E-3</c:v>
                      </c:pt>
                      <c:pt idx="187">
                        <c:v>-2.8825423714273768E-3</c:v>
                      </c:pt>
                      <c:pt idx="188">
                        <c:v>-1.8804172371426731E-2</c:v>
                      </c:pt>
                      <c:pt idx="189">
                        <c:v>-9.0417172371425991E-2</c:v>
                      </c:pt>
                      <c:pt idx="190">
                        <c:v>-4.9205362371427697E-2</c:v>
                      </c:pt>
                      <c:pt idx="191">
                        <c:v>-1.1456482371427157E-2</c:v>
                      </c:pt>
                      <c:pt idx="192">
                        <c:v>-5.8004932371426676E-2</c:v>
                      </c:pt>
                      <c:pt idx="193">
                        <c:v>3.788257628572822E-3</c:v>
                      </c:pt>
                      <c:pt idx="194">
                        <c:v>-8.9745523714270803E-3</c:v>
                      </c:pt>
                      <c:pt idx="195">
                        <c:v>-3.8046823714275035E-3</c:v>
                      </c:pt>
                      <c:pt idx="196">
                        <c:v>-2.7746323714268328E-3</c:v>
                      </c:pt>
                      <c:pt idx="197">
                        <c:v>-2.9806423714262564E-3</c:v>
                      </c:pt>
                      <c:pt idx="198">
                        <c:v>-2.8433023714260486E-3</c:v>
                      </c:pt>
                      <c:pt idx="199">
                        <c:v>-2.8531123714277129E-3</c:v>
                      </c:pt>
                      <c:pt idx="200">
                        <c:v>-2.9512123714265925E-3</c:v>
                      </c:pt>
                      <c:pt idx="201">
                        <c:v>-2.9904523714261444E-3</c:v>
                      </c:pt>
                      <c:pt idx="202">
                        <c:v>-2.9806423714262564E-3</c:v>
                      </c:pt>
                      <c:pt idx="203">
                        <c:v>-2.9512123714265925E-3</c:v>
                      </c:pt>
                      <c:pt idx="204">
                        <c:v>-2.9708323714263685E-3</c:v>
                      </c:pt>
                      <c:pt idx="205">
                        <c:v>-2.9708323714263685E-3</c:v>
                      </c:pt>
                      <c:pt idx="206">
                        <c:v>-2.9806423714262564E-3</c:v>
                      </c:pt>
                      <c:pt idx="207">
                        <c:v>-4.9916923714263817E-3</c:v>
                      </c:pt>
                      <c:pt idx="208">
                        <c:v>-2.2252723714260014E-3</c:v>
                      </c:pt>
                      <c:pt idx="209">
                        <c:v>-3.1376023714262402E-3</c:v>
                      </c:pt>
                      <c:pt idx="210">
                        <c:v>-7.2062662371426001E-2</c:v>
                      </c:pt>
                      <c:pt idx="211">
                        <c:v>-7.5398062371426988E-2</c:v>
                      </c:pt>
                      <c:pt idx="212">
                        <c:v>-1.3457722371425618E-2</c:v>
                      </c:pt>
                      <c:pt idx="213">
                        <c:v>-1.1672302371426468E-2</c:v>
                      </c:pt>
                      <c:pt idx="214">
                        <c:v>-6.2571823714261399E-3</c:v>
                      </c:pt>
                      <c:pt idx="215">
                        <c:v>-1.9407823714256978E-3</c:v>
                      </c:pt>
                      <c:pt idx="216">
                        <c:v>-3.5201923714271999E-3</c:v>
                      </c:pt>
                      <c:pt idx="217">
                        <c:v>-3.6575323714274077E-3</c:v>
                      </c:pt>
                      <c:pt idx="218">
                        <c:v>-4.8837823714258377E-3</c:v>
                      </c:pt>
                      <c:pt idx="219">
                        <c:v>-4.2363223714261267E-3</c:v>
                      </c:pt>
                      <c:pt idx="220">
                        <c:v>-7.257278237142728E-2</c:v>
                      </c:pt>
                      <c:pt idx="221">
                        <c:v>-6.0741922371427393E-2</c:v>
                      </c:pt>
                      <c:pt idx="222">
                        <c:v>7.0059376285733777E-3</c:v>
                      </c:pt>
                      <c:pt idx="223">
                        <c:v>-9.5729623714255752E-3</c:v>
                      </c:pt>
                      <c:pt idx="224">
                        <c:v>-4.795492371426846E-3</c:v>
                      </c:pt>
                      <c:pt idx="225">
                        <c:v>-2.9708323714263685E-3</c:v>
                      </c:pt>
                      <c:pt idx="226">
                        <c:v>-5.9628823714259482E-3</c:v>
                      </c:pt>
                      <c:pt idx="227">
                        <c:v>-5.560672371426989E-3</c:v>
                      </c:pt>
                      <c:pt idx="228">
                        <c:v>-5.658772371427645E-3</c:v>
                      </c:pt>
                      <c:pt idx="229">
                        <c:v>-4.5992923714273104E-3</c:v>
                      </c:pt>
                      <c:pt idx="230">
                        <c:v>-2.7452023714271689E-3</c:v>
                      </c:pt>
                      <c:pt idx="231">
                        <c:v>-1.810766237142758E-2</c:v>
                      </c:pt>
                      <c:pt idx="232">
                        <c:v>-1.8097852371425915E-2</c:v>
                      </c:pt>
                      <c:pt idx="233">
                        <c:v>6.1034176285748032E-3</c:v>
                      </c:pt>
                      <c:pt idx="234">
                        <c:v>-3.2213237142642015E-4</c:v>
                      </c:pt>
                      <c:pt idx="235">
                        <c:v>-4.2068923714264628E-3</c:v>
                      </c:pt>
                      <c:pt idx="236">
                        <c:v>-1.4993323714271867E-3</c:v>
                      </c:pt>
                      <c:pt idx="237">
                        <c:v>-2.5686223714274092E-3</c:v>
                      </c:pt>
                      <c:pt idx="238">
                        <c:v>-3.1277923714263522E-3</c:v>
                      </c:pt>
                      <c:pt idx="239">
                        <c:v>-2.8433023714260486E-3</c:v>
                      </c:pt>
                      <c:pt idx="240">
                        <c:v>-1.7151523714264982E-3</c:v>
                      </c:pt>
                      <c:pt idx="241">
                        <c:v>-1.0480723714252349E-3</c:v>
                      </c:pt>
                      <c:pt idx="242">
                        <c:v>-2.8825423714273768E-3</c:v>
                      </c:pt>
                      <c:pt idx="243">
                        <c:v>-3.2258923714270082E-3</c:v>
                      </c:pt>
                      <c:pt idx="244">
                        <c:v>-2.3331823714265454E-3</c:v>
                      </c:pt>
                      <c:pt idx="245">
                        <c:v>-1.8382342371426219E-2</c:v>
                      </c:pt>
                      <c:pt idx="246">
                        <c:v>6.6625876285737462E-3</c:v>
                      </c:pt>
                      <c:pt idx="247">
                        <c:v>5.9381527628573849E-2</c:v>
                      </c:pt>
                      <c:pt idx="248">
                        <c:v>5.746857762857438E-2</c:v>
                      </c:pt>
                      <c:pt idx="249">
                        <c:v>-1.3859932371426353E-2</c:v>
                      </c:pt>
                      <c:pt idx="250">
                        <c:v>-1.7445823714279385E-3</c:v>
                      </c:pt>
                      <c:pt idx="251">
                        <c:v>-6.5567237142793999E-4</c:v>
                      </c:pt>
                      <c:pt idx="252">
                        <c:v>3.1027628573099264E-5</c:v>
                      </c:pt>
                      <c:pt idx="253">
                        <c:v>-2.058502371427906E-3</c:v>
                      </c:pt>
                      <c:pt idx="254">
                        <c:v>-3.4613323714278721E-3</c:v>
                      </c:pt>
                      <c:pt idx="255">
                        <c:v>-2.9904523714261444E-3</c:v>
                      </c:pt>
                      <c:pt idx="256">
                        <c:v>1.3617877628572472E-2</c:v>
                      </c:pt>
                      <c:pt idx="257">
                        <c:v>8.8890007628572576E-2</c:v>
                      </c:pt>
                      <c:pt idx="258">
                        <c:v>-1.3379242371426514E-2</c:v>
                      </c:pt>
                      <c:pt idx="259">
                        <c:v>-3.6084823714261915E-3</c:v>
                      </c:pt>
                      <c:pt idx="260">
                        <c:v>-8.8175923714270965E-3</c:v>
                      </c:pt>
                      <c:pt idx="261">
                        <c:v>-4.4619523714253262E-3</c:v>
                      </c:pt>
                      <c:pt idx="262">
                        <c:v>-3.9322123714260471E-3</c:v>
                      </c:pt>
                      <c:pt idx="263">
                        <c:v>-4.1004202371427212E-2</c:v>
                      </c:pt>
                      <c:pt idx="264">
                        <c:v>2.3167576285736402E-3</c:v>
                      </c:pt>
                      <c:pt idx="265">
                        <c:v>5.2152762857460289E-4</c:v>
                      </c:pt>
                      <c:pt idx="266">
                        <c:v>-5.5116223714257728E-3</c:v>
                      </c:pt>
                      <c:pt idx="267">
                        <c:v>-4.7072023714278544E-3</c:v>
                      </c:pt>
                      <c:pt idx="268">
                        <c:v>-4.61891237142531E-3</c:v>
                      </c:pt>
                      <c:pt idx="269">
                        <c:v>-4.0303123714267031E-3</c:v>
                      </c:pt>
                      <c:pt idx="270">
                        <c:v>-2.227691237142615E-2</c:v>
                      </c:pt>
                      <c:pt idx="271">
                        <c:v>7.290427628571905E-3</c:v>
                      </c:pt>
                      <c:pt idx="272">
                        <c:v>-2.529382371426081E-3</c:v>
                      </c:pt>
                      <c:pt idx="273">
                        <c:v>-7.2185623714275948E-3</c:v>
                      </c:pt>
                      <c:pt idx="274">
                        <c:v>1.1008417628573852E-2</c:v>
                      </c:pt>
                      <c:pt idx="275">
                        <c:v>1.6050757628573109E-2</c:v>
                      </c:pt>
                      <c:pt idx="276">
                        <c:v>2.8857376285724712E-3</c:v>
                      </c:pt>
                      <c:pt idx="277">
                        <c:v>-9.7299223714255589E-3</c:v>
                      </c:pt>
                      <c:pt idx="278">
                        <c:v>6.3109327628573908E-2</c:v>
                      </c:pt>
                      <c:pt idx="279">
                        <c:v>7.8981907628573822E-2</c:v>
                      </c:pt>
                      <c:pt idx="280">
                        <c:v>-7.8464023714257536E-3</c:v>
                      </c:pt>
                      <c:pt idx="281">
                        <c:v>-6.021742371425276E-3</c:v>
                      </c:pt>
                      <c:pt idx="282">
                        <c:v>4.9463617628573431E-2</c:v>
                      </c:pt>
                      <c:pt idx="283">
                        <c:v>4.4970637628575005E-2</c:v>
                      </c:pt>
                      <c:pt idx="284">
                        <c:v>2.7483976285740397E-3</c:v>
                      </c:pt>
                      <c:pt idx="285">
                        <c:v>-4.7562523714272942E-3</c:v>
                      </c:pt>
                      <c:pt idx="286">
                        <c:v>-6.4926223714270037E-3</c:v>
                      </c:pt>
                      <c:pt idx="287">
                        <c:v>-5.7372523714267487E-3</c:v>
                      </c:pt>
                      <c:pt idx="288">
                        <c:v>-5.4821923714261089E-3</c:v>
                      </c:pt>
                      <c:pt idx="289">
                        <c:v>-5.0211223714278219E-3</c:v>
                      </c:pt>
                      <c:pt idx="290">
                        <c:v>9.733117628574206E-3</c:v>
                      </c:pt>
                      <c:pt idx="291">
                        <c:v>1.2685927628572458E-2</c:v>
                      </c:pt>
                      <c:pt idx="292">
                        <c:v>-6.2473723714262519E-3</c:v>
                      </c:pt>
                      <c:pt idx="293">
                        <c:v>2.3461876285733041E-3</c:v>
                      </c:pt>
                      <c:pt idx="294">
                        <c:v>-7.6894423714257698E-3</c:v>
                      </c:pt>
                      <c:pt idx="295">
                        <c:v>-5.3742823714273413E-3</c:v>
                      </c:pt>
                      <c:pt idx="296">
                        <c:v>-4.0303123714267031E-3</c:v>
                      </c:pt>
                      <c:pt idx="297">
                        <c:v>-2.4856942371426882E-2</c:v>
                      </c:pt>
                      <c:pt idx="298">
                        <c:v>3.327187628574535E-3</c:v>
                      </c:pt>
                      <c:pt idx="299">
                        <c:v>-1.1603632371425476E-2</c:v>
                      </c:pt>
                      <c:pt idx="300">
                        <c:v>-1.322752371427427E-3</c:v>
                      </c:pt>
                      <c:pt idx="301">
                        <c:v>-3.4613323714278721E-3</c:v>
                      </c:pt>
                      <c:pt idx="302">
                        <c:v>-4.0891723714260308E-3</c:v>
                      </c:pt>
                      <c:pt idx="303">
                        <c:v>-6.0511723714249399E-3</c:v>
                      </c:pt>
                      <c:pt idx="304">
                        <c:v>-5.6391523714260927E-3</c:v>
                      </c:pt>
                      <c:pt idx="305">
                        <c:v>-4.6581523714266382E-3</c:v>
                      </c:pt>
                      <c:pt idx="306">
                        <c:v>-3.1277923714263522E-3</c:v>
                      </c:pt>
                      <c:pt idx="307">
                        <c:v>-6.4828123714271157E-3</c:v>
                      </c:pt>
                      <c:pt idx="308">
                        <c:v>-5.7863023714261885E-3</c:v>
                      </c:pt>
                      <c:pt idx="309">
                        <c:v>-5.8255423714275167E-3</c:v>
                      </c:pt>
                      <c:pt idx="310">
                        <c:v>-5.9432623714261723E-3</c:v>
                      </c:pt>
                      <c:pt idx="311">
                        <c:v>-2.1237052371427367E-2</c:v>
                      </c:pt>
                      <c:pt idx="312">
                        <c:v>-9.6489562371425919E-2</c:v>
                      </c:pt>
                      <c:pt idx="313">
                        <c:v>-5.2334752371427484E-2</c:v>
                      </c:pt>
                      <c:pt idx="314">
                        <c:v>4.1806576285736696E-3</c:v>
                      </c:pt>
                      <c:pt idx="315">
                        <c:v>2.6646762857218675E-4</c:v>
                      </c:pt>
                      <c:pt idx="316">
                        <c:v>-2.7746323714268328E-3</c:v>
                      </c:pt>
                      <c:pt idx="317">
                        <c:v>1.6502017628573284E-2</c:v>
                      </c:pt>
                      <c:pt idx="318">
                        <c:v>3.1113676285734471E-3</c:v>
                      </c:pt>
                      <c:pt idx="319">
                        <c:v>-2.6073382371427201E-2</c:v>
                      </c:pt>
                      <c:pt idx="320">
                        <c:v>3.1015576285735591E-3</c:v>
                      </c:pt>
                      <c:pt idx="321">
                        <c:v>3.6456762857284275E-4</c:v>
                      </c:pt>
                      <c:pt idx="322">
                        <c:v>-6.9536923714270671E-3</c:v>
                      </c:pt>
                      <c:pt idx="323">
                        <c:v>-2.2841323714271056E-3</c:v>
                      </c:pt>
                      <c:pt idx="324">
                        <c:v>6.2569777628572965E-2</c:v>
                      </c:pt>
                      <c:pt idx="325">
                        <c:v>-1.1657923714274432E-3</c:v>
                      </c:pt>
                      <c:pt idx="326">
                        <c:v>-2.8334923714261606E-3</c:v>
                      </c:pt>
                      <c:pt idx="327">
                        <c:v>-9.15113237142684E-3</c:v>
                      </c:pt>
                      <c:pt idx="328">
                        <c:v>-5.0505523714274858E-3</c:v>
                      </c:pt>
                      <c:pt idx="329">
                        <c:v>-7.2283723714274828E-3</c:v>
                      </c:pt>
                      <c:pt idx="330">
                        <c:v>-5.354662371425789E-3</c:v>
                      </c:pt>
                      <c:pt idx="331">
                        <c:v>1.2048277628572635E-2</c:v>
                      </c:pt>
                      <c:pt idx="332">
                        <c:v>7.3734762857391445E-4</c:v>
                      </c:pt>
                      <c:pt idx="333">
                        <c:v>-2.2316152371427478E-2</c:v>
                      </c:pt>
                      <c:pt idx="334">
                        <c:v>-1.0936552371425989E-2</c:v>
                      </c:pt>
                      <c:pt idx="335">
                        <c:v>-3.0983623714266884E-3</c:v>
                      </c:pt>
                      <c:pt idx="336">
                        <c:v>-5.3154223714280135E-3</c:v>
                      </c:pt>
                      <c:pt idx="337">
                        <c:v>-5.4331423714266691E-3</c:v>
                      </c:pt>
                      <c:pt idx="338">
                        <c:v>-2.3233723714266574E-3</c:v>
                      </c:pt>
                      <c:pt idx="339">
                        <c:v>-2.9414023714267046E-3</c:v>
                      </c:pt>
                      <c:pt idx="340">
                        <c:v>-2.9806423714262564E-3</c:v>
                      </c:pt>
                      <c:pt idx="341">
                        <c:v>-2.9610223714264805E-3</c:v>
                      </c:pt>
                      <c:pt idx="342">
                        <c:v>-3.5692423714266397E-3</c:v>
                      </c:pt>
                      <c:pt idx="343">
                        <c:v>-3.7752523714260633E-3</c:v>
                      </c:pt>
                      <c:pt idx="344">
                        <c:v>-3.1376023714262402E-3</c:v>
                      </c:pt>
                      <c:pt idx="345">
                        <c:v>-2.7353923714255046E-3</c:v>
                      </c:pt>
                      <c:pt idx="346">
                        <c:v>3.1844857628573919E-2</c:v>
                      </c:pt>
                      <c:pt idx="347">
                        <c:v>6.9485827628572139E-2</c:v>
                      </c:pt>
                      <c:pt idx="348">
                        <c:v>7.8677797628573742E-2</c:v>
                      </c:pt>
                      <c:pt idx="349">
                        <c:v>7.2281677628573959E-2</c:v>
                      </c:pt>
                      <c:pt idx="350">
                        <c:v>-1.2878932371425122E-2</c:v>
                      </c:pt>
                      <c:pt idx="351">
                        <c:v>-2.2056523714262255E-3</c:v>
                      </c:pt>
                      <c:pt idx="352">
                        <c:v>-5.6980123714271969E-3</c:v>
                      </c:pt>
                      <c:pt idx="353">
                        <c:v>-5.570482371426877E-3</c:v>
                      </c:pt>
                      <c:pt idx="354">
                        <c:v>-6.2081323714267E-3</c:v>
                      </c:pt>
                      <c:pt idx="355">
                        <c:v>-5.9923123714256121E-3</c:v>
                      </c:pt>
                      <c:pt idx="356">
                        <c:v>-5.8451623714272927E-3</c:v>
                      </c:pt>
                      <c:pt idx="357">
                        <c:v>-5.9236423714281727E-3</c:v>
                      </c:pt>
                      <c:pt idx="358">
                        <c:v>-2.7353923714255046E-3</c:v>
                      </c:pt>
                      <c:pt idx="359">
                        <c:v>1.2342577628572826E-2</c:v>
                      </c:pt>
                      <c:pt idx="360">
                        <c:v>8.1964147628573514E-2</c:v>
                      </c:pt>
                      <c:pt idx="361">
                        <c:v>7.0996567628572649E-2</c:v>
                      </c:pt>
                      <c:pt idx="362">
                        <c:v>6.0347476285738111E-3</c:v>
                      </c:pt>
                      <c:pt idx="363">
                        <c:v>5.0046976285731404E-3</c:v>
                      </c:pt>
                      <c:pt idx="364">
                        <c:v>1.1518537628573355E-2</c:v>
                      </c:pt>
                      <c:pt idx="365">
                        <c:v>1.7806747628574371E-2</c:v>
                      </c:pt>
                      <c:pt idx="366">
                        <c:v>2.9347876285736874E-3</c:v>
                      </c:pt>
                      <c:pt idx="367">
                        <c:v>-6.7673023714256431E-3</c:v>
                      </c:pt>
                      <c:pt idx="368">
                        <c:v>-7.169512371428155E-3</c:v>
                      </c:pt>
                      <c:pt idx="369">
                        <c:v>-8.5723423714281211E-3</c:v>
                      </c:pt>
                      <c:pt idx="370">
                        <c:v>-5.6293423714279811E-3</c:v>
                      </c:pt>
                      <c:pt idx="371">
                        <c:v>-6.2081323714267E-3</c:v>
                      </c:pt>
                      <c:pt idx="372">
                        <c:v>-3.2062723714272323E-3</c:v>
                      </c:pt>
                      <c:pt idx="373">
                        <c:v>-2.7550123714270569E-3</c:v>
                      </c:pt>
                      <c:pt idx="374">
                        <c:v>-4.2951823714272308E-3</c:v>
                      </c:pt>
                      <c:pt idx="375">
                        <c:v>-6.1002223714261561E-3</c:v>
                      </c:pt>
                      <c:pt idx="376">
                        <c:v>-6.0904123714262681E-3</c:v>
                      </c:pt>
                      <c:pt idx="377">
                        <c:v>2.8411357628572276E-2</c:v>
                      </c:pt>
                      <c:pt idx="378">
                        <c:v>-6.4435723714257875E-3</c:v>
                      </c:pt>
                      <c:pt idx="379">
                        <c:v>-1.3369432371426626E-2</c:v>
                      </c:pt>
                      <c:pt idx="380">
                        <c:v>-2.8928092371424796E-2</c:v>
                      </c:pt>
                      <c:pt idx="381">
                        <c:v>-1.0338142371425718E-2</c:v>
                      </c:pt>
                      <c:pt idx="382">
                        <c:v>-2.0462062371427336E-2</c:v>
                      </c:pt>
                      <c:pt idx="383">
                        <c:v>-6.1919122371426383E-2</c:v>
                      </c:pt>
                      <c:pt idx="384">
                        <c:v>2.7287776285724874E-3</c:v>
                      </c:pt>
                      <c:pt idx="385">
                        <c:v>-1.3423723714272029E-3</c:v>
                      </c:pt>
                      <c:pt idx="386">
                        <c:v>-7.071412371427499E-3</c:v>
                      </c:pt>
                      <c:pt idx="387">
                        <c:v>-5.7961123714278528E-3</c:v>
                      </c:pt>
                      <c:pt idx="388">
                        <c:v>-6.0609823714266042E-3</c:v>
                      </c:pt>
                      <c:pt idx="389">
                        <c:v>-5.8353523714256283E-3</c:v>
                      </c:pt>
                      <c:pt idx="390">
                        <c:v>-5.8844023714268445E-3</c:v>
                      </c:pt>
                      <c:pt idx="391">
                        <c:v>-5.8451623714272927E-3</c:v>
                      </c:pt>
                      <c:pt idx="392">
                        <c:v>-5.9432623714261723E-3</c:v>
                      </c:pt>
                      <c:pt idx="393">
                        <c:v>-4.6483423714249739E-3</c:v>
                      </c:pt>
                      <c:pt idx="394">
                        <c:v>-3.4515223714262078E-3</c:v>
                      </c:pt>
                      <c:pt idx="395">
                        <c:v>-2.5391923714277453E-3</c:v>
                      </c:pt>
                      <c:pt idx="396">
                        <c:v>-2.8825423714273768E-3</c:v>
                      </c:pt>
                      <c:pt idx="397">
                        <c:v>-6.0904123714262681E-3</c:v>
                      </c:pt>
                      <c:pt idx="398">
                        <c:v>-5.1977023714258053E-3</c:v>
                      </c:pt>
                      <c:pt idx="399">
                        <c:v>-2.4018523714275375E-3</c:v>
                      </c:pt>
                      <c:pt idx="400">
                        <c:v>-6.1983223714268121E-3</c:v>
                      </c:pt>
                      <c:pt idx="401">
                        <c:v>-7.0419823714260588E-3</c:v>
                      </c:pt>
                      <c:pt idx="402">
                        <c:v>-6.0806023714281565E-3</c:v>
                      </c:pt>
                      <c:pt idx="403">
                        <c:v>-8.6802523714268887E-3</c:v>
                      </c:pt>
                      <c:pt idx="404">
                        <c:v>-8.8764523714264243E-3</c:v>
                      </c:pt>
                      <c:pt idx="405">
                        <c:v>-7.4049523714272425E-3</c:v>
                      </c:pt>
                      <c:pt idx="406">
                        <c:v>-5.3350423714260131E-3</c:v>
                      </c:pt>
                      <c:pt idx="407">
                        <c:v>-2.368955237142778E-2</c:v>
                      </c:pt>
                      <c:pt idx="408">
                        <c:v>-5.9908072371426258E-2</c:v>
                      </c:pt>
                      <c:pt idx="409">
                        <c:v>1.1787976285742019E-3</c:v>
                      </c:pt>
                      <c:pt idx="410">
                        <c:v>1.193176285738673E-4</c:v>
                      </c:pt>
                      <c:pt idx="411">
                        <c:v>-3.9322123714260471E-3</c:v>
                      </c:pt>
                      <c:pt idx="412">
                        <c:v>-4.7758723714252937E-3</c:v>
                      </c:pt>
                      <c:pt idx="413">
                        <c:v>-2.7844423714267208E-3</c:v>
                      </c:pt>
                      <c:pt idx="414">
                        <c:v>-3.2258923714270082E-3</c:v>
                      </c:pt>
                      <c:pt idx="415">
                        <c:v>-4.8249223714265099E-3</c:v>
                      </c:pt>
                      <c:pt idx="416">
                        <c:v>-4.6091023714271984E-3</c:v>
                      </c:pt>
                      <c:pt idx="417">
                        <c:v>-1.7842792371427052E-2</c:v>
                      </c:pt>
                      <c:pt idx="418">
                        <c:v>-7.7409112371427113E-2</c:v>
                      </c:pt>
                      <c:pt idx="419">
                        <c:v>-2.9806423714262564E-3</c:v>
                      </c:pt>
                      <c:pt idx="420">
                        <c:v>9.825976285728899E-4</c:v>
                      </c:pt>
                      <c:pt idx="421">
                        <c:v>5.454519762857224E-2</c:v>
                      </c:pt>
                      <c:pt idx="422">
                        <c:v>-1.3261522371427859E-2</c:v>
                      </c:pt>
                      <c:pt idx="423">
                        <c:v>-2.2350823714258894E-3</c:v>
                      </c:pt>
                      <c:pt idx="424">
                        <c:v>-3.530459237142658E-2</c:v>
                      </c:pt>
                      <c:pt idx="425">
                        <c:v>-1.772507237142662E-2</c:v>
                      </c:pt>
                      <c:pt idx="426">
                        <c:v>-2.7093622371426207E-2</c:v>
                      </c:pt>
                      <c:pt idx="427">
                        <c:v>-3.4220923714265439E-3</c:v>
                      </c:pt>
                      <c:pt idx="428">
                        <c:v>-2.2453492371427686E-2</c:v>
                      </c:pt>
                      <c:pt idx="429">
                        <c:v>-6.1781782371426175E-2</c:v>
                      </c:pt>
                      <c:pt idx="430">
                        <c:v>4.3572376285734293E-3</c:v>
                      </c:pt>
                      <c:pt idx="431">
                        <c:v>-4.4227123714275507E-3</c:v>
                      </c:pt>
                      <c:pt idx="432">
                        <c:v>-5.1780823714260293E-3</c:v>
                      </c:pt>
                      <c:pt idx="433">
                        <c:v>-4.049932371426479E-3</c:v>
                      </c:pt>
                      <c:pt idx="434">
                        <c:v>-5.5410523714254367E-3</c:v>
                      </c:pt>
                      <c:pt idx="435">
                        <c:v>-5.3840923714254529E-3</c:v>
                      </c:pt>
                      <c:pt idx="436">
                        <c:v>-5.9726923714258362E-3</c:v>
                      </c:pt>
                      <c:pt idx="437">
                        <c:v>-5.8844023714268445E-3</c:v>
                      </c:pt>
                      <c:pt idx="438">
                        <c:v>-5.9236423714281727E-3</c:v>
                      </c:pt>
                      <c:pt idx="439">
                        <c:v>-5.2369423714271335E-3</c:v>
                      </c:pt>
                      <c:pt idx="440">
                        <c:v>-4.893592371427502E-3</c:v>
                      </c:pt>
                      <c:pt idx="441">
                        <c:v>-2.3822323714277616E-3</c:v>
                      </c:pt>
                      <c:pt idx="442">
                        <c:v>-3.39266237142688E-3</c:v>
                      </c:pt>
                      <c:pt idx="443">
                        <c:v>-6.4141423714261236E-3</c:v>
                      </c:pt>
                      <c:pt idx="444">
                        <c:v>-5.7568723714265246E-3</c:v>
                      </c:pt>
                      <c:pt idx="445">
                        <c:v>-5.8745923714269566E-3</c:v>
                      </c:pt>
                      <c:pt idx="446">
                        <c:v>-4.5404323714262063E-3</c:v>
                      </c:pt>
                      <c:pt idx="447">
                        <c:v>-5.3448523714276774E-3</c:v>
                      </c:pt>
                      <c:pt idx="448">
                        <c:v>-6.1590823714272602E-3</c:v>
                      </c:pt>
                      <c:pt idx="449">
                        <c:v>-2.7746323714268328E-3</c:v>
                      </c:pt>
                      <c:pt idx="450">
                        <c:v>-3.0493123714272485E-3</c:v>
                      </c:pt>
                      <c:pt idx="451">
                        <c:v>-2.9021623714271527E-3</c:v>
                      </c:pt>
                      <c:pt idx="452">
                        <c:v>-2.8923523714254884E-3</c:v>
                      </c:pt>
                      <c:pt idx="453">
                        <c:v>-3.5201923714271999E-3</c:v>
                      </c:pt>
                      <c:pt idx="454">
                        <c:v>-5.7372523714267487E-3</c:v>
                      </c:pt>
                      <c:pt idx="455">
                        <c:v>-6.3749023714265718E-3</c:v>
                      </c:pt>
                      <c:pt idx="456">
                        <c:v>-5.9432623714261723E-3</c:v>
                      </c:pt>
                      <c:pt idx="457">
                        <c:v>-5.1094123714268136E-3</c:v>
                      </c:pt>
                      <c:pt idx="458">
                        <c:v>-5.6195323714263168E-3</c:v>
                      </c:pt>
                      <c:pt idx="459">
                        <c:v>-6.0021223714272764E-3</c:v>
                      </c:pt>
                      <c:pt idx="460">
                        <c:v>-5.8549723714271806E-3</c:v>
                      </c:pt>
                      <c:pt idx="461">
                        <c:v>-5.9825023714275005E-3</c:v>
                      </c:pt>
                      <c:pt idx="462">
                        <c:v>-5.9236423714281727E-3</c:v>
                      </c:pt>
                      <c:pt idx="463">
                        <c:v>-5.9040223714266205E-3</c:v>
                      </c:pt>
                      <c:pt idx="464">
                        <c:v>-5.2958023714264613E-3</c:v>
                      </c:pt>
                      <c:pt idx="465">
                        <c:v>-5.668582371427533E-3</c:v>
                      </c:pt>
                      <c:pt idx="466">
                        <c:v>-5.4331423714266691E-3</c:v>
                      </c:pt>
                      <c:pt idx="467">
                        <c:v>-2.5490023714258569E-3</c:v>
                      </c:pt>
                      <c:pt idx="468">
                        <c:v>-3.0395023714273606E-3</c:v>
                      </c:pt>
                      <c:pt idx="469">
                        <c:v>-6.1787023714252598E-3</c:v>
                      </c:pt>
                      <c:pt idx="470">
                        <c:v>-3.1277923714263522E-3</c:v>
                      </c:pt>
                      <c:pt idx="471">
                        <c:v>-3.7752523714260633E-3</c:v>
                      </c:pt>
                      <c:pt idx="472">
                        <c:v>-6.2081323714267E-3</c:v>
                      </c:pt>
                      <c:pt idx="473">
                        <c:v>1.3882747628573E-2</c:v>
                      </c:pt>
                      <c:pt idx="474">
                        <c:v>4.086024762857221E-2</c:v>
                      </c:pt>
                      <c:pt idx="475">
                        <c:v>-9.3179023714267117E-3</c:v>
                      </c:pt>
                      <c:pt idx="476">
                        <c:v>-8.6168237142558723E-4</c:v>
                      </c:pt>
                      <c:pt idx="477">
                        <c:v>-4.1382223714254707E-3</c:v>
                      </c:pt>
                      <c:pt idx="478">
                        <c:v>-6.227752371426476E-3</c:v>
                      </c:pt>
                      <c:pt idx="479">
                        <c:v>-4.0239022371427069E-2</c:v>
                      </c:pt>
                      <c:pt idx="480">
                        <c:v>2.463907628573736E-3</c:v>
                      </c:pt>
                      <c:pt idx="481">
                        <c:v>6.8829762857269827E-4</c:v>
                      </c:pt>
                      <c:pt idx="482">
                        <c:v>-5.9628823714259482E-3</c:v>
                      </c:pt>
                      <c:pt idx="483">
                        <c:v>-4.717012371425966E-3</c:v>
                      </c:pt>
                      <c:pt idx="484">
                        <c:v>-9.1437412371426774E-2</c:v>
                      </c:pt>
                      <c:pt idx="485">
                        <c:v>4.7986876285719404E-3</c:v>
                      </c:pt>
                      <c:pt idx="486">
                        <c:v>-7.9052623714250814E-3</c:v>
                      </c:pt>
                      <c:pt idx="487">
                        <c:v>-6.1492723714255959E-3</c:v>
                      </c:pt>
                      <c:pt idx="488">
                        <c:v>1.3559017628573145E-2</c:v>
                      </c:pt>
                      <c:pt idx="489">
                        <c:v>5.8287376285726111E-3</c:v>
                      </c:pt>
                      <c:pt idx="490">
                        <c:v>1.0351147628572477E-2</c:v>
                      </c:pt>
                      <c:pt idx="491">
                        <c:v>-1.4012323714265307E-3</c:v>
                      </c:pt>
                      <c:pt idx="492">
                        <c:v>8.8546657628572945E-2</c:v>
                      </c:pt>
                      <c:pt idx="493">
                        <c:v>-2.6622742371426256E-2</c:v>
                      </c:pt>
                      <c:pt idx="494">
                        <c:v>4.3646287628572367E-2</c:v>
                      </c:pt>
                      <c:pt idx="495">
                        <c:v>7.9688227628574637E-2</c:v>
                      </c:pt>
                      <c:pt idx="496">
                        <c:v>2.3987047628573066E-2</c:v>
                      </c:pt>
                      <c:pt idx="497">
                        <c:v>2.565474762857356E-2</c:v>
                      </c:pt>
                      <c:pt idx="498">
                        <c:v>2.2186576285729842E-3</c:v>
                      </c:pt>
                      <c:pt idx="499">
                        <c:v>-2.8408162371427181E-2</c:v>
                      </c:pt>
                      <c:pt idx="500">
                        <c:v>1.4098567628574088E-2</c:v>
                      </c:pt>
                      <c:pt idx="501">
                        <c:v>5.8429957628574059E-2</c:v>
                      </c:pt>
                      <c:pt idx="502">
                        <c:v>5.4456907628573248E-2</c:v>
                      </c:pt>
                      <c:pt idx="503">
                        <c:v>4.5647527628572604E-2</c:v>
                      </c:pt>
                      <c:pt idx="504">
                        <c:v>8.8449762857223391E-4</c:v>
                      </c:pt>
                      <c:pt idx="505">
                        <c:v>2.2437067628573004E-2</c:v>
                      </c:pt>
                      <c:pt idx="506">
                        <c:v>1.257277628575082E-3</c:v>
                      </c:pt>
                      <c:pt idx="507">
                        <c:v>4.2478897628573264E-2</c:v>
                      </c:pt>
                      <c:pt idx="508">
                        <c:v>-2.4444922371426259E-2</c:v>
                      </c:pt>
                      <c:pt idx="509">
                        <c:v>-1.1093512371427749E-2</c:v>
                      </c:pt>
                      <c:pt idx="510">
                        <c:v>-3.1566982371426633E-2</c:v>
                      </c:pt>
                      <c:pt idx="511">
                        <c:v>3.5445127628573658E-2</c:v>
                      </c:pt>
                      <c:pt idx="512">
                        <c:v>-6.4234282371426588E-2</c:v>
                      </c:pt>
                      <c:pt idx="513">
                        <c:v>3.9967537628573524E-2</c:v>
                      </c:pt>
                      <c:pt idx="514">
                        <c:v>6.4649497628574082E-2</c:v>
                      </c:pt>
                      <c:pt idx="515">
                        <c:v>2.8058197628574533E-2</c:v>
                      </c:pt>
                      <c:pt idx="516">
                        <c:v>2.4899377628571528E-2</c:v>
                      </c:pt>
                      <c:pt idx="517">
                        <c:v>-2.4435112371426371E-2</c:v>
                      </c:pt>
                      <c:pt idx="518">
                        <c:v>-0.11040995237142681</c:v>
                      </c:pt>
                      <c:pt idx="519">
                        <c:v>-3.0909712371425258E-2</c:v>
                      </c:pt>
                      <c:pt idx="520">
                        <c:v>-1.4016892371426337E-2</c:v>
                      </c:pt>
                      <c:pt idx="521">
                        <c:v>-3.072332237142561E-2</c:v>
                      </c:pt>
                      <c:pt idx="522">
                        <c:v>-7.5815323714270022E-3</c:v>
                      </c:pt>
                      <c:pt idx="523">
                        <c:v>4.6344037628571755E-2</c:v>
                      </c:pt>
                      <c:pt idx="524">
                        <c:v>-0.10065881237142627</c:v>
                      </c:pt>
                      <c:pt idx="525">
                        <c:v>-6.3881122371427068E-2</c:v>
                      </c:pt>
                      <c:pt idx="526">
                        <c:v>-4.7655382371425858E-2</c:v>
                      </c:pt>
                      <c:pt idx="527">
                        <c:v>4.6932637628573914E-2</c:v>
                      </c:pt>
                      <c:pt idx="528">
                        <c:v>-3.1017622371425801E-2</c:v>
                      </c:pt>
                      <c:pt idx="529">
                        <c:v>3.5670757628572858E-2</c:v>
                      </c:pt>
                      <c:pt idx="530">
                        <c:v>5.1455047628572004E-2</c:v>
                      </c:pt>
                      <c:pt idx="531">
                        <c:v>4.9914877628573606E-2</c:v>
                      </c:pt>
                      <c:pt idx="532">
                        <c:v>1.508937762857343E-2</c:v>
                      </c:pt>
                      <c:pt idx="533">
                        <c:v>-4.694906237142682E-2</c:v>
                      </c:pt>
                      <c:pt idx="534">
                        <c:v>3.2198017628573439E-2</c:v>
                      </c:pt>
                      <c:pt idx="535">
                        <c:v>9.9435757628572929E-2</c:v>
                      </c:pt>
                      <c:pt idx="536">
                        <c:v>-7.6369252371426555E-2</c:v>
                      </c:pt>
                      <c:pt idx="537">
                        <c:v>-8.0430592371426357E-2</c:v>
                      </c:pt>
                      <c:pt idx="538">
                        <c:v>8.7644137628572594E-2</c:v>
                      </c:pt>
                      <c:pt idx="539">
                        <c:v>1.6403917628574405E-2</c:v>
                      </c:pt>
                      <c:pt idx="540">
                        <c:v>8.0502457628572444E-2</c:v>
                      </c:pt>
                      <c:pt idx="541">
                        <c:v>4.1743147628574562E-2</c:v>
                      </c:pt>
                      <c:pt idx="542">
                        <c:v>0.11410170762857241</c:v>
                      </c:pt>
                      <c:pt idx="543">
                        <c:v>6.4070707628573587E-2</c:v>
                      </c:pt>
                      <c:pt idx="544">
                        <c:v>-1.9775362371426297E-2</c:v>
                      </c:pt>
                      <c:pt idx="545">
                        <c:v>-4.1102302371426092E-2</c:v>
                      </c:pt>
                      <c:pt idx="546">
                        <c:v>7.6333207628573874E-2</c:v>
                      </c:pt>
                      <c:pt idx="547">
                        <c:v>2.3952376285745203E-3</c:v>
                      </c:pt>
                      <c:pt idx="548">
                        <c:v>-1.8490252371426763E-2</c:v>
                      </c:pt>
                      <c:pt idx="549">
                        <c:v>-1.4036512371426113E-2</c:v>
                      </c:pt>
                      <c:pt idx="550">
                        <c:v>9.6433897628573462E-2</c:v>
                      </c:pt>
                      <c:pt idx="551">
                        <c:v>-3.7904242371425312E-2</c:v>
                      </c:pt>
                      <c:pt idx="552">
                        <c:v>-4.495763237142647E-2</c:v>
                      </c:pt>
                      <c:pt idx="553">
                        <c:v>-9.9457423714284232E-3</c:v>
                      </c:pt>
                      <c:pt idx="554">
                        <c:v>1.2254287628573834E-2</c:v>
                      </c:pt>
                      <c:pt idx="555">
                        <c:v>8.4283876285731196E-3</c:v>
                      </c:pt>
                      <c:pt idx="556">
                        <c:v>-4.634084237142666E-2</c:v>
                      </c:pt>
                      <c:pt idx="557">
                        <c:v>4.7344657628572762E-2</c:v>
                      </c:pt>
                      <c:pt idx="558">
                        <c:v>9.189186762857382E-2</c:v>
                      </c:pt>
                      <c:pt idx="559">
                        <c:v>-0.16943672237142593</c:v>
                      </c:pt>
                      <c:pt idx="560">
                        <c:v>3.2050867628575119E-2</c:v>
                      </c:pt>
                      <c:pt idx="561">
                        <c:v>0.26611746762857358</c:v>
                      </c:pt>
                      <c:pt idx="562">
                        <c:v>-0.13844693237142636</c:v>
                      </c:pt>
                      <c:pt idx="563">
                        <c:v>-0.15434894237142593</c:v>
                      </c:pt>
                      <c:pt idx="564">
                        <c:v>0.1317204676285737</c:v>
                      </c:pt>
                      <c:pt idx="565">
                        <c:v>-0.1191212323714268</c:v>
                      </c:pt>
                      <c:pt idx="566">
                        <c:v>1.7845987628573923E-2</c:v>
                      </c:pt>
                      <c:pt idx="567">
                        <c:v>-0.10800650237142584</c:v>
                      </c:pt>
                      <c:pt idx="568">
                        <c:v>0.14126559762857305</c:v>
                      </c:pt>
                      <c:pt idx="569">
                        <c:v>-4.3348792371427081E-2</c:v>
                      </c:pt>
                      <c:pt idx="570">
                        <c:v>4.3361797628573839E-2</c:v>
                      </c:pt>
                      <c:pt idx="571">
                        <c:v>-2.6789512371427904E-2</c:v>
                      </c:pt>
                      <c:pt idx="572">
                        <c:v>-0.10513217237142669</c:v>
                      </c:pt>
                      <c:pt idx="573">
                        <c:v>3.2178397628571886E-2</c:v>
                      </c:pt>
                      <c:pt idx="574">
                        <c:v>4.4401657628572622E-2</c:v>
                      </c:pt>
                      <c:pt idx="575">
                        <c:v>-4.3986442371426904E-2</c:v>
                      </c:pt>
                      <c:pt idx="576">
                        <c:v>5.2749967628573202E-2</c:v>
                      </c:pt>
                      <c:pt idx="577">
                        <c:v>9.4050067628574041E-2</c:v>
                      </c:pt>
                      <c:pt idx="578">
                        <c:v>-0.17223257237142597</c:v>
                      </c:pt>
                      <c:pt idx="579">
                        <c:v>0.11402322762857331</c:v>
                      </c:pt>
                      <c:pt idx="580">
                        <c:v>0.25921122762857429</c:v>
                      </c:pt>
                      <c:pt idx="581">
                        <c:v>-0.51720122237142618</c:v>
                      </c:pt>
                      <c:pt idx="582">
                        <c:v>-9.5337223714260233E-3</c:v>
                      </c:pt>
                      <c:pt idx="583">
                        <c:v>0.31782597762857279</c:v>
                      </c:pt>
                      <c:pt idx="584">
                        <c:v>-0.1836612223714269</c:v>
                      </c:pt>
                      <c:pt idx="585">
                        <c:v>0.14255070762857436</c:v>
                      </c:pt>
                      <c:pt idx="586">
                        <c:v>-4.0989823714276952E-3</c:v>
                      </c:pt>
                      <c:pt idx="587">
                        <c:v>-0.22648187237142636</c:v>
                      </c:pt>
                      <c:pt idx="588">
                        <c:v>0.13966656762857355</c:v>
                      </c:pt>
                      <c:pt idx="589">
                        <c:v>0.39599205762857359</c:v>
                      </c:pt>
                      <c:pt idx="590">
                        <c:v>0.13545807762857365</c:v>
                      </c:pt>
                      <c:pt idx="591">
                        <c:v>-2.8604362371426717E-2</c:v>
                      </c:pt>
                      <c:pt idx="592">
                        <c:v>-0.19283357237142695</c:v>
                      </c:pt>
                      <c:pt idx="593">
                        <c:v>0.33071631762857301</c:v>
                      </c:pt>
                      <c:pt idx="594">
                        <c:v>0.22781922762857221</c:v>
                      </c:pt>
                      <c:pt idx="595">
                        <c:v>-0.33383270237142781</c:v>
                      </c:pt>
                      <c:pt idx="596">
                        <c:v>0.53028114762857292</c:v>
                      </c:pt>
                      <c:pt idx="597">
                        <c:v>0.29574366762857274</c:v>
                      </c:pt>
                      <c:pt idx="598">
                        <c:v>0.62425113762857265</c:v>
                      </c:pt>
                      <c:pt idx="599">
                        <c:v>0.84869412762857444</c:v>
                      </c:pt>
                      <c:pt idx="600">
                        <c:v>0.78123075762857397</c:v>
                      </c:pt>
                      <c:pt idx="601">
                        <c:v>0.88443195762857485</c:v>
                      </c:pt>
                      <c:pt idx="602">
                        <c:v>0.91169394762857259</c:v>
                      </c:pt>
                      <c:pt idx="603">
                        <c:v>1.2020110876285734</c:v>
                      </c:pt>
                      <c:pt idx="604">
                        <c:v>1.3293056476285727</c:v>
                      </c:pt>
                      <c:pt idx="605">
                        <c:v>1.3702820176285737</c:v>
                      </c:pt>
                      <c:pt idx="606">
                        <c:v>1.2912918976285752</c:v>
                      </c:pt>
                      <c:pt idx="607">
                        <c:v>1.194830167628572</c:v>
                      </c:pt>
                      <c:pt idx="608">
                        <c:v>1.2086524576285722</c:v>
                      </c:pt>
                      <c:pt idx="609">
                        <c:v>1.1945456776285734</c:v>
                      </c:pt>
                      <c:pt idx="610">
                        <c:v>1.1053825876285721</c:v>
                      </c:pt>
                      <c:pt idx="611">
                        <c:v>1.4708345176285729</c:v>
                      </c:pt>
                      <c:pt idx="612">
                        <c:v>1.5536505376285739</c:v>
                      </c:pt>
                      <c:pt idx="613">
                        <c:v>1.3855659976285732</c:v>
                      </c:pt>
                      <c:pt idx="614">
                        <c:v>1.2478826476285736</c:v>
                      </c:pt>
                      <c:pt idx="615">
                        <c:v>1.2541021876285736</c:v>
                      </c:pt>
                      <c:pt idx="616">
                        <c:v>-0.81039269237142619</c:v>
                      </c:pt>
                      <c:pt idx="617">
                        <c:v>-0.84885770237142744</c:v>
                      </c:pt>
                      <c:pt idx="618">
                        <c:v>-0.70714244237142587</c:v>
                      </c:pt>
                      <c:pt idx="619">
                        <c:v>-0.59597552237142537</c:v>
                      </c:pt>
                      <c:pt idx="620">
                        <c:v>-0.64705619237142642</c:v>
                      </c:pt>
                      <c:pt idx="621">
                        <c:v>-0.58509623237142705</c:v>
                      </c:pt>
                      <c:pt idx="622">
                        <c:v>-0.42886217237142787</c:v>
                      </c:pt>
                      <c:pt idx="623">
                        <c:v>-0.51844709237142617</c:v>
                      </c:pt>
                      <c:pt idx="624">
                        <c:v>-0.46996607237142562</c:v>
                      </c:pt>
                      <c:pt idx="625">
                        <c:v>-0.34410377237142598</c:v>
                      </c:pt>
                      <c:pt idx="626">
                        <c:v>-0.29262089237142774</c:v>
                      </c:pt>
                      <c:pt idx="627">
                        <c:v>-0.19711073237142607</c:v>
                      </c:pt>
                      <c:pt idx="628">
                        <c:v>-0.27853373237142698</c:v>
                      </c:pt>
                      <c:pt idx="629">
                        <c:v>-9.5435323714259113E-3</c:v>
                      </c:pt>
                      <c:pt idx="630">
                        <c:v>-7.0561732371427155E-2</c:v>
                      </c:pt>
                      <c:pt idx="631">
                        <c:v>-2.9904523714261444E-3</c:v>
                      </c:pt>
                      <c:pt idx="632">
                        <c:v>0.21126975762857292</c:v>
                      </c:pt>
                      <c:pt idx="633">
                        <c:v>0.20175405762857324</c:v>
                      </c:pt>
                      <c:pt idx="634">
                        <c:v>0.1864112176285726</c:v>
                      </c:pt>
                      <c:pt idx="635">
                        <c:v>0.12973884762857324</c:v>
                      </c:pt>
                      <c:pt idx="636">
                        <c:v>0.20868972762857396</c:v>
                      </c:pt>
                      <c:pt idx="637">
                        <c:v>0.33102042762857309</c:v>
                      </c:pt>
                      <c:pt idx="638">
                        <c:v>0.28359888762857288</c:v>
                      </c:pt>
                      <c:pt idx="639">
                        <c:v>0.36615984762857323</c:v>
                      </c:pt>
                      <c:pt idx="640">
                        <c:v>0.46718322762857234</c:v>
                      </c:pt>
                      <c:pt idx="641">
                        <c:v>0.35562390762857277</c:v>
                      </c:pt>
                      <c:pt idx="642">
                        <c:v>0.43515357762857398</c:v>
                      </c:pt>
                      <c:pt idx="643">
                        <c:v>0.50284257762857365</c:v>
                      </c:pt>
                      <c:pt idx="644">
                        <c:v>0.50906211762857367</c:v>
                      </c:pt>
                      <c:pt idx="645">
                        <c:v>0.58669845762857342</c:v>
                      </c:pt>
                      <c:pt idx="646">
                        <c:v>0.63079440762857253</c:v>
                      </c:pt>
                      <c:pt idx="647">
                        <c:v>0.79650492762857361</c:v>
                      </c:pt>
                      <c:pt idx="648">
                        <c:v>0.80059569762857308</c:v>
                      </c:pt>
                      <c:pt idx="649">
                        <c:v>0.94262487762857283</c:v>
                      </c:pt>
                      <c:pt idx="650">
                        <c:v>1.0006215976285748</c:v>
                      </c:pt>
                      <c:pt idx="651">
                        <c:v>0.7901970976285746</c:v>
                      </c:pt>
                      <c:pt idx="652">
                        <c:v>0.76100253762857406</c:v>
                      </c:pt>
                      <c:pt idx="653">
                        <c:v>0.97160361762857406</c:v>
                      </c:pt>
                      <c:pt idx="654">
                        <c:v>0.98788821762857459</c:v>
                      </c:pt>
                      <c:pt idx="655">
                        <c:v>0.8369221276285721</c:v>
                      </c:pt>
                      <c:pt idx="656">
                        <c:v>0.92883201762857226</c:v>
                      </c:pt>
                      <c:pt idx="657">
                        <c:v>1.0266769576285739</c:v>
                      </c:pt>
                      <c:pt idx="658">
                        <c:v>0.93095097762857293</c:v>
                      </c:pt>
                      <c:pt idx="659">
                        <c:v>1.1121711076285745</c:v>
                      </c:pt>
                      <c:pt idx="660">
                        <c:v>1.1343024676285722</c:v>
                      </c:pt>
                      <c:pt idx="661">
                        <c:v>0.61275381762857251</c:v>
                      </c:pt>
                      <c:pt idx="662">
                        <c:v>2.3221867628572923E-2</c:v>
                      </c:pt>
                      <c:pt idx="663">
                        <c:v>0.16596717762857338</c:v>
                      </c:pt>
                      <c:pt idx="664">
                        <c:v>6.614061762857304E-2</c:v>
                      </c:pt>
                      <c:pt idx="665">
                        <c:v>-0.4284109123714277</c:v>
                      </c:pt>
                      <c:pt idx="666">
                        <c:v>-0.17328224237142642</c:v>
                      </c:pt>
                      <c:pt idx="667">
                        <c:v>0.19799682762857351</c:v>
                      </c:pt>
                      <c:pt idx="668">
                        <c:v>-1.639091237142587E-2</c:v>
                      </c:pt>
                      <c:pt idx="669">
                        <c:v>-5.4777442371426233E-2</c:v>
                      </c:pt>
                      <c:pt idx="670">
                        <c:v>-6.7756072371427223E-2</c:v>
                      </c:pt>
                      <c:pt idx="671">
                        <c:v>-0.22531448237142726</c:v>
                      </c:pt>
                      <c:pt idx="672">
                        <c:v>-0.19842527237142704</c:v>
                      </c:pt>
                      <c:pt idx="673">
                        <c:v>0.13846974762857478</c:v>
                      </c:pt>
                      <c:pt idx="674">
                        <c:v>0.3780103276285729</c:v>
                      </c:pt>
                      <c:pt idx="675">
                        <c:v>0.54168036762857419</c:v>
                      </c:pt>
                      <c:pt idx="676">
                        <c:v>0.4008480076285732</c:v>
                      </c:pt>
                      <c:pt idx="677">
                        <c:v>0.36746457762857254</c:v>
                      </c:pt>
                      <c:pt idx="678">
                        <c:v>0.36500226762857224</c:v>
                      </c:pt>
                      <c:pt idx="679">
                        <c:v>0.50945451762857452</c:v>
                      </c:pt>
                      <c:pt idx="680">
                        <c:v>0.44709234762857442</c:v>
                      </c:pt>
                      <c:pt idx="681">
                        <c:v>0.28296123762857306</c:v>
                      </c:pt>
                      <c:pt idx="682">
                        <c:v>0.11382702762857377</c:v>
                      </c:pt>
                      <c:pt idx="683">
                        <c:v>1.2165997628574843E-2</c:v>
                      </c:pt>
                      <c:pt idx="684">
                        <c:v>7.4214247628573204E-2</c:v>
                      </c:pt>
                      <c:pt idx="685">
                        <c:v>8.1438976285745923E-3</c:v>
                      </c:pt>
                      <c:pt idx="686">
                        <c:v>-0.1308638023714277</c:v>
                      </c:pt>
                      <c:pt idx="687">
                        <c:v>-2.2581022371428006E-2</c:v>
                      </c:pt>
                      <c:pt idx="688">
                        <c:v>-0.16254029237142653</c:v>
                      </c:pt>
                      <c:pt idx="689">
                        <c:v>-0.20095625237142656</c:v>
                      </c:pt>
                      <c:pt idx="690">
                        <c:v>-9.2438032371426004E-2</c:v>
                      </c:pt>
                      <c:pt idx="691">
                        <c:v>-0.13410110237142625</c:v>
                      </c:pt>
                      <c:pt idx="692">
                        <c:v>-6.7716832371427671E-2</c:v>
                      </c:pt>
                      <c:pt idx="693">
                        <c:v>1.8993757628573249E-2</c:v>
                      </c:pt>
                      <c:pt idx="694">
                        <c:v>0.1522429876285738</c:v>
                      </c:pt>
                      <c:pt idx="695">
                        <c:v>4.0236976285736858E-3</c:v>
                      </c:pt>
                      <c:pt idx="696">
                        <c:v>-4.6664572371426516E-2</c:v>
                      </c:pt>
                      <c:pt idx="697">
                        <c:v>-2.1845272371427527E-2</c:v>
                      </c:pt>
                      <c:pt idx="698">
                        <c:v>2.8607557628573588E-2</c:v>
                      </c:pt>
                      <c:pt idx="699">
                        <c:v>0.26161467762857349</c:v>
                      </c:pt>
                      <c:pt idx="700">
                        <c:v>0.44224620762857292</c:v>
                      </c:pt>
                      <c:pt idx="701">
                        <c:v>0.23728587762857423</c:v>
                      </c:pt>
                      <c:pt idx="702">
                        <c:v>0.10341861762857363</c:v>
                      </c:pt>
                      <c:pt idx="703">
                        <c:v>7.2291487628572071E-2</c:v>
                      </c:pt>
                      <c:pt idx="704">
                        <c:v>0.14856423762857318</c:v>
                      </c:pt>
                      <c:pt idx="705">
                        <c:v>0.32668440762857287</c:v>
                      </c:pt>
                      <c:pt idx="706">
                        <c:v>0.35392677762857438</c:v>
                      </c:pt>
                      <c:pt idx="707">
                        <c:v>0.33707319762857324</c:v>
                      </c:pt>
                      <c:pt idx="708">
                        <c:v>0.14499339762857311</c:v>
                      </c:pt>
                      <c:pt idx="709">
                        <c:v>0.14365923762857413</c:v>
                      </c:pt>
                      <c:pt idx="710">
                        <c:v>0.14770095762857238</c:v>
                      </c:pt>
                      <c:pt idx="711">
                        <c:v>3.3071107628572349E-2</c:v>
                      </c:pt>
                      <c:pt idx="712">
                        <c:v>0.11796684762857268</c:v>
                      </c:pt>
                      <c:pt idx="713">
                        <c:v>0.11438619762857272</c:v>
                      </c:pt>
                      <c:pt idx="714">
                        <c:v>0.29500791762857403</c:v>
                      </c:pt>
                      <c:pt idx="715">
                        <c:v>0.32843058762857424</c:v>
                      </c:pt>
                      <c:pt idx="716">
                        <c:v>0.40498782762857211</c:v>
                      </c:pt>
                      <c:pt idx="717">
                        <c:v>0.53647125762857328</c:v>
                      </c:pt>
                      <c:pt idx="718">
                        <c:v>0.48746049762857346</c:v>
                      </c:pt>
                      <c:pt idx="719">
                        <c:v>0.62642895762857442</c:v>
                      </c:pt>
                      <c:pt idx="720">
                        <c:v>0.53100708762857352</c:v>
                      </c:pt>
                      <c:pt idx="721">
                        <c:v>0.41523927762857404</c:v>
                      </c:pt>
                      <c:pt idx="722">
                        <c:v>0.40215273762857251</c:v>
                      </c:pt>
                      <c:pt idx="723">
                        <c:v>0.54511386762857406</c:v>
                      </c:pt>
                      <c:pt idx="724">
                        <c:v>0.71765214762857354</c:v>
                      </c:pt>
                      <c:pt idx="725">
                        <c:v>0.84950835762857402</c:v>
                      </c:pt>
                      <c:pt idx="726">
                        <c:v>0.46899807762857293</c:v>
                      </c:pt>
                      <c:pt idx="727">
                        <c:v>0.12354873762857288</c:v>
                      </c:pt>
                      <c:pt idx="728">
                        <c:v>3.5347027628573002E-2</c:v>
                      </c:pt>
                      <c:pt idx="729">
                        <c:v>-0.69379103237142736</c:v>
                      </c:pt>
                      <c:pt idx="730">
                        <c:v>-1.1691051523714258</c:v>
                      </c:pt>
                      <c:pt idx="731">
                        <c:v>-0.2075878123714272</c:v>
                      </c:pt>
                      <c:pt idx="732">
                        <c:v>0.36955410762857355</c:v>
                      </c:pt>
                      <c:pt idx="733">
                        <c:v>0.1552154176285736</c:v>
                      </c:pt>
                      <c:pt idx="734">
                        <c:v>-0.69060278237142647</c:v>
                      </c:pt>
                      <c:pt idx="735">
                        <c:v>-1.5057156823714273</c:v>
                      </c:pt>
                      <c:pt idx="736">
                        <c:v>-1.6914680323714268</c:v>
                      </c:pt>
                      <c:pt idx="737">
                        <c:v>-0.53451587237142739</c:v>
                      </c:pt>
                      <c:pt idx="738">
                        <c:v>0.32613504762857204</c:v>
                      </c:pt>
                      <c:pt idx="739">
                        <c:v>9.2823817628573835E-2</c:v>
                      </c:pt>
                      <c:pt idx="740">
                        <c:v>0.10534137762857476</c:v>
                      </c:pt>
                      <c:pt idx="741">
                        <c:v>0.14671995762857293</c:v>
                      </c:pt>
                      <c:pt idx="742">
                        <c:v>0.44579742762857499</c:v>
                      </c:pt>
                      <c:pt idx="743">
                        <c:v>0.27689865762857302</c:v>
                      </c:pt>
                      <c:pt idx="744">
                        <c:v>0.17777841762857349</c:v>
                      </c:pt>
                      <c:pt idx="745">
                        <c:v>9.5957776285722218E-3</c:v>
                      </c:pt>
                      <c:pt idx="746">
                        <c:v>0.19020768762857365</c:v>
                      </c:pt>
                      <c:pt idx="747">
                        <c:v>0.33487575762857169</c:v>
                      </c:pt>
                      <c:pt idx="748">
                        <c:v>0.47682645762857234</c:v>
                      </c:pt>
                      <c:pt idx="749">
                        <c:v>0.47685588762857378</c:v>
                      </c:pt>
                      <c:pt idx="750">
                        <c:v>0.38598585762857418</c:v>
                      </c:pt>
                      <c:pt idx="751">
                        <c:v>0.22516071762857415</c:v>
                      </c:pt>
                      <c:pt idx="752">
                        <c:v>0.18701943762857276</c:v>
                      </c:pt>
                      <c:pt idx="753">
                        <c:v>0.32349615762857376</c:v>
                      </c:pt>
                      <c:pt idx="754">
                        <c:v>0.3985917076285741</c:v>
                      </c:pt>
                      <c:pt idx="755">
                        <c:v>0.43040553762857314</c:v>
                      </c:pt>
                      <c:pt idx="756">
                        <c:v>2.7606937628574357E-2</c:v>
                      </c:pt>
                      <c:pt idx="757">
                        <c:v>0.29293800762857458</c:v>
                      </c:pt>
                      <c:pt idx="758">
                        <c:v>0.73897908762857334</c:v>
                      </c:pt>
                      <c:pt idx="759">
                        <c:v>0.72736404762857454</c:v>
                      </c:pt>
                      <c:pt idx="760">
                        <c:v>0.5802729076285722</c:v>
                      </c:pt>
                      <c:pt idx="761">
                        <c:v>0.57366096762857488</c:v>
                      </c:pt>
                      <c:pt idx="762">
                        <c:v>0.7955729776285736</c:v>
                      </c:pt>
                      <c:pt idx="763">
                        <c:v>0.94803999762857316</c:v>
                      </c:pt>
                      <c:pt idx="764">
                        <c:v>0.8047060876285741</c:v>
                      </c:pt>
                      <c:pt idx="765">
                        <c:v>0.67186887762857417</c:v>
                      </c:pt>
                      <c:pt idx="766">
                        <c:v>0.6177471076285741</c:v>
                      </c:pt>
                      <c:pt idx="767">
                        <c:v>0.19931136762857449</c:v>
                      </c:pt>
                      <c:pt idx="768">
                        <c:v>8.7084967628573651E-2</c:v>
                      </c:pt>
                      <c:pt idx="769">
                        <c:v>3.893748762857463E-2</c:v>
                      </c:pt>
                      <c:pt idx="770">
                        <c:v>-3.3372022371425558E-2</c:v>
                      </c:pt>
                      <c:pt idx="771">
                        <c:v>0.21011217762857193</c:v>
                      </c:pt>
                      <c:pt idx="772">
                        <c:v>0.321161377628572</c:v>
                      </c:pt>
                      <c:pt idx="773">
                        <c:v>0.43884213762857271</c:v>
                      </c:pt>
                      <c:pt idx="774">
                        <c:v>0.49505343762857379</c:v>
                      </c:pt>
                      <c:pt idx="775">
                        <c:v>0.49411167762857211</c:v>
                      </c:pt>
                      <c:pt idx="776">
                        <c:v>0.3625497676285736</c:v>
                      </c:pt>
                      <c:pt idx="777">
                        <c:v>0.15859986762857403</c:v>
                      </c:pt>
                      <c:pt idx="778">
                        <c:v>-2.0726932371427864E-2</c:v>
                      </c:pt>
                      <c:pt idx="779">
                        <c:v>0.35575143762857309</c:v>
                      </c:pt>
                      <c:pt idx="780">
                        <c:v>0.48324219762857368</c:v>
                      </c:pt>
                      <c:pt idx="781">
                        <c:v>4.7570287628573737E-2</c:v>
                      </c:pt>
                      <c:pt idx="782">
                        <c:v>-1.4366630923714272</c:v>
                      </c:pt>
                      <c:pt idx="783">
                        <c:v>-1.479228682371426</c:v>
                      </c:pt>
                      <c:pt idx="784">
                        <c:v>-0.19887653237142722</c:v>
                      </c:pt>
                      <c:pt idx="785">
                        <c:v>0.36318741762857343</c:v>
                      </c:pt>
                      <c:pt idx="786">
                        <c:v>7.7726227628573952E-2</c:v>
                      </c:pt>
                      <c:pt idx="787">
                        <c:v>-0.10065881237142627</c:v>
                      </c:pt>
                      <c:pt idx="788">
                        <c:v>-0.20228060237142742</c:v>
                      </c:pt>
                      <c:pt idx="789">
                        <c:v>0.11050143762857267</c:v>
                      </c:pt>
                      <c:pt idx="790">
                        <c:v>0.18770613762857202</c:v>
                      </c:pt>
                      <c:pt idx="791">
                        <c:v>0.24511425762857186</c:v>
                      </c:pt>
                      <c:pt idx="792">
                        <c:v>-5.1285082371427038E-2</c:v>
                      </c:pt>
                      <c:pt idx="793">
                        <c:v>-0.50911778237142613</c:v>
                      </c:pt>
                      <c:pt idx="794">
                        <c:v>-0.46994645237142763</c:v>
                      </c:pt>
                      <c:pt idx="795">
                        <c:v>-0.17121233237142697</c:v>
                      </c:pt>
                      <c:pt idx="796">
                        <c:v>-6.2321332371427118E-2</c:v>
                      </c:pt>
                      <c:pt idx="797">
                        <c:v>-0.22363697237142688</c:v>
                      </c:pt>
                      <c:pt idx="798">
                        <c:v>-0.60727664237142598</c:v>
                      </c:pt>
                      <c:pt idx="799">
                        <c:v>-0.69196637237142689</c:v>
                      </c:pt>
                      <c:pt idx="800">
                        <c:v>-0.1095368623714279</c:v>
                      </c:pt>
                      <c:pt idx="801">
                        <c:v>-0.25093820237142594</c:v>
                      </c:pt>
                      <c:pt idx="802">
                        <c:v>-0.15679163237142646</c:v>
                      </c:pt>
                      <c:pt idx="803">
                        <c:v>-0.16317794237142635</c:v>
                      </c:pt>
                      <c:pt idx="804">
                        <c:v>-0.7420660423714267</c:v>
                      </c:pt>
                      <c:pt idx="805">
                        <c:v>-1.1185149823714262</c:v>
                      </c:pt>
                      <c:pt idx="806">
                        <c:v>-0.64392680237142663</c:v>
                      </c:pt>
                      <c:pt idx="807">
                        <c:v>-0.3413962123714267</c:v>
                      </c:pt>
                      <c:pt idx="808">
                        <c:v>-0.72624251237142623</c:v>
                      </c:pt>
                      <c:pt idx="809">
                        <c:v>-1.0161083923714269</c:v>
                      </c:pt>
                      <c:pt idx="810">
                        <c:v>-0.74402804237142561</c:v>
                      </c:pt>
                      <c:pt idx="811">
                        <c:v>-0.65443331237142743</c:v>
                      </c:pt>
                      <c:pt idx="812">
                        <c:v>-0.60488300237142667</c:v>
                      </c:pt>
                      <c:pt idx="813">
                        <c:v>-0.60968990237142684</c:v>
                      </c:pt>
                      <c:pt idx="814">
                        <c:v>-0.47652896237142706</c:v>
                      </c:pt>
                      <c:pt idx="815">
                        <c:v>-0.36464591237142585</c:v>
                      </c:pt>
                      <c:pt idx="816">
                        <c:v>-0.42464387237142631</c:v>
                      </c:pt>
                      <c:pt idx="817">
                        <c:v>-0.46267724237142716</c:v>
                      </c:pt>
                      <c:pt idx="818">
                        <c:v>-0.36749081237142711</c:v>
                      </c:pt>
                      <c:pt idx="819">
                        <c:v>-0.265466812371427</c:v>
                      </c:pt>
                      <c:pt idx="820">
                        <c:v>-0.37791884237142703</c:v>
                      </c:pt>
                      <c:pt idx="821">
                        <c:v>-0.39929483237142627</c:v>
                      </c:pt>
                      <c:pt idx="822">
                        <c:v>-0.23423177237142667</c:v>
                      </c:pt>
                      <c:pt idx="823">
                        <c:v>3.2977576285748711E-3</c:v>
                      </c:pt>
                      <c:pt idx="824">
                        <c:v>-0.11799308237142547</c:v>
                      </c:pt>
                      <c:pt idx="825">
                        <c:v>-0.12965717237142549</c:v>
                      </c:pt>
                      <c:pt idx="826">
                        <c:v>4.6079167628573003E-2</c:v>
                      </c:pt>
                      <c:pt idx="827">
                        <c:v>4.582410762857414E-2</c:v>
                      </c:pt>
                      <c:pt idx="828">
                        <c:v>-4.0955152371427772E-2</c:v>
                      </c:pt>
                      <c:pt idx="829">
                        <c:v>-5.521889237142652E-2</c:v>
                      </c:pt>
                      <c:pt idx="830">
                        <c:v>0.16393650762857526</c:v>
                      </c:pt>
                      <c:pt idx="831">
                        <c:v>0.21845067762857262</c:v>
                      </c:pt>
                      <c:pt idx="832">
                        <c:v>0.41345385762857312</c:v>
                      </c:pt>
                      <c:pt idx="833">
                        <c:v>0.4752568576285725</c:v>
                      </c:pt>
                      <c:pt idx="834">
                        <c:v>0.49792776762857294</c:v>
                      </c:pt>
                      <c:pt idx="835">
                        <c:v>0.52920204762857459</c:v>
                      </c:pt>
                      <c:pt idx="836">
                        <c:v>0.38391594762857473</c:v>
                      </c:pt>
                      <c:pt idx="837">
                        <c:v>0.32801856762857184</c:v>
                      </c:pt>
                      <c:pt idx="838">
                        <c:v>0.28875894762857435</c:v>
                      </c:pt>
                      <c:pt idx="839">
                        <c:v>0.4432664476285737</c:v>
                      </c:pt>
                      <c:pt idx="840">
                        <c:v>0.46784049762857371</c:v>
                      </c:pt>
                      <c:pt idx="841">
                        <c:v>0.42289107762857192</c:v>
                      </c:pt>
                      <c:pt idx="842">
                        <c:v>0.3874279276285737</c:v>
                      </c:pt>
                      <c:pt idx="843">
                        <c:v>0.40510554762857431</c:v>
                      </c:pt>
                      <c:pt idx="844">
                        <c:v>0.29498829762857426</c:v>
                      </c:pt>
                      <c:pt idx="845">
                        <c:v>0.35426031762857413</c:v>
                      </c:pt>
                      <c:pt idx="846">
                        <c:v>0.31237161762857291</c:v>
                      </c:pt>
                      <c:pt idx="847">
                        <c:v>0.18370365762857332</c:v>
                      </c:pt>
                      <c:pt idx="848">
                        <c:v>0.2136045376285729</c:v>
                      </c:pt>
                      <c:pt idx="849">
                        <c:v>0.41100135762857271</c:v>
                      </c:pt>
                      <c:pt idx="850">
                        <c:v>0.34103643762857239</c:v>
                      </c:pt>
                      <c:pt idx="851">
                        <c:v>0.24601677762857221</c:v>
                      </c:pt>
                      <c:pt idx="852">
                        <c:v>7.4959807628573571E-2</c:v>
                      </c:pt>
                      <c:pt idx="853">
                        <c:v>3.8044777628574167E-2</c:v>
                      </c:pt>
                      <c:pt idx="854">
                        <c:v>7.7814517628572943E-2</c:v>
                      </c:pt>
                      <c:pt idx="855">
                        <c:v>9.8503807628572915E-2</c:v>
                      </c:pt>
                      <c:pt idx="856">
                        <c:v>5.2347757628572467E-2</c:v>
                      </c:pt>
                      <c:pt idx="857">
                        <c:v>9.5825677628573303E-2</c:v>
                      </c:pt>
                      <c:pt idx="858">
                        <c:v>-6.1664062371427519E-2</c:v>
                      </c:pt>
                      <c:pt idx="859">
                        <c:v>-0.11383364237142679</c:v>
                      </c:pt>
                      <c:pt idx="860">
                        <c:v>-0.30955295237142622</c:v>
                      </c:pt>
                      <c:pt idx="861">
                        <c:v>-0.21788831237142681</c:v>
                      </c:pt>
                      <c:pt idx="862">
                        <c:v>-0.2115902923714259</c:v>
                      </c:pt>
                      <c:pt idx="863">
                        <c:v>-0.23277008237142738</c:v>
                      </c:pt>
                      <c:pt idx="864">
                        <c:v>0.10441923762857463</c:v>
                      </c:pt>
                      <c:pt idx="865">
                        <c:v>6.5100757628574257E-2</c:v>
                      </c:pt>
                      <c:pt idx="866">
                        <c:v>0.22458192762857365</c:v>
                      </c:pt>
                      <c:pt idx="867">
                        <c:v>7.3037047628572438E-2</c:v>
                      </c:pt>
                      <c:pt idx="868">
                        <c:v>-8.6512792371427949E-2</c:v>
                      </c:pt>
                      <c:pt idx="869">
                        <c:v>-0.27056801237142736</c:v>
                      </c:pt>
                      <c:pt idx="870">
                        <c:v>-7.2180382371426433E-2</c:v>
                      </c:pt>
                      <c:pt idx="871">
                        <c:v>1.1489107628573691E-2</c:v>
                      </c:pt>
                      <c:pt idx="872">
                        <c:v>-0.15327965237142749</c:v>
                      </c:pt>
                      <c:pt idx="873">
                        <c:v>-0.1641687523714257</c:v>
                      </c:pt>
                      <c:pt idx="874">
                        <c:v>0.30227712762857273</c:v>
                      </c:pt>
                      <c:pt idx="875">
                        <c:v>-4.1239642371426299E-2</c:v>
                      </c:pt>
                      <c:pt idx="876">
                        <c:v>-2.5710412371426017E-2</c:v>
                      </c:pt>
                      <c:pt idx="877">
                        <c:v>-9.3571423714262636E-3</c:v>
                      </c:pt>
                      <c:pt idx="878">
                        <c:v>-3.105686237142713E-2</c:v>
                      </c:pt>
                      <c:pt idx="879">
                        <c:v>4.154694762857325E-2</c:v>
                      </c:pt>
                      <c:pt idx="880">
                        <c:v>0.12908157762857364</c:v>
                      </c:pt>
                      <c:pt idx="881">
                        <c:v>8.9655187628572719E-2</c:v>
                      </c:pt>
                      <c:pt idx="882">
                        <c:v>0.16081692762857358</c:v>
                      </c:pt>
                      <c:pt idx="883">
                        <c:v>0.12049782762857397</c:v>
                      </c:pt>
                      <c:pt idx="884">
                        <c:v>0.35036574762857242</c:v>
                      </c:pt>
                      <c:pt idx="885">
                        <c:v>0.32931348762857304</c:v>
                      </c:pt>
                      <c:pt idx="886">
                        <c:v>0.29115258762857366</c:v>
                      </c:pt>
                      <c:pt idx="887">
                        <c:v>0.37014270762857215</c:v>
                      </c:pt>
                      <c:pt idx="888">
                        <c:v>0.28535487762857237</c:v>
                      </c:pt>
                      <c:pt idx="889">
                        <c:v>-0.69996152237142617</c:v>
                      </c:pt>
                      <c:pt idx="890">
                        <c:v>0.30219864762857362</c:v>
                      </c:pt>
                      <c:pt idx="891">
                        <c:v>1.5354247628573958E-2</c:v>
                      </c:pt>
                      <c:pt idx="892">
                        <c:v>5.482968762857432E-2</c:v>
                      </c:pt>
                      <c:pt idx="893">
                        <c:v>0.24755694762857416</c:v>
                      </c:pt>
                      <c:pt idx="894">
                        <c:v>8.5299547628574501E-2</c:v>
                      </c:pt>
                      <c:pt idx="895">
                        <c:v>0.11589693762857323</c:v>
                      </c:pt>
                      <c:pt idx="896">
                        <c:v>-0.12703790237142698</c:v>
                      </c:pt>
                      <c:pt idx="897">
                        <c:v>-0.10661348237142754</c:v>
                      </c:pt>
                      <c:pt idx="898">
                        <c:v>-0.14789396237142682</c:v>
                      </c:pt>
                      <c:pt idx="899">
                        <c:v>-9.7333222371426942E-2</c:v>
                      </c:pt>
                      <c:pt idx="900">
                        <c:v>0.29315382762857389</c:v>
                      </c:pt>
                      <c:pt idx="901">
                        <c:v>0.4235483476285733</c:v>
                      </c:pt>
                      <c:pt idx="902">
                        <c:v>0.39757146762857332</c:v>
                      </c:pt>
                      <c:pt idx="903">
                        <c:v>0.45627450762857258</c:v>
                      </c:pt>
                      <c:pt idx="904">
                        <c:v>0.37682331762857402</c:v>
                      </c:pt>
                      <c:pt idx="905">
                        <c:v>0.2389045276285735</c:v>
                      </c:pt>
                      <c:pt idx="906">
                        <c:v>0.1848121876285731</c:v>
                      </c:pt>
                      <c:pt idx="907">
                        <c:v>-0.2161519423714271</c:v>
                      </c:pt>
                      <c:pt idx="908">
                        <c:v>-0.24026492237142705</c:v>
                      </c:pt>
                      <c:pt idx="909">
                        <c:v>1.5913417628572901E-2</c:v>
                      </c:pt>
                      <c:pt idx="910">
                        <c:v>-0.11720828237142733</c:v>
                      </c:pt>
                      <c:pt idx="911">
                        <c:v>-0.57884726237142736</c:v>
                      </c:pt>
                      <c:pt idx="912">
                        <c:v>0.24469242762857313</c:v>
                      </c:pt>
                      <c:pt idx="913">
                        <c:v>8.7624517628572818E-2</c:v>
                      </c:pt>
                      <c:pt idx="914">
                        <c:v>0.50400015762857464</c:v>
                      </c:pt>
                      <c:pt idx="915">
                        <c:v>0.77759124762857468</c:v>
                      </c:pt>
                      <c:pt idx="916">
                        <c:v>0.5669313076285718</c:v>
                      </c:pt>
                      <c:pt idx="917">
                        <c:v>0.36058776762857292</c:v>
                      </c:pt>
                      <c:pt idx="918">
                        <c:v>-4.6327414723714266</c:v>
                      </c:pt>
                      <c:pt idx="919">
                        <c:v>-4.1487258823714264</c:v>
                      </c:pt>
                      <c:pt idx="920">
                        <c:v>-3.8451750523714274</c:v>
                      </c:pt>
                      <c:pt idx="921">
                        <c:v>-1.5392462623714263</c:v>
                      </c:pt>
                      <c:pt idx="922">
                        <c:v>-1.1719206223714274</c:v>
                      </c:pt>
                      <c:pt idx="923">
                        <c:v>-1.1482883323714272</c:v>
                      </c:pt>
                      <c:pt idx="924">
                        <c:v>-1.3904972323714269</c:v>
                      </c:pt>
                      <c:pt idx="925">
                        <c:v>-1.2218142823714278</c:v>
                      </c:pt>
                      <c:pt idx="926">
                        <c:v>-0.72303464237142734</c:v>
                      </c:pt>
                      <c:pt idx="927">
                        <c:v>-0.8206049023714268</c:v>
                      </c:pt>
                      <c:pt idx="928">
                        <c:v>-0.31707722237142733</c:v>
                      </c:pt>
                      <c:pt idx="929">
                        <c:v>-0.13112867237142645</c:v>
                      </c:pt>
                      <c:pt idx="930">
                        <c:v>-0.10752581237142778</c:v>
                      </c:pt>
                      <c:pt idx="931">
                        <c:v>0.26050614762857371</c:v>
                      </c:pt>
                      <c:pt idx="932">
                        <c:v>0.45778524762857309</c:v>
                      </c:pt>
                      <c:pt idx="933">
                        <c:v>0.85821963762857401</c:v>
                      </c:pt>
                      <c:pt idx="934">
                        <c:v>1.5129194176285736</c:v>
                      </c:pt>
                      <c:pt idx="935">
                        <c:v>1.554572677628574</c:v>
                      </c:pt>
                      <c:pt idx="936">
                        <c:v>1.6150120876285747</c:v>
                      </c:pt>
                      <c:pt idx="937">
                        <c:v>1.3399200676285741</c:v>
                      </c:pt>
                      <c:pt idx="938">
                        <c:v>2.4399938476285747</c:v>
                      </c:pt>
                      <c:pt idx="939">
                        <c:v>-0.72733142237142623</c:v>
                      </c:pt>
                      <c:pt idx="940">
                        <c:v>-1.0282629823714267</c:v>
                      </c:pt>
                      <c:pt idx="941">
                        <c:v>1.5462537976285748</c:v>
                      </c:pt>
                      <c:pt idx="942">
                        <c:v>-2.3846512371427764E-2</c:v>
                      </c:pt>
                      <c:pt idx="943">
                        <c:v>-5.1584623714280298E-3</c:v>
                      </c:pt>
                      <c:pt idx="944">
                        <c:v>-1.9942132371426169E-2</c:v>
                      </c:pt>
                      <c:pt idx="945">
                        <c:v>7.2708076285739054E-3</c:v>
                      </c:pt>
                      <c:pt idx="946">
                        <c:v>3.1285687628574976E-2</c:v>
                      </c:pt>
                      <c:pt idx="947">
                        <c:v>5.4594247628573456E-2</c:v>
                      </c:pt>
                      <c:pt idx="948">
                        <c:v>1.1979607628575195E-2</c:v>
                      </c:pt>
                      <c:pt idx="949">
                        <c:v>-6.9046423714276273E-3</c:v>
                      </c:pt>
                      <c:pt idx="950">
                        <c:v>-6.6005323714257713E-3</c:v>
                      </c:pt>
                      <c:pt idx="951">
                        <c:v>-5.5901023714266529E-3</c:v>
                      </c:pt>
                      <c:pt idx="952">
                        <c:v>-9.3865723714259275E-3</c:v>
                      </c:pt>
                      <c:pt idx="953">
                        <c:v>-8.0229823714272896E-3</c:v>
                      </c:pt>
                      <c:pt idx="954">
                        <c:v>-5.9923123714256121E-3</c:v>
                      </c:pt>
                      <c:pt idx="955">
                        <c:v>-5.8059223714259645E-3</c:v>
                      </c:pt>
                      <c:pt idx="956">
                        <c:v>-5.7666823714264126E-3</c:v>
                      </c:pt>
                      <c:pt idx="957">
                        <c:v>-8.3922952371427328E-2</c:v>
                      </c:pt>
                      <c:pt idx="958">
                        <c:v>-2.179622237142631E-2</c:v>
                      </c:pt>
                      <c:pt idx="959">
                        <c:v>-2.4749032371428115E-2</c:v>
                      </c:pt>
                      <c:pt idx="960">
                        <c:v>-7.1498923714266027E-3</c:v>
                      </c:pt>
                      <c:pt idx="961">
                        <c:v>-6.1787023714252598E-3</c:v>
                      </c:pt>
                      <c:pt idx="962">
                        <c:v>-5.8942123714285088E-3</c:v>
                      </c:pt>
                      <c:pt idx="963">
                        <c:v>-6.0511723714249399E-3</c:v>
                      </c:pt>
                      <c:pt idx="964">
                        <c:v>-5.8353523714256283E-3</c:v>
                      </c:pt>
                      <c:pt idx="965">
                        <c:v>-5.7274423714268607E-3</c:v>
                      </c:pt>
                      <c:pt idx="966">
                        <c:v>1.3029277628573865E-2</c:v>
                      </c:pt>
                      <c:pt idx="967">
                        <c:v>2.9088247628573427E-2</c:v>
                      </c:pt>
                      <c:pt idx="968">
                        <c:v>2.1544357628574318E-2</c:v>
                      </c:pt>
                      <c:pt idx="969">
                        <c:v>-2.1786412371426422E-2</c:v>
                      </c:pt>
                      <c:pt idx="970">
                        <c:v>-2.5004092371426978E-2</c:v>
                      </c:pt>
                      <c:pt idx="971">
                        <c:v>-4.8249223714265099E-3</c:v>
                      </c:pt>
                      <c:pt idx="972">
                        <c:v>-5.8157323714276288E-3</c:v>
                      </c:pt>
                      <c:pt idx="973">
                        <c:v>-7.8758323714254175E-3</c:v>
                      </c:pt>
                      <c:pt idx="974">
                        <c:v>-9.0334123714264081E-3</c:v>
                      </c:pt>
                      <c:pt idx="975">
                        <c:v>-8.3369023714272572E-3</c:v>
                      </c:pt>
                      <c:pt idx="976">
                        <c:v>-5.2467523714270214E-3</c:v>
                      </c:pt>
                      <c:pt idx="977">
                        <c:v>-5.6195323714263168E-3</c:v>
                      </c:pt>
                      <c:pt idx="978">
                        <c:v>-9.1309882371426454E-2</c:v>
                      </c:pt>
                      <c:pt idx="979">
                        <c:v>-1.5429532371427968E-2</c:v>
                      </c:pt>
                      <c:pt idx="980">
                        <c:v>-2.7832371426228519E-5</c:v>
                      </c:pt>
                      <c:pt idx="981">
                        <c:v>-1.1240662371426069E-2</c:v>
                      </c:pt>
                      <c:pt idx="982">
                        <c:v>-5.8255423714275167E-3</c:v>
                      </c:pt>
                      <c:pt idx="983">
                        <c:v>-1.2329572371427844E-2</c:v>
                      </c:pt>
                      <c:pt idx="984">
                        <c:v>1.7993137628574019E-2</c:v>
                      </c:pt>
                      <c:pt idx="985">
                        <c:v>-2.9806423714262564E-3</c:v>
                      </c:pt>
                      <c:pt idx="986">
                        <c:v>-1.0642252371427574E-2</c:v>
                      </c:pt>
                      <c:pt idx="987">
                        <c:v>-8.0524123714269535E-3</c:v>
                      </c:pt>
                      <c:pt idx="988">
                        <c:v>-5.4821923714261089E-3</c:v>
                      </c:pt>
                      <c:pt idx="989">
                        <c:v>-7.4936992371426925E-2</c:v>
                      </c:pt>
                      <c:pt idx="990">
                        <c:v>-8.1156532371426948E-2</c:v>
                      </c:pt>
                      <c:pt idx="991">
                        <c:v>-9.7201123714274473E-3</c:v>
                      </c:pt>
                      <c:pt idx="992">
                        <c:v>3.9059776285750303E-3</c:v>
                      </c:pt>
                      <c:pt idx="993">
                        <c:v>-4.3240882371426537E-2</c:v>
                      </c:pt>
                      <c:pt idx="994">
                        <c:v>-9.337522371428264E-3</c:v>
                      </c:pt>
                      <c:pt idx="995">
                        <c:v>-1.4183662371427985E-2</c:v>
                      </c:pt>
                      <c:pt idx="996">
                        <c:v>-5.8451623714272927E-3</c:v>
                      </c:pt>
                      <c:pt idx="997">
                        <c:v>-4.1382223714254707E-3</c:v>
                      </c:pt>
                      <c:pt idx="998">
                        <c:v>-5.3252323714261252E-3</c:v>
                      </c:pt>
                      <c:pt idx="999">
                        <c:v>-7.725215237142713E-2</c:v>
                      </c:pt>
                      <c:pt idx="1000">
                        <c:v>-7.9704652371425766E-2</c:v>
                      </c:pt>
                      <c:pt idx="1001">
                        <c:v>-5.4630292371426137E-2</c:v>
                      </c:pt>
                      <c:pt idx="1002">
                        <c:v>-2.5980523714270731E-3</c:v>
                      </c:pt>
                      <c:pt idx="1003">
                        <c:v>-9.6023923714270154E-3</c:v>
                      </c:pt>
                      <c:pt idx="1004">
                        <c:v>-7.3951423714255782E-3</c:v>
                      </c:pt>
                      <c:pt idx="1005">
                        <c:v>-5.5802923714267649E-3</c:v>
                      </c:pt>
                      <c:pt idx="1006">
                        <c:v>1.0704307628571996E-2</c:v>
                      </c:pt>
                      <c:pt idx="1007">
                        <c:v>5.0647628572875192E-5</c:v>
                      </c:pt>
                      <c:pt idx="1008">
                        <c:v>-1.1525152371426373E-2</c:v>
                      </c:pt>
                      <c:pt idx="1009">
                        <c:v>-8.1505123714276095E-3</c:v>
                      </c:pt>
                      <c:pt idx="1010">
                        <c:v>-4.6777723714281905E-3</c:v>
                      </c:pt>
                      <c:pt idx="1011">
                        <c:v>-6.4828123714271157E-3</c:v>
                      </c:pt>
                      <c:pt idx="1012">
                        <c:v>-7.7090623714273221E-3</c:v>
                      </c:pt>
                      <c:pt idx="1013">
                        <c:v>9.5172976285748945E-3</c:v>
                      </c:pt>
                      <c:pt idx="1014">
                        <c:v>-1.1612237142522019E-4</c:v>
                      </c:pt>
                      <c:pt idx="1015">
                        <c:v>-7.8758323714254175E-3</c:v>
                      </c:pt>
                      <c:pt idx="1016">
                        <c:v>-2.8329682371426301E-2</c:v>
                      </c:pt>
                      <c:pt idx="1017">
                        <c:v>-1.2604252371426483E-2</c:v>
                      </c:pt>
                      <c:pt idx="1018">
                        <c:v>-3.5103823714255356E-3</c:v>
                      </c:pt>
                      <c:pt idx="1019">
                        <c:v>-2.3267722371427269E-2</c:v>
                      </c:pt>
                      <c:pt idx="1020">
                        <c:v>-3.4068532371428262E-2</c:v>
                      </c:pt>
                      <c:pt idx="1021">
                        <c:v>-5.4483142371426041E-2</c:v>
                      </c:pt>
                      <c:pt idx="1022">
                        <c:v>1.2048277628572635E-2</c:v>
                      </c:pt>
                      <c:pt idx="1023">
                        <c:v>-3.6020722371425506E-2</c:v>
                      </c:pt>
                      <c:pt idx="1024">
                        <c:v>7.8495976285744007E-3</c:v>
                      </c:pt>
                      <c:pt idx="1025">
                        <c:v>-3.0591223714253601E-3</c:v>
                      </c:pt>
                      <c:pt idx="1026">
                        <c:v>-7.9052623714250814E-3</c:v>
                      </c:pt>
                      <c:pt idx="1027">
                        <c:v>-7.1106523714252745E-3</c:v>
                      </c:pt>
                      <c:pt idx="1028">
                        <c:v>-5.6980123714271969E-3</c:v>
                      </c:pt>
                      <c:pt idx="1029">
                        <c:v>-5.9236423714281727E-3</c:v>
                      </c:pt>
                      <c:pt idx="1030">
                        <c:v>-5.8942123714285088E-3</c:v>
                      </c:pt>
                      <c:pt idx="1031">
                        <c:v>-5.7470623714266367E-3</c:v>
                      </c:pt>
                      <c:pt idx="1032">
                        <c:v>-5.7666823714264126E-3</c:v>
                      </c:pt>
                      <c:pt idx="1033">
                        <c:v>-5.6489623714259807E-3</c:v>
                      </c:pt>
                      <c:pt idx="1034">
                        <c:v>-5.7274423714268607E-3</c:v>
                      </c:pt>
                      <c:pt idx="1035">
                        <c:v>-5.7961123714278528E-3</c:v>
                      </c:pt>
                      <c:pt idx="1036">
                        <c:v>-5.7863023714261885E-3</c:v>
                      </c:pt>
                      <c:pt idx="1037">
                        <c:v>-5.7863023714261885E-3</c:v>
                      </c:pt>
                      <c:pt idx="1038">
                        <c:v>-6.3454723714269079E-3</c:v>
                      </c:pt>
                      <c:pt idx="1039">
                        <c:v>-5.8451623714272927E-3</c:v>
                      </c:pt>
                      <c:pt idx="1040">
                        <c:v>-5.5802923714267649E-3</c:v>
                      </c:pt>
                      <c:pt idx="1041">
                        <c:v>-5.8451623714272927E-3</c:v>
                      </c:pt>
                      <c:pt idx="1042">
                        <c:v>-5.7568723714265246E-3</c:v>
                      </c:pt>
                      <c:pt idx="1043">
                        <c:v>-6.3945223714263477E-3</c:v>
                      </c:pt>
                      <c:pt idx="1044">
                        <c:v>-5.9138323714265084E-3</c:v>
                      </c:pt>
                      <c:pt idx="1045">
                        <c:v>-5.560672371426989E-3</c:v>
                      </c:pt>
                      <c:pt idx="1046">
                        <c:v>-5.7568723714265246E-3</c:v>
                      </c:pt>
                      <c:pt idx="1047">
                        <c:v>-5.6980123714271969E-3</c:v>
                      </c:pt>
                      <c:pt idx="1048">
                        <c:v>-5.7372523714267487E-3</c:v>
                      </c:pt>
                      <c:pt idx="1049">
                        <c:v>-6.217942371426588E-3</c:v>
                      </c:pt>
                      <c:pt idx="1050">
                        <c:v>-5.4135223714251168E-3</c:v>
                      </c:pt>
                      <c:pt idx="1051">
                        <c:v>-6.1100323714278204E-3</c:v>
                      </c:pt>
                      <c:pt idx="1052">
                        <c:v>-7.0027423714265069E-3</c:v>
                      </c:pt>
                      <c:pt idx="1053">
                        <c:v>-7.6698223714277702E-3</c:v>
                      </c:pt>
                      <c:pt idx="1054">
                        <c:v>-5.6293423714279811E-3</c:v>
                      </c:pt>
                      <c:pt idx="1055">
                        <c:v>-5.4331423714266691E-3</c:v>
                      </c:pt>
                      <c:pt idx="1056">
                        <c:v>-7.7483023714268739E-3</c:v>
                      </c:pt>
                      <c:pt idx="1057">
                        <c:v>-5.5116223714257728E-3</c:v>
                      </c:pt>
                      <c:pt idx="1058">
                        <c:v>-5.560672371426989E-3</c:v>
                      </c:pt>
                      <c:pt idx="1059">
                        <c:v>-5.8647823714252922E-3</c:v>
                      </c:pt>
                      <c:pt idx="1060">
                        <c:v>-5.7863023714261885E-3</c:v>
                      </c:pt>
                      <c:pt idx="1061">
                        <c:v>-2.2286722371427814E-2</c:v>
                      </c:pt>
                      <c:pt idx="1062">
                        <c:v>7.3787176285744493E-3</c:v>
                      </c:pt>
                      <c:pt idx="1063">
                        <c:v>-3.5201923714271999E-3</c:v>
                      </c:pt>
                      <c:pt idx="1064">
                        <c:v>-7.0223623714262828E-3</c:v>
                      </c:pt>
                      <c:pt idx="1065">
                        <c:v>-6.2375623714263639E-3</c:v>
                      </c:pt>
                      <c:pt idx="1066">
                        <c:v>-5.5018123714276612E-3</c:v>
                      </c:pt>
                      <c:pt idx="1067">
                        <c:v>-8.1505123714276095E-3</c:v>
                      </c:pt>
                      <c:pt idx="1068">
                        <c:v>-2.4229102371426947E-2</c:v>
                      </c:pt>
                      <c:pt idx="1069">
                        <c:v>-7.0659832371426035E-2</c:v>
                      </c:pt>
                      <c:pt idx="1070">
                        <c:v>1.0498297628574349E-2</c:v>
                      </c:pt>
                      <c:pt idx="1071">
                        <c:v>-1.0004602371427751E-2</c:v>
                      </c:pt>
                      <c:pt idx="1072">
                        <c:v>-7.5226723714258981E-3</c:v>
                      </c:pt>
                      <c:pt idx="1073">
                        <c:v>-5.452762371426445E-3</c:v>
                      </c:pt>
                      <c:pt idx="1074">
                        <c:v>-5.1878923714276937E-3</c:v>
                      </c:pt>
                      <c:pt idx="1075">
                        <c:v>-6.12965237142582E-3</c:v>
                      </c:pt>
                      <c:pt idx="1076">
                        <c:v>-8.8764523714264243E-3</c:v>
                      </c:pt>
                      <c:pt idx="1077">
                        <c:v>-6.0806023714281565E-3</c:v>
                      </c:pt>
                      <c:pt idx="1078">
                        <c:v>-5.8745923714269566E-3</c:v>
                      </c:pt>
                      <c:pt idx="1079">
                        <c:v>-5.8059223714259645E-3</c:v>
                      </c:pt>
                      <c:pt idx="1080">
                        <c:v>-5.8157323714276288E-3</c:v>
                      </c:pt>
                      <c:pt idx="1081">
                        <c:v>-5.6489623714259807E-3</c:v>
                      </c:pt>
                      <c:pt idx="1082">
                        <c:v>-5.658772371427645E-3</c:v>
                      </c:pt>
                      <c:pt idx="1083">
                        <c:v>-2.1011422371426391E-2</c:v>
                      </c:pt>
                      <c:pt idx="1084">
                        <c:v>-8.9985532371427368E-2</c:v>
                      </c:pt>
                      <c:pt idx="1085">
                        <c:v>-8.9436172371426537E-2</c:v>
                      </c:pt>
                      <c:pt idx="1086">
                        <c:v>2.5227676285730638E-3</c:v>
                      </c:pt>
                      <c:pt idx="1087">
                        <c:v>-7.4441923714267944E-3</c:v>
                      </c:pt>
                      <c:pt idx="1088">
                        <c:v>-6.9536923714270671E-3</c:v>
                      </c:pt>
                      <c:pt idx="1089">
                        <c:v>-6.7771123714273074E-3</c:v>
                      </c:pt>
                      <c:pt idx="1090">
                        <c:v>-4.9916923714263817E-3</c:v>
                      </c:pt>
                      <c:pt idx="1091">
                        <c:v>-5.8451623714272927E-3</c:v>
                      </c:pt>
                      <c:pt idx="1092">
                        <c:v>-6.4043323714262357E-3</c:v>
                      </c:pt>
                      <c:pt idx="1093">
                        <c:v>-9.1805623714282802E-3</c:v>
                      </c:pt>
                      <c:pt idx="1094">
                        <c:v>-9.4184212371427378E-2</c:v>
                      </c:pt>
                      <c:pt idx="1095">
                        <c:v>-8.2388023714266012E-3</c:v>
                      </c:pt>
                      <c:pt idx="1096">
                        <c:v>-1.4850742371427472E-2</c:v>
                      </c:pt>
                      <c:pt idx="1097">
                        <c:v>-7.8758323714254175E-3</c:v>
                      </c:pt>
                      <c:pt idx="1098">
                        <c:v>-2.4631312371425906E-2</c:v>
                      </c:pt>
                      <c:pt idx="1099">
                        <c:v>-8.3952382371426992E-2</c:v>
                      </c:pt>
                      <c:pt idx="1100">
                        <c:v>-5.7867592371426468E-2</c:v>
                      </c:pt>
                      <c:pt idx="1101">
                        <c:v>-1.6224142371427774E-2</c:v>
                      </c:pt>
                      <c:pt idx="1102">
                        <c:v>4.9556476285719242E-3</c:v>
                      </c:pt>
                      <c:pt idx="1103">
                        <c:v>-1.5861172371426591E-2</c:v>
                      </c:pt>
                      <c:pt idx="1104">
                        <c:v>-7.2631642371426608E-2</c:v>
                      </c:pt>
                      <c:pt idx="1105">
                        <c:v>-7.7772082371426521E-2</c:v>
                      </c:pt>
                      <c:pt idx="1106">
                        <c:v>-1.8970942371426602E-2</c:v>
                      </c:pt>
                      <c:pt idx="1107">
                        <c:v>-1.5223522371426768E-2</c:v>
                      </c:pt>
                      <c:pt idx="1108">
                        <c:v>-3.6967723714269596E-3</c:v>
                      </c:pt>
                      <c:pt idx="1109">
                        <c:v>-5.9530723714278366E-3</c:v>
                      </c:pt>
                      <c:pt idx="1110">
                        <c:v>-2.491580237142621E-2</c:v>
                      </c:pt>
                      <c:pt idx="1111">
                        <c:v>-4.3368412371426857E-2</c:v>
                      </c:pt>
                      <c:pt idx="1112">
                        <c:v>-3.9714523714273753E-3</c:v>
                      </c:pt>
                      <c:pt idx="1113">
                        <c:v>-6.8752123714279634E-3</c:v>
                      </c:pt>
                      <c:pt idx="1114">
                        <c:v>-6.7967323714270833E-3</c:v>
                      </c:pt>
                      <c:pt idx="1115">
                        <c:v>-4.3554802371426504E-2</c:v>
                      </c:pt>
                      <c:pt idx="1116">
                        <c:v>-1.4978272371427792E-2</c:v>
                      </c:pt>
                      <c:pt idx="1117">
                        <c:v>-7.1150332371425762E-2</c:v>
                      </c:pt>
                      <c:pt idx="1118">
                        <c:v>-2.9879662371426363E-2</c:v>
                      </c:pt>
                      <c:pt idx="1119">
                        <c:v>1.1557777628574684E-2</c:v>
                      </c:pt>
                      <c:pt idx="1120">
                        <c:v>-2.7648223714251685E-3</c:v>
                      </c:pt>
                      <c:pt idx="1121">
                        <c:v>-5.3252323714261252E-3</c:v>
                      </c:pt>
                      <c:pt idx="1122">
                        <c:v>-4.5502423714278706E-3</c:v>
                      </c:pt>
                      <c:pt idx="1123">
                        <c:v>0</c:v>
                      </c:pt>
                      <c:pt idx="1124">
                        <c:v>0</c:v>
                      </c:pt>
                      <c:pt idx="1125">
                        <c:v>0</c:v>
                      </c:pt>
                      <c:pt idx="1126">
                        <c:v>0</c:v>
                      </c:pt>
                      <c:pt idx="1127">
                        <c:v>0</c:v>
                      </c:pt>
                      <c:pt idx="1128">
                        <c:v>0</c:v>
                      </c:pt>
                      <c:pt idx="1129">
                        <c:v>0</c:v>
                      </c:pt>
                      <c:pt idx="1130">
                        <c:v>0</c:v>
                      </c:pt>
                      <c:pt idx="1131">
                        <c:v>0</c:v>
                      </c:pt>
                      <c:pt idx="1132">
                        <c:v>0</c:v>
                      </c:pt>
                      <c:pt idx="1133">
                        <c:v>0</c:v>
                      </c:pt>
                      <c:pt idx="1134">
                        <c:v>0</c:v>
                      </c:pt>
                      <c:pt idx="1135">
                        <c:v>0</c:v>
                      </c:pt>
                      <c:pt idx="1136">
                        <c:v>0</c:v>
                      </c:pt>
                      <c:pt idx="1137">
                        <c:v>0</c:v>
                      </c:pt>
                      <c:pt idx="1138">
                        <c:v>0</c:v>
                      </c:pt>
                      <c:pt idx="1139">
                        <c:v>0</c:v>
                      </c:pt>
                      <c:pt idx="1140">
                        <c:v>0</c:v>
                      </c:pt>
                      <c:pt idx="1141">
                        <c:v>0</c:v>
                      </c:pt>
                      <c:pt idx="1142">
                        <c:v>0</c:v>
                      </c:pt>
                      <c:pt idx="1143">
                        <c:v>0</c:v>
                      </c:pt>
                      <c:pt idx="1144">
                        <c:v>0</c:v>
                      </c:pt>
                      <c:pt idx="1145">
                        <c:v>0</c:v>
                      </c:pt>
                      <c:pt idx="1146">
                        <c:v>0</c:v>
                      </c:pt>
                      <c:pt idx="1147">
                        <c:v>0</c:v>
                      </c:pt>
                      <c:pt idx="1148">
                        <c:v>0</c:v>
                      </c:pt>
                      <c:pt idx="1149">
                        <c:v>0</c:v>
                      </c:pt>
                      <c:pt idx="1150">
                        <c:v>0</c:v>
                      </c:pt>
                    </c:numCache>
                  </c:numRef>
                </c:yVal>
                <c:smooth val="0"/>
                <c:extLst>
                  <c:ext xmlns:c16="http://schemas.microsoft.com/office/drawing/2014/chart" uri="{C3380CC4-5D6E-409C-BE32-E72D297353CC}">
                    <c16:uniqueId val="{00000002-E01D-4CCD-A4C2-019A7266AA8F}"/>
                  </c:ext>
                </c:extLst>
              </c15:ser>
            </c15:filteredScatterSeries>
          </c:ext>
        </c:extLst>
      </c:scatterChart>
      <c:valAx>
        <c:axId val="64408347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44085768"/>
        <c:crosses val="autoZero"/>
        <c:crossBetween val="midCat"/>
      </c:valAx>
      <c:valAx>
        <c:axId val="6440857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44083472"/>
        <c:crosses val="autoZero"/>
        <c:crossBetween val="midCat"/>
      </c:valAx>
    </c:plotArea>
    <c:legend>
      <c:legendPos val="b"/>
      <c:overlay val="0"/>
    </c:legend>
    <c:plotVisOnly val="1"/>
    <c:dispBlanksAs val="gap"/>
    <c:showDLblsOverMax val="0"/>
  </c:chart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Covarianz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'Real Values'!$A$30:$A$140</c:f>
              <c:numCache>
                <c:formatCode>General</c:formatCode>
                <c:ptCount val="111"/>
                <c:pt idx="0">
                  <c:v>28</c:v>
                </c:pt>
                <c:pt idx="1">
                  <c:v>29</c:v>
                </c:pt>
                <c:pt idx="2">
                  <c:v>30</c:v>
                </c:pt>
                <c:pt idx="3">
                  <c:v>31</c:v>
                </c:pt>
                <c:pt idx="4">
                  <c:v>32</c:v>
                </c:pt>
                <c:pt idx="5">
                  <c:v>33</c:v>
                </c:pt>
                <c:pt idx="6">
                  <c:v>34</c:v>
                </c:pt>
                <c:pt idx="7">
                  <c:v>35</c:v>
                </c:pt>
                <c:pt idx="8">
                  <c:v>36</c:v>
                </c:pt>
                <c:pt idx="9">
                  <c:v>37</c:v>
                </c:pt>
                <c:pt idx="10">
                  <c:v>38</c:v>
                </c:pt>
                <c:pt idx="11">
                  <c:v>39</c:v>
                </c:pt>
                <c:pt idx="12">
                  <c:v>40</c:v>
                </c:pt>
                <c:pt idx="13">
                  <c:v>41</c:v>
                </c:pt>
                <c:pt idx="14">
                  <c:v>42</c:v>
                </c:pt>
                <c:pt idx="15">
                  <c:v>43</c:v>
                </c:pt>
                <c:pt idx="16">
                  <c:v>44</c:v>
                </c:pt>
                <c:pt idx="17">
                  <c:v>45</c:v>
                </c:pt>
                <c:pt idx="18">
                  <c:v>46</c:v>
                </c:pt>
                <c:pt idx="19">
                  <c:v>47</c:v>
                </c:pt>
                <c:pt idx="20">
                  <c:v>48</c:v>
                </c:pt>
                <c:pt idx="21">
                  <c:v>49</c:v>
                </c:pt>
                <c:pt idx="22">
                  <c:v>50</c:v>
                </c:pt>
                <c:pt idx="23">
                  <c:v>51</c:v>
                </c:pt>
                <c:pt idx="24">
                  <c:v>52</c:v>
                </c:pt>
                <c:pt idx="25">
                  <c:v>53</c:v>
                </c:pt>
                <c:pt idx="26">
                  <c:v>54</c:v>
                </c:pt>
                <c:pt idx="27">
                  <c:v>55</c:v>
                </c:pt>
                <c:pt idx="28">
                  <c:v>56</c:v>
                </c:pt>
                <c:pt idx="29">
                  <c:v>57</c:v>
                </c:pt>
                <c:pt idx="30">
                  <c:v>58</c:v>
                </c:pt>
                <c:pt idx="31">
                  <c:v>59</c:v>
                </c:pt>
                <c:pt idx="32">
                  <c:v>60</c:v>
                </c:pt>
                <c:pt idx="33">
                  <c:v>61</c:v>
                </c:pt>
                <c:pt idx="34">
                  <c:v>62</c:v>
                </c:pt>
                <c:pt idx="35">
                  <c:v>63</c:v>
                </c:pt>
                <c:pt idx="36">
                  <c:v>64</c:v>
                </c:pt>
                <c:pt idx="37">
                  <c:v>65</c:v>
                </c:pt>
                <c:pt idx="38">
                  <c:v>66</c:v>
                </c:pt>
                <c:pt idx="39">
                  <c:v>67</c:v>
                </c:pt>
                <c:pt idx="40">
                  <c:v>68</c:v>
                </c:pt>
                <c:pt idx="41">
                  <c:v>69</c:v>
                </c:pt>
                <c:pt idx="42">
                  <c:v>70</c:v>
                </c:pt>
                <c:pt idx="43">
                  <c:v>71</c:v>
                </c:pt>
                <c:pt idx="44">
                  <c:v>72</c:v>
                </c:pt>
                <c:pt idx="45">
                  <c:v>73</c:v>
                </c:pt>
                <c:pt idx="46">
                  <c:v>74</c:v>
                </c:pt>
                <c:pt idx="47">
                  <c:v>75</c:v>
                </c:pt>
                <c:pt idx="48">
                  <c:v>76</c:v>
                </c:pt>
                <c:pt idx="49">
                  <c:v>77</c:v>
                </c:pt>
                <c:pt idx="50">
                  <c:v>78</c:v>
                </c:pt>
                <c:pt idx="51">
                  <c:v>79</c:v>
                </c:pt>
                <c:pt idx="52">
                  <c:v>80</c:v>
                </c:pt>
                <c:pt idx="53">
                  <c:v>81</c:v>
                </c:pt>
                <c:pt idx="54">
                  <c:v>82</c:v>
                </c:pt>
                <c:pt idx="55">
                  <c:v>83</c:v>
                </c:pt>
                <c:pt idx="56">
                  <c:v>84</c:v>
                </c:pt>
                <c:pt idx="57">
                  <c:v>85</c:v>
                </c:pt>
                <c:pt idx="58">
                  <c:v>86</c:v>
                </c:pt>
                <c:pt idx="59">
                  <c:v>87</c:v>
                </c:pt>
                <c:pt idx="60">
                  <c:v>88</c:v>
                </c:pt>
                <c:pt idx="61">
                  <c:v>89</c:v>
                </c:pt>
                <c:pt idx="62">
                  <c:v>90</c:v>
                </c:pt>
                <c:pt idx="63">
                  <c:v>91</c:v>
                </c:pt>
                <c:pt idx="64">
                  <c:v>92</c:v>
                </c:pt>
                <c:pt idx="65">
                  <c:v>93</c:v>
                </c:pt>
                <c:pt idx="66">
                  <c:v>94</c:v>
                </c:pt>
                <c:pt idx="67">
                  <c:v>95</c:v>
                </c:pt>
                <c:pt idx="68">
                  <c:v>96</c:v>
                </c:pt>
                <c:pt idx="69">
                  <c:v>97</c:v>
                </c:pt>
                <c:pt idx="70">
                  <c:v>98</c:v>
                </c:pt>
                <c:pt idx="71">
                  <c:v>99</c:v>
                </c:pt>
                <c:pt idx="72">
                  <c:v>100</c:v>
                </c:pt>
                <c:pt idx="73">
                  <c:v>101</c:v>
                </c:pt>
                <c:pt idx="74">
                  <c:v>102</c:v>
                </c:pt>
                <c:pt idx="75">
                  <c:v>103</c:v>
                </c:pt>
                <c:pt idx="76">
                  <c:v>104</c:v>
                </c:pt>
                <c:pt idx="77">
                  <c:v>105</c:v>
                </c:pt>
                <c:pt idx="78">
                  <c:v>106</c:v>
                </c:pt>
                <c:pt idx="79">
                  <c:v>107</c:v>
                </c:pt>
                <c:pt idx="80">
                  <c:v>108</c:v>
                </c:pt>
                <c:pt idx="81">
                  <c:v>109</c:v>
                </c:pt>
                <c:pt idx="82">
                  <c:v>110</c:v>
                </c:pt>
                <c:pt idx="83">
                  <c:v>111</c:v>
                </c:pt>
                <c:pt idx="84">
                  <c:v>112</c:v>
                </c:pt>
                <c:pt idx="85">
                  <c:v>113</c:v>
                </c:pt>
                <c:pt idx="86">
                  <c:v>114</c:v>
                </c:pt>
                <c:pt idx="87">
                  <c:v>115</c:v>
                </c:pt>
                <c:pt idx="88">
                  <c:v>116</c:v>
                </c:pt>
                <c:pt idx="89">
                  <c:v>117</c:v>
                </c:pt>
                <c:pt idx="90">
                  <c:v>118</c:v>
                </c:pt>
                <c:pt idx="91">
                  <c:v>119</c:v>
                </c:pt>
                <c:pt idx="92">
                  <c:v>120</c:v>
                </c:pt>
                <c:pt idx="93">
                  <c:v>121</c:v>
                </c:pt>
                <c:pt idx="94">
                  <c:v>122</c:v>
                </c:pt>
                <c:pt idx="95">
                  <c:v>123</c:v>
                </c:pt>
                <c:pt idx="96">
                  <c:v>124</c:v>
                </c:pt>
                <c:pt idx="97">
                  <c:v>125</c:v>
                </c:pt>
                <c:pt idx="98">
                  <c:v>126</c:v>
                </c:pt>
                <c:pt idx="99">
                  <c:v>127</c:v>
                </c:pt>
                <c:pt idx="100">
                  <c:v>128</c:v>
                </c:pt>
                <c:pt idx="101">
                  <c:v>129</c:v>
                </c:pt>
                <c:pt idx="102">
                  <c:v>130</c:v>
                </c:pt>
                <c:pt idx="103">
                  <c:v>131</c:v>
                </c:pt>
                <c:pt idx="104">
                  <c:v>132</c:v>
                </c:pt>
                <c:pt idx="105">
                  <c:v>133</c:v>
                </c:pt>
                <c:pt idx="106">
                  <c:v>134</c:v>
                </c:pt>
                <c:pt idx="107">
                  <c:v>135</c:v>
                </c:pt>
                <c:pt idx="108">
                  <c:v>136</c:v>
                </c:pt>
                <c:pt idx="109">
                  <c:v>137</c:v>
                </c:pt>
                <c:pt idx="110">
                  <c:v>138</c:v>
                </c:pt>
              </c:numCache>
            </c:numRef>
          </c:xVal>
          <c:yVal>
            <c:numRef>
              <c:f>'Real Values'!$O$30:$O$140</c:f>
              <c:numCache>
                <c:formatCode>General</c:formatCode>
                <c:ptCount val="1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37C-4646-88D2-7B8B9BF1FE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47175712"/>
        <c:axId val="647175384"/>
      </c:scatterChart>
      <c:valAx>
        <c:axId val="647175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47175384"/>
        <c:crosses val="autoZero"/>
        <c:crossBetween val="midCat"/>
      </c:valAx>
      <c:valAx>
        <c:axId val="6471753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4717571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Spin" dx="26" fmlaLink="$D$29" max="200" noThreeD="1" page="10" val="53"/>
</file>

<file path=xl/ctrlProps/ctrlProp2.xml><?xml version="1.0" encoding="utf-8"?>
<formControlPr xmlns="http://schemas.microsoft.com/office/spreadsheetml/2009/9/main" objectType="Spin" dx="26" fmlaLink="$D$26" max="100" page="10" val="0"/>
</file>

<file path=xl/ctrlProps/ctrlProp3.xml><?xml version="1.0" encoding="utf-8"?>
<formControlPr xmlns="http://schemas.microsoft.com/office/spreadsheetml/2009/9/main" objectType="Spin" dx="26" fmlaLink="$D$19" max="1000" page="10" val="960"/>
</file>

<file path=xl/ctrlProps/ctrlProp4.xml><?xml version="1.0" encoding="utf-8"?>
<formControlPr xmlns="http://schemas.microsoft.com/office/spreadsheetml/2009/9/main" objectType="Spin" dx="26" fmlaLink="$B$5" max="250" min="1" page="10"/>
</file>

<file path=xl/ctrlProps/ctrlProp5.xml><?xml version="1.0" encoding="utf-8"?>
<formControlPr xmlns="http://schemas.microsoft.com/office/spreadsheetml/2009/9/main" objectType="Spin" dx="26" fmlaLink="$B$6" max="250" min="1" page="10"/>
</file>

<file path=xl/ctrlProps/ctrlProp6.xml><?xml version="1.0" encoding="utf-8"?>
<formControlPr xmlns="http://schemas.microsoft.com/office/spreadsheetml/2009/9/main" objectType="Spin" dx="26" fmlaLink="$B$10" max="1500" min="1" page="10" val="576"/>
</file>

<file path=xl/ctrlProps/ctrlProp7.xml><?xml version="1.0" encoding="utf-8"?>
<formControlPr xmlns="http://schemas.microsoft.com/office/spreadsheetml/2009/9/main" objectType="Spin" dx="26" fmlaLink="$D$28" max="2500" min="1000" noThreeD="1" page="10" val="1987"/>
</file>

<file path=xl/ctrlProps/ctrlProp8.xml><?xml version="1.0" encoding="utf-8"?>
<formControlPr xmlns="http://schemas.microsoft.com/office/spreadsheetml/2009/9/main" objectType="Spin" dx="26" fmlaLink="$B$9" max="500" page="10" val="350"/>
</file>

<file path=xl/ctrlProps/ctrlProp9.xml><?xml version="1.0" encoding="utf-8"?>
<formControlPr xmlns="http://schemas.microsoft.com/office/spreadsheetml/2009/9/main" objectType="CheckBox" fmlaLink="$D$21" lockText="1" noThreeD="1"/>
</file>

<file path=xl/ctrlProps/ctrlProp10.xml><?xml version="1.0" encoding="utf-8"?>
<formControlPr xmlns="http://schemas.microsoft.com/office/spreadsheetml/2009/9/main" objectType="Spin" dx="26" fmlaLink="$D$20" max="1000" page="10" val="968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0</xdr:colOff>
      <xdr:row>1</xdr:row>
      <xdr:rowOff>53340</xdr:rowOff>
    </xdr:from>
    <xdr:to>
      <xdr:col>9</xdr:col>
      <xdr:colOff>70080</xdr:colOff>
      <xdr:row>24</xdr:row>
      <xdr:rowOff>178620</xdr:rowOff>
    </xdr:to>
    <xdr:graphicFrame macro="">
      <xdr:nvGraphicFramePr>
        <xdr:cNvPr id="2" name="Diagramm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190500</xdr:colOff>
      <xdr:row>1</xdr:row>
      <xdr:rowOff>53340</xdr:rowOff>
    </xdr:from>
    <xdr:to>
      <xdr:col>18</xdr:col>
      <xdr:colOff>33840</xdr:colOff>
      <xdr:row>24</xdr:row>
      <xdr:rowOff>178620</xdr:rowOff>
    </xdr:to>
    <xdr:graphicFrame macro="">
      <xdr:nvGraphicFramePr>
        <xdr:cNvPr id="4" name="Diagramm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34</xdr:row>
      <xdr:rowOff>106680</xdr:rowOff>
    </xdr:from>
    <xdr:to>
      <xdr:col>5</xdr:col>
      <xdr:colOff>76200</xdr:colOff>
      <xdr:row>49</xdr:row>
      <xdr:rowOff>106680</xdr:rowOff>
    </xdr:to>
    <xdr:graphicFrame macro="">
      <xdr:nvGraphicFramePr>
        <xdr:cNvPr id="5" name="Diagramm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28</xdr:row>
          <xdr:rowOff>0</xdr:rowOff>
        </xdr:from>
        <xdr:to>
          <xdr:col>4</xdr:col>
          <xdr:colOff>0</xdr:colOff>
          <xdr:row>29</xdr:row>
          <xdr:rowOff>0</xdr:rowOff>
        </xdr:to>
        <xdr:sp macro="" textlink="">
          <xdr:nvSpPr>
            <xdr:cNvPr id="2050" name="Spinner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25</xdr:row>
          <xdr:rowOff>0</xdr:rowOff>
        </xdr:from>
        <xdr:to>
          <xdr:col>4</xdr:col>
          <xdr:colOff>0</xdr:colOff>
          <xdr:row>26</xdr:row>
          <xdr:rowOff>0</xdr:rowOff>
        </xdr:to>
        <xdr:sp macro="" textlink="">
          <xdr:nvSpPr>
            <xdr:cNvPr id="2051" name="Spinner 3" hidden="1">
              <a:extLst>
                <a:ext uri="{63B3BB69-23CF-44E3-9099-C40C66FF867C}">
                  <a14:compatExt spid="_x0000_s20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18</xdr:row>
          <xdr:rowOff>0</xdr:rowOff>
        </xdr:from>
        <xdr:to>
          <xdr:col>3</xdr:col>
          <xdr:colOff>358140</xdr:colOff>
          <xdr:row>19</xdr:row>
          <xdr:rowOff>0</xdr:rowOff>
        </xdr:to>
        <xdr:sp macro="" textlink="">
          <xdr:nvSpPr>
            <xdr:cNvPr id="2052" name="Spinner 4" hidden="1">
              <a:extLst>
                <a:ext uri="{63B3BB69-23CF-44E3-9099-C40C66FF867C}">
                  <a14:compatExt spid="_x0000_s20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</xdr:row>
          <xdr:rowOff>0</xdr:rowOff>
        </xdr:from>
        <xdr:to>
          <xdr:col>4</xdr:col>
          <xdr:colOff>0</xdr:colOff>
          <xdr:row>5</xdr:row>
          <xdr:rowOff>0</xdr:rowOff>
        </xdr:to>
        <xdr:sp macro="" textlink="">
          <xdr:nvSpPr>
            <xdr:cNvPr id="2053" name="Spinner 5" hidden="1">
              <a:extLst>
                <a:ext uri="{63B3BB69-23CF-44E3-9099-C40C66FF867C}">
                  <a14:compatExt spid="_x0000_s20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5</xdr:row>
          <xdr:rowOff>0</xdr:rowOff>
        </xdr:from>
        <xdr:to>
          <xdr:col>4</xdr:col>
          <xdr:colOff>0</xdr:colOff>
          <xdr:row>6</xdr:row>
          <xdr:rowOff>0</xdr:rowOff>
        </xdr:to>
        <xdr:sp macro="" textlink="">
          <xdr:nvSpPr>
            <xdr:cNvPr id="2054" name="Spinner 6" hidden="1">
              <a:extLst>
                <a:ext uri="{63B3BB69-23CF-44E3-9099-C40C66FF867C}">
                  <a14:compatExt spid="_x0000_s20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9</xdr:row>
          <xdr:rowOff>0</xdr:rowOff>
        </xdr:from>
        <xdr:to>
          <xdr:col>4</xdr:col>
          <xdr:colOff>0</xdr:colOff>
          <xdr:row>10</xdr:row>
          <xdr:rowOff>0</xdr:rowOff>
        </xdr:to>
        <xdr:sp macro="" textlink="">
          <xdr:nvSpPr>
            <xdr:cNvPr id="2055" name="Spinner 7" hidden="1">
              <a:extLst>
                <a:ext uri="{63B3BB69-23CF-44E3-9099-C40C66FF867C}">
                  <a14:compatExt spid="_x0000_s20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27</xdr:row>
          <xdr:rowOff>0</xdr:rowOff>
        </xdr:from>
        <xdr:to>
          <xdr:col>4</xdr:col>
          <xdr:colOff>0</xdr:colOff>
          <xdr:row>28</xdr:row>
          <xdr:rowOff>0</xdr:rowOff>
        </xdr:to>
        <xdr:sp macro="" textlink="">
          <xdr:nvSpPr>
            <xdr:cNvPr id="2057" name="Spinner 9" hidden="1">
              <a:extLst>
                <a:ext uri="{63B3BB69-23CF-44E3-9099-C40C66FF867C}">
                  <a14:compatExt spid="_x0000_s20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8</xdr:row>
          <xdr:rowOff>0</xdr:rowOff>
        </xdr:from>
        <xdr:to>
          <xdr:col>4</xdr:col>
          <xdr:colOff>0</xdr:colOff>
          <xdr:row>9</xdr:row>
          <xdr:rowOff>0</xdr:rowOff>
        </xdr:to>
        <xdr:sp macro="" textlink="">
          <xdr:nvSpPr>
            <xdr:cNvPr id="2058" name="Spinner 10" hidden="1">
              <a:extLst>
                <a:ext uri="{63B3BB69-23CF-44E3-9099-C40C66FF867C}">
                  <a14:compatExt spid="_x0000_s20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19</xdr:row>
          <xdr:rowOff>167640</xdr:rowOff>
        </xdr:from>
        <xdr:to>
          <xdr:col>4</xdr:col>
          <xdr:colOff>0</xdr:colOff>
          <xdr:row>21</xdr:row>
          <xdr:rowOff>22860</xdr:rowOff>
        </xdr:to>
        <xdr:sp macro="" textlink="">
          <xdr:nvSpPr>
            <xdr:cNvPr id="2059" name="Check Box 11" hidden="1">
              <a:extLst>
                <a:ext uri="{63B3BB69-23CF-44E3-9099-C40C66FF867C}">
                  <a14:compatExt spid="_x0000_s20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C0C0C0" mc:Ignorable="a14" a14:legacySpreadsheetColorIndex="22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19</xdr:row>
          <xdr:rowOff>0</xdr:rowOff>
        </xdr:from>
        <xdr:to>
          <xdr:col>4</xdr:col>
          <xdr:colOff>0</xdr:colOff>
          <xdr:row>20</xdr:row>
          <xdr:rowOff>0</xdr:rowOff>
        </xdr:to>
        <xdr:sp macro="" textlink="">
          <xdr:nvSpPr>
            <xdr:cNvPr id="2060" name="Spinner 12" hidden="1">
              <a:extLst>
                <a:ext uri="{63B3BB69-23CF-44E3-9099-C40C66FF867C}">
                  <a14:compatExt spid="_x0000_s20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</xdr:wsDr>
</file>

<file path=xl/queryTables/queryTable1.xml><?xml version="1.0" encoding="utf-8"?>
<queryTable xmlns="http://schemas.openxmlformats.org/spreadsheetml/2006/main" name="BagOut 220411_Flight2_1" connectionId="1" autoFormatId="16" applyNumberFormats="0" applyBorderFormats="0" applyFontFormats="0" applyPatternFormats="0" applyAlignmentFormats="0" applyWidthHeightFormats="0"/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3"/>
  <dimension ref="A1:U1914"/>
  <sheetViews>
    <sheetView zoomScaleNormal="100" workbookViewId="0">
      <pane ySplit="1" topLeftCell="A2" activePane="bottomLeft" state="frozen"/>
      <selection pane="bottomLeft" activeCell="K11" sqref="K11"/>
    </sheetView>
  </sheetViews>
  <sheetFormatPr baseColWidth="10" defaultRowHeight="14.4" x14ac:dyDescent="0.3"/>
  <cols>
    <col min="1" max="1" width="5.5546875" bestFit="1" customWidth="1"/>
    <col min="2" max="2" width="14.33203125" bestFit="1" customWidth="1"/>
    <col min="3" max="3" width="6.44140625" style="5" customWidth="1"/>
    <col min="4" max="4" width="13.109375" style="5" bestFit="1" customWidth="1"/>
    <col min="5" max="6" width="12.44140625" style="5" bestFit="1" customWidth="1"/>
    <col min="7" max="8" width="15.109375" style="5" bestFit="1" customWidth="1"/>
    <col min="9" max="9" width="9.21875" style="5" customWidth="1"/>
    <col min="10" max="10" width="8.44140625" style="5" customWidth="1"/>
    <col min="11" max="11" width="6.44140625" style="5" customWidth="1"/>
    <col min="12" max="12" width="5" bestFit="1" customWidth="1"/>
  </cols>
  <sheetData>
    <row r="1" spans="1:21" x14ac:dyDescent="0.3">
      <c r="A1" s="1" t="s">
        <v>15</v>
      </c>
      <c r="B1" s="1" t="s">
        <v>1</v>
      </c>
      <c r="C1" s="6" t="s">
        <v>14</v>
      </c>
      <c r="D1" s="6" t="s">
        <v>16</v>
      </c>
      <c r="E1" s="6" t="s">
        <v>17</v>
      </c>
      <c r="F1" s="6" t="s">
        <v>18</v>
      </c>
      <c r="G1" s="6" t="s">
        <v>19</v>
      </c>
      <c r="H1" s="6" t="s">
        <v>20</v>
      </c>
      <c r="I1" s="6" t="s">
        <v>21</v>
      </c>
      <c r="J1" s="6" t="s">
        <v>22</v>
      </c>
      <c r="K1" s="6"/>
      <c r="L1" s="1" t="s">
        <v>15</v>
      </c>
      <c r="M1" s="1" t="s">
        <v>1</v>
      </c>
      <c r="N1" s="6" t="s">
        <v>14</v>
      </c>
      <c r="O1" s="6" t="s">
        <v>16</v>
      </c>
      <c r="P1" s="6" t="s">
        <v>17</v>
      </c>
      <c r="Q1" s="6" t="s">
        <v>18</v>
      </c>
      <c r="R1" s="6" t="s">
        <v>19</v>
      </c>
      <c r="S1" s="6" t="s">
        <v>20</v>
      </c>
      <c r="T1" s="6" t="s">
        <v>21</v>
      </c>
      <c r="U1" s="6" t="s">
        <v>22</v>
      </c>
    </row>
    <row r="2" spans="1:21" x14ac:dyDescent="0.3">
      <c r="A2">
        <v>0</v>
      </c>
      <c r="B2" s="4">
        <v>-96591947400</v>
      </c>
      <c r="C2" s="5">
        <v>2</v>
      </c>
      <c r="D2" s="5">
        <v>-5.0520000000000001E-3</v>
      </c>
      <c r="E2" s="5">
        <v>1.2284E-2</v>
      </c>
      <c r="F2" s="5">
        <v>1004689</v>
      </c>
      <c r="G2" s="5">
        <v>0</v>
      </c>
      <c r="H2" s="5">
        <v>0</v>
      </c>
      <c r="I2" s="5">
        <v>0</v>
      </c>
      <c r="J2" s="5">
        <v>0</v>
      </c>
      <c r="L2">
        <f>A2</f>
        <v>0</v>
      </c>
      <c r="M2">
        <f>'Real Analysis'!$B$3+B2/1000000</f>
        <v>5.2599999995436519E-2</v>
      </c>
      <c r="N2">
        <f t="shared" ref="N2" si="0">C2</f>
        <v>2</v>
      </c>
      <c r="O2">
        <f>IF(ABS(D2)&gt;1,D2/1000000,D2)*'Real Analysis'!$B$4</f>
        <v>-4.9560120000000006E-2</v>
      </c>
      <c r="P2">
        <f>IF(ABS(E2)&gt;1,E2/1000000,E2)*'Real Analysis'!$B$4</f>
        <v>0.12050604000000001</v>
      </c>
      <c r="Q2">
        <f>IF(ABS(F2)&gt;1,F2/1000000,F2)*'Real Analysis'!$B$4</f>
        <v>9.8559990899999992</v>
      </c>
      <c r="R2">
        <f t="shared" ref="R2:T2" si="1">IF(ABS(G2)&gt;1,G2/1000000,G2)</f>
        <v>0</v>
      </c>
      <c r="S2">
        <f t="shared" si="1"/>
        <v>0</v>
      </c>
      <c r="T2">
        <f t="shared" si="1"/>
        <v>0</v>
      </c>
      <c r="U2">
        <f t="shared" ref="U2:U11" si="2">J2/1000</f>
        <v>0</v>
      </c>
    </row>
    <row r="3" spans="1:21" x14ac:dyDescent="0.3">
      <c r="A3">
        <v>1</v>
      </c>
      <c r="B3" s="4">
        <v>-96591928887</v>
      </c>
      <c r="C3" s="5">
        <v>2</v>
      </c>
      <c r="D3" s="5">
        <v>2.1310000000000001E-3</v>
      </c>
      <c r="E3" s="5">
        <v>1.2361E-2</v>
      </c>
      <c r="F3" s="5">
        <v>1004491</v>
      </c>
      <c r="G3" s="5">
        <v>0</v>
      </c>
      <c r="H3" s="5">
        <v>0</v>
      </c>
      <c r="I3" s="5">
        <v>0</v>
      </c>
      <c r="J3" s="5">
        <v>0</v>
      </c>
      <c r="L3">
        <f t="shared" ref="L3:L66" si="3">A3</f>
        <v>1</v>
      </c>
      <c r="M3">
        <f>'Real Analysis'!$B$3+B3/1000000</f>
        <v>7.1112999998149462E-2</v>
      </c>
      <c r="N3">
        <f t="shared" ref="N3:N66" si="4">C3</f>
        <v>2</v>
      </c>
      <c r="O3">
        <f>IF(ABS(D3)&gt;1,D3/1000000,D3)*'Real Analysis'!$B$4</f>
        <v>2.0905110000000001E-2</v>
      </c>
      <c r="P3">
        <f>IF(ABS(E3)&gt;1,E3/1000000,E3)*'Real Analysis'!$B$4</f>
        <v>0.12126141000000001</v>
      </c>
      <c r="Q3">
        <f>IF(ABS(F3)&gt;1,F3/1000000,F3)*'Real Analysis'!$B$4</f>
        <v>9.8540567100000001</v>
      </c>
      <c r="R3">
        <f t="shared" ref="R3:R66" si="5">IF(ABS(G3)&gt;1,G3/1000000,G3)</f>
        <v>0</v>
      </c>
      <c r="S3">
        <f t="shared" ref="S3:S66" si="6">IF(ABS(H3)&gt;1,H3/1000000,H3)</f>
        <v>0</v>
      </c>
      <c r="T3">
        <f t="shared" ref="T3:T66" si="7">IF(ABS(I3)&gt;1,I3/1000000,I3)</f>
        <v>0</v>
      </c>
      <c r="U3">
        <f t="shared" si="2"/>
        <v>0</v>
      </c>
    </row>
    <row r="4" spans="1:21" x14ac:dyDescent="0.3">
      <c r="A4">
        <v>2</v>
      </c>
      <c r="B4" s="4">
        <v>-96591908096</v>
      </c>
      <c r="C4" s="5">
        <v>2</v>
      </c>
      <c r="D4" s="5">
        <v>-6.4320000000000002E-3</v>
      </c>
      <c r="E4" s="5">
        <v>1.2348E-2</v>
      </c>
      <c r="F4" s="5">
        <v>1004490</v>
      </c>
      <c r="G4" s="5">
        <v>0</v>
      </c>
      <c r="H4" s="5">
        <v>0</v>
      </c>
      <c r="I4" s="5">
        <v>0</v>
      </c>
      <c r="J4" s="5">
        <v>0</v>
      </c>
      <c r="L4">
        <f t="shared" si="3"/>
        <v>2</v>
      </c>
      <c r="M4">
        <f>'Real Analysis'!$B$3+B4/1000000</f>
        <v>9.1904000000795349E-2</v>
      </c>
      <c r="N4">
        <f t="shared" si="4"/>
        <v>2</v>
      </c>
      <c r="O4">
        <f>IF(ABS(D4)&gt;1,D4/1000000,D4)*'Real Analysis'!$B$4</f>
        <v>-6.3097920000000002E-2</v>
      </c>
      <c r="P4">
        <f>IF(ABS(E4)&gt;1,E4/1000000,E4)*'Real Analysis'!$B$4</f>
        <v>0.12113388</v>
      </c>
      <c r="Q4">
        <f>IF(ABS(F4)&gt;1,F4/1000000,F4)*'Real Analysis'!$B$4</f>
        <v>9.8540469000000019</v>
      </c>
      <c r="R4">
        <f t="shared" si="5"/>
        <v>0</v>
      </c>
      <c r="S4">
        <f t="shared" si="6"/>
        <v>0</v>
      </c>
      <c r="T4">
        <f t="shared" si="7"/>
        <v>0</v>
      </c>
      <c r="U4">
        <f t="shared" si="2"/>
        <v>0</v>
      </c>
    </row>
    <row r="5" spans="1:21" x14ac:dyDescent="0.3">
      <c r="A5">
        <v>3</v>
      </c>
      <c r="B5" s="4">
        <v>-96591892321</v>
      </c>
      <c r="C5" s="5">
        <v>2</v>
      </c>
      <c r="D5" s="5">
        <v>-3.7880000000000001E-3</v>
      </c>
      <c r="E5" s="5">
        <v>1.2311000000000001E-2</v>
      </c>
      <c r="F5" s="5">
        <v>1004541</v>
      </c>
      <c r="G5" s="5">
        <v>0</v>
      </c>
      <c r="H5" s="5">
        <v>0</v>
      </c>
      <c r="I5" s="5">
        <v>0</v>
      </c>
      <c r="J5" s="5">
        <v>0</v>
      </c>
      <c r="L5">
        <f t="shared" si="3"/>
        <v>3</v>
      </c>
      <c r="M5">
        <f>'Real Analysis'!$B$3+B5/1000000</f>
        <v>0.10767899999336805</v>
      </c>
      <c r="N5">
        <f t="shared" si="4"/>
        <v>2</v>
      </c>
      <c r="O5">
        <f>IF(ABS(D5)&gt;1,D5/1000000,D5)*'Real Analysis'!$B$4</f>
        <v>-3.7160280000000004E-2</v>
      </c>
      <c r="P5">
        <f>IF(ABS(E5)&gt;1,E5/1000000,E5)*'Real Analysis'!$B$4</f>
        <v>0.12077091000000001</v>
      </c>
      <c r="Q5">
        <f>IF(ABS(F5)&gt;1,F5/1000000,F5)*'Real Analysis'!$B$4</f>
        <v>9.8545472099999998</v>
      </c>
      <c r="R5">
        <f t="shared" si="5"/>
        <v>0</v>
      </c>
      <c r="S5">
        <f t="shared" si="6"/>
        <v>0</v>
      </c>
      <c r="T5">
        <f t="shared" si="7"/>
        <v>0</v>
      </c>
      <c r="U5">
        <f t="shared" si="2"/>
        <v>0</v>
      </c>
    </row>
    <row r="6" spans="1:21" x14ac:dyDescent="0.3">
      <c r="A6">
        <v>4</v>
      </c>
      <c r="B6" s="4">
        <v>-96591868258</v>
      </c>
      <c r="C6" s="5">
        <v>2</v>
      </c>
      <c r="D6" s="5">
        <v>-4.6239999999999996E-3</v>
      </c>
      <c r="E6" s="5">
        <v>1.0572E-2</v>
      </c>
      <c r="F6" s="5">
        <v>1004469</v>
      </c>
      <c r="G6" s="5">
        <v>0</v>
      </c>
      <c r="H6" s="5">
        <v>0</v>
      </c>
      <c r="I6" s="5">
        <v>0</v>
      </c>
      <c r="J6" s="5">
        <v>0</v>
      </c>
      <c r="L6">
        <f t="shared" si="3"/>
        <v>4</v>
      </c>
      <c r="M6">
        <f>'Real Analysis'!$B$3+B6/1000000</f>
        <v>0.13174199999775738</v>
      </c>
      <c r="N6">
        <f t="shared" si="4"/>
        <v>2</v>
      </c>
      <c r="O6">
        <f>IF(ABS(D6)&gt;1,D6/1000000,D6)*'Real Analysis'!$B$4</f>
        <v>-4.5361439999999996E-2</v>
      </c>
      <c r="P6">
        <f>IF(ABS(E6)&gt;1,E6/1000000,E6)*'Real Analysis'!$B$4</f>
        <v>0.10371132000000001</v>
      </c>
      <c r="Q6">
        <f>IF(ABS(F6)&gt;1,F6/1000000,F6)*'Real Analysis'!$B$4</f>
        <v>9.8538408900000007</v>
      </c>
      <c r="R6">
        <f t="shared" si="5"/>
        <v>0</v>
      </c>
      <c r="S6">
        <f t="shared" si="6"/>
        <v>0</v>
      </c>
      <c r="T6">
        <f t="shared" si="7"/>
        <v>0</v>
      </c>
      <c r="U6">
        <f t="shared" si="2"/>
        <v>0</v>
      </c>
    </row>
    <row r="7" spans="1:21" x14ac:dyDescent="0.3">
      <c r="A7">
        <v>5</v>
      </c>
      <c r="B7" s="4">
        <v>-96591848694</v>
      </c>
      <c r="C7" s="5">
        <v>2</v>
      </c>
      <c r="D7" s="5">
        <v>-5.0029999999999996E-3</v>
      </c>
      <c r="E7" s="5">
        <v>1.1653E-2</v>
      </c>
      <c r="F7" s="5">
        <v>1004433</v>
      </c>
      <c r="G7" s="5">
        <v>0</v>
      </c>
      <c r="H7" s="5">
        <v>0</v>
      </c>
      <c r="I7" s="5">
        <v>0</v>
      </c>
      <c r="J7" s="5">
        <v>0</v>
      </c>
      <c r="L7">
        <f t="shared" si="3"/>
        <v>5</v>
      </c>
      <c r="M7">
        <f>'Real Analysis'!$B$3+B7/1000000</f>
        <v>0.15130599999974947</v>
      </c>
      <c r="N7">
        <f t="shared" si="4"/>
        <v>2</v>
      </c>
      <c r="O7">
        <f>IF(ABS(D7)&gt;1,D7/1000000,D7)*'Real Analysis'!$B$4</f>
        <v>-4.907943E-2</v>
      </c>
      <c r="P7">
        <f>IF(ABS(E7)&gt;1,E7/1000000,E7)*'Real Analysis'!$B$4</f>
        <v>0.11431593000000001</v>
      </c>
      <c r="Q7">
        <f>IF(ABS(F7)&gt;1,F7/1000000,F7)*'Real Analysis'!$B$4</f>
        <v>9.8534877299999994</v>
      </c>
      <c r="R7">
        <f t="shared" si="5"/>
        <v>0</v>
      </c>
      <c r="S7">
        <f t="shared" si="6"/>
        <v>0</v>
      </c>
      <c r="T7">
        <f t="shared" si="7"/>
        <v>0</v>
      </c>
      <c r="U7">
        <f t="shared" si="2"/>
        <v>0</v>
      </c>
    </row>
    <row r="8" spans="1:21" x14ac:dyDescent="0.3">
      <c r="A8">
        <v>6</v>
      </c>
      <c r="B8" s="4">
        <v>-96591832099</v>
      </c>
      <c r="C8" s="5">
        <v>2</v>
      </c>
      <c r="D8" s="5">
        <v>-4.9750000000000003E-3</v>
      </c>
      <c r="E8" s="5">
        <v>1.2695E-2</v>
      </c>
      <c r="F8" s="5">
        <v>1004444</v>
      </c>
      <c r="G8" s="5">
        <v>0</v>
      </c>
      <c r="H8" s="5">
        <v>0</v>
      </c>
      <c r="I8" s="5">
        <v>0</v>
      </c>
      <c r="J8" s="5">
        <v>0</v>
      </c>
      <c r="L8">
        <f t="shared" si="3"/>
        <v>6</v>
      </c>
      <c r="M8">
        <f>'Real Analysis'!$B$3+B8/1000000</f>
        <v>0.16790099999343511</v>
      </c>
      <c r="N8">
        <f t="shared" si="4"/>
        <v>2</v>
      </c>
      <c r="O8">
        <f>IF(ABS(D8)&gt;1,D8/1000000,D8)*'Real Analysis'!$B$4</f>
        <v>-4.8804750000000008E-2</v>
      </c>
      <c r="P8">
        <f>IF(ABS(E8)&gt;1,E8/1000000,E8)*'Real Analysis'!$B$4</f>
        <v>0.12453795000000001</v>
      </c>
      <c r="Q8">
        <f>IF(ABS(F8)&gt;1,F8/1000000,F8)*'Real Analysis'!$B$4</f>
        <v>9.85359564</v>
      </c>
      <c r="R8">
        <f t="shared" si="5"/>
        <v>0</v>
      </c>
      <c r="S8">
        <f t="shared" si="6"/>
        <v>0</v>
      </c>
      <c r="T8">
        <f t="shared" si="7"/>
        <v>0</v>
      </c>
      <c r="U8">
        <f t="shared" si="2"/>
        <v>0</v>
      </c>
    </row>
    <row r="9" spans="1:21" x14ac:dyDescent="0.3">
      <c r="A9">
        <v>7</v>
      </c>
      <c r="B9" s="4">
        <v>-96591811294</v>
      </c>
      <c r="C9" s="5">
        <v>2</v>
      </c>
      <c r="D9" s="5">
        <v>-5.0029999999999996E-3</v>
      </c>
      <c r="E9" s="5">
        <v>1.204E-2</v>
      </c>
      <c r="F9" s="5">
        <v>1004434</v>
      </c>
      <c r="G9" s="5">
        <v>0</v>
      </c>
      <c r="H9" s="5">
        <v>0</v>
      </c>
      <c r="I9" s="5">
        <v>0</v>
      </c>
      <c r="J9" s="5">
        <v>0</v>
      </c>
      <c r="L9">
        <f t="shared" si="3"/>
        <v>7</v>
      </c>
      <c r="M9">
        <f>'Real Analysis'!$B$3+B9/1000000</f>
        <v>0.1887060000008205</v>
      </c>
      <c r="N9">
        <f t="shared" si="4"/>
        <v>2</v>
      </c>
      <c r="O9">
        <f>IF(ABS(D9)&gt;1,D9/1000000,D9)*'Real Analysis'!$B$4</f>
        <v>-4.907943E-2</v>
      </c>
      <c r="P9">
        <f>IF(ABS(E9)&gt;1,E9/1000000,E9)*'Real Analysis'!$B$4</f>
        <v>0.11811240000000001</v>
      </c>
      <c r="Q9">
        <f>IF(ABS(F9)&gt;1,F9/1000000,F9)*'Real Analysis'!$B$4</f>
        <v>9.8534975400000011</v>
      </c>
      <c r="R9">
        <f t="shared" si="5"/>
        <v>0</v>
      </c>
      <c r="S9">
        <f t="shared" si="6"/>
        <v>0</v>
      </c>
      <c r="T9">
        <f t="shared" si="7"/>
        <v>0</v>
      </c>
      <c r="U9">
        <f t="shared" si="2"/>
        <v>0</v>
      </c>
    </row>
    <row r="10" spans="1:21" x14ac:dyDescent="0.3">
      <c r="A10">
        <v>8</v>
      </c>
      <c r="B10" s="4">
        <v>-96591786539</v>
      </c>
      <c r="C10" s="5">
        <v>2</v>
      </c>
      <c r="D10" s="5">
        <v>-4.8659999999999997E-3</v>
      </c>
      <c r="E10" s="5">
        <v>1.2277E-2</v>
      </c>
      <c r="F10" s="5">
        <v>1004436</v>
      </c>
      <c r="G10" s="5">
        <v>0</v>
      </c>
      <c r="H10" s="5">
        <v>0</v>
      </c>
      <c r="I10" s="5">
        <v>0</v>
      </c>
      <c r="J10" s="5">
        <v>0</v>
      </c>
      <c r="L10">
        <f t="shared" si="3"/>
        <v>8</v>
      </c>
      <c r="M10">
        <f>'Real Analysis'!$B$3+B10/1000000</f>
        <v>0.21346100000664592</v>
      </c>
      <c r="N10">
        <f t="shared" si="4"/>
        <v>2</v>
      </c>
      <c r="O10">
        <f>IF(ABS(D10)&gt;1,D10/1000000,D10)*'Real Analysis'!$B$4</f>
        <v>-4.773546E-2</v>
      </c>
      <c r="P10">
        <f>IF(ABS(E10)&gt;1,E10/1000000,E10)*'Real Analysis'!$B$4</f>
        <v>0.12043737</v>
      </c>
      <c r="Q10">
        <f>IF(ABS(F10)&gt;1,F10/1000000,F10)*'Real Analysis'!$B$4</f>
        <v>9.8535171600000009</v>
      </c>
      <c r="R10">
        <f t="shared" si="5"/>
        <v>0</v>
      </c>
      <c r="S10">
        <f t="shared" si="6"/>
        <v>0</v>
      </c>
      <c r="T10">
        <f t="shared" si="7"/>
        <v>0</v>
      </c>
      <c r="U10">
        <f t="shared" si="2"/>
        <v>0</v>
      </c>
    </row>
    <row r="11" spans="1:21" x14ac:dyDescent="0.3">
      <c r="A11">
        <v>9</v>
      </c>
      <c r="B11" s="4">
        <v>-96591772943</v>
      </c>
      <c r="C11" s="5">
        <v>2</v>
      </c>
      <c r="D11" s="5">
        <v>-4.9940000000000002E-3</v>
      </c>
      <c r="E11" s="5">
        <v>1.2246E-2</v>
      </c>
      <c r="F11" s="5">
        <v>1004436</v>
      </c>
      <c r="G11" s="5">
        <v>0</v>
      </c>
      <c r="H11" s="5">
        <v>0</v>
      </c>
      <c r="I11" s="5">
        <v>0</v>
      </c>
      <c r="J11" s="5">
        <v>0</v>
      </c>
      <c r="L11">
        <f t="shared" si="3"/>
        <v>9</v>
      </c>
      <c r="M11">
        <f>'Real Analysis'!$B$3+B11/1000000</f>
        <v>0.22705699999642093</v>
      </c>
      <c r="N11">
        <f t="shared" si="4"/>
        <v>2</v>
      </c>
      <c r="O11">
        <f>IF(ABS(D11)&gt;1,D11/1000000,D11)*'Real Analysis'!$B$4</f>
        <v>-4.8991140000000002E-2</v>
      </c>
      <c r="P11">
        <f>IF(ABS(E11)&gt;1,E11/1000000,E11)*'Real Analysis'!$B$4</f>
        <v>0.12013326000000001</v>
      </c>
      <c r="Q11">
        <f>IF(ABS(F11)&gt;1,F11/1000000,F11)*'Real Analysis'!$B$4</f>
        <v>9.8535171600000009</v>
      </c>
      <c r="R11">
        <f t="shared" si="5"/>
        <v>0</v>
      </c>
      <c r="S11">
        <f t="shared" si="6"/>
        <v>0</v>
      </c>
      <c r="T11">
        <f t="shared" si="7"/>
        <v>0</v>
      </c>
      <c r="U11">
        <f t="shared" si="2"/>
        <v>0</v>
      </c>
    </row>
    <row r="12" spans="1:21" x14ac:dyDescent="0.3">
      <c r="A12">
        <v>10</v>
      </c>
      <c r="B12" s="4">
        <v>-96591751730</v>
      </c>
      <c r="C12" s="5">
        <v>2</v>
      </c>
      <c r="D12" s="5">
        <v>-6.5459999999999997E-3</v>
      </c>
      <c r="E12" s="5">
        <v>5.4209999999999996E-3</v>
      </c>
      <c r="F12" s="5">
        <v>1004392</v>
      </c>
      <c r="G12" s="5">
        <v>0</v>
      </c>
      <c r="H12" s="5">
        <v>0</v>
      </c>
      <c r="I12" s="5">
        <v>0</v>
      </c>
      <c r="J12" s="5">
        <v>0</v>
      </c>
      <c r="L12">
        <f t="shared" si="3"/>
        <v>10</v>
      </c>
      <c r="M12">
        <f>'Real Analysis'!$B$3+B12/1000000</f>
        <v>0.24826999999640975</v>
      </c>
      <c r="N12">
        <f t="shared" si="4"/>
        <v>2</v>
      </c>
      <c r="O12">
        <f>IF(ABS(D12)&gt;1,D12/1000000,D12)*'Real Analysis'!$B$4</f>
        <v>-6.4216259999999997E-2</v>
      </c>
      <c r="P12">
        <f>IF(ABS(E12)&gt;1,E12/1000000,E12)*'Real Analysis'!$B$4</f>
        <v>5.318001E-2</v>
      </c>
      <c r="Q12">
        <f>IF(ABS(F12)&gt;1,F12/1000000,F12)*'Real Analysis'!$B$4</f>
        <v>9.8530855200000005</v>
      </c>
      <c r="R12">
        <f t="shared" si="5"/>
        <v>0</v>
      </c>
      <c r="S12">
        <f t="shared" si="6"/>
        <v>0</v>
      </c>
      <c r="T12">
        <f t="shared" si="7"/>
        <v>0</v>
      </c>
      <c r="U12">
        <f t="shared" ref="U12:U74" si="8">J12/1000</f>
        <v>0</v>
      </c>
    </row>
    <row r="13" spans="1:21" x14ac:dyDescent="0.3">
      <c r="A13">
        <v>11</v>
      </c>
      <c r="B13" s="4">
        <v>-96591733059</v>
      </c>
      <c r="C13" s="5">
        <v>2</v>
      </c>
      <c r="D13" s="5">
        <v>-1.4095E-2</v>
      </c>
      <c r="E13" s="5">
        <v>5.1399999999999996E-3</v>
      </c>
      <c r="F13" s="5">
        <v>1004102</v>
      </c>
      <c r="G13" s="5">
        <v>0</v>
      </c>
      <c r="H13" s="5">
        <v>0</v>
      </c>
      <c r="I13" s="5">
        <v>0</v>
      </c>
      <c r="J13" s="5">
        <v>0</v>
      </c>
      <c r="L13">
        <f t="shared" si="3"/>
        <v>11</v>
      </c>
      <c r="M13">
        <f>'Real Analysis'!$B$3+B13/1000000</f>
        <v>0.26694099999440368</v>
      </c>
      <c r="N13">
        <f t="shared" si="4"/>
        <v>2</v>
      </c>
      <c r="O13">
        <f>IF(ABS(D13)&gt;1,D13/1000000,D13)*'Real Analysis'!$B$4</f>
        <v>-0.13827195</v>
      </c>
      <c r="P13">
        <f>IF(ABS(E13)&gt;1,E13/1000000,E13)*'Real Analysis'!$B$4</f>
        <v>5.04234E-2</v>
      </c>
      <c r="Q13">
        <f>IF(ABS(F13)&gt;1,F13/1000000,F13)*'Real Analysis'!$B$4</f>
        <v>9.850240620000001</v>
      </c>
      <c r="R13">
        <f t="shared" si="5"/>
        <v>0</v>
      </c>
      <c r="S13">
        <f t="shared" si="6"/>
        <v>0</v>
      </c>
      <c r="T13">
        <f t="shared" si="7"/>
        <v>0</v>
      </c>
      <c r="U13">
        <f t="shared" si="8"/>
        <v>0</v>
      </c>
    </row>
    <row r="14" spans="1:21" x14ac:dyDescent="0.3">
      <c r="A14">
        <v>12</v>
      </c>
      <c r="B14" s="4">
        <v>-96591707381</v>
      </c>
      <c r="C14" s="5">
        <v>2</v>
      </c>
      <c r="D14" s="5">
        <v>-1.1861E-2</v>
      </c>
      <c r="E14" s="5">
        <v>4.561E-3</v>
      </c>
      <c r="F14" s="5">
        <v>1004190</v>
      </c>
      <c r="G14" s="5">
        <v>0</v>
      </c>
      <c r="H14" s="5">
        <v>0</v>
      </c>
      <c r="I14" s="5">
        <v>0</v>
      </c>
      <c r="J14" s="5">
        <v>0</v>
      </c>
      <c r="L14">
        <f t="shared" si="3"/>
        <v>12</v>
      </c>
      <c r="M14">
        <f>'Real Analysis'!$B$3+B14/1000000</f>
        <v>0.29261899999983143</v>
      </c>
      <c r="N14">
        <f t="shared" si="4"/>
        <v>2</v>
      </c>
      <c r="O14">
        <f>IF(ABS(D14)&gt;1,D14/1000000,D14)*'Real Analysis'!$B$4</f>
        <v>-0.11635641000000001</v>
      </c>
      <c r="P14">
        <f>IF(ABS(E14)&gt;1,E14/1000000,E14)*'Real Analysis'!$B$4</f>
        <v>4.4743410000000004E-2</v>
      </c>
      <c r="Q14">
        <f>IF(ABS(F14)&gt;1,F14/1000000,F14)*'Real Analysis'!$B$4</f>
        <v>9.8511039</v>
      </c>
      <c r="R14">
        <f t="shared" si="5"/>
        <v>0</v>
      </c>
      <c r="S14">
        <f t="shared" si="6"/>
        <v>0</v>
      </c>
      <c r="T14">
        <f t="shared" si="7"/>
        <v>0</v>
      </c>
      <c r="U14">
        <f t="shared" si="8"/>
        <v>0</v>
      </c>
    </row>
    <row r="15" spans="1:21" x14ac:dyDescent="0.3">
      <c r="A15">
        <v>13</v>
      </c>
      <c r="B15" s="4">
        <v>-96591686840</v>
      </c>
      <c r="C15" s="5">
        <v>2</v>
      </c>
      <c r="D15" s="5">
        <v>-3.571E-3</v>
      </c>
      <c r="E15" s="5">
        <v>5.9420000000000002E-3</v>
      </c>
      <c r="F15" s="5">
        <v>1004501</v>
      </c>
      <c r="G15" s="5">
        <v>0</v>
      </c>
      <c r="H15" s="5">
        <v>0</v>
      </c>
      <c r="I15" s="5">
        <v>0</v>
      </c>
      <c r="J15" s="5">
        <v>0</v>
      </c>
      <c r="L15">
        <f t="shared" si="3"/>
        <v>13</v>
      </c>
      <c r="M15">
        <f>'Real Analysis'!$B$3+B15/1000000</f>
        <v>0.31316000000515487</v>
      </c>
      <c r="N15">
        <f t="shared" si="4"/>
        <v>2</v>
      </c>
      <c r="O15">
        <f>IF(ABS(D15)&gt;1,D15/1000000,D15)*'Real Analysis'!$B$4</f>
        <v>-3.5031510000000002E-2</v>
      </c>
      <c r="P15">
        <f>IF(ABS(E15)&gt;1,E15/1000000,E15)*'Real Analysis'!$B$4</f>
        <v>5.8291020000000006E-2</v>
      </c>
      <c r="Q15">
        <f>IF(ABS(F15)&gt;1,F15/1000000,F15)*'Real Analysis'!$B$4</f>
        <v>9.8541548100000007</v>
      </c>
      <c r="R15">
        <f t="shared" si="5"/>
        <v>0</v>
      </c>
      <c r="S15">
        <f t="shared" si="6"/>
        <v>0</v>
      </c>
      <c r="T15">
        <f t="shared" si="7"/>
        <v>0</v>
      </c>
      <c r="U15">
        <f t="shared" si="8"/>
        <v>0</v>
      </c>
    </row>
    <row r="16" spans="1:21" x14ac:dyDescent="0.3">
      <c r="A16">
        <v>14</v>
      </c>
      <c r="B16" s="4">
        <v>-96591668064</v>
      </c>
      <c r="C16" s="5">
        <v>2</v>
      </c>
      <c r="D16" s="5">
        <v>-5.3140000000000001E-3</v>
      </c>
      <c r="E16" s="5">
        <v>1.0076E-2</v>
      </c>
      <c r="F16" s="5">
        <v>1004427</v>
      </c>
      <c r="G16" s="5">
        <v>0</v>
      </c>
      <c r="H16" s="5">
        <v>0</v>
      </c>
      <c r="I16" s="5">
        <v>0</v>
      </c>
      <c r="J16" s="5">
        <v>0</v>
      </c>
      <c r="L16">
        <f t="shared" si="3"/>
        <v>14</v>
      </c>
      <c r="M16">
        <f>'Real Analysis'!$B$3+B16/1000000</f>
        <v>0.33193600000231527</v>
      </c>
      <c r="N16">
        <f t="shared" si="4"/>
        <v>2</v>
      </c>
      <c r="O16">
        <f>IF(ABS(D16)&gt;1,D16/1000000,D16)*'Real Analysis'!$B$4</f>
        <v>-5.2130340000000004E-2</v>
      </c>
      <c r="P16">
        <f>IF(ABS(E16)&gt;1,E16/1000000,E16)*'Real Analysis'!$B$4</f>
        <v>9.8845559999999999E-2</v>
      </c>
      <c r="Q16">
        <f>IF(ABS(F16)&gt;1,F16/1000000,F16)*'Real Analysis'!$B$4</f>
        <v>9.8534288700000001</v>
      </c>
      <c r="R16">
        <f t="shared" si="5"/>
        <v>0</v>
      </c>
      <c r="S16">
        <f t="shared" si="6"/>
        <v>0</v>
      </c>
      <c r="T16">
        <f t="shared" si="7"/>
        <v>0</v>
      </c>
      <c r="U16">
        <f t="shared" si="8"/>
        <v>0</v>
      </c>
    </row>
    <row r="17" spans="1:21" x14ac:dyDescent="0.3">
      <c r="A17">
        <v>15</v>
      </c>
      <c r="B17" s="4">
        <v>-96591652805</v>
      </c>
      <c r="C17" s="5">
        <v>2</v>
      </c>
      <c r="D17" s="5">
        <v>-5.006E-3</v>
      </c>
      <c r="E17" s="5">
        <v>5.9969999999999997E-3</v>
      </c>
      <c r="F17" s="5">
        <v>1004442</v>
      </c>
      <c r="G17" s="5">
        <v>0</v>
      </c>
      <c r="H17" s="5">
        <v>0</v>
      </c>
      <c r="I17" s="5">
        <v>0</v>
      </c>
      <c r="J17" s="5">
        <v>0</v>
      </c>
      <c r="L17">
        <f t="shared" si="3"/>
        <v>15</v>
      </c>
      <c r="M17">
        <f>'Real Analysis'!$B$3+B17/1000000</f>
        <v>0.3471949999948265</v>
      </c>
      <c r="N17">
        <f t="shared" si="4"/>
        <v>2</v>
      </c>
      <c r="O17">
        <f>IF(ABS(D17)&gt;1,D17/1000000,D17)*'Real Analysis'!$B$4</f>
        <v>-4.9108860000000004E-2</v>
      </c>
      <c r="P17">
        <f>IF(ABS(E17)&gt;1,E17/1000000,E17)*'Real Analysis'!$B$4</f>
        <v>5.8830569999999999E-2</v>
      </c>
      <c r="Q17">
        <f>IF(ABS(F17)&gt;1,F17/1000000,F17)*'Real Analysis'!$B$4</f>
        <v>9.8535760200000002</v>
      </c>
      <c r="R17">
        <f t="shared" si="5"/>
        <v>0</v>
      </c>
      <c r="S17">
        <f t="shared" si="6"/>
        <v>0</v>
      </c>
      <c r="T17">
        <f t="shared" si="7"/>
        <v>0</v>
      </c>
      <c r="U17">
        <f t="shared" si="8"/>
        <v>0</v>
      </c>
    </row>
    <row r="18" spans="1:21" x14ac:dyDescent="0.3">
      <c r="A18">
        <v>16</v>
      </c>
      <c r="B18" s="4">
        <v>-96591637466</v>
      </c>
      <c r="C18" s="5">
        <v>2</v>
      </c>
      <c r="D18" s="5">
        <v>-4.7850000000000002E-3</v>
      </c>
      <c r="E18" s="5">
        <v>7.6239999999999997E-3</v>
      </c>
      <c r="F18" s="5">
        <v>1004449</v>
      </c>
      <c r="G18" s="5">
        <v>0</v>
      </c>
      <c r="H18" s="5">
        <v>0</v>
      </c>
      <c r="I18" s="5">
        <v>0</v>
      </c>
      <c r="J18" s="5">
        <v>0</v>
      </c>
      <c r="L18">
        <f t="shared" si="3"/>
        <v>16</v>
      </c>
      <c r="M18">
        <f>'Real Analysis'!$B$3+B18/1000000</f>
        <v>0.36253399999986868</v>
      </c>
      <c r="N18">
        <f t="shared" si="4"/>
        <v>2</v>
      </c>
      <c r="O18">
        <f>IF(ABS(D18)&gt;1,D18/1000000,D18)*'Real Analysis'!$B$4</f>
        <v>-4.6940850000000006E-2</v>
      </c>
      <c r="P18">
        <f>IF(ABS(E18)&gt;1,E18/1000000,E18)*'Real Analysis'!$B$4</f>
        <v>7.4791440000000001E-2</v>
      </c>
      <c r="Q18">
        <f>IF(ABS(F18)&gt;1,F18/1000000,F18)*'Real Analysis'!$B$4</f>
        <v>9.8536446899999994</v>
      </c>
      <c r="R18">
        <f t="shared" si="5"/>
        <v>0</v>
      </c>
      <c r="S18">
        <f t="shared" si="6"/>
        <v>0</v>
      </c>
      <c r="T18">
        <f t="shared" si="7"/>
        <v>0</v>
      </c>
      <c r="U18">
        <f t="shared" si="8"/>
        <v>0</v>
      </c>
    </row>
    <row r="19" spans="1:21" x14ac:dyDescent="0.3">
      <c r="A19">
        <v>17</v>
      </c>
      <c r="B19" s="4">
        <v>-96591607335</v>
      </c>
      <c r="C19" s="5">
        <v>2</v>
      </c>
      <c r="D19" s="5">
        <v>-4.8719999999999996E-3</v>
      </c>
      <c r="E19" s="5">
        <v>1.1916E-2</v>
      </c>
      <c r="F19" s="5">
        <v>0.99896200000000002</v>
      </c>
      <c r="G19" s="5">
        <v>0</v>
      </c>
      <c r="H19" s="5">
        <v>0</v>
      </c>
      <c r="I19" s="5">
        <v>0</v>
      </c>
      <c r="J19" s="5">
        <v>0</v>
      </c>
      <c r="L19">
        <f t="shared" si="3"/>
        <v>17</v>
      </c>
      <c r="M19">
        <f>'Real Analysis'!$B$3+B19/1000000</f>
        <v>0.39266500000667293</v>
      </c>
      <c r="N19">
        <f t="shared" si="4"/>
        <v>2</v>
      </c>
      <c r="O19">
        <f>IF(ABS(D19)&gt;1,D19/1000000,D19)*'Real Analysis'!$B$4</f>
        <v>-4.7794320000000001E-2</v>
      </c>
      <c r="P19">
        <f>IF(ABS(E19)&gt;1,E19/1000000,E19)*'Real Analysis'!$B$4</f>
        <v>0.11689596000000001</v>
      </c>
      <c r="Q19">
        <f>IF(ABS(F19)&gt;1,F19/1000000,F19)*'Real Analysis'!$B$4</f>
        <v>9.7998172200000013</v>
      </c>
      <c r="R19">
        <f t="shared" si="5"/>
        <v>0</v>
      </c>
      <c r="S19">
        <f t="shared" si="6"/>
        <v>0</v>
      </c>
      <c r="T19">
        <f t="shared" si="7"/>
        <v>0</v>
      </c>
      <c r="U19">
        <f t="shared" si="8"/>
        <v>0</v>
      </c>
    </row>
    <row r="20" spans="1:21" x14ac:dyDescent="0.3">
      <c r="A20">
        <v>18</v>
      </c>
      <c r="B20" s="4">
        <v>-96591592224</v>
      </c>
      <c r="C20" s="5">
        <v>2</v>
      </c>
      <c r="D20" s="5">
        <v>-6.8349999999999999E-3</v>
      </c>
      <c r="E20" s="5">
        <v>1.2290000000000001E-2</v>
      </c>
      <c r="F20" s="5">
        <v>1004494</v>
      </c>
      <c r="G20" s="5">
        <v>0</v>
      </c>
      <c r="H20" s="5">
        <v>0</v>
      </c>
      <c r="I20" s="5">
        <v>0</v>
      </c>
      <c r="J20" s="5">
        <v>0</v>
      </c>
      <c r="L20">
        <f t="shared" si="3"/>
        <v>18</v>
      </c>
      <c r="M20">
        <f>'Real Analysis'!$B$3+B20/1000000</f>
        <v>0.40777599999273662</v>
      </c>
      <c r="N20">
        <f t="shared" si="4"/>
        <v>2</v>
      </c>
      <c r="O20">
        <f>IF(ABS(D20)&gt;1,D20/1000000,D20)*'Real Analysis'!$B$4</f>
        <v>-6.705135000000001E-2</v>
      </c>
      <c r="P20">
        <f>IF(ABS(E20)&gt;1,E20/1000000,E20)*'Real Analysis'!$B$4</f>
        <v>0.12056490000000002</v>
      </c>
      <c r="Q20">
        <f>IF(ABS(F20)&gt;1,F20/1000000,F20)*'Real Analysis'!$B$4</f>
        <v>9.8540861399999997</v>
      </c>
      <c r="R20">
        <f t="shared" si="5"/>
        <v>0</v>
      </c>
      <c r="S20">
        <f t="shared" si="6"/>
        <v>0</v>
      </c>
      <c r="T20">
        <f t="shared" si="7"/>
        <v>0</v>
      </c>
      <c r="U20">
        <f t="shared" si="8"/>
        <v>0</v>
      </c>
    </row>
    <row r="21" spans="1:21" x14ac:dyDescent="0.3">
      <c r="A21">
        <v>19</v>
      </c>
      <c r="B21" s="4">
        <v>-96591567225</v>
      </c>
      <c r="C21" s="5">
        <v>2</v>
      </c>
      <c r="D21" s="5">
        <v>-3.6579999999999998E-3</v>
      </c>
      <c r="E21" s="5">
        <v>1.2317E-2</v>
      </c>
      <c r="F21" s="5">
        <v>1004014</v>
      </c>
      <c r="G21" s="5">
        <v>0</v>
      </c>
      <c r="H21" s="5">
        <v>0</v>
      </c>
      <c r="I21" s="5">
        <v>0</v>
      </c>
      <c r="J21" s="5">
        <v>0</v>
      </c>
      <c r="L21">
        <f t="shared" si="3"/>
        <v>19</v>
      </c>
      <c r="M21">
        <f>'Real Analysis'!$B$3+B21/1000000</f>
        <v>0.43277499999385327</v>
      </c>
      <c r="N21">
        <f t="shared" si="4"/>
        <v>2</v>
      </c>
      <c r="O21">
        <f>IF(ABS(D21)&gt;1,D21/1000000,D21)*'Real Analysis'!$B$4</f>
        <v>-3.5884979999999997E-2</v>
      </c>
      <c r="P21">
        <f>IF(ABS(E21)&gt;1,E21/1000000,E21)*'Real Analysis'!$B$4</f>
        <v>0.12082977</v>
      </c>
      <c r="Q21">
        <f>IF(ABS(F21)&gt;1,F21/1000000,F21)*'Real Analysis'!$B$4</f>
        <v>9.8493773400000002</v>
      </c>
      <c r="R21">
        <f t="shared" si="5"/>
        <v>0</v>
      </c>
      <c r="S21">
        <f t="shared" si="6"/>
        <v>0</v>
      </c>
      <c r="T21">
        <f t="shared" si="7"/>
        <v>0</v>
      </c>
      <c r="U21">
        <f t="shared" si="8"/>
        <v>0</v>
      </c>
    </row>
    <row r="22" spans="1:21" x14ac:dyDescent="0.3">
      <c r="A22">
        <v>20</v>
      </c>
      <c r="B22" s="4">
        <v>-96591548530</v>
      </c>
      <c r="C22" s="5">
        <v>2</v>
      </c>
      <c r="D22" s="5">
        <v>-5.8300000000000001E-3</v>
      </c>
      <c r="E22" s="5">
        <v>1.2233000000000001E-2</v>
      </c>
      <c r="F22" s="5">
        <v>1006357</v>
      </c>
      <c r="G22" s="5">
        <v>0</v>
      </c>
      <c r="H22" s="5">
        <v>0</v>
      </c>
      <c r="I22" s="5">
        <v>0</v>
      </c>
      <c r="J22" s="5">
        <v>0</v>
      </c>
      <c r="L22">
        <f t="shared" si="3"/>
        <v>20</v>
      </c>
      <c r="M22">
        <f>'Real Analysis'!$B$3+B22/1000000</f>
        <v>0.45146999999997206</v>
      </c>
      <c r="N22">
        <f t="shared" si="4"/>
        <v>2</v>
      </c>
      <c r="O22">
        <f>IF(ABS(D22)&gt;1,D22/1000000,D22)*'Real Analysis'!$B$4</f>
        <v>-5.7192300000000001E-2</v>
      </c>
      <c r="P22">
        <f>IF(ABS(E22)&gt;1,E22/1000000,E22)*'Real Analysis'!$B$4</f>
        <v>0.12000573000000002</v>
      </c>
      <c r="Q22">
        <f>IF(ABS(F22)&gt;1,F22/1000000,F22)*'Real Analysis'!$B$4</f>
        <v>9.8723621700000006</v>
      </c>
      <c r="R22">
        <f t="shared" si="5"/>
        <v>0</v>
      </c>
      <c r="S22">
        <f t="shared" si="6"/>
        <v>0</v>
      </c>
      <c r="T22">
        <f t="shared" si="7"/>
        <v>0</v>
      </c>
      <c r="U22">
        <f t="shared" si="8"/>
        <v>0</v>
      </c>
    </row>
    <row r="23" spans="1:21" x14ac:dyDescent="0.3">
      <c r="A23">
        <v>21</v>
      </c>
      <c r="B23" s="4">
        <v>-96591532280</v>
      </c>
      <c r="C23" s="5">
        <v>2</v>
      </c>
      <c r="D23" s="5">
        <v>-4.8310000000000002E-3</v>
      </c>
      <c r="E23" s="5">
        <v>1.2401000000000001E-2</v>
      </c>
      <c r="F23" s="5">
        <v>1009233</v>
      </c>
      <c r="G23" s="5">
        <v>0</v>
      </c>
      <c r="H23" s="5">
        <v>0</v>
      </c>
      <c r="I23" s="5">
        <v>0</v>
      </c>
      <c r="J23" s="5">
        <v>0</v>
      </c>
      <c r="L23">
        <f t="shared" si="3"/>
        <v>21</v>
      </c>
      <c r="M23">
        <f>'Real Analysis'!$B$3+B23/1000000</f>
        <v>0.46772000000055414</v>
      </c>
      <c r="N23">
        <f t="shared" si="4"/>
        <v>2</v>
      </c>
      <c r="O23">
        <f>IF(ABS(D23)&gt;1,D23/1000000,D23)*'Real Analysis'!$B$4</f>
        <v>-4.7392110000000001E-2</v>
      </c>
      <c r="P23">
        <f>IF(ABS(E23)&gt;1,E23/1000000,E23)*'Real Analysis'!$B$4</f>
        <v>0.12165381000000001</v>
      </c>
      <c r="Q23">
        <f>IF(ABS(F23)&gt;1,F23/1000000,F23)*'Real Analysis'!$B$4</f>
        <v>9.9005757300000017</v>
      </c>
      <c r="R23">
        <f t="shared" si="5"/>
        <v>0</v>
      </c>
      <c r="S23">
        <f t="shared" si="6"/>
        <v>0</v>
      </c>
      <c r="T23">
        <f t="shared" si="7"/>
        <v>0</v>
      </c>
      <c r="U23">
        <f t="shared" si="8"/>
        <v>0</v>
      </c>
    </row>
    <row r="24" spans="1:21" x14ac:dyDescent="0.3">
      <c r="A24">
        <v>22</v>
      </c>
      <c r="B24" s="4">
        <v>-96591510668</v>
      </c>
      <c r="C24" s="5">
        <v>2</v>
      </c>
      <c r="D24" s="5">
        <v>-5.0340000000000003E-3</v>
      </c>
      <c r="E24" s="5">
        <v>5.3670000000000002E-3</v>
      </c>
      <c r="F24" s="5">
        <v>1003309</v>
      </c>
      <c r="G24" s="5">
        <v>0</v>
      </c>
      <c r="H24" s="5">
        <v>0</v>
      </c>
      <c r="I24" s="5">
        <v>0</v>
      </c>
      <c r="J24" s="5">
        <v>0</v>
      </c>
      <c r="L24">
        <f t="shared" si="3"/>
        <v>22</v>
      </c>
      <c r="M24">
        <f>'Real Analysis'!$B$3+B24/1000000</f>
        <v>0.48933199999737553</v>
      </c>
      <c r="N24">
        <f t="shared" si="4"/>
        <v>2</v>
      </c>
      <c r="O24">
        <f>IF(ABS(D24)&gt;1,D24/1000000,D24)*'Real Analysis'!$B$4</f>
        <v>-4.9383540000000004E-2</v>
      </c>
      <c r="P24">
        <f>IF(ABS(E24)&gt;1,E24/1000000,E24)*'Real Analysis'!$B$4</f>
        <v>5.2650270000000006E-2</v>
      </c>
      <c r="Q24">
        <f>IF(ABS(F24)&gt;1,F24/1000000,F24)*'Real Analysis'!$B$4</f>
        <v>9.842461290000001</v>
      </c>
      <c r="R24">
        <f t="shared" si="5"/>
        <v>0</v>
      </c>
      <c r="S24">
        <f t="shared" si="6"/>
        <v>0</v>
      </c>
      <c r="T24">
        <f t="shared" si="7"/>
        <v>0</v>
      </c>
      <c r="U24">
        <f t="shared" si="8"/>
        <v>0</v>
      </c>
    </row>
    <row r="25" spans="1:21" x14ac:dyDescent="0.3">
      <c r="A25">
        <v>23</v>
      </c>
      <c r="B25" s="4">
        <v>-96591490605</v>
      </c>
      <c r="C25" s="5">
        <v>2</v>
      </c>
      <c r="D25" s="5">
        <v>-1.1976000000000001E-2</v>
      </c>
      <c r="E25" s="5">
        <v>5.2160000000000002E-3</v>
      </c>
      <c r="F25" s="5">
        <v>1004474</v>
      </c>
      <c r="G25" s="5">
        <v>0</v>
      </c>
      <c r="H25" s="5">
        <v>0</v>
      </c>
      <c r="I25" s="5">
        <v>0</v>
      </c>
      <c r="J25" s="5">
        <v>0</v>
      </c>
      <c r="L25">
        <f t="shared" si="3"/>
        <v>23</v>
      </c>
      <c r="M25">
        <f>'Real Analysis'!$B$3+B25/1000000</f>
        <v>0.50939500000094995</v>
      </c>
      <c r="N25">
        <f t="shared" si="4"/>
        <v>2</v>
      </c>
      <c r="O25">
        <f>IF(ABS(D25)&gt;1,D25/1000000,D25)*'Real Analysis'!$B$4</f>
        <v>-0.11748456000000002</v>
      </c>
      <c r="P25">
        <f>IF(ABS(E25)&gt;1,E25/1000000,E25)*'Real Analysis'!$B$4</f>
        <v>5.1168960000000006E-2</v>
      </c>
      <c r="Q25">
        <f>IF(ABS(F25)&gt;1,F25/1000000,F25)*'Real Analysis'!$B$4</f>
        <v>9.853889940000002</v>
      </c>
      <c r="R25">
        <f t="shared" si="5"/>
        <v>0</v>
      </c>
      <c r="S25">
        <f t="shared" si="6"/>
        <v>0</v>
      </c>
      <c r="T25">
        <f t="shared" si="7"/>
        <v>0</v>
      </c>
      <c r="U25">
        <f t="shared" si="8"/>
        <v>0</v>
      </c>
    </row>
    <row r="26" spans="1:21" x14ac:dyDescent="0.3">
      <c r="A26">
        <v>24</v>
      </c>
      <c r="B26" s="4">
        <v>-96591471150</v>
      </c>
      <c r="C26" s="5">
        <v>2</v>
      </c>
      <c r="D26" s="5">
        <v>-1.2009000000000001E-2</v>
      </c>
      <c r="E26" s="5">
        <v>1.1285E-2</v>
      </c>
      <c r="F26" s="5">
        <v>1004341</v>
      </c>
      <c r="G26" s="5">
        <v>0</v>
      </c>
      <c r="H26" s="5">
        <v>0</v>
      </c>
      <c r="I26" s="5">
        <v>0</v>
      </c>
      <c r="J26" s="5">
        <v>0</v>
      </c>
      <c r="L26">
        <f t="shared" si="3"/>
        <v>24</v>
      </c>
      <c r="M26">
        <f>'Real Analysis'!$B$3+B26/1000000</f>
        <v>0.52885000000242144</v>
      </c>
      <c r="N26">
        <f t="shared" si="4"/>
        <v>2</v>
      </c>
      <c r="O26">
        <f>IF(ABS(D26)&gt;1,D26/1000000,D26)*'Real Analysis'!$B$4</f>
        <v>-0.11780829000000001</v>
      </c>
      <c r="P26">
        <f>IF(ABS(E26)&gt;1,E26/1000000,E26)*'Real Analysis'!$B$4</f>
        <v>0.11070585000000001</v>
      </c>
      <c r="Q26">
        <f>IF(ABS(F26)&gt;1,F26/1000000,F26)*'Real Analysis'!$B$4</f>
        <v>9.8525852099999991</v>
      </c>
      <c r="R26">
        <f t="shared" si="5"/>
        <v>0</v>
      </c>
      <c r="S26">
        <f t="shared" si="6"/>
        <v>0</v>
      </c>
      <c r="T26">
        <f t="shared" si="7"/>
        <v>0</v>
      </c>
      <c r="U26">
        <f t="shared" si="8"/>
        <v>0</v>
      </c>
    </row>
    <row r="27" spans="1:21" x14ac:dyDescent="0.3">
      <c r="A27">
        <v>25</v>
      </c>
      <c r="B27" s="4">
        <v>-96591451602</v>
      </c>
      <c r="C27" s="5">
        <v>2</v>
      </c>
      <c r="D27" s="5">
        <v>-1.2983E-2</v>
      </c>
      <c r="E27" s="5">
        <v>1.1343000000000001E-2</v>
      </c>
      <c r="F27" s="5">
        <v>1004085</v>
      </c>
      <c r="G27" s="5">
        <v>0</v>
      </c>
      <c r="H27" s="5">
        <v>0</v>
      </c>
      <c r="I27" s="5">
        <v>0</v>
      </c>
      <c r="J27" s="5">
        <v>0</v>
      </c>
      <c r="L27">
        <f t="shared" si="3"/>
        <v>25</v>
      </c>
      <c r="M27">
        <f>'Real Analysis'!$B$3+B27/1000000</f>
        <v>0.54839799999899697</v>
      </c>
      <c r="N27">
        <f t="shared" si="4"/>
        <v>2</v>
      </c>
      <c r="O27">
        <f>IF(ABS(D27)&gt;1,D27/1000000,D27)*'Real Analysis'!$B$4</f>
        <v>-0.12736322999999999</v>
      </c>
      <c r="P27">
        <f>IF(ABS(E27)&gt;1,E27/1000000,E27)*'Real Analysis'!$B$4</f>
        <v>0.11127483000000001</v>
      </c>
      <c r="Q27">
        <f>IF(ABS(F27)&gt;1,F27/1000000,F27)*'Real Analysis'!$B$4</f>
        <v>9.8500738499999994</v>
      </c>
      <c r="R27">
        <f t="shared" si="5"/>
        <v>0</v>
      </c>
      <c r="S27">
        <f t="shared" si="6"/>
        <v>0</v>
      </c>
      <c r="T27">
        <f t="shared" si="7"/>
        <v>0</v>
      </c>
      <c r="U27">
        <f t="shared" si="8"/>
        <v>0</v>
      </c>
    </row>
    <row r="28" spans="1:21" x14ac:dyDescent="0.3">
      <c r="A28">
        <v>26</v>
      </c>
      <c r="B28" s="4">
        <v>-96591430215</v>
      </c>
      <c r="C28" s="5">
        <v>2</v>
      </c>
      <c r="D28" s="5">
        <v>-1.1356E-2</v>
      </c>
      <c r="E28" s="5">
        <v>1.2557E-2</v>
      </c>
      <c r="F28" s="5">
        <v>1012927</v>
      </c>
      <c r="G28" s="5">
        <v>0</v>
      </c>
      <c r="H28" s="5">
        <v>0</v>
      </c>
      <c r="I28" s="5">
        <v>0</v>
      </c>
      <c r="J28" s="5">
        <v>0</v>
      </c>
      <c r="L28">
        <f t="shared" si="3"/>
        <v>26</v>
      </c>
      <c r="M28">
        <f>'Real Analysis'!$B$3+B28/1000000</f>
        <v>0.56978499999968335</v>
      </c>
      <c r="N28">
        <f t="shared" si="4"/>
        <v>2</v>
      </c>
      <c r="O28">
        <f>IF(ABS(D28)&gt;1,D28/1000000,D28)*'Real Analysis'!$B$4</f>
        <v>-0.11140236000000001</v>
      </c>
      <c r="P28">
        <f>IF(ABS(E28)&gt;1,E28/1000000,E28)*'Real Analysis'!$B$4</f>
        <v>0.12318417000000001</v>
      </c>
      <c r="Q28">
        <f>IF(ABS(F28)&gt;1,F28/1000000,F28)*'Real Analysis'!$B$4</f>
        <v>9.9368138699999999</v>
      </c>
      <c r="R28">
        <f t="shared" si="5"/>
        <v>0</v>
      </c>
      <c r="S28">
        <f t="shared" si="6"/>
        <v>0</v>
      </c>
      <c r="T28">
        <f t="shared" si="7"/>
        <v>0</v>
      </c>
      <c r="U28">
        <f t="shared" si="8"/>
        <v>0</v>
      </c>
    </row>
    <row r="29" spans="1:21" x14ac:dyDescent="0.3">
      <c r="A29">
        <v>27</v>
      </c>
      <c r="B29" s="4">
        <v>-96591411501</v>
      </c>
      <c r="C29" s="5">
        <v>2</v>
      </c>
      <c r="D29" s="5">
        <v>-1.0007E-2</v>
      </c>
      <c r="E29" s="5">
        <v>1.2512000000000001E-2</v>
      </c>
      <c r="F29" s="5">
        <v>1008664</v>
      </c>
      <c r="G29" s="5">
        <v>0</v>
      </c>
      <c r="H29" s="5">
        <v>0</v>
      </c>
      <c r="I29" s="5">
        <v>0</v>
      </c>
      <c r="J29" s="5">
        <v>0</v>
      </c>
      <c r="L29">
        <f t="shared" si="3"/>
        <v>27</v>
      </c>
      <c r="M29">
        <f>'Real Analysis'!$B$3+B29/1000000</f>
        <v>0.58849900000495836</v>
      </c>
      <c r="N29">
        <f t="shared" si="4"/>
        <v>2</v>
      </c>
      <c r="O29">
        <f>IF(ABS(D29)&gt;1,D29/1000000,D29)*'Real Analysis'!$B$4</f>
        <v>-9.8168670000000013E-2</v>
      </c>
      <c r="P29">
        <f>IF(ABS(E29)&gt;1,E29/1000000,E29)*'Real Analysis'!$B$4</f>
        <v>0.12274272000000001</v>
      </c>
      <c r="Q29">
        <f>IF(ABS(F29)&gt;1,F29/1000000,F29)*'Real Analysis'!$B$4</f>
        <v>9.8949938399999997</v>
      </c>
      <c r="R29">
        <f t="shared" si="5"/>
        <v>0</v>
      </c>
      <c r="S29">
        <f t="shared" si="6"/>
        <v>0</v>
      </c>
      <c r="T29">
        <f t="shared" si="7"/>
        <v>0</v>
      </c>
      <c r="U29">
        <f t="shared" si="8"/>
        <v>0</v>
      </c>
    </row>
    <row r="30" spans="1:21" x14ac:dyDescent="0.3">
      <c r="A30">
        <v>28</v>
      </c>
      <c r="B30" s="4">
        <v>-96591388553</v>
      </c>
      <c r="C30" s="5">
        <v>2</v>
      </c>
      <c r="D30" s="5">
        <v>-4.7790000000000003E-3</v>
      </c>
      <c r="E30" s="5">
        <v>1.2222E-2</v>
      </c>
      <c r="F30" s="5">
        <v>1005450</v>
      </c>
      <c r="G30" s="5">
        <v>0</v>
      </c>
      <c r="H30" s="5">
        <v>0</v>
      </c>
      <c r="I30" s="5">
        <v>0</v>
      </c>
      <c r="J30" s="5">
        <v>0</v>
      </c>
      <c r="L30">
        <f t="shared" si="3"/>
        <v>28</v>
      </c>
      <c r="M30">
        <f>'Real Analysis'!$B$3+B30/1000000</f>
        <v>0.61144700000295416</v>
      </c>
      <c r="N30">
        <f t="shared" si="4"/>
        <v>2</v>
      </c>
      <c r="O30">
        <f>IF(ABS(D30)&gt;1,D30/1000000,D30)*'Real Analysis'!$B$4</f>
        <v>-4.6881990000000005E-2</v>
      </c>
      <c r="P30">
        <f>IF(ABS(E30)&gt;1,E30/1000000,E30)*'Real Analysis'!$B$4</f>
        <v>0.11989782</v>
      </c>
      <c r="Q30">
        <f>IF(ABS(F30)&gt;1,F30/1000000,F30)*'Real Analysis'!$B$4</f>
        <v>9.8634644999999992</v>
      </c>
      <c r="R30">
        <f t="shared" si="5"/>
        <v>0</v>
      </c>
      <c r="S30">
        <f t="shared" si="6"/>
        <v>0</v>
      </c>
      <c r="T30">
        <f t="shared" si="7"/>
        <v>0</v>
      </c>
      <c r="U30">
        <f t="shared" si="8"/>
        <v>0</v>
      </c>
    </row>
    <row r="31" spans="1:21" x14ac:dyDescent="0.3">
      <c r="A31">
        <v>29</v>
      </c>
      <c r="B31" s="4">
        <v>-96591371198</v>
      </c>
      <c r="C31" s="5">
        <v>2</v>
      </c>
      <c r="D31" s="5">
        <v>-5.744E-3</v>
      </c>
      <c r="E31" s="5">
        <v>1.2413E-2</v>
      </c>
      <c r="F31" s="5">
        <v>1008154</v>
      </c>
      <c r="G31" s="5">
        <v>0</v>
      </c>
      <c r="H31" s="5">
        <v>0</v>
      </c>
      <c r="I31" s="5">
        <v>0</v>
      </c>
      <c r="J31" s="5">
        <v>0</v>
      </c>
      <c r="L31">
        <f t="shared" si="3"/>
        <v>29</v>
      </c>
      <c r="M31">
        <f>'Real Analysis'!$B$3+B31/1000000</f>
        <v>0.6288020000065444</v>
      </c>
      <c r="N31">
        <f t="shared" si="4"/>
        <v>2</v>
      </c>
      <c r="O31">
        <f>IF(ABS(D31)&gt;1,D31/1000000,D31)*'Real Analysis'!$B$4</f>
        <v>-5.6348640000000005E-2</v>
      </c>
      <c r="P31">
        <f>IF(ABS(E31)&gt;1,E31/1000000,E31)*'Real Analysis'!$B$4</f>
        <v>0.12177153000000002</v>
      </c>
      <c r="Q31">
        <f>IF(ABS(F31)&gt;1,F31/1000000,F31)*'Real Analysis'!$B$4</f>
        <v>9.88999074</v>
      </c>
      <c r="R31">
        <f t="shared" si="5"/>
        <v>0</v>
      </c>
      <c r="S31">
        <f t="shared" si="6"/>
        <v>0</v>
      </c>
      <c r="T31">
        <f t="shared" si="7"/>
        <v>0</v>
      </c>
      <c r="U31">
        <f t="shared" si="8"/>
        <v>0</v>
      </c>
    </row>
    <row r="32" spans="1:21" x14ac:dyDescent="0.3">
      <c r="A32">
        <v>30</v>
      </c>
      <c r="B32" s="4">
        <v>-96591349694</v>
      </c>
      <c r="C32" s="5">
        <v>2</v>
      </c>
      <c r="D32" s="5">
        <v>-1.3231E-2</v>
      </c>
      <c r="E32" s="5">
        <v>1.2165E-2</v>
      </c>
      <c r="F32" s="5">
        <v>1002730</v>
      </c>
      <c r="G32" s="5">
        <v>0</v>
      </c>
      <c r="H32" s="5">
        <v>0</v>
      </c>
      <c r="I32" s="5">
        <v>0</v>
      </c>
      <c r="J32" s="5">
        <v>0</v>
      </c>
      <c r="L32">
        <f t="shared" si="3"/>
        <v>30</v>
      </c>
      <c r="M32">
        <f>'Real Analysis'!$B$3+B32/1000000</f>
        <v>0.65030599999590777</v>
      </c>
      <c r="N32">
        <f t="shared" si="4"/>
        <v>2</v>
      </c>
      <c r="O32">
        <f>IF(ABS(D32)&gt;1,D32/1000000,D32)*'Real Analysis'!$B$4</f>
        <v>-0.12979610999999999</v>
      </c>
      <c r="P32">
        <f>IF(ABS(E32)&gt;1,E32/1000000,E32)*'Real Analysis'!$B$4</f>
        <v>0.11933865</v>
      </c>
      <c r="Q32">
        <f>IF(ABS(F32)&gt;1,F32/1000000,F32)*'Real Analysis'!$B$4</f>
        <v>9.8367813000000002</v>
      </c>
      <c r="R32">
        <f t="shared" si="5"/>
        <v>0</v>
      </c>
      <c r="S32">
        <f t="shared" si="6"/>
        <v>0</v>
      </c>
      <c r="T32">
        <f t="shared" si="7"/>
        <v>0</v>
      </c>
      <c r="U32">
        <f t="shared" si="8"/>
        <v>0</v>
      </c>
    </row>
    <row r="33" spans="1:21" x14ac:dyDescent="0.3">
      <c r="A33">
        <v>31</v>
      </c>
      <c r="B33" s="4">
        <v>-96591327679</v>
      </c>
      <c r="C33" s="5">
        <v>2</v>
      </c>
      <c r="D33" s="5">
        <v>-1.1228999999999999E-2</v>
      </c>
      <c r="E33" s="5">
        <v>1.2161E-2</v>
      </c>
      <c r="F33" s="5">
        <v>1003689</v>
      </c>
      <c r="G33" s="5">
        <v>0</v>
      </c>
      <c r="H33" s="5">
        <v>0</v>
      </c>
      <c r="I33" s="5">
        <v>0</v>
      </c>
      <c r="J33" s="5">
        <v>0</v>
      </c>
      <c r="L33">
        <f t="shared" si="3"/>
        <v>31</v>
      </c>
      <c r="M33">
        <f>'Real Analysis'!$B$3+B33/1000000</f>
        <v>0.67232100000546779</v>
      </c>
      <c r="N33">
        <f t="shared" si="4"/>
        <v>2</v>
      </c>
      <c r="O33">
        <f>IF(ABS(D33)&gt;1,D33/1000000,D33)*'Real Analysis'!$B$4</f>
        <v>-0.11015649</v>
      </c>
      <c r="P33">
        <f>IF(ABS(E33)&gt;1,E33/1000000,E33)*'Real Analysis'!$B$4</f>
        <v>0.11929941000000001</v>
      </c>
      <c r="Q33">
        <f>IF(ABS(F33)&gt;1,F33/1000000,F33)*'Real Analysis'!$B$4</f>
        <v>9.8461890900000011</v>
      </c>
      <c r="R33">
        <f t="shared" si="5"/>
        <v>0</v>
      </c>
      <c r="S33">
        <f t="shared" si="6"/>
        <v>0</v>
      </c>
      <c r="T33">
        <f t="shared" si="7"/>
        <v>0</v>
      </c>
      <c r="U33">
        <f t="shared" si="8"/>
        <v>0</v>
      </c>
    </row>
    <row r="34" spans="1:21" x14ac:dyDescent="0.3">
      <c r="A34">
        <v>32</v>
      </c>
      <c r="B34" s="4">
        <v>-96591310914</v>
      </c>
      <c r="C34" s="5">
        <v>2</v>
      </c>
      <c r="D34" s="5">
        <v>-3.5769999999999999E-3</v>
      </c>
      <c r="E34" s="5">
        <v>1.2282E-2</v>
      </c>
      <c r="F34" s="5">
        <v>1004874</v>
      </c>
      <c r="G34" s="5">
        <v>0</v>
      </c>
      <c r="H34" s="5">
        <v>0</v>
      </c>
      <c r="I34" s="5">
        <v>0</v>
      </c>
      <c r="J34" s="5">
        <v>0</v>
      </c>
      <c r="L34">
        <f t="shared" si="3"/>
        <v>32</v>
      </c>
      <c r="M34">
        <f>'Real Analysis'!$B$3+B34/1000000</f>
        <v>0.68908599999849685</v>
      </c>
      <c r="N34">
        <f t="shared" si="4"/>
        <v>2</v>
      </c>
      <c r="O34">
        <f>IF(ABS(D34)&gt;1,D34/1000000,D34)*'Real Analysis'!$B$4</f>
        <v>-3.5090370000000003E-2</v>
      </c>
      <c r="P34">
        <f>IF(ABS(E34)&gt;1,E34/1000000,E34)*'Real Analysis'!$B$4</f>
        <v>0.12048642</v>
      </c>
      <c r="Q34">
        <f>IF(ABS(F34)&gt;1,F34/1000000,F34)*'Real Analysis'!$B$4</f>
        <v>9.8578139400000016</v>
      </c>
      <c r="R34">
        <f t="shared" si="5"/>
        <v>0</v>
      </c>
      <c r="S34">
        <f t="shared" si="6"/>
        <v>0</v>
      </c>
      <c r="T34">
        <f t="shared" si="7"/>
        <v>0</v>
      </c>
      <c r="U34">
        <f t="shared" si="8"/>
        <v>0</v>
      </c>
    </row>
    <row r="35" spans="1:21" x14ac:dyDescent="0.3">
      <c r="A35">
        <v>33</v>
      </c>
      <c r="B35" s="4">
        <v>-96591288961</v>
      </c>
      <c r="C35" s="5">
        <v>2</v>
      </c>
      <c r="D35" s="5">
        <v>-5.3210000000000002E-3</v>
      </c>
      <c r="E35" s="5">
        <v>1.2343E-2</v>
      </c>
      <c r="F35" s="5">
        <v>1004294</v>
      </c>
      <c r="G35" s="5">
        <v>0</v>
      </c>
      <c r="H35" s="5">
        <v>0</v>
      </c>
      <c r="I35" s="5">
        <v>0</v>
      </c>
      <c r="J35" s="5">
        <v>0</v>
      </c>
      <c r="L35">
        <f t="shared" si="3"/>
        <v>33</v>
      </c>
      <c r="M35">
        <f>'Real Analysis'!$B$3+B35/1000000</f>
        <v>0.71103900000161957</v>
      </c>
      <c r="N35">
        <f t="shared" si="4"/>
        <v>2</v>
      </c>
      <c r="O35">
        <f>IF(ABS(D35)&gt;1,D35/1000000,D35)*'Real Analysis'!$B$4</f>
        <v>-5.2199010000000004E-2</v>
      </c>
      <c r="P35">
        <f>IF(ABS(E35)&gt;1,E35/1000000,E35)*'Real Analysis'!$B$4</f>
        <v>0.12108483</v>
      </c>
      <c r="Q35">
        <f>IF(ABS(F35)&gt;1,F35/1000000,F35)*'Real Analysis'!$B$4</f>
        <v>9.8521241400000008</v>
      </c>
      <c r="R35">
        <f t="shared" si="5"/>
        <v>0</v>
      </c>
      <c r="S35">
        <f t="shared" si="6"/>
        <v>0</v>
      </c>
      <c r="T35">
        <f t="shared" si="7"/>
        <v>0</v>
      </c>
      <c r="U35">
        <f t="shared" si="8"/>
        <v>0</v>
      </c>
    </row>
    <row r="36" spans="1:21" x14ac:dyDescent="0.3">
      <c r="A36">
        <v>34</v>
      </c>
      <c r="B36" s="4">
        <v>-96591268487</v>
      </c>
      <c r="C36" s="5">
        <v>2</v>
      </c>
      <c r="D36" s="5">
        <v>-5.0410000000000003E-3</v>
      </c>
      <c r="E36" s="5">
        <v>1.2356000000000001E-2</v>
      </c>
      <c r="F36" s="5">
        <v>1004472</v>
      </c>
      <c r="G36" s="5">
        <v>0</v>
      </c>
      <c r="H36" s="5">
        <v>0</v>
      </c>
      <c r="I36" s="5">
        <v>0</v>
      </c>
      <c r="J36" s="5">
        <v>0</v>
      </c>
      <c r="L36">
        <f t="shared" si="3"/>
        <v>34</v>
      </c>
      <c r="M36">
        <f>'Real Analysis'!$B$3+B36/1000000</f>
        <v>0.73151300000608899</v>
      </c>
      <c r="N36">
        <f t="shared" si="4"/>
        <v>2</v>
      </c>
      <c r="O36">
        <f>IF(ABS(D36)&gt;1,D36/1000000,D36)*'Real Analysis'!$B$4</f>
        <v>-4.9452210000000003E-2</v>
      </c>
      <c r="P36">
        <f>IF(ABS(E36)&gt;1,E36/1000000,E36)*'Real Analysis'!$B$4</f>
        <v>0.12121236000000002</v>
      </c>
      <c r="Q36">
        <f>IF(ABS(F36)&gt;1,F36/1000000,F36)*'Real Analysis'!$B$4</f>
        <v>9.8538703200000004</v>
      </c>
      <c r="R36">
        <f t="shared" si="5"/>
        <v>0</v>
      </c>
      <c r="S36">
        <f t="shared" si="6"/>
        <v>0</v>
      </c>
      <c r="T36">
        <f t="shared" si="7"/>
        <v>0</v>
      </c>
      <c r="U36">
        <f t="shared" si="8"/>
        <v>0</v>
      </c>
    </row>
    <row r="37" spans="1:21" x14ac:dyDescent="0.3">
      <c r="A37">
        <v>35</v>
      </c>
      <c r="B37" s="4">
        <v>-96591252726</v>
      </c>
      <c r="C37" s="5">
        <v>2</v>
      </c>
      <c r="D37" s="5">
        <v>-5.0650000000000001E-3</v>
      </c>
      <c r="E37" s="5">
        <v>1.2370000000000001E-2</v>
      </c>
      <c r="F37" s="5">
        <v>1004425</v>
      </c>
      <c r="G37" s="5">
        <v>0</v>
      </c>
      <c r="H37" s="5">
        <v>0</v>
      </c>
      <c r="I37" s="5">
        <v>0</v>
      </c>
      <c r="J37" s="5">
        <v>0</v>
      </c>
      <c r="L37">
        <f t="shared" si="3"/>
        <v>35</v>
      </c>
      <c r="M37">
        <f>'Real Analysis'!$B$3+B37/1000000</f>
        <v>0.74727399999392219</v>
      </c>
      <c r="N37">
        <f t="shared" si="4"/>
        <v>2</v>
      </c>
      <c r="O37">
        <f>IF(ABS(D37)&gt;1,D37/1000000,D37)*'Real Analysis'!$B$4</f>
        <v>-4.968765E-2</v>
      </c>
      <c r="P37">
        <f>IF(ABS(E37)&gt;1,E37/1000000,E37)*'Real Analysis'!$B$4</f>
        <v>0.12134970000000002</v>
      </c>
      <c r="Q37">
        <f>IF(ABS(F37)&gt;1,F37/1000000,F37)*'Real Analysis'!$B$4</f>
        <v>9.8534092500000003</v>
      </c>
      <c r="R37">
        <f t="shared" si="5"/>
        <v>0</v>
      </c>
      <c r="S37">
        <f t="shared" si="6"/>
        <v>0</v>
      </c>
      <c r="T37">
        <f t="shared" si="7"/>
        <v>0</v>
      </c>
      <c r="U37">
        <f t="shared" si="8"/>
        <v>0</v>
      </c>
    </row>
    <row r="38" spans="1:21" x14ac:dyDescent="0.3">
      <c r="A38">
        <v>36</v>
      </c>
      <c r="B38" s="4">
        <v>-96591230886</v>
      </c>
      <c r="C38" s="5">
        <v>2</v>
      </c>
      <c r="D38" s="5">
        <v>-4.8770000000000003E-3</v>
      </c>
      <c r="E38" s="5">
        <v>1.2279999999999999E-2</v>
      </c>
      <c r="F38" s="5">
        <v>1004433</v>
      </c>
      <c r="G38" s="5">
        <v>0</v>
      </c>
      <c r="H38" s="5">
        <v>0</v>
      </c>
      <c r="I38" s="5">
        <v>0</v>
      </c>
      <c r="J38" s="5">
        <v>0</v>
      </c>
      <c r="L38">
        <f t="shared" si="3"/>
        <v>36</v>
      </c>
      <c r="M38">
        <f>'Real Analysis'!$B$3+B38/1000000</f>
        <v>0.76911399999517016</v>
      </c>
      <c r="N38">
        <f t="shared" si="4"/>
        <v>2</v>
      </c>
      <c r="O38">
        <f>IF(ABS(D38)&gt;1,D38/1000000,D38)*'Real Analysis'!$B$4</f>
        <v>-4.7843370000000003E-2</v>
      </c>
      <c r="P38">
        <f>IF(ABS(E38)&gt;1,E38/1000000,E38)*'Real Analysis'!$B$4</f>
        <v>0.1204668</v>
      </c>
      <c r="Q38">
        <f>IF(ABS(F38)&gt;1,F38/1000000,F38)*'Real Analysis'!$B$4</f>
        <v>9.8534877299999994</v>
      </c>
      <c r="R38">
        <f t="shared" si="5"/>
        <v>0</v>
      </c>
      <c r="S38">
        <f t="shared" si="6"/>
        <v>0</v>
      </c>
      <c r="T38">
        <f t="shared" si="7"/>
        <v>0</v>
      </c>
      <c r="U38">
        <f t="shared" si="8"/>
        <v>0</v>
      </c>
    </row>
    <row r="39" spans="1:21" x14ac:dyDescent="0.3">
      <c r="A39">
        <v>37</v>
      </c>
      <c r="B39" s="4">
        <v>-96591209709</v>
      </c>
      <c r="C39" s="5">
        <v>2</v>
      </c>
      <c r="D39" s="5">
        <v>3.7889999999999998E-3</v>
      </c>
      <c r="E39" s="5">
        <v>1.2348E-2</v>
      </c>
      <c r="F39" s="5">
        <v>1004769</v>
      </c>
      <c r="G39" s="5">
        <v>0</v>
      </c>
      <c r="H39" s="5">
        <v>0</v>
      </c>
      <c r="I39" s="5">
        <v>0</v>
      </c>
      <c r="J39" s="5">
        <v>0</v>
      </c>
      <c r="L39">
        <f t="shared" si="3"/>
        <v>37</v>
      </c>
      <c r="M39">
        <f>'Real Analysis'!$B$3+B39/1000000</f>
        <v>0.79029099999752361</v>
      </c>
      <c r="N39">
        <f t="shared" si="4"/>
        <v>2</v>
      </c>
      <c r="O39">
        <f>IF(ABS(D39)&gt;1,D39/1000000,D39)*'Real Analysis'!$B$4</f>
        <v>3.7170090000000003E-2</v>
      </c>
      <c r="P39">
        <f>IF(ABS(E39)&gt;1,E39/1000000,E39)*'Real Analysis'!$B$4</f>
        <v>0.12113388</v>
      </c>
      <c r="Q39">
        <f>IF(ABS(F39)&gt;1,F39/1000000,F39)*'Real Analysis'!$B$4</f>
        <v>9.8567838900000009</v>
      </c>
      <c r="R39">
        <f t="shared" si="5"/>
        <v>0</v>
      </c>
      <c r="S39">
        <f t="shared" si="6"/>
        <v>0</v>
      </c>
      <c r="T39">
        <f t="shared" si="7"/>
        <v>0</v>
      </c>
      <c r="U39">
        <f t="shared" si="8"/>
        <v>0</v>
      </c>
    </row>
    <row r="40" spans="1:21" x14ac:dyDescent="0.3">
      <c r="A40">
        <v>38</v>
      </c>
      <c r="B40" s="4">
        <v>-96591200650</v>
      </c>
      <c r="C40" s="5">
        <v>2</v>
      </c>
      <c r="D40" s="5">
        <v>3.565E-3</v>
      </c>
      <c r="E40" s="5">
        <v>1.2337000000000001E-2</v>
      </c>
      <c r="F40" s="5">
        <v>1004757</v>
      </c>
      <c r="G40" s="5">
        <v>0</v>
      </c>
      <c r="H40" s="5">
        <v>0</v>
      </c>
      <c r="I40" s="5">
        <v>0</v>
      </c>
      <c r="J40" s="5">
        <v>0</v>
      </c>
      <c r="L40">
        <f t="shared" si="3"/>
        <v>38</v>
      </c>
      <c r="M40">
        <f>'Real Analysis'!$B$3+B40/1000000</f>
        <v>0.79935000000114087</v>
      </c>
      <c r="N40">
        <f t="shared" si="4"/>
        <v>2</v>
      </c>
      <c r="O40">
        <f>IF(ABS(D40)&gt;1,D40/1000000,D40)*'Real Analysis'!$B$4</f>
        <v>3.4972650000000001E-2</v>
      </c>
      <c r="P40">
        <f>IF(ABS(E40)&gt;1,E40/1000000,E40)*'Real Analysis'!$B$4</f>
        <v>0.12102597000000001</v>
      </c>
      <c r="Q40">
        <f>IF(ABS(F40)&gt;1,F40/1000000,F40)*'Real Analysis'!$B$4</f>
        <v>9.8566661699999987</v>
      </c>
      <c r="R40">
        <f t="shared" si="5"/>
        <v>0</v>
      </c>
      <c r="S40">
        <f t="shared" si="6"/>
        <v>0</v>
      </c>
      <c r="T40">
        <f t="shared" si="7"/>
        <v>0</v>
      </c>
      <c r="U40">
        <f t="shared" si="8"/>
        <v>0</v>
      </c>
    </row>
    <row r="41" spans="1:21" x14ac:dyDescent="0.3">
      <c r="A41">
        <v>39</v>
      </c>
      <c r="B41" s="4">
        <v>-96591167939</v>
      </c>
      <c r="C41" s="5">
        <v>2</v>
      </c>
      <c r="D41" s="5">
        <v>-5.1050000000000002E-3</v>
      </c>
      <c r="E41" s="5">
        <v>1.1712999999999999E-2</v>
      </c>
      <c r="F41" s="5">
        <v>1003742</v>
      </c>
      <c r="G41" s="5">
        <v>0</v>
      </c>
      <c r="H41" s="5">
        <v>0</v>
      </c>
      <c r="I41" s="5">
        <v>0</v>
      </c>
      <c r="J41" s="5">
        <v>0</v>
      </c>
      <c r="L41">
        <f t="shared" si="3"/>
        <v>39</v>
      </c>
      <c r="M41">
        <f>'Real Analysis'!$B$3+B41/1000000</f>
        <v>0.83206099999370053</v>
      </c>
      <c r="N41">
        <f t="shared" si="4"/>
        <v>2</v>
      </c>
      <c r="O41">
        <f>IF(ABS(D41)&gt;1,D41/1000000,D41)*'Real Analysis'!$B$4</f>
        <v>-5.0080050000000001E-2</v>
      </c>
      <c r="P41">
        <f>IF(ABS(E41)&gt;1,E41/1000000,E41)*'Real Analysis'!$B$4</f>
        <v>0.11490453</v>
      </c>
      <c r="Q41">
        <f>IF(ABS(F41)&gt;1,F41/1000000,F41)*'Real Analysis'!$B$4</f>
        <v>9.8467090200000005</v>
      </c>
      <c r="R41">
        <f t="shared" si="5"/>
        <v>0</v>
      </c>
      <c r="S41">
        <f t="shared" si="6"/>
        <v>0</v>
      </c>
      <c r="T41">
        <f t="shared" si="7"/>
        <v>0</v>
      </c>
      <c r="U41">
        <f t="shared" si="8"/>
        <v>0</v>
      </c>
    </row>
    <row r="42" spans="1:21" x14ac:dyDescent="0.3">
      <c r="A42">
        <v>40</v>
      </c>
      <c r="B42" s="4">
        <v>-96591149556</v>
      </c>
      <c r="C42" s="5">
        <v>2</v>
      </c>
      <c r="D42" s="5">
        <v>-5.5380000000000004E-3</v>
      </c>
      <c r="E42" s="5">
        <v>1.2512000000000001E-2</v>
      </c>
      <c r="F42" s="5">
        <v>1005266</v>
      </c>
      <c r="G42" s="5">
        <v>0</v>
      </c>
      <c r="H42" s="5">
        <v>0</v>
      </c>
      <c r="I42" s="5">
        <v>0</v>
      </c>
      <c r="J42" s="5">
        <v>0</v>
      </c>
      <c r="L42">
        <f t="shared" si="3"/>
        <v>40</v>
      </c>
      <c r="M42">
        <f>'Real Analysis'!$B$3+B42/1000000</f>
        <v>0.85044399999605957</v>
      </c>
      <c r="N42">
        <f t="shared" si="4"/>
        <v>2</v>
      </c>
      <c r="O42">
        <f>IF(ABS(D42)&gt;1,D42/1000000,D42)*'Real Analysis'!$B$4</f>
        <v>-5.4327780000000006E-2</v>
      </c>
      <c r="P42">
        <f>IF(ABS(E42)&gt;1,E42/1000000,E42)*'Real Analysis'!$B$4</f>
        <v>0.12274272000000001</v>
      </c>
      <c r="Q42">
        <f>IF(ABS(F42)&gt;1,F42/1000000,F42)*'Real Analysis'!$B$4</f>
        <v>9.8616594600000003</v>
      </c>
      <c r="R42">
        <f t="shared" si="5"/>
        <v>0</v>
      </c>
      <c r="S42">
        <f t="shared" si="6"/>
        <v>0</v>
      </c>
      <c r="T42">
        <f t="shared" si="7"/>
        <v>0</v>
      </c>
      <c r="U42">
        <f t="shared" si="8"/>
        <v>0</v>
      </c>
    </row>
    <row r="43" spans="1:21" x14ac:dyDescent="0.3">
      <c r="A43">
        <v>41</v>
      </c>
      <c r="B43" s="4">
        <v>-96591129412</v>
      </c>
      <c r="C43" s="5">
        <v>2</v>
      </c>
      <c r="D43" s="5">
        <v>-4.5880000000000001E-3</v>
      </c>
      <c r="E43" s="5">
        <v>1.2187999999999999E-2</v>
      </c>
      <c r="F43" s="5">
        <v>1004288</v>
      </c>
      <c r="G43" s="5">
        <v>0</v>
      </c>
      <c r="H43" s="5">
        <v>0</v>
      </c>
      <c r="I43" s="5">
        <v>0</v>
      </c>
      <c r="J43" s="5">
        <v>0</v>
      </c>
      <c r="L43">
        <f t="shared" si="3"/>
        <v>41</v>
      </c>
      <c r="M43">
        <f>'Real Analysis'!$B$3+B43/1000000</f>
        <v>0.87058800000522751</v>
      </c>
      <c r="N43">
        <f t="shared" si="4"/>
        <v>2</v>
      </c>
      <c r="O43">
        <f>IF(ABS(D43)&gt;1,D43/1000000,D43)*'Real Analysis'!$B$4</f>
        <v>-4.5008280000000005E-2</v>
      </c>
      <c r="P43">
        <f>IF(ABS(E43)&gt;1,E43/1000000,E43)*'Real Analysis'!$B$4</f>
        <v>0.11956428</v>
      </c>
      <c r="Q43">
        <f>IF(ABS(F43)&gt;1,F43/1000000,F43)*'Real Analysis'!$B$4</f>
        <v>9.8520652800000015</v>
      </c>
      <c r="R43">
        <f t="shared" si="5"/>
        <v>0</v>
      </c>
      <c r="S43">
        <f t="shared" si="6"/>
        <v>0</v>
      </c>
      <c r="T43">
        <f t="shared" si="7"/>
        <v>0</v>
      </c>
      <c r="U43">
        <f t="shared" si="8"/>
        <v>0</v>
      </c>
    </row>
    <row r="44" spans="1:21" x14ac:dyDescent="0.3">
      <c r="A44">
        <v>42</v>
      </c>
      <c r="B44" s="4">
        <v>-96591109237</v>
      </c>
      <c r="C44" s="5">
        <v>2</v>
      </c>
      <c r="D44" s="5">
        <v>-5.1009999999999996E-3</v>
      </c>
      <c r="E44" s="5">
        <v>1.2324E-2</v>
      </c>
      <c r="F44" s="5">
        <v>1004490</v>
      </c>
      <c r="G44" s="5">
        <v>0</v>
      </c>
      <c r="H44" s="5">
        <v>0</v>
      </c>
      <c r="I44" s="5">
        <v>0</v>
      </c>
      <c r="J44" s="5">
        <v>0</v>
      </c>
      <c r="L44">
        <f t="shared" si="3"/>
        <v>42</v>
      </c>
      <c r="M44">
        <f>'Real Analysis'!$B$3+B44/1000000</f>
        <v>0.89076300000306219</v>
      </c>
      <c r="N44">
        <f t="shared" si="4"/>
        <v>2</v>
      </c>
      <c r="O44">
        <f>IF(ABS(D44)&gt;1,D44/1000000,D44)*'Real Analysis'!$B$4</f>
        <v>-5.0040809999999998E-2</v>
      </c>
      <c r="P44">
        <f>IF(ABS(E44)&gt;1,E44/1000000,E44)*'Real Analysis'!$B$4</f>
        <v>0.12089844000000001</v>
      </c>
      <c r="Q44">
        <f>IF(ABS(F44)&gt;1,F44/1000000,F44)*'Real Analysis'!$B$4</f>
        <v>9.8540469000000019</v>
      </c>
      <c r="R44">
        <f t="shared" si="5"/>
        <v>0</v>
      </c>
      <c r="S44">
        <f t="shared" si="6"/>
        <v>0</v>
      </c>
      <c r="T44">
        <f t="shared" si="7"/>
        <v>0</v>
      </c>
      <c r="U44">
        <f t="shared" si="8"/>
        <v>0</v>
      </c>
    </row>
    <row r="45" spans="1:21" x14ac:dyDescent="0.3">
      <c r="A45">
        <v>43</v>
      </c>
      <c r="B45" s="4">
        <v>-96591089157</v>
      </c>
      <c r="C45" s="5">
        <v>2</v>
      </c>
      <c r="D45" s="5">
        <v>-4.947E-3</v>
      </c>
      <c r="E45" s="5">
        <v>1.2266000000000001E-2</v>
      </c>
      <c r="F45" s="5">
        <v>1004418</v>
      </c>
      <c r="G45" s="5">
        <v>0</v>
      </c>
      <c r="H45" s="5">
        <v>0</v>
      </c>
      <c r="I45" s="5">
        <v>0</v>
      </c>
      <c r="J45" s="5">
        <v>0</v>
      </c>
      <c r="L45">
        <f t="shared" si="3"/>
        <v>43</v>
      </c>
      <c r="M45">
        <f>'Real Analysis'!$B$3+B45/1000000</f>
        <v>0.91084300000511575</v>
      </c>
      <c r="N45">
        <f t="shared" si="4"/>
        <v>2</v>
      </c>
      <c r="O45">
        <f>IF(ABS(D45)&gt;1,D45/1000000,D45)*'Real Analysis'!$B$4</f>
        <v>-4.8530070000000002E-2</v>
      </c>
      <c r="P45">
        <f>IF(ABS(E45)&gt;1,E45/1000000,E45)*'Real Analysis'!$B$4</f>
        <v>0.12032946000000001</v>
      </c>
      <c r="Q45">
        <f>IF(ABS(F45)&gt;1,F45/1000000,F45)*'Real Analysis'!$B$4</f>
        <v>9.8533405800000011</v>
      </c>
      <c r="R45">
        <f t="shared" si="5"/>
        <v>0</v>
      </c>
      <c r="S45">
        <f t="shared" si="6"/>
        <v>0</v>
      </c>
      <c r="T45">
        <f t="shared" si="7"/>
        <v>0</v>
      </c>
      <c r="U45">
        <f t="shared" si="8"/>
        <v>0</v>
      </c>
    </row>
    <row r="46" spans="1:21" x14ac:dyDescent="0.3">
      <c r="A46">
        <v>44</v>
      </c>
      <c r="B46" s="4">
        <v>-96591068327</v>
      </c>
      <c r="C46" s="5">
        <v>2</v>
      </c>
      <c r="D46" s="5">
        <v>-4.888E-3</v>
      </c>
      <c r="E46" s="5">
        <v>1.2385E-2</v>
      </c>
      <c r="F46" s="5">
        <v>1004433</v>
      </c>
      <c r="G46" s="5">
        <v>0</v>
      </c>
      <c r="H46" s="5">
        <v>0</v>
      </c>
      <c r="I46" s="5">
        <v>0</v>
      </c>
      <c r="J46" s="5">
        <v>0</v>
      </c>
      <c r="L46">
        <f t="shared" si="3"/>
        <v>44</v>
      </c>
      <c r="M46">
        <f>'Real Analysis'!$B$3+B46/1000000</f>
        <v>0.93167299999913666</v>
      </c>
      <c r="N46">
        <f t="shared" si="4"/>
        <v>2</v>
      </c>
      <c r="O46">
        <f>IF(ABS(D46)&gt;1,D46/1000000,D46)*'Real Analysis'!$B$4</f>
        <v>-4.7951279999999999E-2</v>
      </c>
      <c r="P46">
        <f>IF(ABS(E46)&gt;1,E46/1000000,E46)*'Real Analysis'!$B$4</f>
        <v>0.12149685</v>
      </c>
      <c r="Q46">
        <f>IF(ABS(F46)&gt;1,F46/1000000,F46)*'Real Analysis'!$B$4</f>
        <v>9.8534877299999994</v>
      </c>
      <c r="R46">
        <f t="shared" si="5"/>
        <v>0</v>
      </c>
      <c r="S46">
        <f t="shared" si="6"/>
        <v>0</v>
      </c>
      <c r="T46">
        <f t="shared" si="7"/>
        <v>0</v>
      </c>
      <c r="U46">
        <f t="shared" si="8"/>
        <v>0</v>
      </c>
    </row>
    <row r="47" spans="1:21" x14ac:dyDescent="0.3">
      <c r="A47">
        <v>45</v>
      </c>
      <c r="B47" s="4">
        <v>-96591053962</v>
      </c>
      <c r="C47" s="5">
        <v>2</v>
      </c>
      <c r="D47" s="5">
        <v>-4.9820000000000003E-3</v>
      </c>
      <c r="E47" s="5">
        <v>1.238E-2</v>
      </c>
      <c r="F47" s="5">
        <v>1004424</v>
      </c>
      <c r="G47" s="5">
        <v>0</v>
      </c>
      <c r="H47" s="5">
        <v>0</v>
      </c>
      <c r="I47" s="5">
        <v>0</v>
      </c>
      <c r="J47" s="5">
        <v>0</v>
      </c>
      <c r="L47">
        <f t="shared" si="3"/>
        <v>45</v>
      </c>
      <c r="M47">
        <f>'Real Analysis'!$B$3+B47/1000000</f>
        <v>0.94603799999458715</v>
      </c>
      <c r="N47">
        <f t="shared" si="4"/>
        <v>2</v>
      </c>
      <c r="O47">
        <f>IF(ABS(D47)&gt;1,D47/1000000,D47)*'Real Analysis'!$B$4</f>
        <v>-4.8873420000000008E-2</v>
      </c>
      <c r="P47">
        <f>IF(ABS(E47)&gt;1,E47/1000000,E47)*'Real Analysis'!$B$4</f>
        <v>0.12144780000000001</v>
      </c>
      <c r="Q47">
        <f>IF(ABS(F47)&gt;1,F47/1000000,F47)*'Real Analysis'!$B$4</f>
        <v>9.8533994400000005</v>
      </c>
      <c r="R47">
        <f t="shared" si="5"/>
        <v>0</v>
      </c>
      <c r="S47">
        <f t="shared" si="6"/>
        <v>0</v>
      </c>
      <c r="T47">
        <f t="shared" si="7"/>
        <v>0</v>
      </c>
      <c r="U47">
        <f t="shared" si="8"/>
        <v>0</v>
      </c>
    </row>
    <row r="48" spans="1:21" x14ac:dyDescent="0.3">
      <c r="A48">
        <v>46</v>
      </c>
      <c r="B48" s="4">
        <v>-96591029176</v>
      </c>
      <c r="C48" s="5">
        <v>2</v>
      </c>
      <c r="D48" s="5">
        <v>-4.7169999999999998E-3</v>
      </c>
      <c r="E48" s="5">
        <v>1.205E-2</v>
      </c>
      <c r="F48" s="5">
        <v>0.99739199999999995</v>
      </c>
      <c r="G48" s="5">
        <v>0</v>
      </c>
      <c r="H48" s="5">
        <v>0</v>
      </c>
      <c r="I48" s="5">
        <v>0</v>
      </c>
      <c r="J48" s="5">
        <v>0</v>
      </c>
      <c r="L48">
        <f t="shared" si="3"/>
        <v>46</v>
      </c>
      <c r="M48">
        <f>'Real Analysis'!$B$3+B48/1000000</f>
        <v>0.97082400000363123</v>
      </c>
      <c r="N48">
        <f t="shared" si="4"/>
        <v>2</v>
      </c>
      <c r="O48">
        <f>IF(ABS(D48)&gt;1,D48/1000000,D48)*'Real Analysis'!$B$4</f>
        <v>-4.6273769999999999E-2</v>
      </c>
      <c r="P48">
        <f>IF(ABS(E48)&gt;1,E48/1000000,E48)*'Real Analysis'!$B$4</f>
        <v>0.11821050000000001</v>
      </c>
      <c r="Q48">
        <f>IF(ABS(F48)&gt;1,F48/1000000,F48)*'Real Analysis'!$B$4</f>
        <v>9.7844155199999996</v>
      </c>
      <c r="R48">
        <f t="shared" si="5"/>
        <v>0</v>
      </c>
      <c r="S48">
        <f t="shared" si="6"/>
        <v>0</v>
      </c>
      <c r="T48">
        <f t="shared" si="7"/>
        <v>0</v>
      </c>
      <c r="U48">
        <f t="shared" si="8"/>
        <v>0</v>
      </c>
    </row>
    <row r="49" spans="1:21" x14ac:dyDescent="0.3">
      <c r="A49">
        <v>47</v>
      </c>
      <c r="B49" s="4">
        <v>-96591008732</v>
      </c>
      <c r="C49" s="5">
        <v>2</v>
      </c>
      <c r="D49" s="5">
        <v>-4.986E-3</v>
      </c>
      <c r="E49" s="5">
        <v>1.23E-2</v>
      </c>
      <c r="F49" s="5">
        <v>1004220</v>
      </c>
      <c r="G49" s="5">
        <v>0</v>
      </c>
      <c r="H49" s="5">
        <v>0</v>
      </c>
      <c r="I49" s="5">
        <v>0</v>
      </c>
      <c r="J49" s="5">
        <v>0</v>
      </c>
      <c r="L49">
        <f t="shared" si="3"/>
        <v>47</v>
      </c>
      <c r="M49">
        <f>'Real Analysis'!$B$3+B49/1000000</f>
        <v>0.99126799999794457</v>
      </c>
      <c r="N49">
        <f t="shared" si="4"/>
        <v>2</v>
      </c>
      <c r="O49">
        <f>IF(ABS(D49)&gt;1,D49/1000000,D49)*'Real Analysis'!$B$4</f>
        <v>-4.8912660000000004E-2</v>
      </c>
      <c r="P49">
        <f>IF(ABS(E49)&gt;1,E49/1000000,E49)*'Real Analysis'!$B$4</f>
        <v>0.12066300000000001</v>
      </c>
      <c r="Q49">
        <f>IF(ABS(F49)&gt;1,F49/1000000,F49)*'Real Analysis'!$B$4</f>
        <v>9.8513982000000002</v>
      </c>
      <c r="R49">
        <f t="shared" si="5"/>
        <v>0</v>
      </c>
      <c r="S49">
        <f t="shared" si="6"/>
        <v>0</v>
      </c>
      <c r="T49">
        <f t="shared" si="7"/>
        <v>0</v>
      </c>
      <c r="U49">
        <f t="shared" si="8"/>
        <v>0</v>
      </c>
    </row>
    <row r="50" spans="1:21" x14ac:dyDescent="0.3">
      <c r="A50">
        <v>48</v>
      </c>
      <c r="B50" s="4">
        <v>-96590993808</v>
      </c>
      <c r="C50" s="5">
        <v>2</v>
      </c>
      <c r="D50" s="5">
        <v>-4.9979999999999998E-3</v>
      </c>
      <c r="E50" s="5">
        <v>1.2388E-2</v>
      </c>
      <c r="F50" s="5">
        <v>1006061</v>
      </c>
      <c r="G50" s="5">
        <v>0</v>
      </c>
      <c r="H50" s="5">
        <v>0</v>
      </c>
      <c r="I50" s="5">
        <v>0</v>
      </c>
      <c r="J50" s="5">
        <v>0</v>
      </c>
      <c r="L50">
        <f t="shared" si="3"/>
        <v>48</v>
      </c>
      <c r="M50">
        <f>'Real Analysis'!$B$3+B50/1000000</f>
        <v>1.0061920000007376</v>
      </c>
      <c r="N50">
        <f t="shared" si="4"/>
        <v>2</v>
      </c>
      <c r="O50">
        <f>IF(ABS(D50)&gt;1,D50/1000000,D50)*'Real Analysis'!$B$4</f>
        <v>-4.9030379999999998E-2</v>
      </c>
      <c r="P50">
        <f>IF(ABS(E50)&gt;1,E50/1000000,E50)*'Real Analysis'!$B$4</f>
        <v>0.12152628</v>
      </c>
      <c r="Q50">
        <f>IF(ABS(F50)&gt;1,F50/1000000,F50)*'Real Analysis'!$B$4</f>
        <v>9.8694584100000018</v>
      </c>
      <c r="R50">
        <f t="shared" si="5"/>
        <v>0</v>
      </c>
      <c r="S50">
        <f t="shared" si="6"/>
        <v>0</v>
      </c>
      <c r="T50">
        <f t="shared" si="7"/>
        <v>0</v>
      </c>
      <c r="U50">
        <f t="shared" si="8"/>
        <v>0</v>
      </c>
    </row>
    <row r="51" spans="1:21" x14ac:dyDescent="0.3">
      <c r="A51">
        <v>49</v>
      </c>
      <c r="B51" s="4">
        <v>-96590973171</v>
      </c>
      <c r="C51" s="5">
        <v>2</v>
      </c>
      <c r="D51" s="5">
        <v>-4.9059999999999998E-3</v>
      </c>
      <c r="E51" s="5">
        <v>1.2335E-2</v>
      </c>
      <c r="F51" s="5">
        <v>1005658</v>
      </c>
      <c r="G51" s="5">
        <v>0</v>
      </c>
      <c r="H51" s="5">
        <v>0</v>
      </c>
      <c r="I51" s="5">
        <v>0</v>
      </c>
      <c r="J51" s="5">
        <v>0</v>
      </c>
      <c r="L51">
        <f t="shared" si="3"/>
        <v>49</v>
      </c>
      <c r="M51">
        <f>'Real Analysis'!$B$3+B51/1000000</f>
        <v>1.0268289999949047</v>
      </c>
      <c r="N51">
        <f t="shared" si="4"/>
        <v>2</v>
      </c>
      <c r="O51">
        <f>IF(ABS(D51)&gt;1,D51/1000000,D51)*'Real Analysis'!$B$4</f>
        <v>-4.8127860000000001E-2</v>
      </c>
      <c r="P51">
        <f>IF(ABS(E51)&gt;1,E51/1000000,E51)*'Real Analysis'!$B$4</f>
        <v>0.12100635000000001</v>
      </c>
      <c r="Q51">
        <f>IF(ABS(F51)&gt;1,F51/1000000,F51)*'Real Analysis'!$B$4</f>
        <v>9.8655049800000008</v>
      </c>
      <c r="R51">
        <f t="shared" si="5"/>
        <v>0</v>
      </c>
      <c r="S51">
        <f t="shared" si="6"/>
        <v>0</v>
      </c>
      <c r="T51">
        <f t="shared" si="7"/>
        <v>0</v>
      </c>
      <c r="U51">
        <f t="shared" si="8"/>
        <v>0</v>
      </c>
    </row>
    <row r="52" spans="1:21" x14ac:dyDescent="0.3">
      <c r="A52">
        <v>50</v>
      </c>
      <c r="B52" s="4">
        <v>-96590953960</v>
      </c>
      <c r="C52" s="5">
        <v>2</v>
      </c>
      <c r="D52" s="5">
        <v>-4.9420000000000002E-3</v>
      </c>
      <c r="E52" s="5">
        <v>1.2281E-2</v>
      </c>
      <c r="F52" s="5">
        <v>1004034</v>
      </c>
      <c r="G52" s="5">
        <v>0</v>
      </c>
      <c r="H52" s="5">
        <v>0</v>
      </c>
      <c r="I52" s="5">
        <v>0</v>
      </c>
      <c r="J52" s="5">
        <v>0</v>
      </c>
      <c r="L52">
        <f t="shared" si="3"/>
        <v>50</v>
      </c>
      <c r="M52">
        <f>'Real Analysis'!$B$3+B52/1000000</f>
        <v>1.046040000001085</v>
      </c>
      <c r="N52">
        <f t="shared" si="4"/>
        <v>2</v>
      </c>
      <c r="O52">
        <f>IF(ABS(D52)&gt;1,D52/1000000,D52)*'Real Analysis'!$B$4</f>
        <v>-4.8481020000000007E-2</v>
      </c>
      <c r="P52">
        <f>IF(ABS(E52)&gt;1,E52/1000000,E52)*'Real Analysis'!$B$4</f>
        <v>0.12047661000000001</v>
      </c>
      <c r="Q52">
        <f>IF(ABS(F52)&gt;1,F52/1000000,F52)*'Real Analysis'!$B$4</f>
        <v>9.8495735400000015</v>
      </c>
      <c r="R52">
        <f t="shared" si="5"/>
        <v>0</v>
      </c>
      <c r="S52">
        <f t="shared" si="6"/>
        <v>0</v>
      </c>
      <c r="T52">
        <f t="shared" si="7"/>
        <v>0</v>
      </c>
      <c r="U52">
        <f t="shared" si="8"/>
        <v>0</v>
      </c>
    </row>
    <row r="53" spans="1:21" x14ac:dyDescent="0.3">
      <c r="A53" s="4">
        <v>51</v>
      </c>
      <c r="B53" s="4">
        <v>-96590927909</v>
      </c>
      <c r="C53" s="5">
        <v>2</v>
      </c>
      <c r="D53" s="5">
        <v>-4.9490000000000003E-3</v>
      </c>
      <c r="E53" s="5">
        <v>1.2274999999999999E-2</v>
      </c>
      <c r="F53" s="5">
        <v>1004200</v>
      </c>
      <c r="G53" s="5">
        <v>0</v>
      </c>
      <c r="H53" s="5">
        <v>0</v>
      </c>
      <c r="I53" s="5">
        <v>0</v>
      </c>
      <c r="J53" s="5">
        <v>0</v>
      </c>
      <c r="L53">
        <f t="shared" si="3"/>
        <v>51</v>
      </c>
      <c r="M53">
        <f>'Real Analysis'!$B$3+B53/1000000</f>
        <v>1.0720909999945434</v>
      </c>
      <c r="N53">
        <f t="shared" si="4"/>
        <v>2</v>
      </c>
      <c r="O53">
        <f>IF(ABS(D53)&gt;1,D53/1000000,D53)*'Real Analysis'!$B$4</f>
        <v>-4.8549690000000006E-2</v>
      </c>
      <c r="P53">
        <f>IF(ABS(E53)&gt;1,E53/1000000,E53)*'Real Analysis'!$B$4</f>
        <v>0.12041775</v>
      </c>
      <c r="Q53">
        <f>IF(ABS(F53)&gt;1,F53/1000000,F53)*'Real Analysis'!$B$4</f>
        <v>9.8512020000000007</v>
      </c>
      <c r="R53">
        <f t="shared" si="5"/>
        <v>0</v>
      </c>
      <c r="S53">
        <f t="shared" si="6"/>
        <v>0</v>
      </c>
      <c r="T53">
        <f t="shared" si="7"/>
        <v>0</v>
      </c>
      <c r="U53">
        <f t="shared" si="8"/>
        <v>0</v>
      </c>
    </row>
    <row r="54" spans="1:21" x14ac:dyDescent="0.3">
      <c r="A54" s="4">
        <v>52</v>
      </c>
      <c r="B54" s="4">
        <v>-96590910171</v>
      </c>
      <c r="C54" s="5">
        <v>2</v>
      </c>
      <c r="D54" s="5">
        <v>-4.8329999999999996E-3</v>
      </c>
      <c r="E54" s="5">
        <v>1.2253999999999999E-2</v>
      </c>
      <c r="F54" s="5">
        <v>1000802</v>
      </c>
      <c r="G54" s="5">
        <v>0</v>
      </c>
      <c r="H54" s="5">
        <v>0</v>
      </c>
      <c r="I54" s="5">
        <v>0</v>
      </c>
      <c r="J54" s="5">
        <v>0</v>
      </c>
      <c r="L54">
        <f t="shared" si="3"/>
        <v>52</v>
      </c>
      <c r="M54">
        <f>'Real Analysis'!$B$3+B54/1000000</f>
        <v>1.0898290000041015</v>
      </c>
      <c r="N54">
        <f t="shared" si="4"/>
        <v>2</v>
      </c>
      <c r="O54">
        <f>IF(ABS(D54)&gt;1,D54/1000000,D54)*'Real Analysis'!$B$4</f>
        <v>-4.7411729999999999E-2</v>
      </c>
      <c r="P54">
        <f>IF(ABS(E54)&gt;1,E54/1000000,E54)*'Real Analysis'!$B$4</f>
        <v>0.12021174</v>
      </c>
      <c r="Q54">
        <f>IF(ABS(F54)&gt;1,F54/1000000,F54)*'Real Analysis'!$B$4</f>
        <v>9.8178676199999995</v>
      </c>
      <c r="R54">
        <f t="shared" si="5"/>
        <v>0</v>
      </c>
      <c r="S54">
        <f t="shared" si="6"/>
        <v>0</v>
      </c>
      <c r="T54">
        <f t="shared" si="7"/>
        <v>0</v>
      </c>
      <c r="U54">
        <f t="shared" si="8"/>
        <v>0</v>
      </c>
    </row>
    <row r="55" spans="1:21" x14ac:dyDescent="0.3">
      <c r="A55" s="4">
        <v>53</v>
      </c>
      <c r="B55" s="4">
        <v>-96590892295</v>
      </c>
      <c r="C55" s="5">
        <v>2</v>
      </c>
      <c r="D55" s="5">
        <v>-4.9150000000000001E-3</v>
      </c>
      <c r="E55" s="5">
        <v>1.2375000000000001E-2</v>
      </c>
      <c r="F55" s="5">
        <v>1005755</v>
      </c>
      <c r="G55" s="5">
        <v>0</v>
      </c>
      <c r="H55" s="5">
        <v>0</v>
      </c>
      <c r="I55" s="5">
        <v>0</v>
      </c>
      <c r="J55" s="5">
        <v>0</v>
      </c>
      <c r="L55">
        <f t="shared" si="3"/>
        <v>53</v>
      </c>
      <c r="M55">
        <f>'Real Analysis'!$B$3+B55/1000000</f>
        <v>1.10770500000217</v>
      </c>
      <c r="N55">
        <f t="shared" si="4"/>
        <v>2</v>
      </c>
      <c r="O55">
        <f>IF(ABS(D55)&gt;1,D55/1000000,D55)*'Real Analysis'!$B$4</f>
        <v>-4.8216150000000006E-2</v>
      </c>
      <c r="P55">
        <f>IF(ABS(E55)&gt;1,E55/1000000,E55)*'Real Analysis'!$B$4</f>
        <v>0.12139875000000001</v>
      </c>
      <c r="Q55">
        <f>IF(ABS(F55)&gt;1,F55/1000000,F55)*'Real Analysis'!$B$4</f>
        <v>9.8664565500000005</v>
      </c>
      <c r="R55">
        <f t="shared" si="5"/>
        <v>0</v>
      </c>
      <c r="S55">
        <f t="shared" si="6"/>
        <v>0</v>
      </c>
      <c r="T55">
        <f t="shared" si="7"/>
        <v>0</v>
      </c>
      <c r="U55">
        <f t="shared" si="8"/>
        <v>0</v>
      </c>
    </row>
    <row r="56" spans="1:21" x14ac:dyDescent="0.3">
      <c r="A56" s="4">
        <v>54</v>
      </c>
      <c r="B56" s="4">
        <v>-96590867894</v>
      </c>
      <c r="C56" s="5">
        <v>2</v>
      </c>
      <c r="D56" s="5">
        <v>-5.0000000000000001E-3</v>
      </c>
      <c r="E56" s="5">
        <v>1.2253E-2</v>
      </c>
      <c r="F56" s="5">
        <v>1004670</v>
      </c>
      <c r="G56" s="5">
        <v>0</v>
      </c>
      <c r="H56" s="5">
        <v>0</v>
      </c>
      <c r="I56" s="5">
        <v>0</v>
      </c>
      <c r="J56" s="5">
        <v>0</v>
      </c>
      <c r="L56">
        <f t="shared" si="3"/>
        <v>54</v>
      </c>
      <c r="M56">
        <f>'Real Analysis'!$B$3+B56/1000000</f>
        <v>1.1321060000045691</v>
      </c>
      <c r="N56">
        <f t="shared" si="4"/>
        <v>2</v>
      </c>
      <c r="O56">
        <f>IF(ABS(D56)&gt;1,D56/1000000,D56)*'Real Analysis'!$B$4</f>
        <v>-4.9050000000000003E-2</v>
      </c>
      <c r="P56">
        <f>IF(ABS(E56)&gt;1,E56/1000000,E56)*'Real Analysis'!$B$4</f>
        <v>0.12020193000000001</v>
      </c>
      <c r="Q56">
        <f>IF(ABS(F56)&gt;1,F56/1000000,F56)*'Real Analysis'!$B$4</f>
        <v>9.8558126999999995</v>
      </c>
      <c r="R56">
        <f t="shared" si="5"/>
        <v>0</v>
      </c>
      <c r="S56">
        <f t="shared" si="6"/>
        <v>0</v>
      </c>
      <c r="T56">
        <f t="shared" si="7"/>
        <v>0</v>
      </c>
      <c r="U56">
        <f t="shared" si="8"/>
        <v>0</v>
      </c>
    </row>
    <row r="57" spans="1:21" x14ac:dyDescent="0.3">
      <c r="A57" s="4">
        <v>55</v>
      </c>
      <c r="B57" s="4">
        <v>-96590850580</v>
      </c>
      <c r="C57" s="5">
        <v>2</v>
      </c>
      <c r="D57" s="5">
        <v>-5.091E-3</v>
      </c>
      <c r="E57" s="5">
        <v>1.2281E-2</v>
      </c>
      <c r="F57" s="5">
        <v>1004145</v>
      </c>
      <c r="G57" s="5">
        <v>0</v>
      </c>
      <c r="H57" s="5">
        <v>0</v>
      </c>
      <c r="I57" s="5">
        <v>0</v>
      </c>
      <c r="J57" s="5">
        <v>0</v>
      </c>
      <c r="L57">
        <f t="shared" si="3"/>
        <v>55</v>
      </c>
      <c r="M57">
        <f>'Real Analysis'!$B$3+B57/1000000</f>
        <v>1.1494200000015553</v>
      </c>
      <c r="N57">
        <f t="shared" si="4"/>
        <v>2</v>
      </c>
      <c r="O57">
        <f>IF(ABS(D57)&gt;1,D57/1000000,D57)*'Real Analysis'!$B$4</f>
        <v>-4.9942710000000001E-2</v>
      </c>
      <c r="P57">
        <f>IF(ABS(E57)&gt;1,E57/1000000,E57)*'Real Analysis'!$B$4</f>
        <v>0.12047661000000001</v>
      </c>
      <c r="Q57">
        <f>IF(ABS(F57)&gt;1,F57/1000000,F57)*'Real Analysis'!$B$4</f>
        <v>9.8506624500000015</v>
      </c>
      <c r="R57">
        <f t="shared" si="5"/>
        <v>0</v>
      </c>
      <c r="S57">
        <f t="shared" si="6"/>
        <v>0</v>
      </c>
      <c r="T57">
        <f t="shared" si="7"/>
        <v>0</v>
      </c>
      <c r="U57">
        <f t="shared" si="8"/>
        <v>0</v>
      </c>
    </row>
    <row r="58" spans="1:21" x14ac:dyDescent="0.3">
      <c r="A58" s="4">
        <v>56</v>
      </c>
      <c r="B58" s="4">
        <v>-96590828187</v>
      </c>
      <c r="C58" s="5">
        <v>2</v>
      </c>
      <c r="D58" s="5">
        <v>-4.9259999999999998E-3</v>
      </c>
      <c r="E58" s="5">
        <v>1.2295E-2</v>
      </c>
      <c r="F58" s="5">
        <v>1006258</v>
      </c>
      <c r="G58" s="5">
        <v>0</v>
      </c>
      <c r="H58" s="5">
        <v>0</v>
      </c>
      <c r="I58" s="5">
        <v>0</v>
      </c>
      <c r="J58" s="5">
        <v>0</v>
      </c>
      <c r="L58">
        <f t="shared" si="3"/>
        <v>56</v>
      </c>
      <c r="M58">
        <f>'Real Analysis'!$B$3+B58/1000000</f>
        <v>1.1718129999935627</v>
      </c>
      <c r="N58">
        <f t="shared" si="4"/>
        <v>2</v>
      </c>
      <c r="O58">
        <f>IF(ABS(D58)&gt;1,D58/1000000,D58)*'Real Analysis'!$B$4</f>
        <v>-4.8324060000000002E-2</v>
      </c>
      <c r="P58">
        <f>IF(ABS(E58)&gt;1,E58/1000000,E58)*'Real Analysis'!$B$4</f>
        <v>0.12061395000000001</v>
      </c>
      <c r="Q58">
        <f>IF(ABS(F58)&gt;1,F58/1000000,F58)*'Real Analysis'!$B$4</f>
        <v>9.871390980000001</v>
      </c>
      <c r="R58">
        <f t="shared" si="5"/>
        <v>0</v>
      </c>
      <c r="S58">
        <f t="shared" si="6"/>
        <v>0</v>
      </c>
      <c r="T58">
        <f t="shared" si="7"/>
        <v>0</v>
      </c>
      <c r="U58">
        <f t="shared" si="8"/>
        <v>0</v>
      </c>
    </row>
    <row r="59" spans="1:21" x14ac:dyDescent="0.3">
      <c r="A59" s="4">
        <v>57</v>
      </c>
      <c r="B59" s="4">
        <v>-96590808760</v>
      </c>
      <c r="C59" s="5">
        <v>2</v>
      </c>
      <c r="D59" s="5">
        <v>-4.914E-3</v>
      </c>
      <c r="E59" s="5">
        <v>1.242E-2</v>
      </c>
      <c r="F59" s="5">
        <v>1008535</v>
      </c>
      <c r="G59" s="5">
        <v>0</v>
      </c>
      <c r="H59" s="5">
        <v>0</v>
      </c>
      <c r="I59" s="5">
        <v>0</v>
      </c>
      <c r="J59" s="5">
        <v>0</v>
      </c>
      <c r="L59">
        <f t="shared" si="3"/>
        <v>57</v>
      </c>
      <c r="M59">
        <f>'Real Analysis'!$B$3+B59/1000000</f>
        <v>1.1912400000001071</v>
      </c>
      <c r="N59">
        <f t="shared" si="4"/>
        <v>2</v>
      </c>
      <c r="O59">
        <f>IF(ABS(D59)&gt;1,D59/1000000,D59)*'Real Analysis'!$B$4</f>
        <v>-4.820634E-2</v>
      </c>
      <c r="P59">
        <f>IF(ABS(E59)&gt;1,E59/1000000,E59)*'Real Analysis'!$B$4</f>
        <v>0.12184020000000001</v>
      </c>
      <c r="Q59">
        <f>IF(ABS(F59)&gt;1,F59/1000000,F59)*'Real Analysis'!$B$4</f>
        <v>9.8937283499999999</v>
      </c>
      <c r="R59">
        <f t="shared" si="5"/>
        <v>0</v>
      </c>
      <c r="S59">
        <f t="shared" si="6"/>
        <v>0</v>
      </c>
      <c r="T59">
        <f t="shared" si="7"/>
        <v>0</v>
      </c>
      <c r="U59">
        <f t="shared" si="8"/>
        <v>0</v>
      </c>
    </row>
    <row r="60" spans="1:21" x14ac:dyDescent="0.3">
      <c r="A60" s="4">
        <v>58</v>
      </c>
      <c r="B60" s="4">
        <v>-96590787928</v>
      </c>
      <c r="C60" s="5">
        <v>2</v>
      </c>
      <c r="D60" s="5">
        <v>-5.0899999999999999E-3</v>
      </c>
      <c r="E60" s="5">
        <v>1.2382000000000001E-2</v>
      </c>
      <c r="F60" s="5">
        <v>1005925</v>
      </c>
      <c r="G60" s="5">
        <v>0</v>
      </c>
      <c r="H60" s="5">
        <v>0</v>
      </c>
      <c r="I60" s="5">
        <v>0</v>
      </c>
      <c r="J60" s="5">
        <v>0</v>
      </c>
      <c r="L60">
        <f t="shared" si="3"/>
        <v>58</v>
      </c>
      <c r="M60">
        <f>'Real Analysis'!$B$3+B60/1000000</f>
        <v>1.2120719999948051</v>
      </c>
      <c r="N60">
        <f t="shared" si="4"/>
        <v>2</v>
      </c>
      <c r="O60">
        <f>IF(ABS(D60)&gt;1,D60/1000000,D60)*'Real Analysis'!$B$4</f>
        <v>-4.9932900000000002E-2</v>
      </c>
      <c r="P60">
        <f>IF(ABS(E60)&gt;1,E60/1000000,E60)*'Real Analysis'!$B$4</f>
        <v>0.12146742000000001</v>
      </c>
      <c r="Q60">
        <f>IF(ABS(F60)&gt;1,F60/1000000,F60)*'Real Analysis'!$B$4</f>
        <v>9.8681242499999993</v>
      </c>
      <c r="R60">
        <f t="shared" si="5"/>
        <v>0</v>
      </c>
      <c r="S60">
        <f t="shared" si="6"/>
        <v>0</v>
      </c>
      <c r="T60">
        <f t="shared" si="7"/>
        <v>0</v>
      </c>
      <c r="U60">
        <f t="shared" si="8"/>
        <v>0</v>
      </c>
    </row>
    <row r="61" spans="1:21" x14ac:dyDescent="0.3">
      <c r="A61" s="4">
        <v>59</v>
      </c>
      <c r="B61" s="4">
        <v>-96590770182</v>
      </c>
      <c r="C61" s="5">
        <v>2</v>
      </c>
      <c r="D61" s="5">
        <v>3.4099999999999999E-4</v>
      </c>
      <c r="E61" s="5">
        <v>1.2361E-2</v>
      </c>
      <c r="F61" s="5">
        <v>1004395</v>
      </c>
      <c r="G61" s="5">
        <v>0</v>
      </c>
      <c r="H61" s="5">
        <v>0</v>
      </c>
      <c r="I61" s="5">
        <v>0</v>
      </c>
      <c r="J61" s="5">
        <v>0</v>
      </c>
      <c r="L61">
        <f t="shared" si="3"/>
        <v>59</v>
      </c>
      <c r="M61">
        <f>'Real Analysis'!$B$3+B61/1000000</f>
        <v>1.2298180000070715</v>
      </c>
      <c r="N61">
        <f t="shared" si="4"/>
        <v>2</v>
      </c>
      <c r="O61">
        <f>IF(ABS(D61)&gt;1,D61/1000000,D61)*'Real Analysis'!$B$4</f>
        <v>3.3452099999999999E-3</v>
      </c>
      <c r="P61">
        <f>IF(ABS(E61)&gt;1,E61/1000000,E61)*'Real Analysis'!$B$4</f>
        <v>0.12126141000000001</v>
      </c>
      <c r="Q61">
        <f>IF(ABS(F61)&gt;1,F61/1000000,F61)*'Real Analysis'!$B$4</f>
        <v>9.8531149500000001</v>
      </c>
      <c r="R61">
        <f t="shared" si="5"/>
        <v>0</v>
      </c>
      <c r="S61">
        <f t="shared" si="6"/>
        <v>0</v>
      </c>
      <c r="T61">
        <f t="shared" si="7"/>
        <v>0</v>
      </c>
      <c r="U61">
        <f t="shared" si="8"/>
        <v>0</v>
      </c>
    </row>
    <row r="62" spans="1:21" x14ac:dyDescent="0.3">
      <c r="A62" s="4">
        <v>60</v>
      </c>
      <c r="B62" s="4">
        <v>-96590747701</v>
      </c>
      <c r="C62" s="5">
        <v>2</v>
      </c>
      <c r="D62" s="5">
        <v>-5.5129999999999997E-3</v>
      </c>
      <c r="E62" s="5">
        <v>1.2144E-2</v>
      </c>
      <c r="F62" s="5">
        <v>0.99666200000000005</v>
      </c>
      <c r="G62" s="5">
        <v>0</v>
      </c>
      <c r="H62" s="5">
        <v>0</v>
      </c>
      <c r="I62" s="5">
        <v>0</v>
      </c>
      <c r="J62" s="5">
        <v>0</v>
      </c>
      <c r="L62">
        <f t="shared" si="3"/>
        <v>60</v>
      </c>
      <c r="M62">
        <f>'Real Analysis'!$B$3+B62/1000000</f>
        <v>1.2522989999997662</v>
      </c>
      <c r="N62">
        <f t="shared" si="4"/>
        <v>2</v>
      </c>
      <c r="O62">
        <f>IF(ABS(D62)&gt;1,D62/1000000,D62)*'Real Analysis'!$B$4</f>
        <v>-5.4082529999999997E-2</v>
      </c>
      <c r="P62">
        <f>IF(ABS(E62)&gt;1,E62/1000000,E62)*'Real Analysis'!$B$4</f>
        <v>0.11913264000000001</v>
      </c>
      <c r="Q62">
        <f>IF(ABS(F62)&gt;1,F62/1000000,F62)*'Real Analysis'!$B$4</f>
        <v>9.7772542200000014</v>
      </c>
      <c r="R62">
        <f t="shared" si="5"/>
        <v>0</v>
      </c>
      <c r="S62">
        <f t="shared" si="6"/>
        <v>0</v>
      </c>
      <c r="T62">
        <f t="shared" si="7"/>
        <v>0</v>
      </c>
      <c r="U62">
        <f t="shared" si="8"/>
        <v>0</v>
      </c>
    </row>
    <row r="63" spans="1:21" x14ac:dyDescent="0.3">
      <c r="A63" s="4">
        <v>61</v>
      </c>
      <c r="B63" s="4">
        <v>-96590727433</v>
      </c>
      <c r="C63" s="5">
        <v>2</v>
      </c>
      <c r="D63" s="5">
        <v>-5.3959999999999998E-3</v>
      </c>
      <c r="E63" s="5">
        <v>1.2232E-2</v>
      </c>
      <c r="F63" s="5">
        <v>1002537</v>
      </c>
      <c r="G63" s="5">
        <v>0</v>
      </c>
      <c r="H63" s="5">
        <v>0</v>
      </c>
      <c r="I63" s="5">
        <v>0</v>
      </c>
      <c r="J63" s="5">
        <v>0</v>
      </c>
      <c r="L63">
        <f t="shared" si="3"/>
        <v>61</v>
      </c>
      <c r="M63">
        <f>'Real Analysis'!$B$3+B63/1000000</f>
        <v>1.2725670000072569</v>
      </c>
      <c r="N63">
        <f t="shared" si="4"/>
        <v>2</v>
      </c>
      <c r="O63">
        <f>IF(ABS(D63)&gt;1,D63/1000000,D63)*'Real Analysis'!$B$4</f>
        <v>-5.2934759999999997E-2</v>
      </c>
      <c r="P63">
        <f>IF(ABS(E63)&gt;1,E63/1000000,E63)*'Real Analysis'!$B$4</f>
        <v>0.11999592000000001</v>
      </c>
      <c r="Q63">
        <f>IF(ABS(F63)&gt;1,F63/1000000,F63)*'Real Analysis'!$B$4</f>
        <v>9.8348879700000005</v>
      </c>
      <c r="R63">
        <f t="shared" si="5"/>
        <v>0</v>
      </c>
      <c r="S63">
        <f t="shared" si="6"/>
        <v>0</v>
      </c>
      <c r="T63">
        <f t="shared" si="7"/>
        <v>0</v>
      </c>
      <c r="U63">
        <f t="shared" si="8"/>
        <v>0</v>
      </c>
    </row>
    <row r="64" spans="1:21" x14ac:dyDescent="0.3">
      <c r="A64" s="4">
        <v>62</v>
      </c>
      <c r="B64" s="4">
        <v>-96590707302</v>
      </c>
      <c r="C64" s="5">
        <v>2</v>
      </c>
      <c r="D64" s="5">
        <v>-3.1649999999999998E-3</v>
      </c>
      <c r="E64" s="5">
        <v>1.2359E-2</v>
      </c>
      <c r="F64" s="5">
        <v>1005232</v>
      </c>
      <c r="G64" s="5">
        <v>0</v>
      </c>
      <c r="H64" s="5">
        <v>0</v>
      </c>
      <c r="I64" s="5">
        <v>0</v>
      </c>
      <c r="J64" s="5">
        <v>0</v>
      </c>
      <c r="L64">
        <f t="shared" si="3"/>
        <v>62</v>
      </c>
      <c r="M64">
        <f>'Real Analysis'!$B$3+B64/1000000</f>
        <v>1.2926980000047479</v>
      </c>
      <c r="N64">
        <f t="shared" si="4"/>
        <v>2</v>
      </c>
      <c r="O64">
        <f>IF(ABS(D64)&gt;1,D64/1000000,D64)*'Real Analysis'!$B$4</f>
        <v>-3.1048650000000001E-2</v>
      </c>
      <c r="P64">
        <f>IF(ABS(E64)&gt;1,E64/1000000,E64)*'Real Analysis'!$B$4</f>
        <v>0.12124179</v>
      </c>
      <c r="Q64">
        <f>IF(ABS(F64)&gt;1,F64/1000000,F64)*'Real Analysis'!$B$4</f>
        <v>9.8613259199999987</v>
      </c>
      <c r="R64">
        <f t="shared" si="5"/>
        <v>0</v>
      </c>
      <c r="S64">
        <f t="shared" si="6"/>
        <v>0</v>
      </c>
      <c r="T64">
        <f t="shared" si="7"/>
        <v>0</v>
      </c>
      <c r="U64">
        <f t="shared" si="8"/>
        <v>0</v>
      </c>
    </row>
    <row r="65" spans="1:21" x14ac:dyDescent="0.3">
      <c r="A65" s="4">
        <v>63</v>
      </c>
      <c r="B65" s="4">
        <v>-96590690874</v>
      </c>
      <c r="C65" s="5">
        <v>2</v>
      </c>
      <c r="D65" s="5">
        <v>-4.3810000000000003E-3</v>
      </c>
      <c r="E65" s="5">
        <v>1.2322E-2</v>
      </c>
      <c r="F65" s="5">
        <v>1003420</v>
      </c>
      <c r="G65" s="5">
        <v>0</v>
      </c>
      <c r="H65" s="5">
        <v>0</v>
      </c>
      <c r="I65" s="5">
        <v>0</v>
      </c>
      <c r="J65" s="5">
        <v>0</v>
      </c>
      <c r="L65">
        <f t="shared" si="3"/>
        <v>63</v>
      </c>
      <c r="M65">
        <f>'Real Analysis'!$B$3+B65/1000000</f>
        <v>1.3091259999928297</v>
      </c>
      <c r="N65">
        <f t="shared" si="4"/>
        <v>2</v>
      </c>
      <c r="O65">
        <f>IF(ABS(D65)&gt;1,D65/1000000,D65)*'Real Analysis'!$B$4</f>
        <v>-4.2977610000000006E-2</v>
      </c>
      <c r="P65">
        <f>IF(ABS(E65)&gt;1,E65/1000000,E65)*'Real Analysis'!$B$4</f>
        <v>0.12087882</v>
      </c>
      <c r="Q65">
        <f>IF(ABS(F65)&gt;1,F65/1000000,F65)*'Real Analysis'!$B$4</f>
        <v>9.843550200000001</v>
      </c>
      <c r="R65">
        <f t="shared" si="5"/>
        <v>0</v>
      </c>
      <c r="S65">
        <f t="shared" si="6"/>
        <v>0</v>
      </c>
      <c r="T65">
        <f t="shared" si="7"/>
        <v>0</v>
      </c>
      <c r="U65">
        <f t="shared" si="8"/>
        <v>0</v>
      </c>
    </row>
    <row r="66" spans="1:21" x14ac:dyDescent="0.3">
      <c r="A66" s="4">
        <v>64</v>
      </c>
      <c r="B66" s="4">
        <v>-96590667316</v>
      </c>
      <c r="C66" s="5">
        <v>2</v>
      </c>
      <c r="D66" s="5">
        <v>-4.1240000000000001E-3</v>
      </c>
      <c r="E66" s="5">
        <v>1.2286999999999999E-2</v>
      </c>
      <c r="F66" s="5">
        <v>1004148</v>
      </c>
      <c r="G66" s="5">
        <v>0</v>
      </c>
      <c r="H66" s="5">
        <v>0</v>
      </c>
      <c r="I66" s="5">
        <v>0</v>
      </c>
      <c r="J66" s="5">
        <v>0</v>
      </c>
      <c r="L66">
        <f t="shared" si="3"/>
        <v>64</v>
      </c>
      <c r="M66">
        <f>'Real Analysis'!$B$3+B66/1000000</f>
        <v>1.3326839999936055</v>
      </c>
      <c r="N66">
        <f t="shared" si="4"/>
        <v>2</v>
      </c>
      <c r="O66">
        <f>IF(ABS(D66)&gt;1,D66/1000000,D66)*'Real Analysis'!$B$4</f>
        <v>-4.0456440000000003E-2</v>
      </c>
      <c r="P66">
        <f>IF(ABS(E66)&gt;1,E66/1000000,E66)*'Real Analysis'!$B$4</f>
        <v>0.12053547000000001</v>
      </c>
      <c r="Q66">
        <f>IF(ABS(F66)&gt;1,F66/1000000,F66)*'Real Analysis'!$B$4</f>
        <v>9.8506918800000012</v>
      </c>
      <c r="R66">
        <f t="shared" si="5"/>
        <v>0</v>
      </c>
      <c r="S66">
        <f t="shared" si="6"/>
        <v>0</v>
      </c>
      <c r="T66">
        <f t="shared" si="7"/>
        <v>0</v>
      </c>
      <c r="U66">
        <f t="shared" si="8"/>
        <v>0</v>
      </c>
    </row>
    <row r="67" spans="1:21" x14ac:dyDescent="0.3">
      <c r="A67" s="4">
        <v>65</v>
      </c>
      <c r="B67" s="4">
        <v>-96590650116</v>
      </c>
      <c r="C67" s="5">
        <v>2</v>
      </c>
      <c r="D67" s="5">
        <v>-4.8050000000000002E-3</v>
      </c>
      <c r="E67" s="5">
        <v>1.2312E-2</v>
      </c>
      <c r="F67" s="5">
        <v>1004439</v>
      </c>
      <c r="G67" s="5">
        <v>0</v>
      </c>
      <c r="H67" s="5">
        <v>0</v>
      </c>
      <c r="I67" s="5">
        <v>0</v>
      </c>
      <c r="J67" s="5">
        <v>0</v>
      </c>
      <c r="L67">
        <f t="shared" ref="L67:L130" si="9">A67</f>
        <v>65</v>
      </c>
      <c r="M67">
        <f>'Real Analysis'!$B$3+B67/1000000</f>
        <v>1.3498839999956544</v>
      </c>
      <c r="N67">
        <f t="shared" ref="N67:N130" si="10">C67</f>
        <v>2</v>
      </c>
      <c r="O67">
        <f>IF(ABS(D67)&gt;1,D67/1000000,D67)*'Real Analysis'!$B$4</f>
        <v>-4.7137050000000007E-2</v>
      </c>
      <c r="P67">
        <f>IF(ABS(E67)&gt;1,E67/1000000,E67)*'Real Analysis'!$B$4</f>
        <v>0.12078072000000001</v>
      </c>
      <c r="Q67">
        <f>IF(ABS(F67)&gt;1,F67/1000000,F67)*'Real Analysis'!$B$4</f>
        <v>9.8535465900000005</v>
      </c>
      <c r="R67">
        <f t="shared" ref="R67:R130" si="11">IF(ABS(G67)&gt;1,G67/1000000,G67)</f>
        <v>0</v>
      </c>
      <c r="S67">
        <f t="shared" ref="S67:S130" si="12">IF(ABS(H67)&gt;1,H67/1000000,H67)</f>
        <v>0</v>
      </c>
      <c r="T67">
        <f t="shared" ref="T67:T130" si="13">IF(ABS(I67)&gt;1,I67/1000000,I67)</f>
        <v>0</v>
      </c>
      <c r="U67">
        <f t="shared" si="8"/>
        <v>0</v>
      </c>
    </row>
    <row r="68" spans="1:21" x14ac:dyDescent="0.3">
      <c r="A68" s="4">
        <v>66</v>
      </c>
      <c r="B68" s="4">
        <v>-96590629997</v>
      </c>
      <c r="C68" s="5">
        <v>2</v>
      </c>
      <c r="D68" s="5">
        <v>-5.0699999999999999E-3</v>
      </c>
      <c r="E68" s="5">
        <v>1.2212000000000001E-2</v>
      </c>
      <c r="F68" s="5">
        <v>1004425</v>
      </c>
      <c r="G68" s="5">
        <v>0</v>
      </c>
      <c r="H68" s="5">
        <v>0</v>
      </c>
      <c r="I68" s="5">
        <v>0</v>
      </c>
      <c r="J68" s="5">
        <v>0</v>
      </c>
      <c r="L68">
        <f t="shared" si="9"/>
        <v>66</v>
      </c>
      <c r="M68">
        <f>'Real Analysis'!$B$3+B68/1000000</f>
        <v>1.370003000003635</v>
      </c>
      <c r="N68">
        <f t="shared" si="10"/>
        <v>2</v>
      </c>
      <c r="O68">
        <f>IF(ABS(D68)&gt;1,D68/1000000,D68)*'Real Analysis'!$B$4</f>
        <v>-4.9736700000000002E-2</v>
      </c>
      <c r="P68">
        <f>IF(ABS(E68)&gt;1,E68/1000000,E68)*'Real Analysis'!$B$4</f>
        <v>0.11979972000000001</v>
      </c>
      <c r="Q68">
        <f>IF(ABS(F68)&gt;1,F68/1000000,F68)*'Real Analysis'!$B$4</f>
        <v>9.8534092500000003</v>
      </c>
      <c r="R68">
        <f t="shared" si="11"/>
        <v>0</v>
      </c>
      <c r="S68">
        <f t="shared" si="12"/>
        <v>0</v>
      </c>
      <c r="T68">
        <f t="shared" si="13"/>
        <v>0</v>
      </c>
      <c r="U68">
        <f t="shared" si="8"/>
        <v>0</v>
      </c>
    </row>
    <row r="69" spans="1:21" x14ac:dyDescent="0.3">
      <c r="A69" s="4">
        <v>67</v>
      </c>
      <c r="B69" s="4">
        <v>-96590611880</v>
      </c>
      <c r="C69" s="5">
        <v>2</v>
      </c>
      <c r="D69" s="5">
        <v>3.5829999999999998E-3</v>
      </c>
      <c r="E69" s="5">
        <v>1.2305E-2</v>
      </c>
      <c r="F69" s="5">
        <v>1004778</v>
      </c>
      <c r="G69" s="5">
        <v>0</v>
      </c>
      <c r="H69" s="5">
        <v>0</v>
      </c>
      <c r="I69" s="5">
        <v>0</v>
      </c>
      <c r="J69" s="5">
        <v>0</v>
      </c>
      <c r="L69">
        <f t="shared" si="9"/>
        <v>67</v>
      </c>
      <c r="M69">
        <f>'Real Analysis'!$B$3+B69/1000000</f>
        <v>1.388120000003255</v>
      </c>
      <c r="N69">
        <f t="shared" si="10"/>
        <v>2</v>
      </c>
      <c r="O69">
        <f>IF(ABS(D69)&gt;1,D69/1000000,D69)*'Real Analysis'!$B$4</f>
        <v>3.5149229999999997E-2</v>
      </c>
      <c r="P69">
        <f>IF(ABS(E69)&gt;1,E69/1000000,E69)*'Real Analysis'!$B$4</f>
        <v>0.12071205</v>
      </c>
      <c r="Q69">
        <f>IF(ABS(F69)&gt;1,F69/1000000,F69)*'Real Analysis'!$B$4</f>
        <v>9.8568721799999999</v>
      </c>
      <c r="R69">
        <f t="shared" si="11"/>
        <v>0</v>
      </c>
      <c r="S69">
        <f t="shared" si="12"/>
        <v>0</v>
      </c>
      <c r="T69">
        <f t="shared" si="13"/>
        <v>0</v>
      </c>
      <c r="U69">
        <f t="shared" si="8"/>
        <v>0</v>
      </c>
    </row>
    <row r="70" spans="1:21" x14ac:dyDescent="0.3">
      <c r="A70" s="4">
        <v>68</v>
      </c>
      <c r="B70" s="4">
        <v>-96590595227</v>
      </c>
      <c r="C70" s="5">
        <v>2</v>
      </c>
      <c r="D70" s="5">
        <v>2.281E-3</v>
      </c>
      <c r="E70" s="5">
        <v>1.2382000000000001E-2</v>
      </c>
      <c r="F70" s="5">
        <v>1004721</v>
      </c>
      <c r="G70" s="5">
        <v>0</v>
      </c>
      <c r="H70" s="5">
        <v>0</v>
      </c>
      <c r="I70" s="5">
        <v>0</v>
      </c>
      <c r="J70" s="5">
        <v>0</v>
      </c>
      <c r="L70">
        <f t="shared" si="9"/>
        <v>68</v>
      </c>
      <c r="M70">
        <f>'Real Analysis'!$B$3+B70/1000000</f>
        <v>1.4047730000020238</v>
      </c>
      <c r="N70">
        <f t="shared" si="10"/>
        <v>2</v>
      </c>
      <c r="O70">
        <f>IF(ABS(D70)&gt;1,D70/1000000,D70)*'Real Analysis'!$B$4</f>
        <v>2.2376610000000002E-2</v>
      </c>
      <c r="P70">
        <f>IF(ABS(E70)&gt;1,E70/1000000,E70)*'Real Analysis'!$B$4</f>
        <v>0.12146742000000001</v>
      </c>
      <c r="Q70">
        <f>IF(ABS(F70)&gt;1,F70/1000000,F70)*'Real Analysis'!$B$4</f>
        <v>9.8563130100000009</v>
      </c>
      <c r="R70">
        <f t="shared" si="11"/>
        <v>0</v>
      </c>
      <c r="S70">
        <f t="shared" si="12"/>
        <v>0</v>
      </c>
      <c r="T70">
        <f t="shared" si="13"/>
        <v>0</v>
      </c>
      <c r="U70">
        <f t="shared" si="8"/>
        <v>0</v>
      </c>
    </row>
    <row r="71" spans="1:21" x14ac:dyDescent="0.3">
      <c r="A71" s="4">
        <v>69</v>
      </c>
      <c r="B71" s="4">
        <v>-96590566558</v>
      </c>
      <c r="C71" s="5">
        <v>2</v>
      </c>
      <c r="D71" s="5">
        <v>3.124E-3</v>
      </c>
      <c r="E71" s="5">
        <v>1.2341E-2</v>
      </c>
      <c r="F71" s="5">
        <v>0.997695</v>
      </c>
      <c r="G71" s="5">
        <v>0</v>
      </c>
      <c r="H71" s="5">
        <v>0</v>
      </c>
      <c r="I71" s="5">
        <v>0</v>
      </c>
      <c r="J71" s="5">
        <v>0</v>
      </c>
      <c r="L71">
        <f t="shared" si="9"/>
        <v>69</v>
      </c>
      <c r="M71">
        <f>'Real Analysis'!$B$3+B71/1000000</f>
        <v>1.4334419999941019</v>
      </c>
      <c r="N71">
        <f t="shared" si="10"/>
        <v>2</v>
      </c>
      <c r="O71">
        <f>IF(ABS(D71)&gt;1,D71/1000000,D71)*'Real Analysis'!$B$4</f>
        <v>3.064644E-2</v>
      </c>
      <c r="P71">
        <f>IF(ABS(E71)&gt;1,E71/1000000,E71)*'Real Analysis'!$B$4</f>
        <v>0.12106521000000001</v>
      </c>
      <c r="Q71">
        <f>IF(ABS(F71)&gt;1,F71/1000000,F71)*'Real Analysis'!$B$4</f>
        <v>9.7873879500000012</v>
      </c>
      <c r="R71">
        <f t="shared" si="11"/>
        <v>0</v>
      </c>
      <c r="S71">
        <f t="shared" si="12"/>
        <v>0</v>
      </c>
      <c r="T71">
        <f t="shared" si="13"/>
        <v>0</v>
      </c>
      <c r="U71">
        <f t="shared" si="8"/>
        <v>0</v>
      </c>
    </row>
    <row r="72" spans="1:21" x14ac:dyDescent="0.3">
      <c r="A72" s="4">
        <v>70</v>
      </c>
      <c r="B72" s="4">
        <v>-96590551034</v>
      </c>
      <c r="C72" s="5">
        <v>2</v>
      </c>
      <c r="D72" s="5">
        <v>3.091E-3</v>
      </c>
      <c r="E72" s="5">
        <v>1.2286999999999999E-2</v>
      </c>
      <c r="F72" s="5">
        <v>1001264</v>
      </c>
      <c r="G72" s="5">
        <v>0</v>
      </c>
      <c r="H72" s="5">
        <v>0</v>
      </c>
      <c r="I72" s="5">
        <v>0</v>
      </c>
      <c r="J72" s="5">
        <v>0</v>
      </c>
      <c r="L72">
        <f t="shared" si="9"/>
        <v>70</v>
      </c>
      <c r="M72">
        <f>'Real Analysis'!$B$3+B72/1000000</f>
        <v>1.4489659999962896</v>
      </c>
      <c r="N72">
        <f t="shared" si="10"/>
        <v>2</v>
      </c>
      <c r="O72">
        <f>IF(ABS(D72)&gt;1,D72/1000000,D72)*'Real Analysis'!$B$4</f>
        <v>3.0322710000000003E-2</v>
      </c>
      <c r="P72">
        <f>IF(ABS(E72)&gt;1,E72/1000000,E72)*'Real Analysis'!$B$4</f>
        <v>0.12053547000000001</v>
      </c>
      <c r="Q72">
        <f>IF(ABS(F72)&gt;1,F72/1000000,F72)*'Real Analysis'!$B$4</f>
        <v>9.8223998399999992</v>
      </c>
      <c r="R72">
        <f t="shared" si="11"/>
        <v>0</v>
      </c>
      <c r="S72">
        <f t="shared" si="12"/>
        <v>0</v>
      </c>
      <c r="T72">
        <f t="shared" si="13"/>
        <v>0</v>
      </c>
      <c r="U72">
        <f t="shared" si="8"/>
        <v>0</v>
      </c>
    </row>
    <row r="73" spans="1:21" x14ac:dyDescent="0.3">
      <c r="A73" s="4">
        <v>71</v>
      </c>
      <c r="B73" s="4">
        <v>-96590531162</v>
      </c>
      <c r="C73" s="5">
        <v>2</v>
      </c>
      <c r="D73" s="5">
        <v>2.9979999999999998E-3</v>
      </c>
      <c r="E73" s="5">
        <v>1.2253E-2</v>
      </c>
      <c r="F73" s="5">
        <v>1004153</v>
      </c>
      <c r="G73" s="5">
        <v>0</v>
      </c>
      <c r="H73" s="5">
        <v>0</v>
      </c>
      <c r="I73" s="5">
        <v>0</v>
      </c>
      <c r="J73" s="5">
        <v>0</v>
      </c>
      <c r="L73">
        <f t="shared" si="9"/>
        <v>71</v>
      </c>
      <c r="M73">
        <f>'Real Analysis'!$B$3+B73/1000000</f>
        <v>1.4688380000006873</v>
      </c>
      <c r="N73">
        <f t="shared" si="10"/>
        <v>2</v>
      </c>
      <c r="O73">
        <f>IF(ABS(D73)&gt;1,D73/1000000,D73)*'Real Analysis'!$B$4</f>
        <v>2.941038E-2</v>
      </c>
      <c r="P73">
        <f>IF(ABS(E73)&gt;1,E73/1000000,E73)*'Real Analysis'!$B$4</f>
        <v>0.12020193000000001</v>
      </c>
      <c r="Q73">
        <f>IF(ABS(F73)&gt;1,F73/1000000,F73)*'Real Analysis'!$B$4</f>
        <v>9.8507409300000006</v>
      </c>
      <c r="R73">
        <f t="shared" si="11"/>
        <v>0</v>
      </c>
      <c r="S73">
        <f t="shared" si="12"/>
        <v>0</v>
      </c>
      <c r="T73">
        <f t="shared" si="13"/>
        <v>0</v>
      </c>
      <c r="U73">
        <f t="shared" si="8"/>
        <v>0</v>
      </c>
    </row>
    <row r="74" spans="1:21" x14ac:dyDescent="0.3">
      <c r="A74" s="4">
        <v>72</v>
      </c>
      <c r="B74" s="4">
        <v>-96590511183</v>
      </c>
      <c r="C74" s="5">
        <v>2</v>
      </c>
      <c r="D74" s="5">
        <v>1.351E-3</v>
      </c>
      <c r="E74" s="5">
        <v>1.0744E-2</v>
      </c>
      <c r="F74" s="5">
        <v>1004099</v>
      </c>
      <c r="G74" s="5">
        <v>0</v>
      </c>
      <c r="H74" s="5">
        <v>0</v>
      </c>
      <c r="I74" s="5">
        <v>0</v>
      </c>
      <c r="J74" s="5">
        <v>0</v>
      </c>
      <c r="L74">
        <f t="shared" si="9"/>
        <v>72</v>
      </c>
      <c r="M74">
        <f>'Real Analysis'!$B$3+B74/1000000</f>
        <v>1.4888170000049286</v>
      </c>
      <c r="N74">
        <f t="shared" si="10"/>
        <v>2</v>
      </c>
      <c r="O74">
        <f>IF(ABS(D74)&gt;1,D74/1000000,D74)*'Real Analysis'!$B$4</f>
        <v>1.3253310000000001E-2</v>
      </c>
      <c r="P74">
        <f>IF(ABS(E74)&gt;1,E74/1000000,E74)*'Real Analysis'!$B$4</f>
        <v>0.10539864</v>
      </c>
      <c r="Q74">
        <f>IF(ABS(F74)&gt;1,F74/1000000,F74)*'Real Analysis'!$B$4</f>
        <v>9.8502111900000013</v>
      </c>
      <c r="R74">
        <f t="shared" si="11"/>
        <v>0</v>
      </c>
      <c r="S74">
        <f t="shared" si="12"/>
        <v>0</v>
      </c>
      <c r="T74">
        <f t="shared" si="13"/>
        <v>0</v>
      </c>
      <c r="U74">
        <f t="shared" si="8"/>
        <v>0</v>
      </c>
    </row>
    <row r="75" spans="1:21" x14ac:dyDescent="0.3">
      <c r="A75" s="4">
        <v>73</v>
      </c>
      <c r="B75" s="4">
        <v>-96590491124</v>
      </c>
      <c r="C75" s="5">
        <v>2</v>
      </c>
      <c r="D75" s="5">
        <v>-6.1310000000000002E-3</v>
      </c>
      <c r="E75" s="5">
        <v>1.1686999999999999E-2</v>
      </c>
      <c r="F75" s="5">
        <v>1004646</v>
      </c>
      <c r="G75" s="5">
        <v>0</v>
      </c>
      <c r="H75" s="5">
        <v>0</v>
      </c>
      <c r="I75" s="5">
        <v>0</v>
      </c>
      <c r="J75" s="5">
        <v>0</v>
      </c>
      <c r="L75">
        <f t="shared" si="9"/>
        <v>73</v>
      </c>
      <c r="M75">
        <f>'Real Analysis'!$B$3+B75/1000000</f>
        <v>1.5088760000071488</v>
      </c>
      <c r="N75">
        <f t="shared" si="10"/>
        <v>2</v>
      </c>
      <c r="O75">
        <f>IF(ABS(D75)&gt;1,D75/1000000,D75)*'Real Analysis'!$B$4</f>
        <v>-6.0145110000000002E-2</v>
      </c>
      <c r="P75">
        <f>IF(ABS(E75)&gt;1,E75/1000000,E75)*'Real Analysis'!$B$4</f>
        <v>0.11464947</v>
      </c>
      <c r="Q75">
        <f>IF(ABS(F75)&gt;1,F75/1000000,F75)*'Real Analysis'!$B$4</f>
        <v>9.8555772600000005</v>
      </c>
      <c r="R75">
        <f t="shared" si="11"/>
        <v>0</v>
      </c>
      <c r="S75">
        <f t="shared" si="12"/>
        <v>0</v>
      </c>
      <c r="T75">
        <f t="shared" si="13"/>
        <v>0</v>
      </c>
      <c r="U75">
        <f t="shared" ref="U75:U138" si="14">J75/1000</f>
        <v>0</v>
      </c>
    </row>
    <row r="76" spans="1:21" x14ac:dyDescent="0.3">
      <c r="A76" s="4">
        <v>74</v>
      </c>
      <c r="B76" s="4">
        <v>-96590470053</v>
      </c>
      <c r="C76" s="5">
        <v>2</v>
      </c>
      <c r="D76" s="5">
        <v>-4.5269999999999998E-3</v>
      </c>
      <c r="E76" s="5">
        <v>1.2455000000000001E-2</v>
      </c>
      <c r="F76" s="5">
        <v>1004346</v>
      </c>
      <c r="G76" s="5">
        <v>0</v>
      </c>
      <c r="H76" s="5">
        <v>0</v>
      </c>
      <c r="I76" s="5">
        <v>0</v>
      </c>
      <c r="J76" s="5">
        <v>0</v>
      </c>
      <c r="L76">
        <f t="shared" si="9"/>
        <v>74</v>
      </c>
      <c r="M76">
        <f>'Real Analysis'!$B$3+B76/1000000</f>
        <v>1.5299470000027213</v>
      </c>
      <c r="N76">
        <f t="shared" si="10"/>
        <v>2</v>
      </c>
      <c r="O76">
        <f>IF(ABS(D76)&gt;1,D76/1000000,D76)*'Real Analysis'!$B$4</f>
        <v>-4.4409869999999997E-2</v>
      </c>
      <c r="P76">
        <f>IF(ABS(E76)&gt;1,E76/1000000,E76)*'Real Analysis'!$B$4</f>
        <v>0.12218355000000002</v>
      </c>
      <c r="Q76">
        <f>IF(ABS(F76)&gt;1,F76/1000000,F76)*'Real Analysis'!$B$4</f>
        <v>9.8526342600000003</v>
      </c>
      <c r="R76">
        <f t="shared" si="11"/>
        <v>0</v>
      </c>
      <c r="S76">
        <f t="shared" si="12"/>
        <v>0</v>
      </c>
      <c r="T76">
        <f t="shared" si="13"/>
        <v>0</v>
      </c>
      <c r="U76">
        <f t="shared" si="14"/>
        <v>0</v>
      </c>
    </row>
    <row r="77" spans="1:21" x14ac:dyDescent="0.3">
      <c r="A77" s="4">
        <v>75</v>
      </c>
      <c r="B77" s="4">
        <v>-96590447423</v>
      </c>
      <c r="C77" s="5">
        <v>2</v>
      </c>
      <c r="D77" s="5">
        <v>-5.0489999999999997E-3</v>
      </c>
      <c r="E77" s="5">
        <v>1.2322E-2</v>
      </c>
      <c r="F77" s="5">
        <v>1004468</v>
      </c>
      <c r="G77" s="5">
        <v>0</v>
      </c>
      <c r="H77" s="5">
        <v>0</v>
      </c>
      <c r="I77" s="5">
        <v>0</v>
      </c>
      <c r="J77" s="5">
        <v>0</v>
      </c>
      <c r="L77">
        <f t="shared" si="9"/>
        <v>75</v>
      </c>
      <c r="M77">
        <f>'Real Analysis'!$B$3+B77/1000000</f>
        <v>1.5525769999949262</v>
      </c>
      <c r="N77">
        <f t="shared" si="10"/>
        <v>2</v>
      </c>
      <c r="O77">
        <f>IF(ABS(D77)&gt;1,D77/1000000,D77)*'Real Analysis'!$B$4</f>
        <v>-4.9530690000000002E-2</v>
      </c>
      <c r="P77">
        <f>IF(ABS(E77)&gt;1,E77/1000000,E77)*'Real Analysis'!$B$4</f>
        <v>0.12087882</v>
      </c>
      <c r="Q77">
        <f>IF(ABS(F77)&gt;1,F77/1000000,F77)*'Real Analysis'!$B$4</f>
        <v>9.8538310799999991</v>
      </c>
      <c r="R77">
        <f t="shared" si="11"/>
        <v>0</v>
      </c>
      <c r="S77">
        <f t="shared" si="12"/>
        <v>0</v>
      </c>
      <c r="T77">
        <f t="shared" si="13"/>
        <v>0</v>
      </c>
      <c r="U77">
        <f t="shared" si="14"/>
        <v>0</v>
      </c>
    </row>
    <row r="78" spans="1:21" x14ac:dyDescent="0.3">
      <c r="A78" s="4">
        <v>76</v>
      </c>
      <c r="B78" s="4">
        <v>-96590430688</v>
      </c>
      <c r="C78" s="5">
        <v>2</v>
      </c>
      <c r="D78" s="5">
        <v>-4.9189999999999998E-3</v>
      </c>
      <c r="E78" s="5">
        <v>1.2296E-2</v>
      </c>
      <c r="F78" s="5">
        <v>1004439</v>
      </c>
      <c r="G78" s="5">
        <v>0</v>
      </c>
      <c r="H78" s="5">
        <v>0</v>
      </c>
      <c r="I78" s="5">
        <v>0</v>
      </c>
      <c r="J78" s="5">
        <v>0</v>
      </c>
      <c r="L78">
        <f t="shared" si="9"/>
        <v>76</v>
      </c>
      <c r="M78">
        <f>'Real Analysis'!$B$3+B78/1000000</f>
        <v>1.569312000006903</v>
      </c>
      <c r="N78">
        <f t="shared" si="10"/>
        <v>2</v>
      </c>
      <c r="O78">
        <f>IF(ABS(D78)&gt;1,D78/1000000,D78)*'Real Analysis'!$B$4</f>
        <v>-4.8255390000000002E-2</v>
      </c>
      <c r="P78">
        <f>IF(ABS(E78)&gt;1,E78/1000000,E78)*'Real Analysis'!$B$4</f>
        <v>0.12062376</v>
      </c>
      <c r="Q78">
        <f>IF(ABS(F78)&gt;1,F78/1000000,F78)*'Real Analysis'!$B$4</f>
        <v>9.8535465900000005</v>
      </c>
      <c r="R78">
        <f t="shared" si="11"/>
        <v>0</v>
      </c>
      <c r="S78">
        <f t="shared" si="12"/>
        <v>0</v>
      </c>
      <c r="T78">
        <f t="shared" si="13"/>
        <v>0</v>
      </c>
      <c r="U78">
        <f t="shared" si="14"/>
        <v>0</v>
      </c>
    </row>
    <row r="79" spans="1:21" x14ac:dyDescent="0.3">
      <c r="A79" s="4">
        <v>77</v>
      </c>
      <c r="B79" s="4">
        <v>-96590408467</v>
      </c>
      <c r="C79" s="5">
        <v>2</v>
      </c>
      <c r="D79" s="5">
        <v>-4.9119999999999997E-3</v>
      </c>
      <c r="E79" s="5">
        <v>1.2351000000000001E-2</v>
      </c>
      <c r="F79" s="5">
        <v>1002512</v>
      </c>
      <c r="G79" s="5">
        <v>0</v>
      </c>
      <c r="H79" s="5">
        <v>0</v>
      </c>
      <c r="I79" s="5">
        <v>0</v>
      </c>
      <c r="J79" s="5">
        <v>0</v>
      </c>
      <c r="L79">
        <f t="shared" si="9"/>
        <v>77</v>
      </c>
      <c r="M79">
        <f>'Real Analysis'!$B$3+B79/1000000</f>
        <v>1.5915329999988899</v>
      </c>
      <c r="N79">
        <f t="shared" si="10"/>
        <v>2</v>
      </c>
      <c r="O79">
        <f>IF(ABS(D79)&gt;1,D79/1000000,D79)*'Real Analysis'!$B$4</f>
        <v>-4.8186720000000002E-2</v>
      </c>
      <c r="P79">
        <f>IF(ABS(E79)&gt;1,E79/1000000,E79)*'Real Analysis'!$B$4</f>
        <v>0.12116331000000001</v>
      </c>
      <c r="Q79">
        <f>IF(ABS(F79)&gt;1,F79/1000000,F79)*'Real Analysis'!$B$4</f>
        <v>9.8346427200000015</v>
      </c>
      <c r="R79">
        <f t="shared" si="11"/>
        <v>0</v>
      </c>
      <c r="S79">
        <f t="shared" si="12"/>
        <v>0</v>
      </c>
      <c r="T79">
        <f t="shared" si="13"/>
        <v>0</v>
      </c>
      <c r="U79">
        <f t="shared" si="14"/>
        <v>0</v>
      </c>
    </row>
    <row r="80" spans="1:21" x14ac:dyDescent="0.3">
      <c r="A80" s="4">
        <v>78</v>
      </c>
      <c r="B80" s="4">
        <v>-96590390547</v>
      </c>
      <c r="C80" s="5">
        <v>2</v>
      </c>
      <c r="D80" s="5">
        <v>-4.7479999999999996E-3</v>
      </c>
      <c r="E80" s="5">
        <v>1.2203E-2</v>
      </c>
      <c r="F80" s="5">
        <v>0.99809999999999999</v>
      </c>
      <c r="G80" s="5">
        <v>0</v>
      </c>
      <c r="H80" s="5">
        <v>0</v>
      </c>
      <c r="I80" s="5">
        <v>0</v>
      </c>
      <c r="J80" s="5">
        <v>0</v>
      </c>
      <c r="L80">
        <f t="shared" si="9"/>
        <v>78</v>
      </c>
      <c r="M80">
        <f>'Real Analysis'!$B$3+B80/1000000</f>
        <v>1.609452999997302</v>
      </c>
      <c r="N80">
        <f t="shared" si="10"/>
        <v>2</v>
      </c>
      <c r="O80">
        <f>IF(ABS(D80)&gt;1,D80/1000000,D80)*'Real Analysis'!$B$4</f>
        <v>-4.6577880000000002E-2</v>
      </c>
      <c r="P80">
        <f>IF(ABS(E80)&gt;1,E80/1000000,E80)*'Real Analysis'!$B$4</f>
        <v>0.11971143000000001</v>
      </c>
      <c r="Q80">
        <f>IF(ABS(F80)&gt;1,F80/1000000,F80)*'Real Analysis'!$B$4</f>
        <v>9.7913610000000002</v>
      </c>
      <c r="R80">
        <f t="shared" si="11"/>
        <v>0</v>
      </c>
      <c r="S80">
        <f t="shared" si="12"/>
        <v>0</v>
      </c>
      <c r="T80">
        <f t="shared" si="13"/>
        <v>0</v>
      </c>
      <c r="U80">
        <f t="shared" si="14"/>
        <v>0</v>
      </c>
    </row>
    <row r="81" spans="1:21" x14ac:dyDescent="0.3">
      <c r="A81" s="4">
        <v>79</v>
      </c>
      <c r="B81" s="4">
        <v>-96590370665</v>
      </c>
      <c r="C81" s="5">
        <v>2</v>
      </c>
      <c r="D81" s="5">
        <v>2.2290000000000001E-3</v>
      </c>
      <c r="E81" s="5">
        <v>1.2258E-2</v>
      </c>
      <c r="F81" s="5">
        <v>0.99632399999999999</v>
      </c>
      <c r="G81" s="5">
        <v>0</v>
      </c>
      <c r="H81" s="5">
        <v>0</v>
      </c>
      <c r="I81" s="5">
        <v>0</v>
      </c>
      <c r="J81" s="5">
        <v>0</v>
      </c>
      <c r="L81">
        <f t="shared" si="9"/>
        <v>79</v>
      </c>
      <c r="M81">
        <f>'Real Analysis'!$B$3+B81/1000000</f>
        <v>1.629335000005085</v>
      </c>
      <c r="N81">
        <f t="shared" si="10"/>
        <v>2</v>
      </c>
      <c r="O81">
        <f>IF(ABS(D81)&gt;1,D81/1000000,D81)*'Real Analysis'!$B$4</f>
        <v>2.1866490000000002E-2</v>
      </c>
      <c r="P81">
        <f>IF(ABS(E81)&gt;1,E81/1000000,E81)*'Real Analysis'!$B$4</f>
        <v>0.12025098000000001</v>
      </c>
      <c r="Q81">
        <f>IF(ABS(F81)&gt;1,F81/1000000,F81)*'Real Analysis'!$B$4</f>
        <v>9.7739384400000002</v>
      </c>
      <c r="R81">
        <f t="shared" si="11"/>
        <v>0</v>
      </c>
      <c r="S81">
        <f t="shared" si="12"/>
        <v>0</v>
      </c>
      <c r="T81">
        <f t="shared" si="13"/>
        <v>0</v>
      </c>
      <c r="U81">
        <f t="shared" si="14"/>
        <v>0</v>
      </c>
    </row>
    <row r="82" spans="1:21" x14ac:dyDescent="0.3">
      <c r="A82" s="4">
        <v>80</v>
      </c>
      <c r="B82" s="4">
        <v>-96590355429</v>
      </c>
      <c r="C82" s="5">
        <v>2</v>
      </c>
      <c r="D82" s="5">
        <v>2.3389999999999999E-3</v>
      </c>
      <c r="E82" s="5">
        <v>1.2181000000000001E-2</v>
      </c>
      <c r="F82" s="5">
        <v>0.99604000000000004</v>
      </c>
      <c r="G82" s="5">
        <v>0</v>
      </c>
      <c r="H82" s="5">
        <v>0</v>
      </c>
      <c r="I82" s="5">
        <v>0</v>
      </c>
      <c r="J82" s="5">
        <v>0</v>
      </c>
      <c r="L82">
        <f t="shared" si="9"/>
        <v>80</v>
      </c>
      <c r="M82">
        <f>'Real Analysis'!$B$3+B82/1000000</f>
        <v>1.6445709999970859</v>
      </c>
      <c r="N82">
        <f t="shared" si="10"/>
        <v>2</v>
      </c>
      <c r="O82">
        <f>IF(ABS(D82)&gt;1,D82/1000000,D82)*'Real Analysis'!$B$4</f>
        <v>2.2945590000000002E-2</v>
      </c>
      <c r="P82">
        <f>IF(ABS(E82)&gt;1,E82/1000000,E82)*'Real Analysis'!$B$4</f>
        <v>0.11949561000000002</v>
      </c>
      <c r="Q82">
        <f>IF(ABS(F82)&gt;1,F82/1000000,F82)*'Real Analysis'!$B$4</f>
        <v>9.7711524000000001</v>
      </c>
      <c r="R82">
        <f t="shared" si="11"/>
        <v>0</v>
      </c>
      <c r="S82">
        <f t="shared" si="12"/>
        <v>0</v>
      </c>
      <c r="T82">
        <f t="shared" si="13"/>
        <v>0</v>
      </c>
      <c r="U82">
        <f t="shared" si="14"/>
        <v>0</v>
      </c>
    </row>
    <row r="83" spans="1:21" x14ac:dyDescent="0.3">
      <c r="A83" s="4">
        <v>81</v>
      </c>
      <c r="B83" s="4">
        <v>-96590329822</v>
      </c>
      <c r="C83" s="5">
        <v>2</v>
      </c>
      <c r="D83" s="5">
        <v>2.8159999999999999E-3</v>
      </c>
      <c r="E83" s="5">
        <v>1.2351000000000001E-2</v>
      </c>
      <c r="F83" s="5">
        <v>1005809</v>
      </c>
      <c r="G83" s="5">
        <v>0</v>
      </c>
      <c r="H83" s="5">
        <v>0</v>
      </c>
      <c r="I83" s="5">
        <v>0</v>
      </c>
      <c r="J83" s="5">
        <v>0</v>
      </c>
      <c r="L83">
        <f t="shared" si="9"/>
        <v>81</v>
      </c>
      <c r="M83">
        <f>'Real Analysis'!$B$3+B83/1000000</f>
        <v>1.6701780000003055</v>
      </c>
      <c r="N83">
        <f t="shared" si="10"/>
        <v>2</v>
      </c>
      <c r="O83">
        <f>IF(ABS(D83)&gt;1,D83/1000000,D83)*'Real Analysis'!$B$4</f>
        <v>2.762496E-2</v>
      </c>
      <c r="P83">
        <f>IF(ABS(E83)&gt;1,E83/1000000,E83)*'Real Analysis'!$B$4</f>
        <v>0.12116331000000001</v>
      </c>
      <c r="Q83">
        <f>IF(ABS(F83)&gt;1,F83/1000000,F83)*'Real Analysis'!$B$4</f>
        <v>9.8669862899999998</v>
      </c>
      <c r="R83">
        <f t="shared" si="11"/>
        <v>0</v>
      </c>
      <c r="S83">
        <f t="shared" si="12"/>
        <v>0</v>
      </c>
      <c r="T83">
        <f t="shared" si="13"/>
        <v>0</v>
      </c>
      <c r="U83">
        <f t="shared" si="14"/>
        <v>0</v>
      </c>
    </row>
    <row r="84" spans="1:21" x14ac:dyDescent="0.3">
      <c r="A84" s="4">
        <v>82</v>
      </c>
      <c r="B84" s="4">
        <v>-96590309735</v>
      </c>
      <c r="C84" s="5">
        <v>2</v>
      </c>
      <c r="D84" s="5">
        <v>-3.7500000000000001E-4</v>
      </c>
      <c r="E84" s="5">
        <v>1.2315E-2</v>
      </c>
      <c r="F84" s="5">
        <v>1004328</v>
      </c>
      <c r="G84" s="5">
        <v>0</v>
      </c>
      <c r="H84" s="5">
        <v>0</v>
      </c>
      <c r="I84" s="5">
        <v>0</v>
      </c>
      <c r="J84" s="5">
        <v>0</v>
      </c>
      <c r="L84">
        <f t="shared" si="9"/>
        <v>82</v>
      </c>
      <c r="M84">
        <f>'Real Analysis'!$B$3+B84/1000000</f>
        <v>1.6902649999974528</v>
      </c>
      <c r="N84">
        <f t="shared" si="10"/>
        <v>2</v>
      </c>
      <c r="O84">
        <f>IF(ABS(D84)&gt;1,D84/1000000,D84)*'Real Analysis'!$B$4</f>
        <v>-3.6787500000000002E-3</v>
      </c>
      <c r="P84">
        <f>IF(ABS(E84)&gt;1,E84/1000000,E84)*'Real Analysis'!$B$4</f>
        <v>0.12081015000000001</v>
      </c>
      <c r="Q84">
        <f>IF(ABS(F84)&gt;1,F84/1000000,F84)*'Real Analysis'!$B$4</f>
        <v>9.8524576800000023</v>
      </c>
      <c r="R84">
        <f t="shared" si="11"/>
        <v>0</v>
      </c>
      <c r="S84">
        <f t="shared" si="12"/>
        <v>0</v>
      </c>
      <c r="T84">
        <f t="shared" si="13"/>
        <v>0</v>
      </c>
      <c r="U84">
        <f t="shared" si="14"/>
        <v>0</v>
      </c>
    </row>
    <row r="85" spans="1:21" x14ac:dyDescent="0.3">
      <c r="A85" s="4">
        <v>83</v>
      </c>
      <c r="B85" s="4">
        <v>-96590288844</v>
      </c>
      <c r="C85" s="5">
        <v>2</v>
      </c>
      <c r="D85" s="5">
        <v>-5.476E-3</v>
      </c>
      <c r="E85" s="5">
        <v>1.2295E-2</v>
      </c>
      <c r="F85" s="5">
        <v>1004411</v>
      </c>
      <c r="G85" s="5">
        <v>0</v>
      </c>
      <c r="H85" s="5">
        <v>0</v>
      </c>
      <c r="I85" s="5">
        <v>0</v>
      </c>
      <c r="J85" s="5">
        <v>0</v>
      </c>
      <c r="L85">
        <f t="shared" si="9"/>
        <v>83</v>
      </c>
      <c r="M85">
        <f>'Real Analysis'!$B$3+B85/1000000</f>
        <v>1.7111560000048485</v>
      </c>
      <c r="N85">
        <f t="shared" si="10"/>
        <v>2</v>
      </c>
      <c r="O85">
        <f>IF(ABS(D85)&gt;1,D85/1000000,D85)*'Real Analysis'!$B$4</f>
        <v>-5.371956E-2</v>
      </c>
      <c r="P85">
        <f>IF(ABS(E85)&gt;1,E85/1000000,E85)*'Real Analysis'!$B$4</f>
        <v>0.12061395000000001</v>
      </c>
      <c r="Q85">
        <f>IF(ABS(F85)&gt;1,F85/1000000,F85)*'Real Analysis'!$B$4</f>
        <v>9.8532719100000001</v>
      </c>
      <c r="R85">
        <f t="shared" si="11"/>
        <v>0</v>
      </c>
      <c r="S85">
        <f t="shared" si="12"/>
        <v>0</v>
      </c>
      <c r="T85">
        <f t="shared" si="13"/>
        <v>0</v>
      </c>
      <c r="U85">
        <f t="shared" si="14"/>
        <v>0</v>
      </c>
    </row>
    <row r="86" spans="1:21" x14ac:dyDescent="0.3">
      <c r="A86" s="4">
        <v>84</v>
      </c>
      <c r="B86" s="4">
        <v>-96590273173</v>
      </c>
      <c r="C86" s="5">
        <v>2</v>
      </c>
      <c r="D86" s="5">
        <v>-4.5719999999999997E-3</v>
      </c>
      <c r="E86" s="5">
        <v>1.2304000000000001E-2</v>
      </c>
      <c r="F86" s="5">
        <v>1004500</v>
      </c>
      <c r="G86" s="5">
        <v>0</v>
      </c>
      <c r="H86" s="5">
        <v>0</v>
      </c>
      <c r="I86" s="5">
        <v>0</v>
      </c>
      <c r="J86" s="5">
        <v>0</v>
      </c>
      <c r="L86">
        <f t="shared" si="9"/>
        <v>84</v>
      </c>
      <c r="M86">
        <f>'Real Analysis'!$B$3+B86/1000000</f>
        <v>1.7268270000058692</v>
      </c>
      <c r="N86">
        <f t="shared" si="10"/>
        <v>2</v>
      </c>
      <c r="O86">
        <f>IF(ABS(D86)&gt;1,D86/1000000,D86)*'Real Analysis'!$B$4</f>
        <v>-4.485132E-2</v>
      </c>
      <c r="P86">
        <f>IF(ABS(E86)&gt;1,E86/1000000,E86)*'Real Analysis'!$B$4</f>
        <v>0.12070224000000002</v>
      </c>
      <c r="Q86">
        <f>IF(ABS(F86)&gt;1,F86/1000000,F86)*'Real Analysis'!$B$4</f>
        <v>9.8541450000000008</v>
      </c>
      <c r="R86">
        <f t="shared" si="11"/>
        <v>0</v>
      </c>
      <c r="S86">
        <f t="shared" si="12"/>
        <v>0</v>
      </c>
      <c r="T86">
        <f t="shared" si="13"/>
        <v>0</v>
      </c>
      <c r="U86">
        <f t="shared" si="14"/>
        <v>0</v>
      </c>
    </row>
    <row r="87" spans="1:21" x14ac:dyDescent="0.3">
      <c r="A87" s="4">
        <v>85</v>
      </c>
      <c r="B87" s="4">
        <v>-96590248399</v>
      </c>
      <c r="C87" s="5">
        <v>2</v>
      </c>
      <c r="D87" s="5">
        <v>-4.725E-3</v>
      </c>
      <c r="E87" s="5">
        <v>1.2324999999999999E-2</v>
      </c>
      <c r="F87" s="5">
        <v>1004457</v>
      </c>
      <c r="G87" s="5">
        <v>0</v>
      </c>
      <c r="H87" s="5">
        <v>0</v>
      </c>
      <c r="I87" s="5">
        <v>0</v>
      </c>
      <c r="J87" s="5">
        <v>0</v>
      </c>
      <c r="L87">
        <f t="shared" si="9"/>
        <v>85</v>
      </c>
      <c r="M87">
        <f>'Real Analysis'!$B$3+B87/1000000</f>
        <v>1.7516009999962989</v>
      </c>
      <c r="N87">
        <f t="shared" si="10"/>
        <v>2</v>
      </c>
      <c r="O87">
        <f>IF(ABS(D87)&gt;1,D87/1000000,D87)*'Real Analysis'!$B$4</f>
        <v>-4.6352250000000005E-2</v>
      </c>
      <c r="P87">
        <f>IF(ABS(E87)&gt;1,E87/1000000,E87)*'Real Analysis'!$B$4</f>
        <v>0.12090824999999999</v>
      </c>
      <c r="Q87">
        <f>IF(ABS(F87)&gt;1,F87/1000000,F87)*'Real Analysis'!$B$4</f>
        <v>9.8537231700000003</v>
      </c>
      <c r="R87">
        <f t="shared" si="11"/>
        <v>0</v>
      </c>
      <c r="S87">
        <f t="shared" si="12"/>
        <v>0</v>
      </c>
      <c r="T87">
        <f t="shared" si="13"/>
        <v>0</v>
      </c>
      <c r="U87">
        <f t="shared" si="14"/>
        <v>0</v>
      </c>
    </row>
    <row r="88" spans="1:21" x14ac:dyDescent="0.3">
      <c r="A88" s="4">
        <v>86</v>
      </c>
      <c r="B88" s="4">
        <v>-96590234774</v>
      </c>
      <c r="C88" s="5">
        <v>2</v>
      </c>
      <c r="D88" s="5">
        <v>-4.9820000000000003E-3</v>
      </c>
      <c r="E88" s="5">
        <v>1.2383E-2</v>
      </c>
      <c r="F88" s="5">
        <v>1004421</v>
      </c>
      <c r="G88" s="5">
        <v>0</v>
      </c>
      <c r="H88" s="5">
        <v>0</v>
      </c>
      <c r="I88" s="5">
        <v>0</v>
      </c>
      <c r="J88" s="5">
        <v>0</v>
      </c>
      <c r="L88">
        <f t="shared" si="9"/>
        <v>86</v>
      </c>
      <c r="M88">
        <f>'Real Analysis'!$B$3+B88/1000000</f>
        <v>1.7652260000031674</v>
      </c>
      <c r="N88">
        <f t="shared" si="10"/>
        <v>2</v>
      </c>
      <c r="O88">
        <f>IF(ABS(D88)&gt;1,D88/1000000,D88)*'Real Analysis'!$B$4</f>
        <v>-4.8873420000000008E-2</v>
      </c>
      <c r="P88">
        <f>IF(ABS(E88)&gt;1,E88/1000000,E88)*'Real Analysis'!$B$4</f>
        <v>0.12147723000000001</v>
      </c>
      <c r="Q88">
        <f>IF(ABS(F88)&gt;1,F88/1000000,F88)*'Real Analysis'!$B$4</f>
        <v>9.8533700100000008</v>
      </c>
      <c r="R88">
        <f t="shared" si="11"/>
        <v>0</v>
      </c>
      <c r="S88">
        <f t="shared" si="12"/>
        <v>0</v>
      </c>
      <c r="T88">
        <f t="shared" si="13"/>
        <v>0</v>
      </c>
      <c r="U88">
        <f t="shared" si="14"/>
        <v>0</v>
      </c>
    </row>
    <row r="89" spans="1:21" x14ac:dyDescent="0.3">
      <c r="A89" s="4">
        <v>87</v>
      </c>
      <c r="B89" s="4">
        <v>-96590214279</v>
      </c>
      <c r="C89" s="5">
        <v>2</v>
      </c>
      <c r="D89" s="5">
        <v>-5.0229999999999997E-3</v>
      </c>
      <c r="E89" s="5">
        <v>1.2348E-2</v>
      </c>
      <c r="F89" s="5">
        <v>1004443</v>
      </c>
      <c r="G89" s="5">
        <v>0</v>
      </c>
      <c r="H89" s="5">
        <v>0</v>
      </c>
      <c r="I89" s="5">
        <v>0</v>
      </c>
      <c r="J89" s="5">
        <v>0</v>
      </c>
      <c r="L89">
        <f t="shared" si="9"/>
        <v>87</v>
      </c>
      <c r="M89">
        <f>'Real Analysis'!$B$3+B89/1000000</f>
        <v>1.7857209999929182</v>
      </c>
      <c r="N89">
        <f t="shared" si="10"/>
        <v>2</v>
      </c>
      <c r="O89">
        <f>IF(ABS(D89)&gt;1,D89/1000000,D89)*'Real Analysis'!$B$4</f>
        <v>-4.9275630000000001E-2</v>
      </c>
      <c r="P89">
        <f>IF(ABS(E89)&gt;1,E89/1000000,E89)*'Real Analysis'!$B$4</f>
        <v>0.12113388</v>
      </c>
      <c r="Q89">
        <f>IF(ABS(F89)&gt;1,F89/1000000,F89)*'Real Analysis'!$B$4</f>
        <v>9.8535858300000001</v>
      </c>
      <c r="R89">
        <f t="shared" si="11"/>
        <v>0</v>
      </c>
      <c r="S89">
        <f t="shared" si="12"/>
        <v>0</v>
      </c>
      <c r="T89">
        <f t="shared" si="13"/>
        <v>0</v>
      </c>
      <c r="U89">
        <f t="shared" si="14"/>
        <v>0</v>
      </c>
    </row>
    <row r="90" spans="1:21" x14ac:dyDescent="0.3">
      <c r="A90" s="4">
        <v>88</v>
      </c>
      <c r="B90" s="4">
        <v>-96590189154</v>
      </c>
      <c r="C90" s="5">
        <v>2</v>
      </c>
      <c r="D90" s="5">
        <v>-4.986E-3</v>
      </c>
      <c r="E90" s="5">
        <v>1.2229E-2</v>
      </c>
      <c r="F90" s="5">
        <v>1004439</v>
      </c>
      <c r="G90" s="5">
        <v>0</v>
      </c>
      <c r="H90" s="5">
        <v>0</v>
      </c>
      <c r="I90" s="5">
        <v>0</v>
      </c>
      <c r="J90" s="5">
        <v>0</v>
      </c>
      <c r="L90">
        <f t="shared" si="9"/>
        <v>88</v>
      </c>
      <c r="M90">
        <f>'Real Analysis'!$B$3+B90/1000000</f>
        <v>1.8108459999930346</v>
      </c>
      <c r="N90">
        <f t="shared" si="10"/>
        <v>2</v>
      </c>
      <c r="O90">
        <f>IF(ABS(D90)&gt;1,D90/1000000,D90)*'Real Analysis'!$B$4</f>
        <v>-4.8912660000000004E-2</v>
      </c>
      <c r="P90">
        <f>IF(ABS(E90)&gt;1,E90/1000000,E90)*'Real Analysis'!$B$4</f>
        <v>0.11996649000000001</v>
      </c>
      <c r="Q90">
        <f>IF(ABS(F90)&gt;1,F90/1000000,F90)*'Real Analysis'!$B$4</f>
        <v>9.8535465900000005</v>
      </c>
      <c r="R90">
        <f t="shared" si="11"/>
        <v>0</v>
      </c>
      <c r="S90">
        <f t="shared" si="12"/>
        <v>0</v>
      </c>
      <c r="T90">
        <f t="shared" si="13"/>
        <v>0</v>
      </c>
      <c r="U90">
        <f t="shared" si="14"/>
        <v>0</v>
      </c>
    </row>
    <row r="91" spans="1:21" x14ac:dyDescent="0.3">
      <c r="A91" s="4">
        <v>89</v>
      </c>
      <c r="B91" s="4">
        <v>-96590174073</v>
      </c>
      <c r="C91" s="5">
        <v>2</v>
      </c>
      <c r="D91" s="5">
        <v>-4.9649999999999998E-3</v>
      </c>
      <c r="E91" s="5">
        <v>5.4999999999999997E-3</v>
      </c>
      <c r="F91" s="5">
        <v>1004450</v>
      </c>
      <c r="G91" s="5">
        <v>0</v>
      </c>
      <c r="H91" s="5">
        <v>0</v>
      </c>
      <c r="I91" s="5">
        <v>0</v>
      </c>
      <c r="J91" s="5">
        <v>0</v>
      </c>
      <c r="L91">
        <f t="shared" si="9"/>
        <v>89</v>
      </c>
      <c r="M91">
        <f>'Real Analysis'!$B$3+B91/1000000</f>
        <v>1.8259269999980461</v>
      </c>
      <c r="N91">
        <f t="shared" si="10"/>
        <v>2</v>
      </c>
      <c r="O91">
        <f>IF(ABS(D91)&gt;1,D91/1000000,D91)*'Real Analysis'!$B$4</f>
        <v>-4.8706649999999997E-2</v>
      </c>
      <c r="P91">
        <f>IF(ABS(E91)&gt;1,E91/1000000,E91)*'Real Analysis'!$B$4</f>
        <v>5.3955000000000003E-2</v>
      </c>
      <c r="Q91">
        <f>IF(ABS(F91)&gt;1,F91/1000000,F91)*'Real Analysis'!$B$4</f>
        <v>9.8536545000000011</v>
      </c>
      <c r="R91">
        <f t="shared" si="11"/>
        <v>0</v>
      </c>
      <c r="S91">
        <f t="shared" si="12"/>
        <v>0</v>
      </c>
      <c r="T91">
        <f t="shared" si="13"/>
        <v>0</v>
      </c>
      <c r="U91">
        <f t="shared" si="14"/>
        <v>0</v>
      </c>
    </row>
    <row r="92" spans="1:21" x14ac:dyDescent="0.3">
      <c r="A92" s="4">
        <v>90</v>
      </c>
      <c r="B92" s="4">
        <v>-96590148343</v>
      </c>
      <c r="C92" s="5">
        <v>2</v>
      </c>
      <c r="D92" s="5">
        <v>-4.8260000000000004E-3</v>
      </c>
      <c r="E92" s="5">
        <v>4.5129999999999997E-3</v>
      </c>
      <c r="F92" s="5">
        <v>1000967</v>
      </c>
      <c r="G92" s="5">
        <v>0</v>
      </c>
      <c r="H92" s="5">
        <v>0</v>
      </c>
      <c r="I92" s="5">
        <v>0</v>
      </c>
      <c r="J92" s="5">
        <v>0</v>
      </c>
      <c r="L92">
        <f t="shared" si="9"/>
        <v>90</v>
      </c>
      <c r="M92">
        <f>'Real Analysis'!$B$3+B92/1000000</f>
        <v>1.8516570000065258</v>
      </c>
      <c r="N92">
        <f t="shared" si="10"/>
        <v>2</v>
      </c>
      <c r="O92">
        <f>IF(ABS(D92)&gt;1,D92/1000000,D92)*'Real Analysis'!$B$4</f>
        <v>-4.7343060000000006E-2</v>
      </c>
      <c r="P92">
        <f>IF(ABS(E92)&gt;1,E92/1000000,E92)*'Real Analysis'!$B$4</f>
        <v>4.4272529999999997E-2</v>
      </c>
      <c r="Q92">
        <f>IF(ABS(F92)&gt;1,F92/1000000,F92)*'Real Analysis'!$B$4</f>
        <v>9.8194862700000005</v>
      </c>
      <c r="R92">
        <f t="shared" si="11"/>
        <v>0</v>
      </c>
      <c r="S92">
        <f t="shared" si="12"/>
        <v>0</v>
      </c>
      <c r="T92">
        <f t="shared" si="13"/>
        <v>0</v>
      </c>
      <c r="U92">
        <f t="shared" si="14"/>
        <v>0</v>
      </c>
    </row>
    <row r="93" spans="1:21" x14ac:dyDescent="0.3">
      <c r="A93" s="4">
        <v>91</v>
      </c>
      <c r="B93" s="4">
        <v>-96590133449</v>
      </c>
      <c r="C93" s="5">
        <v>2</v>
      </c>
      <c r="D93" s="5">
        <v>-4.8430000000000001E-3</v>
      </c>
      <c r="E93" s="5">
        <v>4.2880000000000001E-3</v>
      </c>
      <c r="F93" s="5">
        <v>1002198</v>
      </c>
      <c r="G93" s="5">
        <v>0</v>
      </c>
      <c r="H93" s="5">
        <v>0</v>
      </c>
      <c r="I93" s="5">
        <v>0</v>
      </c>
      <c r="J93" s="5">
        <v>0</v>
      </c>
      <c r="L93">
        <f t="shared" si="9"/>
        <v>91</v>
      </c>
      <c r="M93">
        <f>'Real Analysis'!$B$3+B93/1000000</f>
        <v>1.8665509999991627</v>
      </c>
      <c r="N93">
        <f t="shared" si="10"/>
        <v>2</v>
      </c>
      <c r="O93">
        <f>IF(ABS(D93)&gt;1,D93/1000000,D93)*'Real Analysis'!$B$4</f>
        <v>-4.7509830000000003E-2</v>
      </c>
      <c r="P93">
        <f>IF(ABS(E93)&gt;1,E93/1000000,E93)*'Real Analysis'!$B$4</f>
        <v>4.2065280000000004E-2</v>
      </c>
      <c r="Q93">
        <f>IF(ABS(F93)&gt;1,F93/1000000,F93)*'Real Analysis'!$B$4</f>
        <v>9.8315623799999994</v>
      </c>
      <c r="R93">
        <f t="shared" si="11"/>
        <v>0</v>
      </c>
      <c r="S93">
        <f t="shared" si="12"/>
        <v>0</v>
      </c>
      <c r="T93">
        <f t="shared" si="13"/>
        <v>0</v>
      </c>
      <c r="U93">
        <f t="shared" si="14"/>
        <v>0</v>
      </c>
    </row>
    <row r="94" spans="1:21" x14ac:dyDescent="0.3">
      <c r="A94" s="4">
        <v>92</v>
      </c>
      <c r="B94" s="4">
        <v>-96590108312</v>
      </c>
      <c r="C94" s="5">
        <v>2</v>
      </c>
      <c r="D94" s="5">
        <v>-5.0899999999999999E-3</v>
      </c>
      <c r="E94" s="5">
        <v>7.7759999999999999E-3</v>
      </c>
      <c r="F94" s="5">
        <v>1003807</v>
      </c>
      <c r="G94" s="5">
        <v>0</v>
      </c>
      <c r="H94" s="5">
        <v>0</v>
      </c>
      <c r="I94" s="5">
        <v>0</v>
      </c>
      <c r="J94" s="5">
        <v>0</v>
      </c>
      <c r="L94">
        <f t="shared" si="9"/>
        <v>92</v>
      </c>
      <c r="M94">
        <f>'Real Analysis'!$B$3+B94/1000000</f>
        <v>1.8916880000033416</v>
      </c>
      <c r="N94">
        <f t="shared" si="10"/>
        <v>2</v>
      </c>
      <c r="O94">
        <f>IF(ABS(D94)&gt;1,D94/1000000,D94)*'Real Analysis'!$B$4</f>
        <v>-4.9932900000000002E-2</v>
      </c>
      <c r="P94">
        <f>IF(ABS(E94)&gt;1,E94/1000000,E94)*'Real Analysis'!$B$4</f>
        <v>7.6282559999999999E-2</v>
      </c>
      <c r="Q94">
        <f>IF(ABS(F94)&gt;1,F94/1000000,F94)*'Real Analysis'!$B$4</f>
        <v>9.8473466700000003</v>
      </c>
      <c r="R94">
        <f t="shared" si="11"/>
        <v>0</v>
      </c>
      <c r="S94">
        <f t="shared" si="12"/>
        <v>0</v>
      </c>
      <c r="T94">
        <f t="shared" si="13"/>
        <v>0</v>
      </c>
      <c r="U94">
        <f t="shared" si="14"/>
        <v>0</v>
      </c>
    </row>
    <row r="95" spans="1:21" x14ac:dyDescent="0.3">
      <c r="A95" s="4">
        <v>93</v>
      </c>
      <c r="B95" s="4">
        <v>-96590099029</v>
      </c>
      <c r="C95" s="5">
        <v>2</v>
      </c>
      <c r="D95" s="5">
        <v>-5.0959999999999998E-3</v>
      </c>
      <c r="E95" s="5">
        <v>1.2952E-2</v>
      </c>
      <c r="F95" s="5">
        <v>1005057</v>
      </c>
      <c r="G95" s="5">
        <v>0</v>
      </c>
      <c r="H95" s="5">
        <v>0</v>
      </c>
      <c r="I95" s="5">
        <v>0</v>
      </c>
      <c r="J95" s="5">
        <v>0</v>
      </c>
      <c r="L95">
        <f t="shared" si="9"/>
        <v>93</v>
      </c>
      <c r="M95">
        <f>'Real Analysis'!$B$3+B95/1000000</f>
        <v>1.9009709999954794</v>
      </c>
      <c r="N95">
        <f t="shared" si="10"/>
        <v>2</v>
      </c>
      <c r="O95">
        <f>IF(ABS(D95)&gt;1,D95/1000000,D95)*'Real Analysis'!$B$4</f>
        <v>-4.9991760000000003E-2</v>
      </c>
      <c r="P95">
        <f>IF(ABS(E95)&gt;1,E95/1000000,E95)*'Real Analysis'!$B$4</f>
        <v>0.12705912</v>
      </c>
      <c r="Q95">
        <f>IF(ABS(F95)&gt;1,F95/1000000,F95)*'Real Analysis'!$B$4</f>
        <v>9.8596091700000006</v>
      </c>
      <c r="R95">
        <f t="shared" si="11"/>
        <v>0</v>
      </c>
      <c r="S95">
        <f t="shared" si="12"/>
        <v>0</v>
      </c>
      <c r="T95">
        <f t="shared" si="13"/>
        <v>0</v>
      </c>
      <c r="U95">
        <f t="shared" si="14"/>
        <v>0</v>
      </c>
    </row>
    <row r="96" spans="1:21" x14ac:dyDescent="0.3">
      <c r="A96" s="4">
        <v>94</v>
      </c>
      <c r="B96" s="4">
        <v>-96590067408</v>
      </c>
      <c r="C96" s="5">
        <v>2</v>
      </c>
      <c r="D96" s="5">
        <v>-9.9959999999999997E-3</v>
      </c>
      <c r="E96" s="5">
        <v>1.2824E-2</v>
      </c>
      <c r="F96" s="5">
        <v>1004252</v>
      </c>
      <c r="G96" s="5">
        <v>0</v>
      </c>
      <c r="H96" s="5">
        <v>0</v>
      </c>
      <c r="I96" s="5">
        <v>0</v>
      </c>
      <c r="J96" s="5">
        <v>0</v>
      </c>
      <c r="L96">
        <f t="shared" si="9"/>
        <v>94</v>
      </c>
      <c r="M96">
        <f>'Real Analysis'!$B$3+B96/1000000</f>
        <v>1.9325919999973848</v>
      </c>
      <c r="N96">
        <f t="shared" si="10"/>
        <v>2</v>
      </c>
      <c r="O96">
        <f>IF(ABS(D96)&gt;1,D96/1000000,D96)*'Real Analysis'!$B$4</f>
        <v>-9.8060759999999997E-2</v>
      </c>
      <c r="P96">
        <f>IF(ABS(E96)&gt;1,E96/1000000,E96)*'Real Analysis'!$B$4</f>
        <v>0.12580344000000002</v>
      </c>
      <c r="Q96">
        <f>IF(ABS(F96)&gt;1,F96/1000000,F96)*'Real Analysis'!$B$4</f>
        <v>9.8517121200000002</v>
      </c>
      <c r="R96">
        <f t="shared" si="11"/>
        <v>0</v>
      </c>
      <c r="S96">
        <f t="shared" si="12"/>
        <v>0</v>
      </c>
      <c r="T96">
        <f t="shared" si="13"/>
        <v>0</v>
      </c>
      <c r="U96">
        <f t="shared" si="14"/>
        <v>0</v>
      </c>
    </row>
    <row r="97" spans="1:21" x14ac:dyDescent="0.3">
      <c r="A97" s="4">
        <v>95</v>
      </c>
      <c r="B97" s="4">
        <v>-96590048328</v>
      </c>
      <c r="C97" s="5">
        <v>2</v>
      </c>
      <c r="D97" s="5">
        <v>-4.2500000000000003E-3</v>
      </c>
      <c r="E97" s="5">
        <v>1.2092E-2</v>
      </c>
      <c r="F97" s="5">
        <v>1004503</v>
      </c>
      <c r="G97" s="5">
        <v>0</v>
      </c>
      <c r="H97" s="5">
        <v>0</v>
      </c>
      <c r="I97" s="5">
        <v>0</v>
      </c>
      <c r="J97" s="5">
        <v>0</v>
      </c>
      <c r="L97">
        <f t="shared" si="9"/>
        <v>95</v>
      </c>
      <c r="M97">
        <f>'Real Analysis'!$B$3+B97/1000000</f>
        <v>1.9516719999955967</v>
      </c>
      <c r="N97">
        <f t="shared" si="10"/>
        <v>2</v>
      </c>
      <c r="O97">
        <f>IF(ABS(D97)&gt;1,D97/1000000,D97)*'Real Analysis'!$B$4</f>
        <v>-4.1692500000000007E-2</v>
      </c>
      <c r="P97">
        <f>IF(ABS(E97)&gt;1,E97/1000000,E97)*'Real Analysis'!$B$4</f>
        <v>0.11862252000000001</v>
      </c>
      <c r="Q97">
        <f>IF(ABS(F97)&gt;1,F97/1000000,F97)*'Real Analysis'!$B$4</f>
        <v>9.8541744300000005</v>
      </c>
      <c r="R97">
        <f t="shared" si="11"/>
        <v>0</v>
      </c>
      <c r="S97">
        <f t="shared" si="12"/>
        <v>0</v>
      </c>
      <c r="T97">
        <f t="shared" si="13"/>
        <v>0</v>
      </c>
      <c r="U97">
        <f t="shared" si="14"/>
        <v>0</v>
      </c>
    </row>
    <row r="98" spans="1:21" x14ac:dyDescent="0.3">
      <c r="A98" s="4">
        <v>96</v>
      </c>
      <c r="B98" s="4">
        <v>-96590037595</v>
      </c>
      <c r="C98" s="5">
        <v>2</v>
      </c>
      <c r="D98" s="5">
        <v>-5.6569999999999997E-3</v>
      </c>
      <c r="E98" s="5">
        <v>1.2286E-2</v>
      </c>
      <c r="F98" s="5">
        <v>1004426</v>
      </c>
      <c r="G98" s="5">
        <v>0</v>
      </c>
      <c r="H98" s="5">
        <v>0</v>
      </c>
      <c r="I98" s="5">
        <v>0</v>
      </c>
      <c r="J98" s="5">
        <v>0</v>
      </c>
      <c r="L98">
        <f t="shared" si="9"/>
        <v>96</v>
      </c>
      <c r="M98">
        <f>'Real Analysis'!$B$3+B98/1000000</f>
        <v>1.9624049999983981</v>
      </c>
      <c r="N98">
        <f t="shared" si="10"/>
        <v>2</v>
      </c>
      <c r="O98">
        <f>IF(ABS(D98)&gt;1,D98/1000000,D98)*'Real Analysis'!$B$4</f>
        <v>-5.5495169999999996E-2</v>
      </c>
      <c r="P98">
        <f>IF(ABS(E98)&gt;1,E98/1000000,E98)*'Real Analysis'!$B$4</f>
        <v>0.12052566000000001</v>
      </c>
      <c r="Q98">
        <f>IF(ABS(F98)&gt;1,F98/1000000,F98)*'Real Analysis'!$B$4</f>
        <v>9.8534190600000002</v>
      </c>
      <c r="R98">
        <f t="shared" si="11"/>
        <v>0</v>
      </c>
      <c r="S98">
        <f t="shared" si="12"/>
        <v>0</v>
      </c>
      <c r="T98">
        <f t="shared" si="13"/>
        <v>0</v>
      </c>
      <c r="U98">
        <f t="shared" si="14"/>
        <v>0</v>
      </c>
    </row>
    <row r="99" spans="1:21" x14ac:dyDescent="0.3">
      <c r="A99" s="4">
        <v>97</v>
      </c>
      <c r="B99" s="4">
        <v>-96590013192</v>
      </c>
      <c r="C99" s="5">
        <v>2</v>
      </c>
      <c r="D99" s="5">
        <v>-5.0470000000000003E-3</v>
      </c>
      <c r="E99" s="5">
        <v>1.2324999999999999E-2</v>
      </c>
      <c r="F99" s="5">
        <v>1004435</v>
      </c>
      <c r="G99" s="5">
        <v>0</v>
      </c>
      <c r="H99" s="5">
        <v>0</v>
      </c>
      <c r="I99" s="5">
        <v>0</v>
      </c>
      <c r="J99" s="5">
        <v>0</v>
      </c>
      <c r="L99">
        <f t="shared" si="9"/>
        <v>97</v>
      </c>
      <c r="M99">
        <f>'Real Analysis'!$B$3+B99/1000000</f>
        <v>1.9868080000014743</v>
      </c>
      <c r="N99">
        <f t="shared" si="10"/>
        <v>2</v>
      </c>
      <c r="O99">
        <f>IF(ABS(D99)&gt;1,D99/1000000,D99)*'Real Analysis'!$B$4</f>
        <v>-4.9511070000000004E-2</v>
      </c>
      <c r="P99">
        <f>IF(ABS(E99)&gt;1,E99/1000000,E99)*'Real Analysis'!$B$4</f>
        <v>0.12090824999999999</v>
      </c>
      <c r="Q99">
        <f>IF(ABS(F99)&gt;1,F99/1000000,F99)*'Real Analysis'!$B$4</f>
        <v>9.853507350000001</v>
      </c>
      <c r="R99">
        <f t="shared" si="11"/>
        <v>0</v>
      </c>
      <c r="S99">
        <f t="shared" si="12"/>
        <v>0</v>
      </c>
      <c r="T99">
        <f t="shared" si="13"/>
        <v>0</v>
      </c>
      <c r="U99">
        <f t="shared" si="14"/>
        <v>0</v>
      </c>
    </row>
    <row r="100" spans="1:21" x14ac:dyDescent="0.3">
      <c r="A100" s="4">
        <v>98</v>
      </c>
      <c r="B100" s="4">
        <v>-96589992975</v>
      </c>
      <c r="C100" s="5">
        <v>2</v>
      </c>
      <c r="D100" s="5">
        <v>-4.8840000000000003E-3</v>
      </c>
      <c r="E100" s="5">
        <v>1.2234E-2</v>
      </c>
      <c r="F100" s="5">
        <v>1004436</v>
      </c>
      <c r="G100" s="5">
        <v>0</v>
      </c>
      <c r="H100" s="5">
        <v>0</v>
      </c>
      <c r="I100" s="5">
        <v>0</v>
      </c>
      <c r="J100" s="5">
        <v>0</v>
      </c>
      <c r="L100">
        <f t="shared" si="9"/>
        <v>98</v>
      </c>
      <c r="M100">
        <f>'Real Analysis'!$B$3+B100/1000000</f>
        <v>2.0070249999989755</v>
      </c>
      <c r="N100">
        <f t="shared" si="10"/>
        <v>2</v>
      </c>
      <c r="O100">
        <f>IF(ABS(D100)&gt;1,D100/1000000,D100)*'Real Analysis'!$B$4</f>
        <v>-4.7912040000000003E-2</v>
      </c>
      <c r="P100">
        <f>IF(ABS(E100)&gt;1,E100/1000000,E100)*'Real Analysis'!$B$4</f>
        <v>0.12001554</v>
      </c>
      <c r="Q100">
        <f>IF(ABS(F100)&gt;1,F100/1000000,F100)*'Real Analysis'!$B$4</f>
        <v>9.8535171600000009</v>
      </c>
      <c r="R100">
        <f t="shared" si="11"/>
        <v>0</v>
      </c>
      <c r="S100">
        <f t="shared" si="12"/>
        <v>0</v>
      </c>
      <c r="T100">
        <f t="shared" si="13"/>
        <v>0</v>
      </c>
      <c r="U100">
        <f t="shared" si="14"/>
        <v>0</v>
      </c>
    </row>
    <row r="101" spans="1:21" x14ac:dyDescent="0.3">
      <c r="A101" s="4">
        <v>99</v>
      </c>
      <c r="B101" s="4">
        <v>-96589973045</v>
      </c>
      <c r="C101" s="5">
        <v>2</v>
      </c>
      <c r="D101" s="5">
        <v>-4.9459999999999999E-3</v>
      </c>
      <c r="E101" s="5">
        <v>1.2307E-2</v>
      </c>
      <c r="F101" s="5">
        <v>1004439</v>
      </c>
      <c r="G101" s="5">
        <v>0</v>
      </c>
      <c r="H101" s="5">
        <v>0</v>
      </c>
      <c r="I101" s="5">
        <v>0</v>
      </c>
      <c r="J101" s="5">
        <v>0</v>
      </c>
      <c r="L101">
        <f t="shared" si="9"/>
        <v>99</v>
      </c>
      <c r="M101">
        <f>'Real Analysis'!$B$3+B101/1000000</f>
        <v>2.0269549999939045</v>
      </c>
      <c r="N101">
        <f t="shared" si="10"/>
        <v>2</v>
      </c>
      <c r="O101">
        <f>IF(ABS(D101)&gt;1,D101/1000000,D101)*'Real Analysis'!$B$4</f>
        <v>-4.8520260000000003E-2</v>
      </c>
      <c r="P101">
        <f>IF(ABS(E101)&gt;1,E101/1000000,E101)*'Real Analysis'!$B$4</f>
        <v>0.12073167000000001</v>
      </c>
      <c r="Q101">
        <f>IF(ABS(F101)&gt;1,F101/1000000,F101)*'Real Analysis'!$B$4</f>
        <v>9.8535465900000005</v>
      </c>
      <c r="R101">
        <f t="shared" si="11"/>
        <v>0</v>
      </c>
      <c r="S101">
        <f t="shared" si="12"/>
        <v>0</v>
      </c>
      <c r="T101">
        <f t="shared" si="13"/>
        <v>0</v>
      </c>
      <c r="U101">
        <f t="shared" si="14"/>
        <v>0</v>
      </c>
    </row>
    <row r="102" spans="1:21" x14ac:dyDescent="0.3">
      <c r="A102" s="4">
        <v>100</v>
      </c>
      <c r="B102" s="4">
        <v>-96589948471</v>
      </c>
      <c r="C102" s="5">
        <v>2</v>
      </c>
      <c r="D102" s="5">
        <v>-4.9309999999999996E-3</v>
      </c>
      <c r="E102" s="5">
        <v>1.2296E-2</v>
      </c>
      <c r="F102" s="5">
        <v>1004437</v>
      </c>
      <c r="G102" s="5">
        <v>0</v>
      </c>
      <c r="H102" s="5">
        <v>0</v>
      </c>
      <c r="I102" s="5">
        <v>0</v>
      </c>
      <c r="J102" s="5">
        <v>0</v>
      </c>
      <c r="L102">
        <f t="shared" si="9"/>
        <v>100</v>
      </c>
      <c r="M102">
        <f>'Real Analysis'!$B$3+B102/1000000</f>
        <v>2.0515290000039386</v>
      </c>
      <c r="N102">
        <f t="shared" si="10"/>
        <v>2</v>
      </c>
      <c r="O102">
        <f>IF(ABS(D102)&gt;1,D102/1000000,D102)*'Real Analysis'!$B$4</f>
        <v>-4.8373109999999997E-2</v>
      </c>
      <c r="P102">
        <f>IF(ABS(E102)&gt;1,E102/1000000,E102)*'Real Analysis'!$B$4</f>
        <v>0.12062376</v>
      </c>
      <c r="Q102">
        <f>IF(ABS(F102)&gt;1,F102/1000000,F102)*'Real Analysis'!$B$4</f>
        <v>9.8535269700000008</v>
      </c>
      <c r="R102">
        <f t="shared" si="11"/>
        <v>0</v>
      </c>
      <c r="S102">
        <f t="shared" si="12"/>
        <v>0</v>
      </c>
      <c r="T102">
        <f t="shared" si="13"/>
        <v>0</v>
      </c>
      <c r="U102">
        <f t="shared" si="14"/>
        <v>0</v>
      </c>
    </row>
    <row r="103" spans="1:21" x14ac:dyDescent="0.3">
      <c r="A103" s="4">
        <v>101</v>
      </c>
      <c r="B103" s="4">
        <v>-96589932940</v>
      </c>
      <c r="C103" s="5">
        <v>2</v>
      </c>
      <c r="D103" s="5">
        <v>-3.437E-3</v>
      </c>
      <c r="E103" s="5">
        <v>1.2359E-2</v>
      </c>
      <c r="F103" s="5">
        <v>1004495</v>
      </c>
      <c r="G103" s="5">
        <v>0</v>
      </c>
      <c r="H103" s="5">
        <v>0</v>
      </c>
      <c r="I103" s="5">
        <v>0</v>
      </c>
      <c r="J103" s="5">
        <v>0</v>
      </c>
      <c r="L103">
        <f t="shared" si="9"/>
        <v>101</v>
      </c>
      <c r="M103">
        <f>'Real Analysis'!$B$3+B103/1000000</f>
        <v>2.06706000000122</v>
      </c>
      <c r="N103">
        <f t="shared" si="10"/>
        <v>2</v>
      </c>
      <c r="O103">
        <f>IF(ABS(D103)&gt;1,D103/1000000,D103)*'Real Analysis'!$B$4</f>
        <v>-3.3716969999999999E-2</v>
      </c>
      <c r="P103">
        <f>IF(ABS(E103)&gt;1,E103/1000000,E103)*'Real Analysis'!$B$4</f>
        <v>0.12124179</v>
      </c>
      <c r="Q103">
        <f>IF(ABS(F103)&gt;1,F103/1000000,F103)*'Real Analysis'!$B$4</f>
        <v>9.8540959499999996</v>
      </c>
      <c r="R103">
        <f t="shared" si="11"/>
        <v>0</v>
      </c>
      <c r="S103">
        <f t="shared" si="12"/>
        <v>0</v>
      </c>
      <c r="T103">
        <f t="shared" si="13"/>
        <v>0</v>
      </c>
      <c r="U103">
        <f t="shared" si="14"/>
        <v>0</v>
      </c>
    </row>
    <row r="104" spans="1:21" x14ac:dyDescent="0.3">
      <c r="A104" s="4">
        <v>102</v>
      </c>
      <c r="B104" s="4">
        <v>-96589906906</v>
      </c>
      <c r="C104" s="5">
        <v>2</v>
      </c>
      <c r="D104" s="5">
        <v>3.19E-4</v>
      </c>
      <c r="E104" s="5">
        <v>1.2341E-2</v>
      </c>
      <c r="F104" s="5">
        <v>1004637</v>
      </c>
      <c r="G104" s="5">
        <v>0</v>
      </c>
      <c r="H104" s="5">
        <v>0</v>
      </c>
      <c r="I104" s="5">
        <v>0</v>
      </c>
      <c r="J104" s="5">
        <v>0</v>
      </c>
      <c r="L104">
        <f t="shared" si="9"/>
        <v>102</v>
      </c>
      <c r="M104">
        <f>'Real Analysis'!$B$3+B104/1000000</f>
        <v>2.0930939999961993</v>
      </c>
      <c r="N104">
        <f t="shared" si="10"/>
        <v>2</v>
      </c>
      <c r="O104">
        <f>IF(ABS(D104)&gt;1,D104/1000000,D104)*'Real Analysis'!$B$4</f>
        <v>3.1293900000000001E-3</v>
      </c>
      <c r="P104">
        <f>IF(ABS(E104)&gt;1,E104/1000000,E104)*'Real Analysis'!$B$4</f>
        <v>0.12106521000000001</v>
      </c>
      <c r="Q104">
        <f>IF(ABS(F104)&gt;1,F104/1000000,F104)*'Real Analysis'!$B$4</f>
        <v>9.8554889699999997</v>
      </c>
      <c r="R104">
        <f t="shared" si="11"/>
        <v>0</v>
      </c>
      <c r="S104">
        <f t="shared" si="12"/>
        <v>0</v>
      </c>
      <c r="T104">
        <f t="shared" si="13"/>
        <v>0</v>
      </c>
      <c r="U104">
        <f t="shared" si="14"/>
        <v>0</v>
      </c>
    </row>
    <row r="105" spans="1:21" x14ac:dyDescent="0.3">
      <c r="A105" s="4">
        <v>103</v>
      </c>
      <c r="B105" s="4">
        <v>-96589891674</v>
      </c>
      <c r="C105" s="5">
        <v>2</v>
      </c>
      <c r="D105" s="5">
        <v>-4.5710000000000004E-3</v>
      </c>
      <c r="E105" s="5">
        <v>1.2128999999999999E-2</v>
      </c>
      <c r="F105" s="5">
        <v>1000894</v>
      </c>
      <c r="G105" s="5">
        <v>0</v>
      </c>
      <c r="H105" s="5">
        <v>0</v>
      </c>
      <c r="I105" s="5">
        <v>0</v>
      </c>
      <c r="J105" s="5">
        <v>0</v>
      </c>
      <c r="L105">
        <f t="shared" si="9"/>
        <v>103</v>
      </c>
      <c r="M105">
        <f>'Real Analysis'!$B$3+B105/1000000</f>
        <v>2.1083260000013979</v>
      </c>
      <c r="N105">
        <f t="shared" si="10"/>
        <v>2</v>
      </c>
      <c r="O105">
        <f>IF(ABS(D105)&gt;1,D105/1000000,D105)*'Real Analysis'!$B$4</f>
        <v>-4.4841510000000008E-2</v>
      </c>
      <c r="P105">
        <f>IF(ABS(E105)&gt;1,E105/1000000,E105)*'Real Analysis'!$B$4</f>
        <v>0.11898549</v>
      </c>
      <c r="Q105">
        <f>IF(ABS(F105)&gt;1,F105/1000000,F105)*'Real Analysis'!$B$4</f>
        <v>9.8187701399999998</v>
      </c>
      <c r="R105">
        <f t="shared" si="11"/>
        <v>0</v>
      </c>
      <c r="S105">
        <f t="shared" si="12"/>
        <v>0</v>
      </c>
      <c r="T105">
        <f t="shared" si="13"/>
        <v>0</v>
      </c>
      <c r="U105">
        <f t="shared" si="14"/>
        <v>0</v>
      </c>
    </row>
    <row r="106" spans="1:21" x14ac:dyDescent="0.3">
      <c r="A106" s="4">
        <v>104</v>
      </c>
      <c r="B106" s="4">
        <v>-96589869478</v>
      </c>
      <c r="C106" s="5">
        <v>2</v>
      </c>
      <c r="D106" s="5">
        <v>-4.424E-3</v>
      </c>
      <c r="E106" s="5">
        <v>1.2272999999999999E-2</v>
      </c>
      <c r="F106" s="5">
        <v>1005794</v>
      </c>
      <c r="G106" s="5">
        <v>0</v>
      </c>
      <c r="H106" s="5">
        <v>0</v>
      </c>
      <c r="I106" s="5">
        <v>0</v>
      </c>
      <c r="J106" s="5">
        <v>0</v>
      </c>
      <c r="L106">
        <f t="shared" si="9"/>
        <v>104</v>
      </c>
      <c r="M106">
        <f>'Real Analysis'!$B$3+B106/1000000</f>
        <v>2.1305220000067493</v>
      </c>
      <c r="N106">
        <f t="shared" si="10"/>
        <v>2</v>
      </c>
      <c r="O106">
        <f>IF(ABS(D106)&gt;1,D106/1000000,D106)*'Real Analysis'!$B$4</f>
        <v>-4.3399440000000004E-2</v>
      </c>
      <c r="P106">
        <f>IF(ABS(E106)&gt;1,E106/1000000,E106)*'Real Analysis'!$B$4</f>
        <v>0.12039812999999999</v>
      </c>
      <c r="Q106">
        <f>IF(ABS(F106)&gt;1,F106/1000000,F106)*'Real Analysis'!$B$4</f>
        <v>9.8668391400000015</v>
      </c>
      <c r="R106">
        <f t="shared" si="11"/>
        <v>0</v>
      </c>
      <c r="S106">
        <f t="shared" si="12"/>
        <v>0</v>
      </c>
      <c r="T106">
        <f t="shared" si="13"/>
        <v>0</v>
      </c>
      <c r="U106">
        <f t="shared" si="14"/>
        <v>0</v>
      </c>
    </row>
    <row r="107" spans="1:21" x14ac:dyDescent="0.3">
      <c r="A107" s="4">
        <v>105</v>
      </c>
      <c r="B107" s="4">
        <v>-96589846722</v>
      </c>
      <c r="C107" s="5">
        <v>2</v>
      </c>
      <c r="D107" s="5">
        <v>-1.274E-3</v>
      </c>
      <c r="E107" s="5">
        <v>1.2392E-2</v>
      </c>
      <c r="F107" s="5">
        <v>1004244</v>
      </c>
      <c r="G107" s="5">
        <v>0</v>
      </c>
      <c r="H107" s="5">
        <v>0</v>
      </c>
      <c r="I107" s="5">
        <v>0</v>
      </c>
      <c r="J107" s="5">
        <v>0</v>
      </c>
      <c r="L107">
        <f t="shared" si="9"/>
        <v>105</v>
      </c>
      <c r="M107">
        <f>'Real Analysis'!$B$3+B107/1000000</f>
        <v>2.1532779999979539</v>
      </c>
      <c r="N107">
        <f t="shared" si="10"/>
        <v>2</v>
      </c>
      <c r="O107">
        <f>IF(ABS(D107)&gt;1,D107/1000000,D107)*'Real Analysis'!$B$4</f>
        <v>-1.2497940000000001E-2</v>
      </c>
      <c r="P107">
        <f>IF(ABS(E107)&gt;1,E107/1000000,E107)*'Real Analysis'!$B$4</f>
        <v>0.12156552000000001</v>
      </c>
      <c r="Q107">
        <f>IF(ABS(F107)&gt;1,F107/1000000,F107)*'Real Analysis'!$B$4</f>
        <v>9.8516336399999993</v>
      </c>
      <c r="R107">
        <f t="shared" si="11"/>
        <v>0</v>
      </c>
      <c r="S107">
        <f t="shared" si="12"/>
        <v>0</v>
      </c>
      <c r="T107">
        <f t="shared" si="13"/>
        <v>0</v>
      </c>
      <c r="U107">
        <f t="shared" si="14"/>
        <v>0</v>
      </c>
    </row>
    <row r="108" spans="1:21" x14ac:dyDescent="0.3">
      <c r="A108" s="4">
        <v>106</v>
      </c>
      <c r="B108" s="4">
        <v>-96589827311</v>
      </c>
      <c r="C108" s="5">
        <v>2</v>
      </c>
      <c r="D108" s="5">
        <v>-4.4990000000000004E-3</v>
      </c>
      <c r="E108" s="5">
        <v>7.1739999999999998E-3</v>
      </c>
      <c r="F108" s="5">
        <v>1004763</v>
      </c>
      <c r="G108" s="5">
        <v>0</v>
      </c>
      <c r="H108" s="5">
        <v>0</v>
      </c>
      <c r="I108" s="5">
        <v>0</v>
      </c>
      <c r="J108" s="5">
        <v>0</v>
      </c>
      <c r="L108">
        <f t="shared" si="9"/>
        <v>106</v>
      </c>
      <c r="M108">
        <f>'Real Analysis'!$B$3+B108/1000000</f>
        <v>2.1726889999990817</v>
      </c>
      <c r="N108">
        <f t="shared" si="10"/>
        <v>2</v>
      </c>
      <c r="O108">
        <f>IF(ABS(D108)&gt;1,D108/1000000,D108)*'Real Analysis'!$B$4</f>
        <v>-4.4135190000000005E-2</v>
      </c>
      <c r="P108">
        <f>IF(ABS(E108)&gt;1,E108/1000000,E108)*'Real Analysis'!$B$4</f>
        <v>7.0376939999999999E-2</v>
      </c>
      <c r="Q108">
        <f>IF(ABS(F108)&gt;1,F108/1000000,F108)*'Real Analysis'!$B$4</f>
        <v>9.8567250300000016</v>
      </c>
      <c r="R108">
        <f t="shared" si="11"/>
        <v>0</v>
      </c>
      <c r="S108">
        <f t="shared" si="12"/>
        <v>0</v>
      </c>
      <c r="T108">
        <f t="shared" si="13"/>
        <v>0</v>
      </c>
      <c r="U108">
        <f t="shared" si="14"/>
        <v>0</v>
      </c>
    </row>
    <row r="109" spans="1:21" x14ac:dyDescent="0.3">
      <c r="A109" s="4">
        <v>107</v>
      </c>
      <c r="B109" s="4">
        <v>-96589807613</v>
      </c>
      <c r="C109" s="5">
        <v>2</v>
      </c>
      <c r="D109" s="5">
        <v>-4.4669999999999996E-3</v>
      </c>
      <c r="E109" s="5">
        <v>1.2999999999999999E-2</v>
      </c>
      <c r="F109" s="5">
        <v>1004233</v>
      </c>
      <c r="G109" s="5">
        <v>0</v>
      </c>
      <c r="H109" s="5">
        <v>0</v>
      </c>
      <c r="I109" s="5">
        <v>0</v>
      </c>
      <c r="J109" s="5">
        <v>0</v>
      </c>
      <c r="L109">
        <f t="shared" si="9"/>
        <v>107</v>
      </c>
      <c r="M109">
        <f>'Real Analysis'!$B$3+B109/1000000</f>
        <v>2.1923870000027819</v>
      </c>
      <c r="N109">
        <f t="shared" si="10"/>
        <v>2</v>
      </c>
      <c r="O109">
        <f>IF(ABS(D109)&gt;1,D109/1000000,D109)*'Real Analysis'!$B$4</f>
        <v>-4.3821269999999996E-2</v>
      </c>
      <c r="P109">
        <f>IF(ABS(E109)&gt;1,E109/1000000,E109)*'Real Analysis'!$B$4</f>
        <v>0.12753</v>
      </c>
      <c r="Q109">
        <f>IF(ABS(F109)&gt;1,F109/1000000,F109)*'Real Analysis'!$B$4</f>
        <v>9.8515257300000005</v>
      </c>
      <c r="R109">
        <f t="shared" si="11"/>
        <v>0</v>
      </c>
      <c r="S109">
        <f t="shared" si="12"/>
        <v>0</v>
      </c>
      <c r="T109">
        <f t="shared" si="13"/>
        <v>0</v>
      </c>
      <c r="U109">
        <f t="shared" si="14"/>
        <v>0</v>
      </c>
    </row>
    <row r="110" spans="1:21" x14ac:dyDescent="0.3">
      <c r="A110" s="4">
        <v>108</v>
      </c>
      <c r="B110" s="4">
        <v>-96589789774</v>
      </c>
      <c r="C110" s="5">
        <v>2</v>
      </c>
      <c r="D110" s="5">
        <v>1.781E-3</v>
      </c>
      <c r="E110" s="5">
        <v>1.1887E-2</v>
      </c>
      <c r="F110" s="5">
        <v>1004745</v>
      </c>
      <c r="G110" s="5">
        <v>0</v>
      </c>
      <c r="H110" s="5">
        <v>0</v>
      </c>
      <c r="I110" s="5">
        <v>0</v>
      </c>
      <c r="J110" s="5">
        <v>0</v>
      </c>
      <c r="L110">
        <f t="shared" si="9"/>
        <v>108</v>
      </c>
      <c r="M110">
        <f>'Real Analysis'!$B$3+B110/1000000</f>
        <v>2.2102259999956004</v>
      </c>
      <c r="N110">
        <f t="shared" si="10"/>
        <v>2</v>
      </c>
      <c r="O110">
        <f>IF(ABS(D110)&gt;1,D110/1000000,D110)*'Real Analysis'!$B$4</f>
        <v>1.7471610000000002E-2</v>
      </c>
      <c r="P110">
        <f>IF(ABS(E110)&gt;1,E110/1000000,E110)*'Real Analysis'!$B$4</f>
        <v>0.11661147000000001</v>
      </c>
      <c r="Q110">
        <f>IF(ABS(F110)&gt;1,F110/1000000,F110)*'Real Analysis'!$B$4</f>
        <v>9.85654845</v>
      </c>
      <c r="R110">
        <f t="shared" si="11"/>
        <v>0</v>
      </c>
      <c r="S110">
        <f t="shared" si="12"/>
        <v>0</v>
      </c>
      <c r="T110">
        <f t="shared" si="13"/>
        <v>0</v>
      </c>
      <c r="U110">
        <f t="shared" si="14"/>
        <v>0</v>
      </c>
    </row>
    <row r="111" spans="1:21" x14ac:dyDescent="0.3">
      <c r="A111" s="4">
        <v>109</v>
      </c>
      <c r="B111" s="4">
        <v>-96589769975</v>
      </c>
      <c r="C111" s="5">
        <v>2</v>
      </c>
      <c r="D111" s="5">
        <v>-6.1830000000000001E-3</v>
      </c>
      <c r="E111" s="5">
        <v>1.2196E-2</v>
      </c>
      <c r="F111" s="5">
        <v>1004310</v>
      </c>
      <c r="G111" s="5">
        <v>0</v>
      </c>
      <c r="H111" s="5">
        <v>0</v>
      </c>
      <c r="I111" s="5">
        <v>0</v>
      </c>
      <c r="J111" s="5">
        <v>0</v>
      </c>
      <c r="L111">
        <f t="shared" si="9"/>
        <v>109</v>
      </c>
      <c r="M111">
        <f>'Real Analysis'!$B$3+B111/1000000</f>
        <v>2.2300249999971129</v>
      </c>
      <c r="N111">
        <f t="shared" si="10"/>
        <v>2</v>
      </c>
      <c r="O111">
        <f>IF(ABS(D111)&gt;1,D111/1000000,D111)*'Real Analysis'!$B$4</f>
        <v>-6.0655230000000004E-2</v>
      </c>
      <c r="P111">
        <f>IF(ABS(E111)&gt;1,E111/1000000,E111)*'Real Analysis'!$B$4</f>
        <v>0.11964276000000001</v>
      </c>
      <c r="Q111">
        <f>IF(ABS(F111)&gt;1,F111/1000000,F111)*'Real Analysis'!$B$4</f>
        <v>9.8522811000000008</v>
      </c>
      <c r="R111">
        <f t="shared" si="11"/>
        <v>0</v>
      </c>
      <c r="S111">
        <f t="shared" si="12"/>
        <v>0</v>
      </c>
      <c r="T111">
        <f t="shared" si="13"/>
        <v>0</v>
      </c>
      <c r="U111">
        <f t="shared" si="14"/>
        <v>0</v>
      </c>
    </row>
    <row r="112" spans="1:21" x14ac:dyDescent="0.3">
      <c r="A112" s="4">
        <v>110</v>
      </c>
      <c r="B112" s="4">
        <v>-96589751272</v>
      </c>
      <c r="C112" s="5">
        <v>2</v>
      </c>
      <c r="D112" s="5">
        <v>-4.8390000000000004E-3</v>
      </c>
      <c r="E112" s="5">
        <v>1.2354E-2</v>
      </c>
      <c r="F112" s="5">
        <v>1004481</v>
      </c>
      <c r="G112" s="5">
        <v>0</v>
      </c>
      <c r="H112" s="5">
        <v>0</v>
      </c>
      <c r="I112" s="5">
        <v>0</v>
      </c>
      <c r="J112" s="5">
        <v>0</v>
      </c>
      <c r="L112">
        <f t="shared" si="9"/>
        <v>110</v>
      </c>
      <c r="M112">
        <f>'Real Analysis'!$B$3+B112/1000000</f>
        <v>2.24872800000594</v>
      </c>
      <c r="N112">
        <f t="shared" si="10"/>
        <v>2</v>
      </c>
      <c r="O112">
        <f>IF(ABS(D112)&gt;1,D112/1000000,D112)*'Real Analysis'!$B$4</f>
        <v>-4.7470590000000007E-2</v>
      </c>
      <c r="P112">
        <f>IF(ABS(E112)&gt;1,E112/1000000,E112)*'Real Analysis'!$B$4</f>
        <v>0.12119274000000001</v>
      </c>
      <c r="Q112">
        <f>IF(ABS(F112)&gt;1,F112/1000000,F112)*'Real Analysis'!$B$4</f>
        <v>9.8539586099999994</v>
      </c>
      <c r="R112">
        <f t="shared" si="11"/>
        <v>0</v>
      </c>
      <c r="S112">
        <f t="shared" si="12"/>
        <v>0</v>
      </c>
      <c r="T112">
        <f t="shared" si="13"/>
        <v>0</v>
      </c>
      <c r="U112">
        <f t="shared" si="14"/>
        <v>0</v>
      </c>
    </row>
    <row r="113" spans="1:21" x14ac:dyDescent="0.3">
      <c r="A113" s="4">
        <v>111</v>
      </c>
      <c r="B113" s="4">
        <v>-96589728403</v>
      </c>
      <c r="C113" s="5">
        <v>2</v>
      </c>
      <c r="D113" s="5">
        <v>-4.8570000000000002E-3</v>
      </c>
      <c r="E113" s="5">
        <v>1.2264000000000001E-2</v>
      </c>
      <c r="F113" s="5">
        <v>1004424</v>
      </c>
      <c r="G113" s="5">
        <v>0</v>
      </c>
      <c r="H113" s="5">
        <v>0</v>
      </c>
      <c r="I113" s="5">
        <v>0</v>
      </c>
      <c r="J113" s="5">
        <v>0</v>
      </c>
      <c r="L113">
        <f t="shared" si="9"/>
        <v>111</v>
      </c>
      <c r="M113">
        <f>'Real Analysis'!$B$3+B113/1000000</f>
        <v>2.2715969999990193</v>
      </c>
      <c r="N113">
        <f t="shared" si="10"/>
        <v>2</v>
      </c>
      <c r="O113">
        <f>IF(ABS(D113)&gt;1,D113/1000000,D113)*'Real Analysis'!$B$4</f>
        <v>-4.7647170000000003E-2</v>
      </c>
      <c r="P113">
        <f>IF(ABS(E113)&gt;1,E113/1000000,E113)*'Real Analysis'!$B$4</f>
        <v>0.12030984000000002</v>
      </c>
      <c r="Q113">
        <f>IF(ABS(F113)&gt;1,F113/1000000,F113)*'Real Analysis'!$B$4</f>
        <v>9.8533994400000005</v>
      </c>
      <c r="R113">
        <f t="shared" si="11"/>
        <v>0</v>
      </c>
      <c r="S113">
        <f t="shared" si="12"/>
        <v>0</v>
      </c>
      <c r="T113">
        <f t="shared" si="13"/>
        <v>0</v>
      </c>
      <c r="U113">
        <f t="shared" si="14"/>
        <v>0</v>
      </c>
    </row>
    <row r="114" spans="1:21" x14ac:dyDescent="0.3">
      <c r="A114" s="4">
        <v>112</v>
      </c>
      <c r="B114" s="4">
        <v>-96589711943</v>
      </c>
      <c r="C114" s="5">
        <v>2</v>
      </c>
      <c r="D114" s="5">
        <v>-4.9069999999999999E-3</v>
      </c>
      <c r="E114" s="5">
        <v>1.2341E-2</v>
      </c>
      <c r="F114" s="5">
        <v>1004445</v>
      </c>
      <c r="G114" s="5">
        <v>0</v>
      </c>
      <c r="H114" s="5">
        <v>0</v>
      </c>
      <c r="I114" s="5">
        <v>0</v>
      </c>
      <c r="J114" s="5">
        <v>0</v>
      </c>
      <c r="L114">
        <f t="shared" si="9"/>
        <v>112</v>
      </c>
      <c r="M114">
        <f>'Real Analysis'!$B$3+B114/1000000</f>
        <v>2.2880569999979343</v>
      </c>
      <c r="N114">
        <f t="shared" si="10"/>
        <v>2</v>
      </c>
      <c r="O114">
        <f>IF(ABS(D114)&gt;1,D114/1000000,D114)*'Real Analysis'!$B$4</f>
        <v>-4.813767E-2</v>
      </c>
      <c r="P114">
        <f>IF(ABS(E114)&gt;1,E114/1000000,E114)*'Real Analysis'!$B$4</f>
        <v>0.12106521000000001</v>
      </c>
      <c r="Q114">
        <f>IF(ABS(F114)&gt;1,F114/1000000,F114)*'Real Analysis'!$B$4</f>
        <v>9.8536054500000017</v>
      </c>
      <c r="R114">
        <f t="shared" si="11"/>
        <v>0</v>
      </c>
      <c r="S114">
        <f t="shared" si="12"/>
        <v>0</v>
      </c>
      <c r="T114">
        <f t="shared" si="13"/>
        <v>0</v>
      </c>
      <c r="U114">
        <f t="shared" si="14"/>
        <v>0</v>
      </c>
    </row>
    <row r="115" spans="1:21" x14ac:dyDescent="0.3">
      <c r="A115" s="4">
        <v>113</v>
      </c>
      <c r="B115" s="4">
        <v>-96589691425</v>
      </c>
      <c r="C115" s="5">
        <v>2</v>
      </c>
      <c r="D115" s="5">
        <v>-5.0410000000000003E-3</v>
      </c>
      <c r="E115" s="5">
        <v>1.2362E-2</v>
      </c>
      <c r="F115" s="5">
        <v>1004435</v>
      </c>
      <c r="G115" s="5">
        <v>0</v>
      </c>
      <c r="H115" s="5">
        <v>0</v>
      </c>
      <c r="I115" s="5">
        <v>0</v>
      </c>
      <c r="J115" s="5">
        <v>0</v>
      </c>
      <c r="L115">
        <f t="shared" si="9"/>
        <v>113</v>
      </c>
      <c r="M115">
        <f>'Real Analysis'!$B$3+B115/1000000</f>
        <v>2.3085750000027474</v>
      </c>
      <c r="N115">
        <f t="shared" si="10"/>
        <v>2</v>
      </c>
      <c r="O115">
        <f>IF(ABS(D115)&gt;1,D115/1000000,D115)*'Real Analysis'!$B$4</f>
        <v>-4.9452210000000003E-2</v>
      </c>
      <c r="P115">
        <f>IF(ABS(E115)&gt;1,E115/1000000,E115)*'Real Analysis'!$B$4</f>
        <v>0.12127122</v>
      </c>
      <c r="Q115">
        <f>IF(ABS(F115)&gt;1,F115/1000000,F115)*'Real Analysis'!$B$4</f>
        <v>9.853507350000001</v>
      </c>
      <c r="R115">
        <f t="shared" si="11"/>
        <v>0</v>
      </c>
      <c r="S115">
        <f t="shared" si="12"/>
        <v>0</v>
      </c>
      <c r="T115">
        <f t="shared" si="13"/>
        <v>0</v>
      </c>
      <c r="U115">
        <f t="shared" si="14"/>
        <v>0</v>
      </c>
    </row>
    <row r="116" spans="1:21" x14ac:dyDescent="0.3">
      <c r="A116" s="4">
        <v>114</v>
      </c>
      <c r="B116" s="4">
        <v>-96589674396</v>
      </c>
      <c r="C116" s="5">
        <v>2</v>
      </c>
      <c r="D116" s="5">
        <v>-4.8690000000000001E-3</v>
      </c>
      <c r="E116" s="5">
        <v>1.2345E-2</v>
      </c>
      <c r="F116" s="5">
        <v>1004440</v>
      </c>
      <c r="G116" s="5">
        <v>0</v>
      </c>
      <c r="H116" s="5">
        <v>0</v>
      </c>
      <c r="I116" s="5">
        <v>0</v>
      </c>
      <c r="J116" s="5">
        <v>0</v>
      </c>
      <c r="L116">
        <f t="shared" si="9"/>
        <v>114</v>
      </c>
      <c r="M116">
        <f>'Real Analysis'!$B$3+B116/1000000</f>
        <v>2.3256039999978384</v>
      </c>
      <c r="N116">
        <f t="shared" si="10"/>
        <v>2</v>
      </c>
      <c r="O116">
        <f>IF(ABS(D116)&gt;1,D116/1000000,D116)*'Real Analysis'!$B$4</f>
        <v>-4.7764890000000004E-2</v>
      </c>
      <c r="P116">
        <f>IF(ABS(E116)&gt;1,E116/1000000,E116)*'Real Analysis'!$B$4</f>
        <v>0.12110445</v>
      </c>
      <c r="Q116">
        <f>IF(ABS(F116)&gt;1,F116/1000000,F116)*'Real Analysis'!$B$4</f>
        <v>9.8535564000000004</v>
      </c>
      <c r="R116">
        <f t="shared" si="11"/>
        <v>0</v>
      </c>
      <c r="S116">
        <f t="shared" si="12"/>
        <v>0</v>
      </c>
      <c r="T116">
        <f t="shared" si="13"/>
        <v>0</v>
      </c>
      <c r="U116">
        <f t="shared" si="14"/>
        <v>0</v>
      </c>
    </row>
    <row r="117" spans="1:21" x14ac:dyDescent="0.3">
      <c r="A117" s="4">
        <v>115</v>
      </c>
      <c r="B117" s="4">
        <v>-96589651208</v>
      </c>
      <c r="C117" s="5">
        <v>2</v>
      </c>
      <c r="D117" s="5">
        <v>-1.2435999999999999E-2</v>
      </c>
      <c r="E117" s="5">
        <v>8.7539999999999996E-3</v>
      </c>
      <c r="F117" s="5">
        <v>1004159</v>
      </c>
      <c r="G117" s="5">
        <v>0</v>
      </c>
      <c r="H117" s="5">
        <v>0</v>
      </c>
      <c r="I117" s="5">
        <v>0</v>
      </c>
      <c r="J117" s="5">
        <v>0</v>
      </c>
      <c r="L117">
        <f t="shared" si="9"/>
        <v>115</v>
      </c>
      <c r="M117">
        <f>'Real Analysis'!$B$3+B117/1000000</f>
        <v>2.3487920000043232</v>
      </c>
      <c r="N117">
        <f t="shared" si="10"/>
        <v>2</v>
      </c>
      <c r="O117">
        <f>IF(ABS(D117)&gt;1,D117/1000000,D117)*'Real Analysis'!$B$4</f>
        <v>-0.12199715999999999</v>
      </c>
      <c r="P117">
        <f>IF(ABS(E117)&gt;1,E117/1000000,E117)*'Real Analysis'!$B$4</f>
        <v>8.5876740000000007E-2</v>
      </c>
      <c r="Q117">
        <f>IF(ABS(F117)&gt;1,F117/1000000,F117)*'Real Analysis'!$B$4</f>
        <v>9.8507997899999999</v>
      </c>
      <c r="R117">
        <f t="shared" si="11"/>
        <v>0</v>
      </c>
      <c r="S117">
        <f t="shared" si="12"/>
        <v>0</v>
      </c>
      <c r="T117">
        <f t="shared" si="13"/>
        <v>0</v>
      </c>
      <c r="U117">
        <f t="shared" si="14"/>
        <v>0</v>
      </c>
    </row>
    <row r="118" spans="1:21" x14ac:dyDescent="0.3">
      <c r="A118" s="4">
        <v>116</v>
      </c>
      <c r="B118" s="4">
        <v>-96589630774</v>
      </c>
      <c r="C118" s="5">
        <v>2</v>
      </c>
      <c r="D118" s="5">
        <v>-4.9670000000000001E-3</v>
      </c>
      <c r="E118" s="5">
        <v>1.0736000000000001E-2</v>
      </c>
      <c r="F118" s="5">
        <v>1004439</v>
      </c>
      <c r="G118" s="5">
        <v>0</v>
      </c>
      <c r="H118" s="5">
        <v>0</v>
      </c>
      <c r="I118" s="5">
        <v>0</v>
      </c>
      <c r="J118" s="5">
        <v>0</v>
      </c>
      <c r="L118">
        <f t="shared" si="9"/>
        <v>116</v>
      </c>
      <c r="M118">
        <f>'Real Analysis'!$B$3+B118/1000000</f>
        <v>2.3692259999952512</v>
      </c>
      <c r="N118">
        <f t="shared" si="10"/>
        <v>2</v>
      </c>
      <c r="O118">
        <f>IF(ABS(D118)&gt;1,D118/1000000,D118)*'Real Analysis'!$B$4</f>
        <v>-4.8726270000000002E-2</v>
      </c>
      <c r="P118">
        <f>IF(ABS(E118)&gt;1,E118/1000000,E118)*'Real Analysis'!$B$4</f>
        <v>0.10532016000000001</v>
      </c>
      <c r="Q118">
        <f>IF(ABS(F118)&gt;1,F118/1000000,F118)*'Real Analysis'!$B$4</f>
        <v>9.8535465900000005</v>
      </c>
      <c r="R118">
        <f t="shared" si="11"/>
        <v>0</v>
      </c>
      <c r="S118">
        <f t="shared" si="12"/>
        <v>0</v>
      </c>
      <c r="T118">
        <f t="shared" si="13"/>
        <v>0</v>
      </c>
      <c r="U118">
        <f t="shared" si="14"/>
        <v>0</v>
      </c>
    </row>
    <row r="119" spans="1:21" x14ac:dyDescent="0.3">
      <c r="A119" s="4">
        <v>117</v>
      </c>
      <c r="B119" s="4">
        <v>-96589614562</v>
      </c>
      <c r="C119" s="5">
        <v>2</v>
      </c>
      <c r="D119" s="5">
        <v>-4.6810000000000003E-3</v>
      </c>
      <c r="E119" s="5">
        <v>1.3231E-2</v>
      </c>
      <c r="F119" s="5">
        <v>1004446</v>
      </c>
      <c r="G119" s="5">
        <v>0</v>
      </c>
      <c r="H119" s="5">
        <v>0</v>
      </c>
      <c r="I119" s="5">
        <v>0</v>
      </c>
      <c r="J119" s="5">
        <v>0</v>
      </c>
      <c r="L119">
        <f t="shared" si="9"/>
        <v>117</v>
      </c>
      <c r="M119">
        <f>'Real Analysis'!$B$3+B119/1000000</f>
        <v>2.3854379999975208</v>
      </c>
      <c r="N119">
        <f t="shared" si="10"/>
        <v>2</v>
      </c>
      <c r="O119">
        <f>IF(ABS(D119)&gt;1,D119/1000000,D119)*'Real Analysis'!$B$4</f>
        <v>-4.5920610000000008E-2</v>
      </c>
      <c r="P119">
        <f>IF(ABS(E119)&gt;1,E119/1000000,E119)*'Real Analysis'!$B$4</f>
        <v>0.12979610999999999</v>
      </c>
      <c r="Q119">
        <f>IF(ABS(F119)&gt;1,F119/1000000,F119)*'Real Analysis'!$B$4</f>
        <v>9.8536152599999998</v>
      </c>
      <c r="R119">
        <f t="shared" si="11"/>
        <v>0</v>
      </c>
      <c r="S119">
        <f t="shared" si="12"/>
        <v>0</v>
      </c>
      <c r="T119">
        <f t="shared" si="13"/>
        <v>0</v>
      </c>
      <c r="U119">
        <f t="shared" si="14"/>
        <v>0</v>
      </c>
    </row>
    <row r="120" spans="1:21" x14ac:dyDescent="0.3">
      <c r="A120" s="4">
        <v>118</v>
      </c>
      <c r="B120" s="4">
        <v>-96589586544</v>
      </c>
      <c r="C120" s="5">
        <v>2</v>
      </c>
      <c r="D120" s="5">
        <v>-4.2379999999999996E-3</v>
      </c>
      <c r="E120" s="5">
        <v>1.2872E-2</v>
      </c>
      <c r="F120" s="5">
        <v>1004464</v>
      </c>
      <c r="G120" s="5">
        <v>0</v>
      </c>
      <c r="H120" s="5">
        <v>0</v>
      </c>
      <c r="I120" s="5">
        <v>0</v>
      </c>
      <c r="J120" s="5">
        <v>0</v>
      </c>
      <c r="L120">
        <f t="shared" si="9"/>
        <v>118</v>
      </c>
      <c r="M120">
        <f>'Real Analysis'!$B$3+B120/1000000</f>
        <v>2.4134559999947669</v>
      </c>
      <c r="N120">
        <f t="shared" si="10"/>
        <v>2</v>
      </c>
      <c r="O120">
        <f>IF(ABS(D120)&gt;1,D120/1000000,D120)*'Real Analysis'!$B$4</f>
        <v>-4.1574779999999999E-2</v>
      </c>
      <c r="P120">
        <f>IF(ABS(E120)&gt;1,E120/1000000,E120)*'Real Analysis'!$B$4</f>
        <v>0.12627432</v>
      </c>
      <c r="Q120">
        <f>IF(ABS(F120)&gt;1,F120/1000000,F120)*'Real Analysis'!$B$4</f>
        <v>9.8537918400000013</v>
      </c>
      <c r="R120">
        <f t="shared" si="11"/>
        <v>0</v>
      </c>
      <c r="S120">
        <f t="shared" si="12"/>
        <v>0</v>
      </c>
      <c r="T120">
        <f t="shared" si="13"/>
        <v>0</v>
      </c>
      <c r="U120">
        <f t="shared" si="14"/>
        <v>0</v>
      </c>
    </row>
    <row r="121" spans="1:21" x14ac:dyDescent="0.3">
      <c r="A121" s="4">
        <v>119</v>
      </c>
      <c r="B121" s="4">
        <v>-96589570152</v>
      </c>
      <c r="C121" s="5">
        <v>2</v>
      </c>
      <c r="D121" s="5">
        <v>-1.238E-3</v>
      </c>
      <c r="E121" s="5">
        <v>7.0540000000000004E-3</v>
      </c>
      <c r="F121" s="5">
        <v>1004018</v>
      </c>
      <c r="G121" s="5">
        <v>0</v>
      </c>
      <c r="H121" s="5">
        <v>0</v>
      </c>
      <c r="I121" s="5">
        <v>0</v>
      </c>
      <c r="J121" s="5">
        <v>0</v>
      </c>
      <c r="L121">
        <f t="shared" si="9"/>
        <v>119</v>
      </c>
      <c r="M121">
        <f>'Real Analysis'!$B$3+B121/1000000</f>
        <v>2.4298479999997653</v>
      </c>
      <c r="N121">
        <f t="shared" si="10"/>
        <v>2</v>
      </c>
      <c r="O121">
        <f>IF(ABS(D121)&gt;1,D121/1000000,D121)*'Real Analysis'!$B$4</f>
        <v>-1.2144780000000001E-2</v>
      </c>
      <c r="P121">
        <f>IF(ABS(E121)&gt;1,E121/1000000,E121)*'Real Analysis'!$B$4</f>
        <v>6.919974000000001E-2</v>
      </c>
      <c r="Q121">
        <f>IF(ABS(F121)&gt;1,F121/1000000,F121)*'Real Analysis'!$B$4</f>
        <v>9.8494165800000015</v>
      </c>
      <c r="R121">
        <f t="shared" si="11"/>
        <v>0</v>
      </c>
      <c r="S121">
        <f t="shared" si="12"/>
        <v>0</v>
      </c>
      <c r="T121">
        <f t="shared" si="13"/>
        <v>0</v>
      </c>
      <c r="U121">
        <f t="shared" si="14"/>
        <v>0</v>
      </c>
    </row>
    <row r="122" spans="1:21" x14ac:dyDescent="0.3">
      <c r="A122" s="4">
        <v>120</v>
      </c>
      <c r="B122" s="4">
        <v>-96589550631</v>
      </c>
      <c r="C122" s="5">
        <v>2</v>
      </c>
      <c r="D122" s="5">
        <v>-1.333E-3</v>
      </c>
      <c r="E122" s="5">
        <v>7.2680000000000002E-3</v>
      </c>
      <c r="F122" s="5">
        <v>1004800</v>
      </c>
      <c r="G122" s="5">
        <v>0</v>
      </c>
      <c r="H122" s="5">
        <v>0</v>
      </c>
      <c r="I122" s="5">
        <v>0</v>
      </c>
      <c r="J122" s="5">
        <v>0</v>
      </c>
      <c r="L122">
        <f t="shared" si="9"/>
        <v>120</v>
      </c>
      <c r="M122">
        <f>'Real Analysis'!$B$3+B122/1000000</f>
        <v>2.4493689999944763</v>
      </c>
      <c r="N122">
        <f t="shared" si="10"/>
        <v>2</v>
      </c>
      <c r="O122">
        <f>IF(ABS(D122)&gt;1,D122/1000000,D122)*'Real Analysis'!$B$4</f>
        <v>-1.307673E-2</v>
      </c>
      <c r="P122">
        <f>IF(ABS(E122)&gt;1,E122/1000000,E122)*'Real Analysis'!$B$4</f>
        <v>7.1299080000000001E-2</v>
      </c>
      <c r="Q122">
        <f>IF(ABS(F122)&gt;1,F122/1000000,F122)*'Real Analysis'!$B$4</f>
        <v>9.8570879999999992</v>
      </c>
      <c r="R122">
        <f t="shared" si="11"/>
        <v>0</v>
      </c>
      <c r="S122">
        <f t="shared" si="12"/>
        <v>0</v>
      </c>
      <c r="T122">
        <f t="shared" si="13"/>
        <v>0</v>
      </c>
      <c r="U122">
        <f t="shared" si="14"/>
        <v>0</v>
      </c>
    </row>
    <row r="123" spans="1:21" x14ac:dyDescent="0.3">
      <c r="A123" s="4">
        <v>121</v>
      </c>
      <c r="B123" s="4">
        <v>-96589527877</v>
      </c>
      <c r="C123" s="5">
        <v>2</v>
      </c>
      <c r="D123" s="5">
        <v>2.5490000000000001E-3</v>
      </c>
      <c r="E123" s="5">
        <v>1.3220000000000001E-2</v>
      </c>
      <c r="F123" s="5">
        <v>1004589</v>
      </c>
      <c r="G123" s="5">
        <v>0</v>
      </c>
      <c r="H123" s="5">
        <v>0</v>
      </c>
      <c r="I123" s="5">
        <v>0</v>
      </c>
      <c r="J123" s="5">
        <v>0</v>
      </c>
      <c r="L123">
        <f t="shared" si="9"/>
        <v>121</v>
      </c>
      <c r="M123">
        <f>'Real Analysis'!$B$3+B123/1000000</f>
        <v>2.4721229999995558</v>
      </c>
      <c r="N123">
        <f t="shared" si="10"/>
        <v>2</v>
      </c>
      <c r="O123">
        <f>IF(ABS(D123)&gt;1,D123/1000000,D123)*'Real Analysis'!$B$4</f>
        <v>2.5005690000000001E-2</v>
      </c>
      <c r="P123">
        <f>IF(ABS(E123)&gt;1,E123/1000000,E123)*'Real Analysis'!$B$4</f>
        <v>0.1296882</v>
      </c>
      <c r="Q123">
        <f>IF(ABS(F123)&gt;1,F123/1000000,F123)*'Real Analysis'!$B$4</f>
        <v>9.8550180899999997</v>
      </c>
      <c r="R123">
        <f t="shared" si="11"/>
        <v>0</v>
      </c>
      <c r="S123">
        <f t="shared" si="12"/>
        <v>0</v>
      </c>
      <c r="T123">
        <f t="shared" si="13"/>
        <v>0</v>
      </c>
      <c r="U123">
        <f t="shared" si="14"/>
        <v>0</v>
      </c>
    </row>
    <row r="124" spans="1:21" x14ac:dyDescent="0.3">
      <c r="A124" s="4">
        <v>122</v>
      </c>
      <c r="B124" s="4">
        <v>-96589510832</v>
      </c>
      <c r="C124" s="5">
        <v>2</v>
      </c>
      <c r="D124" s="5">
        <v>2.5110000000000002E-3</v>
      </c>
      <c r="E124" s="5">
        <v>1.1976000000000001E-2</v>
      </c>
      <c r="F124" s="5">
        <v>1004790</v>
      </c>
      <c r="G124" s="5">
        <v>0</v>
      </c>
      <c r="H124" s="5">
        <v>0</v>
      </c>
      <c r="I124" s="5">
        <v>0</v>
      </c>
      <c r="J124" s="5">
        <v>0</v>
      </c>
      <c r="L124">
        <f t="shared" si="9"/>
        <v>122</v>
      </c>
      <c r="M124">
        <f>'Real Analysis'!$B$3+B124/1000000</f>
        <v>2.4891680000000633</v>
      </c>
      <c r="N124">
        <f t="shared" si="10"/>
        <v>2</v>
      </c>
      <c r="O124">
        <f>IF(ABS(D124)&gt;1,D124/1000000,D124)*'Real Analysis'!$B$4</f>
        <v>2.4632910000000004E-2</v>
      </c>
      <c r="P124">
        <f>IF(ABS(E124)&gt;1,E124/1000000,E124)*'Real Analysis'!$B$4</f>
        <v>0.11748456000000002</v>
      </c>
      <c r="Q124">
        <f>IF(ABS(F124)&gt;1,F124/1000000,F124)*'Real Analysis'!$B$4</f>
        <v>9.8569899000000021</v>
      </c>
      <c r="R124">
        <f t="shared" si="11"/>
        <v>0</v>
      </c>
      <c r="S124">
        <f t="shared" si="12"/>
        <v>0</v>
      </c>
      <c r="T124">
        <f t="shared" si="13"/>
        <v>0</v>
      </c>
      <c r="U124">
        <f t="shared" si="14"/>
        <v>0</v>
      </c>
    </row>
    <row r="125" spans="1:21" x14ac:dyDescent="0.3">
      <c r="A125" s="4">
        <v>123</v>
      </c>
      <c r="B125" s="4">
        <v>-96589490339</v>
      </c>
      <c r="C125" s="5">
        <v>2</v>
      </c>
      <c r="D125" s="5">
        <v>3.1470000000000001E-3</v>
      </c>
      <c r="E125" s="5">
        <v>1.2311000000000001E-2</v>
      </c>
      <c r="F125" s="5">
        <v>1004767</v>
      </c>
      <c r="G125" s="5">
        <v>0</v>
      </c>
      <c r="H125" s="5">
        <v>0</v>
      </c>
      <c r="I125" s="5">
        <v>0</v>
      </c>
      <c r="J125" s="5">
        <v>0</v>
      </c>
      <c r="L125">
        <f t="shared" si="9"/>
        <v>123</v>
      </c>
      <c r="M125">
        <f>'Real Analysis'!$B$3+B125/1000000</f>
        <v>2.509661000003689</v>
      </c>
      <c r="N125">
        <f t="shared" si="10"/>
        <v>2</v>
      </c>
      <c r="O125">
        <f>IF(ABS(D125)&gt;1,D125/1000000,D125)*'Real Analysis'!$B$4</f>
        <v>3.0872070000000001E-2</v>
      </c>
      <c r="P125">
        <f>IF(ABS(E125)&gt;1,E125/1000000,E125)*'Real Analysis'!$B$4</f>
        <v>0.12077091000000001</v>
      </c>
      <c r="Q125">
        <f>IF(ABS(F125)&gt;1,F125/1000000,F125)*'Real Analysis'!$B$4</f>
        <v>9.8567642699999993</v>
      </c>
      <c r="R125">
        <f t="shared" si="11"/>
        <v>0</v>
      </c>
      <c r="S125">
        <f t="shared" si="12"/>
        <v>0</v>
      </c>
      <c r="T125">
        <f t="shared" si="13"/>
        <v>0</v>
      </c>
      <c r="U125">
        <f t="shared" si="14"/>
        <v>0</v>
      </c>
    </row>
    <row r="126" spans="1:21" x14ac:dyDescent="0.3">
      <c r="A126" s="4">
        <v>124</v>
      </c>
      <c r="B126" s="4">
        <v>-96589469699</v>
      </c>
      <c r="C126" s="5">
        <v>2</v>
      </c>
      <c r="D126" s="5">
        <v>-5.7700000000000004E-4</v>
      </c>
      <c r="E126" s="5">
        <v>1.2298999999999999E-2</v>
      </c>
      <c r="F126" s="5">
        <v>1004576</v>
      </c>
      <c r="G126" s="5">
        <v>0</v>
      </c>
      <c r="H126" s="5">
        <v>0</v>
      </c>
      <c r="I126" s="5">
        <v>0</v>
      </c>
      <c r="J126" s="5">
        <v>0</v>
      </c>
      <c r="L126">
        <f t="shared" si="9"/>
        <v>124</v>
      </c>
      <c r="M126">
        <f>'Real Analysis'!$B$3+B126/1000000</f>
        <v>2.5303010000061477</v>
      </c>
      <c r="N126">
        <f t="shared" si="10"/>
        <v>2</v>
      </c>
      <c r="O126">
        <f>IF(ABS(D126)&gt;1,D126/1000000,D126)*'Real Analysis'!$B$4</f>
        <v>-5.6603700000000005E-3</v>
      </c>
      <c r="P126">
        <f>IF(ABS(E126)&gt;1,E126/1000000,E126)*'Real Analysis'!$B$4</f>
        <v>0.12065318999999999</v>
      </c>
      <c r="Q126">
        <f>IF(ABS(F126)&gt;1,F126/1000000,F126)*'Real Analysis'!$B$4</f>
        <v>9.8548905599999994</v>
      </c>
      <c r="R126">
        <f t="shared" si="11"/>
        <v>0</v>
      </c>
      <c r="S126">
        <f t="shared" si="12"/>
        <v>0</v>
      </c>
      <c r="T126">
        <f t="shared" si="13"/>
        <v>0</v>
      </c>
      <c r="U126">
        <f t="shared" si="14"/>
        <v>0</v>
      </c>
    </row>
    <row r="127" spans="1:21" x14ac:dyDescent="0.3">
      <c r="A127" s="4">
        <v>125</v>
      </c>
      <c r="B127" s="4">
        <v>-96589449585</v>
      </c>
      <c r="C127" s="5">
        <v>2</v>
      </c>
      <c r="D127" s="5">
        <v>-5.3699999999999998E-3</v>
      </c>
      <c r="E127" s="5">
        <v>1.2364E-2</v>
      </c>
      <c r="F127" s="5">
        <v>1004430</v>
      </c>
      <c r="G127" s="5">
        <v>0</v>
      </c>
      <c r="H127" s="5">
        <v>0</v>
      </c>
      <c r="I127" s="5">
        <v>0</v>
      </c>
      <c r="J127" s="5">
        <v>0</v>
      </c>
      <c r="L127">
        <f t="shared" si="9"/>
        <v>125</v>
      </c>
      <c r="M127">
        <f>'Real Analysis'!$B$3+B127/1000000</f>
        <v>2.5504150000051595</v>
      </c>
      <c r="N127">
        <f t="shared" si="10"/>
        <v>2</v>
      </c>
      <c r="O127">
        <f>IF(ABS(D127)&gt;1,D127/1000000,D127)*'Real Analysis'!$B$4</f>
        <v>-5.2679700000000003E-2</v>
      </c>
      <c r="P127">
        <f>IF(ABS(E127)&gt;1,E127/1000000,E127)*'Real Analysis'!$B$4</f>
        <v>0.12129084000000001</v>
      </c>
      <c r="Q127">
        <f>IF(ABS(F127)&gt;1,F127/1000000,F127)*'Real Analysis'!$B$4</f>
        <v>9.8534582999999998</v>
      </c>
      <c r="R127">
        <f t="shared" si="11"/>
        <v>0</v>
      </c>
      <c r="S127">
        <f t="shared" si="12"/>
        <v>0</v>
      </c>
      <c r="T127">
        <f t="shared" si="13"/>
        <v>0</v>
      </c>
      <c r="U127">
        <f t="shared" si="14"/>
        <v>0</v>
      </c>
    </row>
    <row r="128" spans="1:21" x14ac:dyDescent="0.3">
      <c r="A128" s="4">
        <v>126</v>
      </c>
      <c r="B128" s="4">
        <v>-96589424941</v>
      </c>
      <c r="C128" s="5">
        <v>2</v>
      </c>
      <c r="D128" s="5">
        <v>-3.516E-3</v>
      </c>
      <c r="E128" s="5">
        <v>1.2265E-2</v>
      </c>
      <c r="F128" s="5">
        <v>1004498</v>
      </c>
      <c r="G128" s="5">
        <v>0</v>
      </c>
      <c r="H128" s="5">
        <v>0</v>
      </c>
      <c r="I128" s="5">
        <v>0</v>
      </c>
      <c r="J128" s="5">
        <v>0</v>
      </c>
      <c r="L128">
        <f t="shared" si="9"/>
        <v>126</v>
      </c>
      <c r="M128">
        <f>'Real Analysis'!$B$3+B128/1000000</f>
        <v>2.5750589999952354</v>
      </c>
      <c r="N128">
        <f t="shared" si="10"/>
        <v>2</v>
      </c>
      <c r="O128">
        <f>IF(ABS(D128)&gt;1,D128/1000000,D128)*'Real Analysis'!$B$4</f>
        <v>-3.4491960000000002E-2</v>
      </c>
      <c r="P128">
        <f>IF(ABS(E128)&gt;1,E128/1000000,E128)*'Real Analysis'!$B$4</f>
        <v>0.12031965</v>
      </c>
      <c r="Q128">
        <f>IF(ABS(F128)&gt;1,F128/1000000,F128)*'Real Analysis'!$B$4</f>
        <v>9.8541253799999993</v>
      </c>
      <c r="R128">
        <f t="shared" si="11"/>
        <v>0</v>
      </c>
      <c r="S128">
        <f t="shared" si="12"/>
        <v>0</v>
      </c>
      <c r="T128">
        <f t="shared" si="13"/>
        <v>0</v>
      </c>
      <c r="U128">
        <f t="shared" si="14"/>
        <v>0</v>
      </c>
    </row>
    <row r="129" spans="1:21" x14ac:dyDescent="0.3">
      <c r="A129" s="4">
        <v>127</v>
      </c>
      <c r="B129" s="4">
        <v>-96589408151</v>
      </c>
      <c r="C129" s="5">
        <v>2</v>
      </c>
      <c r="D129" s="5">
        <v>1.939E-3</v>
      </c>
      <c r="E129" s="5">
        <v>1.2321E-2</v>
      </c>
      <c r="F129" s="5">
        <v>1004703</v>
      </c>
      <c r="G129" s="5">
        <v>0</v>
      </c>
      <c r="H129" s="5">
        <v>0</v>
      </c>
      <c r="I129" s="5">
        <v>0</v>
      </c>
      <c r="J129" s="5">
        <v>0</v>
      </c>
      <c r="L129">
        <f t="shared" si="9"/>
        <v>127</v>
      </c>
      <c r="M129">
        <f>'Real Analysis'!$B$3+B129/1000000</f>
        <v>2.5918490000040038</v>
      </c>
      <c r="N129">
        <f t="shared" si="10"/>
        <v>2</v>
      </c>
      <c r="O129">
        <f>IF(ABS(D129)&gt;1,D129/1000000,D129)*'Real Analysis'!$B$4</f>
        <v>1.9021590000000001E-2</v>
      </c>
      <c r="P129">
        <f>IF(ABS(E129)&gt;1,E129/1000000,E129)*'Real Analysis'!$B$4</f>
        <v>0.12086901000000001</v>
      </c>
      <c r="Q129">
        <f>IF(ABS(F129)&gt;1,F129/1000000,F129)*'Real Analysis'!$B$4</f>
        <v>9.8561364299999994</v>
      </c>
      <c r="R129">
        <f t="shared" si="11"/>
        <v>0</v>
      </c>
      <c r="S129">
        <f t="shared" si="12"/>
        <v>0</v>
      </c>
      <c r="T129">
        <f t="shared" si="13"/>
        <v>0</v>
      </c>
      <c r="U129">
        <f t="shared" si="14"/>
        <v>0</v>
      </c>
    </row>
    <row r="130" spans="1:21" x14ac:dyDescent="0.3">
      <c r="A130" s="4">
        <v>128</v>
      </c>
      <c r="B130" s="4">
        <v>-96589389971</v>
      </c>
      <c r="C130" s="5">
        <v>2</v>
      </c>
      <c r="D130" s="5">
        <v>-6.11E-4</v>
      </c>
      <c r="E130" s="5">
        <v>1.2366E-2</v>
      </c>
      <c r="F130" s="5">
        <v>1004602</v>
      </c>
      <c r="G130" s="5">
        <v>0</v>
      </c>
      <c r="H130" s="5">
        <v>0</v>
      </c>
      <c r="I130" s="5">
        <v>0</v>
      </c>
      <c r="J130" s="5">
        <v>0</v>
      </c>
      <c r="L130">
        <f t="shared" si="9"/>
        <v>128</v>
      </c>
      <c r="M130">
        <f>'Real Analysis'!$B$3+B130/1000000</f>
        <v>2.6100290000031237</v>
      </c>
      <c r="N130">
        <f t="shared" si="10"/>
        <v>2</v>
      </c>
      <c r="O130">
        <f>IF(ABS(D130)&gt;1,D130/1000000,D130)*'Real Analysis'!$B$4</f>
        <v>-5.9939099999999999E-3</v>
      </c>
      <c r="P130">
        <f>IF(ABS(E130)&gt;1,E130/1000000,E130)*'Real Analysis'!$B$4</f>
        <v>0.12131046000000001</v>
      </c>
      <c r="Q130">
        <f>IF(ABS(F130)&gt;1,F130/1000000,F130)*'Real Analysis'!$B$4</f>
        <v>9.8551456200000001</v>
      </c>
      <c r="R130">
        <f t="shared" si="11"/>
        <v>0</v>
      </c>
      <c r="S130">
        <f t="shared" si="12"/>
        <v>0</v>
      </c>
      <c r="T130">
        <f t="shared" si="13"/>
        <v>0</v>
      </c>
      <c r="U130">
        <f t="shared" si="14"/>
        <v>0</v>
      </c>
    </row>
    <row r="131" spans="1:21" x14ac:dyDescent="0.3">
      <c r="A131" s="4">
        <v>129</v>
      </c>
      <c r="B131" s="4">
        <v>-96589368434</v>
      </c>
      <c r="C131" s="5">
        <v>2</v>
      </c>
      <c r="D131" s="5">
        <v>-5.1450000000000003E-3</v>
      </c>
      <c r="E131" s="5">
        <v>1.2300999999999999E-2</v>
      </c>
      <c r="F131" s="5">
        <v>1004428</v>
      </c>
      <c r="G131" s="5">
        <v>0</v>
      </c>
      <c r="H131" s="5">
        <v>0</v>
      </c>
      <c r="I131" s="5">
        <v>0</v>
      </c>
      <c r="J131" s="5">
        <v>0</v>
      </c>
      <c r="L131">
        <f t="shared" ref="L131:L194" si="15">A131</f>
        <v>129</v>
      </c>
      <c r="M131">
        <f>'Real Analysis'!$B$3+B131/1000000</f>
        <v>2.6315659999963827</v>
      </c>
      <c r="N131">
        <f t="shared" ref="N131:N194" si="16">C131</f>
        <v>2</v>
      </c>
      <c r="O131">
        <f>IF(ABS(D131)&gt;1,D131/1000000,D131)*'Real Analysis'!$B$4</f>
        <v>-5.0472450000000002E-2</v>
      </c>
      <c r="P131">
        <f>IF(ABS(E131)&gt;1,E131/1000000,E131)*'Real Analysis'!$B$4</f>
        <v>0.12067281000000001</v>
      </c>
      <c r="Q131">
        <f>IF(ABS(F131)&gt;1,F131/1000000,F131)*'Real Analysis'!$B$4</f>
        <v>9.8534386800000018</v>
      </c>
      <c r="R131">
        <f t="shared" ref="R131:R194" si="17">IF(ABS(G131)&gt;1,G131/1000000,G131)</f>
        <v>0</v>
      </c>
      <c r="S131">
        <f t="shared" ref="S131:S194" si="18">IF(ABS(H131)&gt;1,H131/1000000,H131)</f>
        <v>0</v>
      </c>
      <c r="T131">
        <f t="shared" ref="T131:T194" si="19">IF(ABS(I131)&gt;1,I131/1000000,I131)</f>
        <v>0</v>
      </c>
      <c r="U131">
        <f t="shared" si="14"/>
        <v>0</v>
      </c>
    </row>
    <row r="132" spans="1:21" x14ac:dyDescent="0.3">
      <c r="A132" s="4">
        <v>130</v>
      </c>
      <c r="B132" s="4">
        <v>-96589354853</v>
      </c>
      <c r="C132" s="5">
        <v>2</v>
      </c>
      <c r="D132" s="5">
        <v>-4.4609999999999997E-3</v>
      </c>
      <c r="E132" s="5">
        <v>1.2257000000000001E-2</v>
      </c>
      <c r="F132" s="5">
        <v>1004455</v>
      </c>
      <c r="G132" s="5">
        <v>0</v>
      </c>
      <c r="H132" s="5">
        <v>0</v>
      </c>
      <c r="I132" s="5">
        <v>0</v>
      </c>
      <c r="J132" s="5">
        <v>0</v>
      </c>
      <c r="L132">
        <f t="shared" si="15"/>
        <v>130</v>
      </c>
      <c r="M132">
        <f>'Real Analysis'!$B$3+B132/1000000</f>
        <v>2.6451470000029076</v>
      </c>
      <c r="N132">
        <f t="shared" si="16"/>
        <v>2</v>
      </c>
      <c r="O132">
        <f>IF(ABS(D132)&gt;1,D132/1000000,D132)*'Real Analysis'!$B$4</f>
        <v>-4.3762410000000002E-2</v>
      </c>
      <c r="P132">
        <f>IF(ABS(E132)&gt;1,E132/1000000,E132)*'Real Analysis'!$B$4</f>
        <v>0.12024117000000001</v>
      </c>
      <c r="Q132">
        <f>IF(ABS(F132)&gt;1,F132/1000000,F132)*'Real Analysis'!$B$4</f>
        <v>9.8537035500000023</v>
      </c>
      <c r="R132">
        <f t="shared" si="17"/>
        <v>0</v>
      </c>
      <c r="S132">
        <f t="shared" si="18"/>
        <v>0</v>
      </c>
      <c r="T132">
        <f t="shared" si="19"/>
        <v>0</v>
      </c>
      <c r="U132">
        <f t="shared" si="14"/>
        <v>0</v>
      </c>
    </row>
    <row r="133" spans="1:21" x14ac:dyDescent="0.3">
      <c r="A133" s="4">
        <v>131</v>
      </c>
      <c r="B133" s="4">
        <v>-96589329372</v>
      </c>
      <c r="C133" s="5">
        <v>2</v>
      </c>
      <c r="D133" s="5">
        <v>-4.7429999999999998E-3</v>
      </c>
      <c r="E133" s="5">
        <v>1.2292000000000001E-2</v>
      </c>
      <c r="F133" s="5">
        <v>1004446</v>
      </c>
      <c r="G133" s="5">
        <v>0</v>
      </c>
      <c r="H133" s="5">
        <v>0</v>
      </c>
      <c r="I133" s="5">
        <v>0</v>
      </c>
      <c r="J133" s="5">
        <v>0</v>
      </c>
      <c r="L133">
        <f t="shared" si="15"/>
        <v>131</v>
      </c>
      <c r="M133">
        <f>'Real Analysis'!$B$3+B133/1000000</f>
        <v>2.6706280000071274</v>
      </c>
      <c r="N133">
        <f t="shared" si="16"/>
        <v>2</v>
      </c>
      <c r="O133">
        <f>IF(ABS(D133)&gt;1,D133/1000000,D133)*'Real Analysis'!$B$4</f>
        <v>-4.652883E-2</v>
      </c>
      <c r="P133">
        <f>IF(ABS(E133)&gt;1,E133/1000000,E133)*'Real Analysis'!$B$4</f>
        <v>0.12058452000000001</v>
      </c>
      <c r="Q133">
        <f>IF(ABS(F133)&gt;1,F133/1000000,F133)*'Real Analysis'!$B$4</f>
        <v>9.8536152599999998</v>
      </c>
      <c r="R133">
        <f t="shared" si="17"/>
        <v>0</v>
      </c>
      <c r="S133">
        <f t="shared" si="18"/>
        <v>0</v>
      </c>
      <c r="T133">
        <f t="shared" si="19"/>
        <v>0</v>
      </c>
      <c r="U133">
        <f t="shared" si="14"/>
        <v>0</v>
      </c>
    </row>
    <row r="134" spans="1:21" x14ac:dyDescent="0.3">
      <c r="A134" s="4">
        <v>132</v>
      </c>
      <c r="B134" s="4">
        <v>-96589314216</v>
      </c>
      <c r="C134" s="5">
        <v>2</v>
      </c>
      <c r="D134" s="5">
        <v>-4.8970000000000003E-3</v>
      </c>
      <c r="E134" s="5">
        <v>1.2408000000000001E-2</v>
      </c>
      <c r="F134" s="5">
        <v>1004441</v>
      </c>
      <c r="G134" s="5">
        <v>0</v>
      </c>
      <c r="H134" s="5">
        <v>0</v>
      </c>
      <c r="I134" s="5">
        <v>0</v>
      </c>
      <c r="J134" s="5">
        <v>0</v>
      </c>
      <c r="L134">
        <f t="shared" si="15"/>
        <v>132</v>
      </c>
      <c r="M134">
        <f>'Real Analysis'!$B$3+B134/1000000</f>
        <v>2.6857840000011493</v>
      </c>
      <c r="N134">
        <f t="shared" si="16"/>
        <v>2</v>
      </c>
      <c r="O134">
        <f>IF(ABS(D134)&gt;1,D134/1000000,D134)*'Real Analysis'!$B$4</f>
        <v>-4.8039570000000004E-2</v>
      </c>
      <c r="P134">
        <f>IF(ABS(E134)&gt;1,E134/1000000,E134)*'Real Analysis'!$B$4</f>
        <v>0.12172248000000001</v>
      </c>
      <c r="Q134">
        <f>IF(ABS(F134)&gt;1,F134/1000000,F134)*'Real Analysis'!$B$4</f>
        <v>9.8535662100000003</v>
      </c>
      <c r="R134">
        <f t="shared" si="17"/>
        <v>0</v>
      </c>
      <c r="S134">
        <f t="shared" si="18"/>
        <v>0</v>
      </c>
      <c r="T134">
        <f t="shared" si="19"/>
        <v>0</v>
      </c>
      <c r="U134">
        <f t="shared" si="14"/>
        <v>0</v>
      </c>
    </row>
    <row r="135" spans="1:21" x14ac:dyDescent="0.3">
      <c r="A135" s="4">
        <v>133</v>
      </c>
      <c r="B135" s="4">
        <v>-96589288166</v>
      </c>
      <c r="C135" s="5">
        <v>2</v>
      </c>
      <c r="D135" s="5">
        <v>-5.0080000000000003E-3</v>
      </c>
      <c r="E135" s="5">
        <v>1.2363000000000001E-2</v>
      </c>
      <c r="F135" s="5">
        <v>1004439</v>
      </c>
      <c r="G135" s="5">
        <v>0</v>
      </c>
      <c r="H135" s="5">
        <v>0</v>
      </c>
      <c r="I135" s="5">
        <v>0</v>
      </c>
      <c r="J135" s="5">
        <v>0</v>
      </c>
      <c r="L135">
        <f t="shared" si="15"/>
        <v>133</v>
      </c>
      <c r="M135">
        <f>'Real Analysis'!$B$3+B135/1000000</f>
        <v>2.7118340000015451</v>
      </c>
      <c r="N135">
        <f t="shared" si="16"/>
        <v>2</v>
      </c>
      <c r="O135">
        <f>IF(ABS(D135)&gt;1,D135/1000000,D135)*'Real Analysis'!$B$4</f>
        <v>-4.9128480000000002E-2</v>
      </c>
      <c r="P135">
        <f>IF(ABS(E135)&gt;1,E135/1000000,E135)*'Real Analysis'!$B$4</f>
        <v>0.12128103000000001</v>
      </c>
      <c r="Q135">
        <f>IF(ABS(F135)&gt;1,F135/1000000,F135)*'Real Analysis'!$B$4</f>
        <v>9.8535465900000005</v>
      </c>
      <c r="R135">
        <f t="shared" si="17"/>
        <v>0</v>
      </c>
      <c r="S135">
        <f t="shared" si="18"/>
        <v>0</v>
      </c>
      <c r="T135">
        <f t="shared" si="19"/>
        <v>0</v>
      </c>
      <c r="U135">
        <f t="shared" si="14"/>
        <v>0</v>
      </c>
    </row>
    <row r="136" spans="1:21" x14ac:dyDescent="0.3">
      <c r="A136" s="4">
        <v>134</v>
      </c>
      <c r="B136" s="4">
        <v>-96589268244</v>
      </c>
      <c r="C136" s="5">
        <v>2</v>
      </c>
      <c r="D136" s="5">
        <v>-4.9509999999999997E-3</v>
      </c>
      <c r="E136" s="5">
        <v>1.2233000000000001E-2</v>
      </c>
      <c r="F136" s="5">
        <v>1004436</v>
      </c>
      <c r="G136" s="5">
        <v>0</v>
      </c>
      <c r="H136" s="5">
        <v>0</v>
      </c>
      <c r="I136" s="5">
        <v>0</v>
      </c>
      <c r="J136" s="5">
        <v>0</v>
      </c>
      <c r="L136">
        <f t="shared" si="15"/>
        <v>134</v>
      </c>
      <c r="M136">
        <f>'Real Analysis'!$B$3+B136/1000000</f>
        <v>2.7317559999937657</v>
      </c>
      <c r="N136">
        <f t="shared" si="16"/>
        <v>2</v>
      </c>
      <c r="O136">
        <f>IF(ABS(D136)&gt;1,D136/1000000,D136)*'Real Analysis'!$B$4</f>
        <v>-4.8569309999999997E-2</v>
      </c>
      <c r="P136">
        <f>IF(ABS(E136)&gt;1,E136/1000000,E136)*'Real Analysis'!$B$4</f>
        <v>0.12000573000000002</v>
      </c>
      <c r="Q136">
        <f>IF(ABS(F136)&gt;1,F136/1000000,F136)*'Real Analysis'!$B$4</f>
        <v>9.8535171600000009</v>
      </c>
      <c r="R136">
        <f t="shared" si="17"/>
        <v>0</v>
      </c>
      <c r="S136">
        <f t="shared" si="18"/>
        <v>0</v>
      </c>
      <c r="T136">
        <f t="shared" si="19"/>
        <v>0</v>
      </c>
      <c r="U136">
        <f t="shared" si="14"/>
        <v>0</v>
      </c>
    </row>
    <row r="137" spans="1:21" x14ac:dyDescent="0.3">
      <c r="A137" s="4">
        <v>135</v>
      </c>
      <c r="B137" s="4">
        <v>-96589253261</v>
      </c>
      <c r="C137" s="5">
        <v>2</v>
      </c>
      <c r="D137" s="5">
        <v>-4.9020000000000001E-3</v>
      </c>
      <c r="E137" s="5">
        <v>1.2177E-2</v>
      </c>
      <c r="F137" s="5">
        <v>1004439</v>
      </c>
      <c r="G137" s="5">
        <v>0</v>
      </c>
      <c r="H137" s="5">
        <v>0</v>
      </c>
      <c r="I137" s="5">
        <v>0</v>
      </c>
      <c r="J137" s="5">
        <v>0</v>
      </c>
      <c r="L137">
        <f t="shared" si="15"/>
        <v>135</v>
      </c>
      <c r="M137">
        <f>'Real Analysis'!$B$3+B137/1000000</f>
        <v>2.7467389999947045</v>
      </c>
      <c r="N137">
        <f t="shared" si="16"/>
        <v>2</v>
      </c>
      <c r="O137">
        <f>IF(ABS(D137)&gt;1,D137/1000000,D137)*'Real Analysis'!$B$4</f>
        <v>-4.8088620000000006E-2</v>
      </c>
      <c r="P137">
        <f>IF(ABS(E137)&gt;1,E137/1000000,E137)*'Real Analysis'!$B$4</f>
        <v>0.11945637000000001</v>
      </c>
      <c r="Q137">
        <f>IF(ABS(F137)&gt;1,F137/1000000,F137)*'Real Analysis'!$B$4</f>
        <v>9.8535465900000005</v>
      </c>
      <c r="R137">
        <f t="shared" si="17"/>
        <v>0</v>
      </c>
      <c r="S137">
        <f t="shared" si="18"/>
        <v>0</v>
      </c>
      <c r="T137">
        <f t="shared" si="19"/>
        <v>0</v>
      </c>
      <c r="U137">
        <f t="shared" si="14"/>
        <v>0</v>
      </c>
    </row>
    <row r="138" spans="1:21" x14ac:dyDescent="0.3">
      <c r="A138" s="4">
        <v>136</v>
      </c>
      <c r="B138" s="4">
        <v>-96589228264</v>
      </c>
      <c r="C138" s="5">
        <v>2</v>
      </c>
      <c r="D138" s="5">
        <v>-4.9100000000000003E-3</v>
      </c>
      <c r="E138" s="5">
        <v>1.2333999999999999E-2</v>
      </c>
      <c r="F138" s="5">
        <v>1004438</v>
      </c>
      <c r="G138" s="5">
        <v>0</v>
      </c>
      <c r="H138" s="5">
        <v>0</v>
      </c>
      <c r="I138" s="5">
        <v>0</v>
      </c>
      <c r="J138" s="5">
        <v>0</v>
      </c>
      <c r="L138">
        <f t="shared" si="15"/>
        <v>136</v>
      </c>
      <c r="M138">
        <f>'Real Analysis'!$B$3+B138/1000000</f>
        <v>2.7717359999951441</v>
      </c>
      <c r="N138">
        <f t="shared" si="16"/>
        <v>2</v>
      </c>
      <c r="O138">
        <f>IF(ABS(D138)&gt;1,D138/1000000,D138)*'Real Analysis'!$B$4</f>
        <v>-4.8167100000000004E-2</v>
      </c>
      <c r="P138">
        <f>IF(ABS(E138)&gt;1,E138/1000000,E138)*'Real Analysis'!$B$4</f>
        <v>0.12099654</v>
      </c>
      <c r="Q138">
        <f>IF(ABS(F138)&gt;1,F138/1000000,F138)*'Real Analysis'!$B$4</f>
        <v>9.8535367800000007</v>
      </c>
      <c r="R138">
        <f t="shared" si="17"/>
        <v>0</v>
      </c>
      <c r="S138">
        <f t="shared" si="18"/>
        <v>0</v>
      </c>
      <c r="T138">
        <f t="shared" si="19"/>
        <v>0</v>
      </c>
      <c r="U138">
        <f t="shared" si="14"/>
        <v>0</v>
      </c>
    </row>
    <row r="139" spans="1:21" x14ac:dyDescent="0.3">
      <c r="A139" s="4">
        <v>137</v>
      </c>
      <c r="B139" s="4">
        <v>-96589217677</v>
      </c>
      <c r="C139" s="5">
        <v>2</v>
      </c>
      <c r="D139" s="5">
        <v>-4.934E-3</v>
      </c>
      <c r="E139" s="5">
        <v>1.2370000000000001E-2</v>
      </c>
      <c r="F139" s="5">
        <v>1004437</v>
      </c>
      <c r="G139" s="5">
        <v>0</v>
      </c>
      <c r="H139" s="5">
        <v>0</v>
      </c>
      <c r="I139" s="5">
        <v>0</v>
      </c>
      <c r="J139" s="5">
        <v>0</v>
      </c>
      <c r="L139">
        <f t="shared" si="15"/>
        <v>137</v>
      </c>
      <c r="M139">
        <f>'Real Analysis'!$B$3+B139/1000000</f>
        <v>2.7823230000067269</v>
      </c>
      <c r="N139">
        <f t="shared" si="16"/>
        <v>2</v>
      </c>
      <c r="O139">
        <f>IF(ABS(D139)&gt;1,D139/1000000,D139)*'Real Analysis'!$B$4</f>
        <v>-4.8402540000000001E-2</v>
      </c>
      <c r="P139">
        <f>IF(ABS(E139)&gt;1,E139/1000000,E139)*'Real Analysis'!$B$4</f>
        <v>0.12134970000000002</v>
      </c>
      <c r="Q139">
        <f>IF(ABS(F139)&gt;1,F139/1000000,F139)*'Real Analysis'!$B$4</f>
        <v>9.8535269700000008</v>
      </c>
      <c r="R139">
        <f t="shared" si="17"/>
        <v>0</v>
      </c>
      <c r="S139">
        <f t="shared" si="18"/>
        <v>0</v>
      </c>
      <c r="T139">
        <f t="shared" si="19"/>
        <v>0</v>
      </c>
      <c r="U139">
        <f t="shared" ref="U139:U202" si="20">J139/1000</f>
        <v>0</v>
      </c>
    </row>
    <row r="140" spans="1:21" x14ac:dyDescent="0.3">
      <c r="A140" s="4">
        <v>138</v>
      </c>
      <c r="B140" s="4">
        <v>-96589188086</v>
      </c>
      <c r="C140" s="5">
        <v>2</v>
      </c>
      <c r="D140" s="5">
        <v>-4.9670000000000001E-3</v>
      </c>
      <c r="E140" s="5">
        <v>1.2297000000000001E-2</v>
      </c>
      <c r="F140" s="5">
        <v>1004438</v>
      </c>
      <c r="G140" s="5">
        <v>0</v>
      </c>
      <c r="H140" s="5">
        <v>0</v>
      </c>
      <c r="I140" s="5">
        <v>0</v>
      </c>
      <c r="J140" s="5">
        <v>0</v>
      </c>
      <c r="L140">
        <f t="shared" si="15"/>
        <v>138</v>
      </c>
      <c r="M140">
        <f>'Real Analysis'!$B$3+B140/1000000</f>
        <v>2.8119140000053449</v>
      </c>
      <c r="N140">
        <f t="shared" si="16"/>
        <v>2</v>
      </c>
      <c r="O140">
        <f>IF(ABS(D140)&gt;1,D140/1000000,D140)*'Real Analysis'!$B$4</f>
        <v>-4.8726270000000002E-2</v>
      </c>
      <c r="P140">
        <f>IF(ABS(E140)&gt;1,E140/1000000,E140)*'Real Analysis'!$B$4</f>
        <v>0.12063357000000001</v>
      </c>
      <c r="Q140">
        <f>IF(ABS(F140)&gt;1,F140/1000000,F140)*'Real Analysis'!$B$4</f>
        <v>9.8535367800000007</v>
      </c>
      <c r="R140">
        <f t="shared" si="17"/>
        <v>0</v>
      </c>
      <c r="S140">
        <f t="shared" si="18"/>
        <v>0</v>
      </c>
      <c r="T140">
        <f t="shared" si="19"/>
        <v>0</v>
      </c>
      <c r="U140">
        <f t="shared" si="20"/>
        <v>0</v>
      </c>
    </row>
    <row r="141" spans="1:21" x14ac:dyDescent="0.3">
      <c r="A141" s="4">
        <v>139</v>
      </c>
      <c r="B141" s="4">
        <v>-96589179023</v>
      </c>
      <c r="C141" s="5">
        <v>2</v>
      </c>
      <c r="D141" s="5">
        <v>-1.542E-3</v>
      </c>
      <c r="E141" s="5">
        <v>1.2323000000000001E-2</v>
      </c>
      <c r="F141" s="5">
        <v>1004569</v>
      </c>
      <c r="G141" s="5">
        <v>0</v>
      </c>
      <c r="H141" s="5">
        <v>0</v>
      </c>
      <c r="I141" s="5">
        <v>0</v>
      </c>
      <c r="J141" s="5">
        <v>0</v>
      </c>
      <c r="L141">
        <f t="shared" si="15"/>
        <v>139</v>
      </c>
      <c r="M141">
        <f>'Real Analysis'!$B$3+B141/1000000</f>
        <v>2.8209769999957643</v>
      </c>
      <c r="N141">
        <f t="shared" si="16"/>
        <v>2</v>
      </c>
      <c r="O141">
        <f>IF(ABS(D141)&gt;1,D141/1000000,D141)*'Real Analysis'!$B$4</f>
        <v>-1.512702E-2</v>
      </c>
      <c r="P141">
        <f>IF(ABS(E141)&gt;1,E141/1000000,E141)*'Real Analysis'!$B$4</f>
        <v>0.12088863000000001</v>
      </c>
      <c r="Q141">
        <f>IF(ABS(F141)&gt;1,F141/1000000,F141)*'Real Analysis'!$B$4</f>
        <v>9.8548218900000002</v>
      </c>
      <c r="R141">
        <f t="shared" si="17"/>
        <v>0</v>
      </c>
      <c r="S141">
        <f t="shared" si="18"/>
        <v>0</v>
      </c>
      <c r="T141">
        <f t="shared" si="19"/>
        <v>0</v>
      </c>
      <c r="U141">
        <f t="shared" si="20"/>
        <v>0</v>
      </c>
    </row>
    <row r="142" spans="1:21" x14ac:dyDescent="0.3">
      <c r="A142" s="4">
        <v>140</v>
      </c>
      <c r="B142" s="4">
        <v>-96589148282</v>
      </c>
      <c r="C142" s="5">
        <v>2</v>
      </c>
      <c r="D142" s="5">
        <v>-5.7289999999999997E-3</v>
      </c>
      <c r="E142" s="5">
        <v>1.2359E-2</v>
      </c>
      <c r="F142" s="5">
        <v>1004406</v>
      </c>
      <c r="G142" s="5">
        <v>0</v>
      </c>
      <c r="H142" s="5">
        <v>0</v>
      </c>
      <c r="I142" s="5">
        <v>0</v>
      </c>
      <c r="J142" s="5">
        <v>0</v>
      </c>
      <c r="L142">
        <f t="shared" si="15"/>
        <v>140</v>
      </c>
      <c r="M142">
        <f>'Real Analysis'!$B$3+B142/1000000</f>
        <v>2.8517180000053486</v>
      </c>
      <c r="N142">
        <f t="shared" si="16"/>
        <v>2</v>
      </c>
      <c r="O142">
        <f>IF(ABS(D142)&gt;1,D142/1000000,D142)*'Real Analysis'!$B$4</f>
        <v>-5.620149E-2</v>
      </c>
      <c r="P142">
        <f>IF(ABS(E142)&gt;1,E142/1000000,E142)*'Real Analysis'!$B$4</f>
        <v>0.12124179</v>
      </c>
      <c r="Q142">
        <f>IF(ABS(F142)&gt;1,F142/1000000,F142)*'Real Analysis'!$B$4</f>
        <v>9.8532228599999989</v>
      </c>
      <c r="R142">
        <f t="shared" si="17"/>
        <v>0</v>
      </c>
      <c r="S142">
        <f t="shared" si="18"/>
        <v>0</v>
      </c>
      <c r="T142">
        <f t="shared" si="19"/>
        <v>0</v>
      </c>
      <c r="U142">
        <f t="shared" si="20"/>
        <v>0</v>
      </c>
    </row>
    <row r="143" spans="1:21" x14ac:dyDescent="0.3">
      <c r="A143" s="4">
        <v>141</v>
      </c>
      <c r="B143" s="4">
        <v>-96589128289</v>
      </c>
      <c r="C143" s="5">
        <v>2</v>
      </c>
      <c r="D143" s="5">
        <v>-4.9360000000000003E-3</v>
      </c>
      <c r="E143" s="5">
        <v>1.2326999999999999E-2</v>
      </c>
      <c r="F143" s="5">
        <v>1004438</v>
      </c>
      <c r="G143" s="5">
        <v>0</v>
      </c>
      <c r="H143" s="5">
        <v>0</v>
      </c>
      <c r="I143" s="5">
        <v>0</v>
      </c>
      <c r="J143" s="5">
        <v>0</v>
      </c>
      <c r="L143">
        <f t="shared" si="15"/>
        <v>141</v>
      </c>
      <c r="M143">
        <f>'Real Analysis'!$B$3+B143/1000000</f>
        <v>2.8717109999997774</v>
      </c>
      <c r="N143">
        <f t="shared" si="16"/>
        <v>2</v>
      </c>
      <c r="O143">
        <f>IF(ABS(D143)&gt;1,D143/1000000,D143)*'Real Analysis'!$B$4</f>
        <v>-4.8422160000000006E-2</v>
      </c>
      <c r="P143">
        <f>IF(ABS(E143)&gt;1,E143/1000000,E143)*'Real Analysis'!$B$4</f>
        <v>0.12092787000000001</v>
      </c>
      <c r="Q143">
        <f>IF(ABS(F143)&gt;1,F143/1000000,F143)*'Real Analysis'!$B$4</f>
        <v>9.8535367800000007</v>
      </c>
      <c r="R143">
        <f t="shared" si="17"/>
        <v>0</v>
      </c>
      <c r="S143">
        <f t="shared" si="18"/>
        <v>0</v>
      </c>
      <c r="T143">
        <f t="shared" si="19"/>
        <v>0</v>
      </c>
      <c r="U143">
        <f t="shared" si="20"/>
        <v>0</v>
      </c>
    </row>
    <row r="144" spans="1:21" x14ac:dyDescent="0.3">
      <c r="A144" s="4">
        <v>142</v>
      </c>
      <c r="B144" s="4">
        <v>-96589118552</v>
      </c>
      <c r="C144" s="5">
        <v>2</v>
      </c>
      <c r="D144" s="5">
        <v>-5.5380000000000004E-3</v>
      </c>
      <c r="E144" s="5">
        <v>1.2245000000000001E-2</v>
      </c>
      <c r="F144" s="5">
        <v>1004413</v>
      </c>
      <c r="G144" s="5">
        <v>0</v>
      </c>
      <c r="H144" s="5">
        <v>0</v>
      </c>
      <c r="I144" s="5">
        <v>0</v>
      </c>
      <c r="J144" s="5">
        <v>0</v>
      </c>
      <c r="L144">
        <f t="shared" si="15"/>
        <v>142</v>
      </c>
      <c r="M144">
        <f>'Real Analysis'!$B$3+B144/1000000</f>
        <v>2.8814480000000913</v>
      </c>
      <c r="N144">
        <f t="shared" si="16"/>
        <v>2</v>
      </c>
      <c r="O144">
        <f>IF(ABS(D144)&gt;1,D144/1000000,D144)*'Real Analysis'!$B$4</f>
        <v>-5.4327780000000006E-2</v>
      </c>
      <c r="P144">
        <f>IF(ABS(E144)&gt;1,E144/1000000,E144)*'Real Analysis'!$B$4</f>
        <v>0.12012345000000001</v>
      </c>
      <c r="Q144">
        <f>IF(ABS(F144)&gt;1,F144/1000000,F144)*'Real Analysis'!$B$4</f>
        <v>9.8532915299999999</v>
      </c>
      <c r="R144">
        <f t="shared" si="17"/>
        <v>0</v>
      </c>
      <c r="S144">
        <f t="shared" si="18"/>
        <v>0</v>
      </c>
      <c r="T144">
        <f t="shared" si="19"/>
        <v>0</v>
      </c>
      <c r="U144">
        <f t="shared" si="20"/>
        <v>0</v>
      </c>
    </row>
    <row r="145" spans="1:21" x14ac:dyDescent="0.3">
      <c r="A145" s="4">
        <v>143</v>
      </c>
      <c r="B145" s="4">
        <v>-96589092638</v>
      </c>
      <c r="C145" s="5">
        <v>2</v>
      </c>
      <c r="D145" s="5">
        <v>-5.0879999999999996E-3</v>
      </c>
      <c r="E145" s="5">
        <v>1.2248999999999999E-2</v>
      </c>
      <c r="F145" s="5">
        <v>1004431</v>
      </c>
      <c r="G145" s="5">
        <v>0</v>
      </c>
      <c r="H145" s="5">
        <v>0</v>
      </c>
      <c r="I145" s="5">
        <v>0</v>
      </c>
      <c r="J145" s="5">
        <v>0</v>
      </c>
      <c r="L145">
        <f t="shared" si="15"/>
        <v>143</v>
      </c>
      <c r="M145">
        <f>'Real Analysis'!$B$3+B145/1000000</f>
        <v>2.907361999998102</v>
      </c>
      <c r="N145">
        <f t="shared" si="16"/>
        <v>2</v>
      </c>
      <c r="O145">
        <f>IF(ABS(D145)&gt;1,D145/1000000,D145)*'Real Analysis'!$B$4</f>
        <v>-4.9913279999999997E-2</v>
      </c>
      <c r="P145">
        <f>IF(ABS(E145)&gt;1,E145/1000000,E145)*'Real Analysis'!$B$4</f>
        <v>0.12016269</v>
      </c>
      <c r="Q145">
        <f>IF(ABS(F145)&gt;1,F145/1000000,F145)*'Real Analysis'!$B$4</f>
        <v>9.8534681100000014</v>
      </c>
      <c r="R145">
        <f t="shared" si="17"/>
        <v>0</v>
      </c>
      <c r="S145">
        <f t="shared" si="18"/>
        <v>0</v>
      </c>
      <c r="T145">
        <f t="shared" si="19"/>
        <v>0</v>
      </c>
      <c r="U145">
        <f t="shared" si="20"/>
        <v>0</v>
      </c>
    </row>
    <row r="146" spans="1:21" x14ac:dyDescent="0.3">
      <c r="A146" s="4">
        <v>144</v>
      </c>
      <c r="B146" s="4">
        <v>-96589076599</v>
      </c>
      <c r="C146" s="5">
        <v>2</v>
      </c>
      <c r="D146" s="5">
        <v>-5.0590000000000001E-3</v>
      </c>
      <c r="E146" s="5">
        <v>1.2338999999999999E-2</v>
      </c>
      <c r="F146" s="5">
        <v>1004436</v>
      </c>
      <c r="G146" s="5">
        <v>0</v>
      </c>
      <c r="H146" s="5">
        <v>0</v>
      </c>
      <c r="I146" s="5">
        <v>0</v>
      </c>
      <c r="J146" s="5">
        <v>0</v>
      </c>
      <c r="L146">
        <f t="shared" si="15"/>
        <v>144</v>
      </c>
      <c r="M146">
        <f>'Real Analysis'!$B$3+B146/1000000</f>
        <v>2.9234009999927366</v>
      </c>
      <c r="N146">
        <f t="shared" si="16"/>
        <v>2</v>
      </c>
      <c r="O146">
        <f>IF(ABS(D146)&gt;1,D146/1000000,D146)*'Real Analysis'!$B$4</f>
        <v>-4.9628790000000006E-2</v>
      </c>
      <c r="P146">
        <f>IF(ABS(E146)&gt;1,E146/1000000,E146)*'Real Analysis'!$B$4</f>
        <v>0.12104558999999999</v>
      </c>
      <c r="Q146">
        <f>IF(ABS(F146)&gt;1,F146/1000000,F146)*'Real Analysis'!$B$4</f>
        <v>9.8535171600000009</v>
      </c>
      <c r="R146">
        <f t="shared" si="17"/>
        <v>0</v>
      </c>
      <c r="S146">
        <f t="shared" si="18"/>
        <v>0</v>
      </c>
      <c r="T146">
        <f t="shared" si="19"/>
        <v>0</v>
      </c>
      <c r="U146">
        <f t="shared" si="20"/>
        <v>0</v>
      </c>
    </row>
    <row r="147" spans="1:21" x14ac:dyDescent="0.3">
      <c r="A147" s="4">
        <v>145</v>
      </c>
      <c r="B147" s="4">
        <v>-96589051592</v>
      </c>
      <c r="C147" s="5">
        <v>2</v>
      </c>
      <c r="D147" s="5">
        <v>-4.9410000000000001E-3</v>
      </c>
      <c r="E147" s="5">
        <v>1.2293E-2</v>
      </c>
      <c r="F147" s="5">
        <v>1004436</v>
      </c>
      <c r="G147" s="5">
        <v>0</v>
      </c>
      <c r="H147" s="5">
        <v>0</v>
      </c>
      <c r="I147" s="5">
        <v>0</v>
      </c>
      <c r="J147" s="5">
        <v>0</v>
      </c>
      <c r="L147">
        <f t="shared" si="15"/>
        <v>145</v>
      </c>
      <c r="M147">
        <f>'Real Analysis'!$B$3+B147/1000000</f>
        <v>2.9484079999965616</v>
      </c>
      <c r="N147">
        <f t="shared" si="16"/>
        <v>2</v>
      </c>
      <c r="O147">
        <f>IF(ABS(D147)&gt;1,D147/1000000,D147)*'Real Analysis'!$B$4</f>
        <v>-4.8471210000000001E-2</v>
      </c>
      <c r="P147">
        <f>IF(ABS(E147)&gt;1,E147/1000000,E147)*'Real Analysis'!$B$4</f>
        <v>0.12059433000000001</v>
      </c>
      <c r="Q147">
        <f>IF(ABS(F147)&gt;1,F147/1000000,F147)*'Real Analysis'!$B$4</f>
        <v>9.8535171600000009</v>
      </c>
      <c r="R147">
        <f t="shared" si="17"/>
        <v>0</v>
      </c>
      <c r="S147">
        <f t="shared" si="18"/>
        <v>0</v>
      </c>
      <c r="T147">
        <f t="shared" si="19"/>
        <v>0</v>
      </c>
      <c r="U147">
        <f t="shared" si="20"/>
        <v>0</v>
      </c>
    </row>
    <row r="148" spans="1:21" x14ac:dyDescent="0.3">
      <c r="A148" s="4">
        <v>146</v>
      </c>
      <c r="B148" s="4">
        <v>-96589032594</v>
      </c>
      <c r="C148" s="5">
        <v>2</v>
      </c>
      <c r="D148" s="5">
        <v>-5.0670000000000003E-3</v>
      </c>
      <c r="E148" s="5">
        <v>1.2451E-2</v>
      </c>
      <c r="F148" s="5">
        <v>1013162</v>
      </c>
      <c r="G148" s="5">
        <v>0</v>
      </c>
      <c r="H148" s="5">
        <v>0</v>
      </c>
      <c r="I148" s="5">
        <v>0</v>
      </c>
      <c r="J148" s="5">
        <v>0</v>
      </c>
      <c r="L148">
        <f t="shared" si="15"/>
        <v>146</v>
      </c>
      <c r="M148">
        <f>'Real Analysis'!$B$3+B148/1000000</f>
        <v>2.9674059999961173</v>
      </c>
      <c r="N148">
        <f t="shared" si="16"/>
        <v>2</v>
      </c>
      <c r="O148">
        <f>IF(ABS(D148)&gt;1,D148/1000000,D148)*'Real Analysis'!$B$4</f>
        <v>-4.9707270000000005E-2</v>
      </c>
      <c r="P148">
        <f>IF(ABS(E148)&gt;1,E148/1000000,E148)*'Real Analysis'!$B$4</f>
        <v>0.12214431000000001</v>
      </c>
      <c r="Q148">
        <f>IF(ABS(F148)&gt;1,F148/1000000,F148)*'Real Analysis'!$B$4</f>
        <v>9.9391192200000003</v>
      </c>
      <c r="R148">
        <f t="shared" si="17"/>
        <v>0</v>
      </c>
      <c r="S148">
        <f t="shared" si="18"/>
        <v>0</v>
      </c>
      <c r="T148">
        <f t="shared" si="19"/>
        <v>0</v>
      </c>
      <c r="U148">
        <f t="shared" si="20"/>
        <v>0</v>
      </c>
    </row>
    <row r="149" spans="1:21" x14ac:dyDescent="0.3">
      <c r="A149" s="4">
        <v>147</v>
      </c>
      <c r="B149" s="4">
        <v>-96589012829</v>
      </c>
      <c r="C149" s="5">
        <v>2</v>
      </c>
      <c r="D149" s="5">
        <v>-5.1999999999999998E-3</v>
      </c>
      <c r="E149" s="5">
        <v>1.2383E-2</v>
      </c>
      <c r="F149" s="5">
        <v>1012339</v>
      </c>
      <c r="G149" s="5">
        <v>0</v>
      </c>
      <c r="H149" s="5">
        <v>0</v>
      </c>
      <c r="I149" s="5">
        <v>0</v>
      </c>
      <c r="J149" s="5">
        <v>0</v>
      </c>
      <c r="L149">
        <f t="shared" si="15"/>
        <v>147</v>
      </c>
      <c r="M149">
        <f>'Real Analysis'!$B$3+B149/1000000</f>
        <v>2.9871710000006715</v>
      </c>
      <c r="N149">
        <f t="shared" si="16"/>
        <v>2</v>
      </c>
      <c r="O149">
        <f>IF(ABS(D149)&gt;1,D149/1000000,D149)*'Real Analysis'!$B$4</f>
        <v>-5.1012000000000002E-2</v>
      </c>
      <c r="P149">
        <f>IF(ABS(E149)&gt;1,E149/1000000,E149)*'Real Analysis'!$B$4</f>
        <v>0.12147723000000001</v>
      </c>
      <c r="Q149">
        <f>IF(ABS(F149)&gt;1,F149/1000000,F149)*'Real Analysis'!$B$4</f>
        <v>9.9310455900000019</v>
      </c>
      <c r="R149">
        <f t="shared" si="17"/>
        <v>0</v>
      </c>
      <c r="S149">
        <f t="shared" si="18"/>
        <v>0</v>
      </c>
      <c r="T149">
        <f t="shared" si="19"/>
        <v>0</v>
      </c>
      <c r="U149">
        <f t="shared" si="20"/>
        <v>0</v>
      </c>
    </row>
    <row r="150" spans="1:21" x14ac:dyDescent="0.3">
      <c r="A150" s="4">
        <v>148</v>
      </c>
      <c r="B150" s="4">
        <v>-96588990206</v>
      </c>
      <c r="C150" s="5">
        <v>2</v>
      </c>
      <c r="D150" s="5">
        <v>-4.947E-3</v>
      </c>
      <c r="E150" s="5">
        <v>1.2312E-2</v>
      </c>
      <c r="F150" s="5">
        <v>1003629</v>
      </c>
      <c r="G150" s="5">
        <v>0</v>
      </c>
      <c r="H150" s="5">
        <v>0</v>
      </c>
      <c r="I150" s="5">
        <v>0</v>
      </c>
      <c r="J150" s="5">
        <v>0</v>
      </c>
      <c r="L150">
        <f t="shared" si="15"/>
        <v>148</v>
      </c>
      <c r="M150">
        <f>'Real Analysis'!$B$3+B150/1000000</f>
        <v>3.0097939999977825</v>
      </c>
      <c r="N150">
        <f t="shared" si="16"/>
        <v>2</v>
      </c>
      <c r="O150">
        <f>IF(ABS(D150)&gt;1,D150/1000000,D150)*'Real Analysis'!$B$4</f>
        <v>-4.8530070000000002E-2</v>
      </c>
      <c r="P150">
        <f>IF(ABS(E150)&gt;1,E150/1000000,E150)*'Real Analysis'!$B$4</f>
        <v>0.12078072000000001</v>
      </c>
      <c r="Q150">
        <f>IF(ABS(F150)&gt;1,F150/1000000,F150)*'Real Analysis'!$B$4</f>
        <v>9.8456004900000007</v>
      </c>
      <c r="R150">
        <f t="shared" si="17"/>
        <v>0</v>
      </c>
      <c r="S150">
        <f t="shared" si="18"/>
        <v>0</v>
      </c>
      <c r="T150">
        <f t="shared" si="19"/>
        <v>0</v>
      </c>
      <c r="U150">
        <f t="shared" si="20"/>
        <v>0</v>
      </c>
    </row>
    <row r="151" spans="1:21" x14ac:dyDescent="0.3">
      <c r="A151" s="4">
        <v>149</v>
      </c>
      <c r="B151" s="4">
        <v>-96588972518</v>
      </c>
      <c r="C151" s="5">
        <v>2</v>
      </c>
      <c r="D151" s="5">
        <v>-4.8809999999999999E-3</v>
      </c>
      <c r="E151" s="5">
        <v>1.2305999999999999E-2</v>
      </c>
      <c r="F151" s="5">
        <v>1004617</v>
      </c>
      <c r="G151" s="5">
        <v>0</v>
      </c>
      <c r="H151" s="5">
        <v>0</v>
      </c>
      <c r="I151" s="5">
        <v>0</v>
      </c>
      <c r="J151" s="5">
        <v>0</v>
      </c>
      <c r="L151">
        <f t="shared" si="15"/>
        <v>149</v>
      </c>
      <c r="M151">
        <f>'Real Analysis'!$B$3+B151/1000000</f>
        <v>3.0274820000049658</v>
      </c>
      <c r="N151">
        <f t="shared" si="16"/>
        <v>2</v>
      </c>
      <c r="O151">
        <f>IF(ABS(D151)&gt;1,D151/1000000,D151)*'Real Analysis'!$B$4</f>
        <v>-4.7882609999999999E-2</v>
      </c>
      <c r="P151">
        <f>IF(ABS(E151)&gt;1,E151/1000000,E151)*'Real Analysis'!$B$4</f>
        <v>0.12072186</v>
      </c>
      <c r="Q151">
        <f>IF(ABS(F151)&gt;1,F151/1000000,F151)*'Real Analysis'!$B$4</f>
        <v>9.8552927700000019</v>
      </c>
      <c r="R151">
        <f t="shared" si="17"/>
        <v>0</v>
      </c>
      <c r="S151">
        <f t="shared" si="18"/>
        <v>0</v>
      </c>
      <c r="T151">
        <f t="shared" si="19"/>
        <v>0</v>
      </c>
      <c r="U151">
        <f t="shared" si="20"/>
        <v>0</v>
      </c>
    </row>
    <row r="152" spans="1:21" x14ac:dyDescent="0.3">
      <c r="A152" s="4">
        <v>150</v>
      </c>
      <c r="B152" s="4">
        <v>-96588950717</v>
      </c>
      <c r="C152" s="5">
        <v>2</v>
      </c>
      <c r="D152" s="5">
        <v>-4.901E-3</v>
      </c>
      <c r="E152" s="5">
        <v>1.223E-2</v>
      </c>
      <c r="F152" s="5">
        <v>1001112</v>
      </c>
      <c r="G152" s="5">
        <v>0</v>
      </c>
      <c r="H152" s="5">
        <v>0</v>
      </c>
      <c r="I152" s="5">
        <v>0</v>
      </c>
      <c r="J152" s="5">
        <v>0</v>
      </c>
      <c r="L152">
        <f t="shared" si="15"/>
        <v>150</v>
      </c>
      <c r="M152">
        <f>'Real Analysis'!$B$3+B152/1000000</f>
        <v>3.0492830000002868</v>
      </c>
      <c r="N152">
        <f t="shared" si="16"/>
        <v>2</v>
      </c>
      <c r="O152">
        <f>IF(ABS(D152)&gt;1,D152/1000000,D152)*'Real Analysis'!$B$4</f>
        <v>-4.807881E-2</v>
      </c>
      <c r="P152">
        <f>IF(ABS(E152)&gt;1,E152/1000000,E152)*'Real Analysis'!$B$4</f>
        <v>0.11997630000000001</v>
      </c>
      <c r="Q152">
        <f>IF(ABS(F152)&gt;1,F152/1000000,F152)*'Real Analysis'!$B$4</f>
        <v>9.8209087200000003</v>
      </c>
      <c r="R152">
        <f t="shared" si="17"/>
        <v>0</v>
      </c>
      <c r="S152">
        <f t="shared" si="18"/>
        <v>0</v>
      </c>
      <c r="T152">
        <f t="shared" si="19"/>
        <v>0</v>
      </c>
      <c r="U152">
        <f t="shared" si="20"/>
        <v>0</v>
      </c>
    </row>
    <row r="153" spans="1:21" x14ac:dyDescent="0.3">
      <c r="A153" s="4">
        <v>151</v>
      </c>
      <c r="B153" s="4">
        <v>-96588932335</v>
      </c>
      <c r="C153" s="5">
        <v>2</v>
      </c>
      <c r="D153" s="5">
        <v>-4.8199999999999996E-3</v>
      </c>
      <c r="E153" s="5">
        <v>1.2267E-2</v>
      </c>
      <c r="F153" s="5">
        <v>0.99926700000000002</v>
      </c>
      <c r="G153" s="5">
        <v>0</v>
      </c>
      <c r="H153" s="5">
        <v>0</v>
      </c>
      <c r="I153" s="5">
        <v>0</v>
      </c>
      <c r="J153" s="5">
        <v>0</v>
      </c>
      <c r="L153">
        <f t="shared" si="15"/>
        <v>151</v>
      </c>
      <c r="M153">
        <f>'Real Analysis'!$B$3+B153/1000000</f>
        <v>3.0676649999950314</v>
      </c>
      <c r="N153">
        <f t="shared" si="16"/>
        <v>2</v>
      </c>
      <c r="O153">
        <f>IF(ABS(D153)&gt;1,D153/1000000,D153)*'Real Analysis'!$B$4</f>
        <v>-4.7284199999999998E-2</v>
      </c>
      <c r="P153">
        <f>IF(ABS(E153)&gt;1,E153/1000000,E153)*'Real Analysis'!$B$4</f>
        <v>0.12033927000000001</v>
      </c>
      <c r="Q153">
        <f>IF(ABS(F153)&gt;1,F153/1000000,F153)*'Real Analysis'!$B$4</f>
        <v>9.8028092700000009</v>
      </c>
      <c r="R153">
        <f t="shared" si="17"/>
        <v>0</v>
      </c>
      <c r="S153">
        <f t="shared" si="18"/>
        <v>0</v>
      </c>
      <c r="T153">
        <f t="shared" si="19"/>
        <v>0</v>
      </c>
      <c r="U153">
        <f t="shared" si="20"/>
        <v>0</v>
      </c>
    </row>
    <row r="154" spans="1:21" x14ac:dyDescent="0.3">
      <c r="A154" s="4">
        <v>152</v>
      </c>
      <c r="B154" s="4">
        <v>-96588912216</v>
      </c>
      <c r="C154" s="5">
        <v>2</v>
      </c>
      <c r="D154" s="5">
        <v>-4.9410000000000001E-3</v>
      </c>
      <c r="E154" s="5">
        <v>1.227E-2</v>
      </c>
      <c r="F154" s="5">
        <v>1002546</v>
      </c>
      <c r="G154" s="5">
        <v>0</v>
      </c>
      <c r="H154" s="5">
        <v>0</v>
      </c>
      <c r="I154" s="5">
        <v>0</v>
      </c>
      <c r="J154" s="5">
        <v>0</v>
      </c>
      <c r="L154">
        <f t="shared" si="15"/>
        <v>152</v>
      </c>
      <c r="M154">
        <f>'Real Analysis'!$B$3+B154/1000000</f>
        <v>3.0877840000030119</v>
      </c>
      <c r="N154">
        <f t="shared" si="16"/>
        <v>2</v>
      </c>
      <c r="O154">
        <f>IF(ABS(D154)&gt;1,D154/1000000,D154)*'Real Analysis'!$B$4</f>
        <v>-4.8471210000000001E-2</v>
      </c>
      <c r="P154">
        <f>IF(ABS(E154)&gt;1,E154/1000000,E154)*'Real Analysis'!$B$4</f>
        <v>0.12036870000000001</v>
      </c>
      <c r="Q154">
        <f>IF(ABS(F154)&gt;1,F154/1000000,F154)*'Real Analysis'!$B$4</f>
        <v>9.8349762599999995</v>
      </c>
      <c r="R154">
        <f t="shared" si="17"/>
        <v>0</v>
      </c>
      <c r="S154">
        <f t="shared" si="18"/>
        <v>0</v>
      </c>
      <c r="T154">
        <f t="shared" si="19"/>
        <v>0</v>
      </c>
      <c r="U154">
        <f t="shared" si="20"/>
        <v>0</v>
      </c>
    </row>
    <row r="155" spans="1:21" x14ac:dyDescent="0.3">
      <c r="A155" s="4">
        <v>153</v>
      </c>
      <c r="B155" s="4">
        <v>-96588891265</v>
      </c>
      <c r="C155" s="5">
        <v>2</v>
      </c>
      <c r="D155" s="5">
        <v>-4.9230000000000003E-3</v>
      </c>
      <c r="E155" s="5">
        <v>1.2201999999999999E-2</v>
      </c>
      <c r="F155" s="5">
        <v>1004466</v>
      </c>
      <c r="G155" s="5">
        <v>0</v>
      </c>
      <c r="H155" s="5">
        <v>0</v>
      </c>
      <c r="I155" s="5">
        <v>0</v>
      </c>
      <c r="J155" s="5">
        <v>0</v>
      </c>
      <c r="L155">
        <f t="shared" si="15"/>
        <v>153</v>
      </c>
      <c r="M155">
        <f>'Real Analysis'!$B$3+B155/1000000</f>
        <v>3.1087350000016158</v>
      </c>
      <c r="N155">
        <f t="shared" si="16"/>
        <v>2</v>
      </c>
      <c r="O155">
        <f>IF(ABS(D155)&gt;1,D155/1000000,D155)*'Real Analysis'!$B$4</f>
        <v>-4.8294630000000005E-2</v>
      </c>
      <c r="P155">
        <f>IF(ABS(E155)&gt;1,E155/1000000,E155)*'Real Analysis'!$B$4</f>
        <v>0.11970161999999999</v>
      </c>
      <c r="Q155">
        <f>IF(ABS(F155)&gt;1,F155/1000000,F155)*'Real Analysis'!$B$4</f>
        <v>9.8538114600000011</v>
      </c>
      <c r="R155">
        <f t="shared" si="17"/>
        <v>0</v>
      </c>
      <c r="S155">
        <f t="shared" si="18"/>
        <v>0</v>
      </c>
      <c r="T155">
        <f t="shared" si="19"/>
        <v>0</v>
      </c>
      <c r="U155">
        <f t="shared" si="20"/>
        <v>0</v>
      </c>
    </row>
    <row r="156" spans="1:21" x14ac:dyDescent="0.3">
      <c r="A156" s="4">
        <v>154</v>
      </c>
      <c r="B156" s="4">
        <v>-96588870990</v>
      </c>
      <c r="C156" s="5">
        <v>2</v>
      </c>
      <c r="D156" s="5">
        <v>-4.9230000000000003E-3</v>
      </c>
      <c r="E156" s="5">
        <v>1.2347E-2</v>
      </c>
      <c r="F156" s="5">
        <v>1004486</v>
      </c>
      <c r="G156" s="5">
        <v>0</v>
      </c>
      <c r="H156" s="5">
        <v>0</v>
      </c>
      <c r="I156" s="5">
        <v>0</v>
      </c>
      <c r="J156" s="5">
        <v>0</v>
      </c>
      <c r="L156">
        <f t="shared" si="15"/>
        <v>154</v>
      </c>
      <c r="M156">
        <f>'Real Analysis'!$B$3+B156/1000000</f>
        <v>3.1290100000042003</v>
      </c>
      <c r="N156">
        <f t="shared" si="16"/>
        <v>2</v>
      </c>
      <c r="O156">
        <f>IF(ABS(D156)&gt;1,D156/1000000,D156)*'Real Analysis'!$B$4</f>
        <v>-4.8294630000000005E-2</v>
      </c>
      <c r="P156">
        <f>IF(ABS(E156)&gt;1,E156/1000000,E156)*'Real Analysis'!$B$4</f>
        <v>0.12112407000000001</v>
      </c>
      <c r="Q156">
        <f>IF(ABS(F156)&gt;1,F156/1000000,F156)*'Real Analysis'!$B$4</f>
        <v>9.8540076600000006</v>
      </c>
      <c r="R156">
        <f t="shared" si="17"/>
        <v>0</v>
      </c>
      <c r="S156">
        <f t="shared" si="18"/>
        <v>0</v>
      </c>
      <c r="T156">
        <f t="shared" si="19"/>
        <v>0</v>
      </c>
      <c r="U156">
        <f t="shared" si="20"/>
        <v>0</v>
      </c>
    </row>
    <row r="157" spans="1:21" x14ac:dyDescent="0.3">
      <c r="A157" s="4">
        <v>155</v>
      </c>
      <c r="B157" s="4">
        <v>-96588855803</v>
      </c>
      <c r="C157" s="5">
        <v>2</v>
      </c>
      <c r="D157" s="5">
        <v>-5.0350000000000004E-3</v>
      </c>
      <c r="E157" s="5">
        <v>1.2392E-2</v>
      </c>
      <c r="F157" s="5">
        <v>1004121</v>
      </c>
      <c r="G157" s="5">
        <v>0</v>
      </c>
      <c r="H157" s="5">
        <v>0</v>
      </c>
      <c r="I157" s="5">
        <v>0</v>
      </c>
      <c r="J157" s="5">
        <v>0</v>
      </c>
      <c r="L157">
        <f t="shared" si="15"/>
        <v>155</v>
      </c>
      <c r="M157">
        <f>'Real Analysis'!$B$3+B157/1000000</f>
        <v>3.1441970000014408</v>
      </c>
      <c r="N157">
        <f t="shared" si="16"/>
        <v>2</v>
      </c>
      <c r="O157">
        <f>IF(ABS(D157)&gt;1,D157/1000000,D157)*'Real Analysis'!$B$4</f>
        <v>-4.9393350000000009E-2</v>
      </c>
      <c r="P157">
        <f>IF(ABS(E157)&gt;1,E157/1000000,E157)*'Real Analysis'!$B$4</f>
        <v>0.12156552000000001</v>
      </c>
      <c r="Q157">
        <f>IF(ABS(F157)&gt;1,F157/1000000,F157)*'Real Analysis'!$B$4</f>
        <v>9.8504270100000006</v>
      </c>
      <c r="R157">
        <f t="shared" si="17"/>
        <v>0</v>
      </c>
      <c r="S157">
        <f t="shared" si="18"/>
        <v>0</v>
      </c>
      <c r="T157">
        <f t="shared" si="19"/>
        <v>0</v>
      </c>
      <c r="U157">
        <f t="shared" si="20"/>
        <v>0</v>
      </c>
    </row>
    <row r="158" spans="1:21" x14ac:dyDescent="0.3">
      <c r="A158" s="4">
        <v>156</v>
      </c>
      <c r="B158" s="4">
        <v>-96588831597</v>
      </c>
      <c r="C158" s="5">
        <v>2</v>
      </c>
      <c r="D158" s="5">
        <v>-5.0340000000000003E-3</v>
      </c>
      <c r="E158" s="5">
        <v>1.2428E-2</v>
      </c>
      <c r="F158" s="5">
        <v>1008387</v>
      </c>
      <c r="G158" s="5">
        <v>0</v>
      </c>
      <c r="H158" s="5">
        <v>0</v>
      </c>
      <c r="I158" s="5">
        <v>0</v>
      </c>
      <c r="J158" s="5">
        <v>0</v>
      </c>
      <c r="L158">
        <f t="shared" si="15"/>
        <v>156</v>
      </c>
      <c r="M158">
        <f>'Real Analysis'!$B$3+B158/1000000</f>
        <v>3.168403000003309</v>
      </c>
      <c r="N158">
        <f t="shared" si="16"/>
        <v>2</v>
      </c>
      <c r="O158">
        <f>IF(ABS(D158)&gt;1,D158/1000000,D158)*'Real Analysis'!$B$4</f>
        <v>-4.9383540000000004E-2</v>
      </c>
      <c r="P158">
        <f>IF(ABS(E158)&gt;1,E158/1000000,E158)*'Real Analysis'!$B$4</f>
        <v>0.12191868</v>
      </c>
      <c r="Q158">
        <f>IF(ABS(F158)&gt;1,F158/1000000,F158)*'Real Analysis'!$B$4</f>
        <v>9.8922764700000005</v>
      </c>
      <c r="R158">
        <f t="shared" si="17"/>
        <v>0</v>
      </c>
      <c r="S158">
        <f t="shared" si="18"/>
        <v>0</v>
      </c>
      <c r="T158">
        <f t="shared" si="19"/>
        <v>0</v>
      </c>
      <c r="U158">
        <f t="shared" si="20"/>
        <v>0</v>
      </c>
    </row>
    <row r="159" spans="1:21" x14ac:dyDescent="0.3">
      <c r="A159" s="4">
        <v>157</v>
      </c>
      <c r="B159" s="4">
        <v>-96588807555</v>
      </c>
      <c r="C159" s="5">
        <v>2</v>
      </c>
      <c r="D159" s="5">
        <v>-4.9769999999999997E-3</v>
      </c>
      <c r="E159" s="5">
        <v>1.2252000000000001E-2</v>
      </c>
      <c r="F159" s="5">
        <v>1005814</v>
      </c>
      <c r="G159" s="5">
        <v>0</v>
      </c>
      <c r="H159" s="5">
        <v>0</v>
      </c>
      <c r="I159" s="5">
        <v>0</v>
      </c>
      <c r="J159" s="5">
        <v>0</v>
      </c>
      <c r="L159">
        <f t="shared" si="15"/>
        <v>157</v>
      </c>
      <c r="M159">
        <f>'Real Analysis'!$B$3+B159/1000000</f>
        <v>3.1924449999933131</v>
      </c>
      <c r="N159">
        <f t="shared" si="16"/>
        <v>2</v>
      </c>
      <c r="O159">
        <f>IF(ABS(D159)&gt;1,D159/1000000,D159)*'Real Analysis'!$B$4</f>
        <v>-4.8824369999999999E-2</v>
      </c>
      <c r="P159">
        <f>IF(ABS(E159)&gt;1,E159/1000000,E159)*'Real Analysis'!$B$4</f>
        <v>0.12019212000000001</v>
      </c>
      <c r="Q159">
        <f>IF(ABS(F159)&gt;1,F159/1000000,F159)*'Real Analysis'!$B$4</f>
        <v>9.867035340000001</v>
      </c>
      <c r="R159">
        <f t="shared" si="17"/>
        <v>0</v>
      </c>
      <c r="S159">
        <f t="shared" si="18"/>
        <v>0</v>
      </c>
      <c r="T159">
        <f t="shared" si="19"/>
        <v>0</v>
      </c>
      <c r="U159">
        <f t="shared" si="20"/>
        <v>0</v>
      </c>
    </row>
    <row r="160" spans="1:21" x14ac:dyDescent="0.3">
      <c r="A160" s="4">
        <v>158</v>
      </c>
      <c r="B160" s="4">
        <v>-96588786650</v>
      </c>
      <c r="C160" s="5">
        <v>2</v>
      </c>
      <c r="D160" s="5">
        <v>-4.895E-3</v>
      </c>
      <c r="E160" s="5">
        <v>1.235E-2</v>
      </c>
      <c r="F160" s="5">
        <v>1004545</v>
      </c>
      <c r="G160" s="5">
        <v>0</v>
      </c>
      <c r="H160" s="5">
        <v>0</v>
      </c>
      <c r="I160" s="5">
        <v>0</v>
      </c>
      <c r="J160" s="5">
        <v>0</v>
      </c>
      <c r="L160">
        <f t="shared" si="15"/>
        <v>158</v>
      </c>
      <c r="M160">
        <f>'Real Analysis'!$B$3+B160/1000000</f>
        <v>3.2133500000054482</v>
      </c>
      <c r="N160">
        <f t="shared" si="16"/>
        <v>2</v>
      </c>
      <c r="O160">
        <f>IF(ABS(D160)&gt;1,D160/1000000,D160)*'Real Analysis'!$B$4</f>
        <v>-4.8019950000000006E-2</v>
      </c>
      <c r="P160">
        <f>IF(ABS(E160)&gt;1,E160/1000000,E160)*'Real Analysis'!$B$4</f>
        <v>0.12115350000000001</v>
      </c>
      <c r="Q160">
        <f>IF(ABS(F160)&gt;1,F160/1000000,F160)*'Real Analysis'!$B$4</f>
        <v>9.8545864500000011</v>
      </c>
      <c r="R160">
        <f t="shared" si="17"/>
        <v>0</v>
      </c>
      <c r="S160">
        <f t="shared" si="18"/>
        <v>0</v>
      </c>
      <c r="T160">
        <f t="shared" si="19"/>
        <v>0</v>
      </c>
      <c r="U160">
        <f t="shared" si="20"/>
        <v>0</v>
      </c>
    </row>
    <row r="161" spans="1:21" x14ac:dyDescent="0.3">
      <c r="A161" s="4">
        <v>159</v>
      </c>
      <c r="B161" s="4">
        <v>-96588771440</v>
      </c>
      <c r="C161" s="5">
        <v>2</v>
      </c>
      <c r="D161" s="5">
        <v>-4.8700000000000002E-3</v>
      </c>
      <c r="E161" s="5">
        <v>1.2297000000000001E-2</v>
      </c>
      <c r="F161" s="5">
        <v>1004099</v>
      </c>
      <c r="G161" s="5">
        <v>0</v>
      </c>
      <c r="H161" s="5">
        <v>0</v>
      </c>
      <c r="I161" s="5">
        <v>0</v>
      </c>
      <c r="J161" s="5">
        <v>0</v>
      </c>
      <c r="L161">
        <f t="shared" si="15"/>
        <v>159</v>
      </c>
      <c r="M161">
        <f>'Real Analysis'!$B$3+B161/1000000</f>
        <v>3.2285600000031991</v>
      </c>
      <c r="N161">
        <f t="shared" si="16"/>
        <v>2</v>
      </c>
      <c r="O161">
        <f>IF(ABS(D161)&gt;1,D161/1000000,D161)*'Real Analysis'!$B$4</f>
        <v>-4.7774700000000003E-2</v>
      </c>
      <c r="P161">
        <f>IF(ABS(E161)&gt;1,E161/1000000,E161)*'Real Analysis'!$B$4</f>
        <v>0.12063357000000001</v>
      </c>
      <c r="Q161">
        <f>IF(ABS(F161)&gt;1,F161/1000000,F161)*'Real Analysis'!$B$4</f>
        <v>9.8502111900000013</v>
      </c>
      <c r="R161">
        <f t="shared" si="17"/>
        <v>0</v>
      </c>
      <c r="S161">
        <f t="shared" si="18"/>
        <v>0</v>
      </c>
      <c r="T161">
        <f t="shared" si="19"/>
        <v>0</v>
      </c>
      <c r="U161">
        <f t="shared" si="20"/>
        <v>0</v>
      </c>
    </row>
    <row r="162" spans="1:21" x14ac:dyDescent="0.3">
      <c r="A162" s="4">
        <v>160</v>
      </c>
      <c r="B162" s="4">
        <v>-96588755880</v>
      </c>
      <c r="C162" s="5">
        <v>2</v>
      </c>
      <c r="D162" s="5">
        <v>-4.8370000000000002E-3</v>
      </c>
      <c r="E162" s="5">
        <v>1.2239999999999999E-2</v>
      </c>
      <c r="F162" s="5">
        <v>0.99917800000000001</v>
      </c>
      <c r="G162" s="5">
        <v>0</v>
      </c>
      <c r="H162" s="5">
        <v>0</v>
      </c>
      <c r="I162" s="5">
        <v>0</v>
      </c>
      <c r="J162" s="5">
        <v>0</v>
      </c>
      <c r="L162">
        <f t="shared" si="15"/>
        <v>160</v>
      </c>
      <c r="M162">
        <f>'Real Analysis'!$B$3+B162/1000000</f>
        <v>3.2441200000030221</v>
      </c>
      <c r="N162">
        <f t="shared" si="16"/>
        <v>2</v>
      </c>
      <c r="O162">
        <f>IF(ABS(D162)&gt;1,D162/1000000,D162)*'Real Analysis'!$B$4</f>
        <v>-4.7450970000000002E-2</v>
      </c>
      <c r="P162">
        <f>IF(ABS(E162)&gt;1,E162/1000000,E162)*'Real Analysis'!$B$4</f>
        <v>0.1200744</v>
      </c>
      <c r="Q162">
        <f>IF(ABS(F162)&gt;1,F162/1000000,F162)*'Real Analysis'!$B$4</f>
        <v>9.8019361800000002</v>
      </c>
      <c r="R162">
        <f t="shared" si="17"/>
        <v>0</v>
      </c>
      <c r="S162">
        <f t="shared" si="18"/>
        <v>0</v>
      </c>
      <c r="T162">
        <f t="shared" si="19"/>
        <v>0</v>
      </c>
      <c r="U162">
        <f t="shared" si="20"/>
        <v>0</v>
      </c>
    </row>
    <row r="163" spans="1:21" x14ac:dyDescent="0.3">
      <c r="A163" s="4">
        <v>161</v>
      </c>
      <c r="B163" s="4">
        <v>-96588730509</v>
      </c>
      <c r="C163" s="5">
        <v>2</v>
      </c>
      <c r="D163" s="5">
        <v>-4.9189999999999998E-3</v>
      </c>
      <c r="E163" s="5">
        <v>1.2319999999999999E-2</v>
      </c>
      <c r="F163" s="5">
        <v>1005212</v>
      </c>
      <c r="G163" s="5">
        <v>0</v>
      </c>
      <c r="H163" s="5">
        <v>0</v>
      </c>
      <c r="I163" s="5">
        <v>0</v>
      </c>
      <c r="J163" s="5">
        <v>0</v>
      </c>
      <c r="L163">
        <f t="shared" si="15"/>
        <v>161</v>
      </c>
      <c r="M163">
        <f>'Real Analysis'!$B$3+B163/1000000</f>
        <v>3.2694909999991069</v>
      </c>
      <c r="N163">
        <f t="shared" si="16"/>
        <v>2</v>
      </c>
      <c r="O163">
        <f>IF(ABS(D163)&gt;1,D163/1000000,D163)*'Real Analysis'!$B$4</f>
        <v>-4.8255390000000002E-2</v>
      </c>
      <c r="P163">
        <f>IF(ABS(E163)&gt;1,E163/1000000,E163)*'Real Analysis'!$B$4</f>
        <v>0.1208592</v>
      </c>
      <c r="Q163">
        <f>IF(ABS(F163)&gt;1,F163/1000000,F163)*'Real Analysis'!$B$4</f>
        <v>9.861129720000001</v>
      </c>
      <c r="R163">
        <f t="shared" si="17"/>
        <v>0</v>
      </c>
      <c r="S163">
        <f t="shared" si="18"/>
        <v>0</v>
      </c>
      <c r="T163">
        <f t="shared" si="19"/>
        <v>0</v>
      </c>
      <c r="U163">
        <f t="shared" si="20"/>
        <v>0</v>
      </c>
    </row>
    <row r="164" spans="1:21" x14ac:dyDescent="0.3">
      <c r="A164" s="4">
        <v>162</v>
      </c>
      <c r="B164" s="4">
        <v>-96588706246</v>
      </c>
      <c r="C164" s="5">
        <v>2</v>
      </c>
      <c r="D164" s="5">
        <v>-4.9630000000000004E-3</v>
      </c>
      <c r="E164" s="5">
        <v>1.2284E-2</v>
      </c>
      <c r="F164" s="5">
        <v>1004571</v>
      </c>
      <c r="G164" s="5">
        <v>0</v>
      </c>
      <c r="H164" s="5">
        <v>0</v>
      </c>
      <c r="I164" s="5">
        <v>0</v>
      </c>
      <c r="J164" s="5">
        <v>0</v>
      </c>
      <c r="L164">
        <f t="shared" si="15"/>
        <v>162</v>
      </c>
      <c r="M164">
        <f>'Real Analysis'!$B$3+B164/1000000</f>
        <v>3.2937539999984438</v>
      </c>
      <c r="N164">
        <f t="shared" si="16"/>
        <v>2</v>
      </c>
      <c r="O164">
        <f>IF(ABS(D164)&gt;1,D164/1000000,D164)*'Real Analysis'!$B$4</f>
        <v>-4.8687030000000006E-2</v>
      </c>
      <c r="P164">
        <f>IF(ABS(E164)&gt;1,E164/1000000,E164)*'Real Analysis'!$B$4</f>
        <v>0.12050604000000001</v>
      </c>
      <c r="Q164">
        <f>IF(ABS(F164)&gt;1,F164/1000000,F164)*'Real Analysis'!$B$4</f>
        <v>9.8548415100000017</v>
      </c>
      <c r="R164">
        <f t="shared" si="17"/>
        <v>0</v>
      </c>
      <c r="S164">
        <f t="shared" si="18"/>
        <v>0</v>
      </c>
      <c r="T164">
        <f t="shared" si="19"/>
        <v>0</v>
      </c>
      <c r="U164">
        <f t="shared" si="20"/>
        <v>0</v>
      </c>
    </row>
    <row r="165" spans="1:21" x14ac:dyDescent="0.3">
      <c r="A165" s="4">
        <v>163</v>
      </c>
      <c r="B165" s="4">
        <v>-96588689542</v>
      </c>
      <c r="C165" s="5">
        <v>2</v>
      </c>
      <c r="D165" s="5">
        <v>-5.0130000000000001E-3</v>
      </c>
      <c r="E165" s="5">
        <v>1.2292000000000001E-2</v>
      </c>
      <c r="F165" s="5">
        <v>1004254</v>
      </c>
      <c r="G165" s="5">
        <v>0</v>
      </c>
      <c r="H165" s="5">
        <v>0</v>
      </c>
      <c r="I165" s="5">
        <v>0</v>
      </c>
      <c r="J165" s="5">
        <v>0</v>
      </c>
      <c r="L165">
        <f t="shared" si="15"/>
        <v>163</v>
      </c>
      <c r="M165">
        <f>'Real Analysis'!$B$3+B165/1000000</f>
        <v>3.3104580000072019</v>
      </c>
      <c r="N165">
        <f t="shared" si="16"/>
        <v>2</v>
      </c>
      <c r="O165">
        <f>IF(ABS(D165)&gt;1,D165/1000000,D165)*'Real Analysis'!$B$4</f>
        <v>-4.9177530000000004E-2</v>
      </c>
      <c r="P165">
        <f>IF(ABS(E165)&gt;1,E165/1000000,E165)*'Real Analysis'!$B$4</f>
        <v>0.12058452000000001</v>
      </c>
      <c r="Q165">
        <f>IF(ABS(F165)&gt;1,F165/1000000,F165)*'Real Analysis'!$B$4</f>
        <v>9.85173174</v>
      </c>
      <c r="R165">
        <f t="shared" si="17"/>
        <v>0</v>
      </c>
      <c r="S165">
        <f t="shared" si="18"/>
        <v>0</v>
      </c>
      <c r="T165">
        <f t="shared" si="19"/>
        <v>0</v>
      </c>
      <c r="U165">
        <f t="shared" si="20"/>
        <v>0</v>
      </c>
    </row>
    <row r="166" spans="1:21" x14ac:dyDescent="0.3">
      <c r="A166" s="4">
        <v>164</v>
      </c>
      <c r="B166" s="4">
        <v>-96588670565</v>
      </c>
      <c r="C166" s="5">
        <v>2</v>
      </c>
      <c r="D166" s="5">
        <v>1.9449999999999999E-3</v>
      </c>
      <c r="E166" s="5">
        <v>1.2292000000000001E-2</v>
      </c>
      <c r="F166" s="5">
        <v>1004694</v>
      </c>
      <c r="G166" s="5">
        <v>0</v>
      </c>
      <c r="H166" s="5">
        <v>0</v>
      </c>
      <c r="I166" s="5">
        <v>0</v>
      </c>
      <c r="J166" s="5">
        <v>0</v>
      </c>
      <c r="L166">
        <f t="shared" si="15"/>
        <v>164</v>
      </c>
      <c r="M166">
        <f>'Real Analysis'!$B$3+B166/1000000</f>
        <v>3.3294350000069244</v>
      </c>
      <c r="N166">
        <f t="shared" si="16"/>
        <v>2</v>
      </c>
      <c r="O166">
        <f>IF(ABS(D166)&gt;1,D166/1000000,D166)*'Real Analysis'!$B$4</f>
        <v>1.9080449999999999E-2</v>
      </c>
      <c r="P166">
        <f>IF(ABS(E166)&gt;1,E166/1000000,E166)*'Real Analysis'!$B$4</f>
        <v>0.12058452000000001</v>
      </c>
      <c r="Q166">
        <f>IF(ABS(F166)&gt;1,F166/1000000,F166)*'Real Analysis'!$B$4</f>
        <v>9.8560481400000004</v>
      </c>
      <c r="R166">
        <f t="shared" si="17"/>
        <v>0</v>
      </c>
      <c r="S166">
        <f t="shared" si="18"/>
        <v>0</v>
      </c>
      <c r="T166">
        <f t="shared" si="19"/>
        <v>0</v>
      </c>
      <c r="U166">
        <f t="shared" si="20"/>
        <v>0</v>
      </c>
    </row>
    <row r="167" spans="1:21" x14ac:dyDescent="0.3">
      <c r="A167" s="4">
        <v>165</v>
      </c>
      <c r="B167" s="4">
        <v>-96588650723</v>
      </c>
      <c r="C167" s="5">
        <v>2</v>
      </c>
      <c r="D167" s="5">
        <v>-6.4209999999999996E-3</v>
      </c>
      <c r="E167" s="5">
        <v>1.2239999999999999E-2</v>
      </c>
      <c r="F167" s="5">
        <v>1004392</v>
      </c>
      <c r="G167" s="5">
        <v>0</v>
      </c>
      <c r="H167" s="5">
        <v>0</v>
      </c>
      <c r="I167" s="5">
        <v>0</v>
      </c>
      <c r="J167" s="5">
        <v>0</v>
      </c>
      <c r="L167">
        <f t="shared" si="15"/>
        <v>165</v>
      </c>
      <c r="M167">
        <f>'Real Analysis'!$B$3+B167/1000000</f>
        <v>3.349277000001166</v>
      </c>
      <c r="N167">
        <f t="shared" si="16"/>
        <v>2</v>
      </c>
      <c r="O167">
        <f>IF(ABS(D167)&gt;1,D167/1000000,D167)*'Real Analysis'!$B$4</f>
        <v>-6.2990009999999999E-2</v>
      </c>
      <c r="P167">
        <f>IF(ABS(E167)&gt;1,E167/1000000,E167)*'Real Analysis'!$B$4</f>
        <v>0.1200744</v>
      </c>
      <c r="Q167">
        <f>IF(ABS(F167)&gt;1,F167/1000000,F167)*'Real Analysis'!$B$4</f>
        <v>9.8530855200000005</v>
      </c>
      <c r="R167">
        <f t="shared" si="17"/>
        <v>0</v>
      </c>
      <c r="S167">
        <f t="shared" si="18"/>
        <v>0</v>
      </c>
      <c r="T167">
        <f t="shared" si="19"/>
        <v>0</v>
      </c>
      <c r="U167">
        <f t="shared" si="20"/>
        <v>0</v>
      </c>
    </row>
    <row r="168" spans="1:21" x14ac:dyDescent="0.3">
      <c r="A168" s="4">
        <v>166</v>
      </c>
      <c r="B168" s="4">
        <v>-96588628050</v>
      </c>
      <c r="C168" s="5">
        <v>2</v>
      </c>
      <c r="D168" s="5">
        <v>-4.6940000000000003E-3</v>
      </c>
      <c r="E168" s="5">
        <v>1.2370000000000001E-2</v>
      </c>
      <c r="F168" s="5">
        <v>1004443</v>
      </c>
      <c r="G168" s="5">
        <v>0</v>
      </c>
      <c r="H168" s="5">
        <v>0</v>
      </c>
      <c r="I168" s="5">
        <v>0</v>
      </c>
      <c r="J168" s="5">
        <v>0</v>
      </c>
      <c r="L168">
        <f t="shared" si="15"/>
        <v>166</v>
      </c>
      <c r="M168">
        <f>'Real Analysis'!$B$3+B168/1000000</f>
        <v>3.3719500000006519</v>
      </c>
      <c r="N168">
        <f t="shared" si="16"/>
        <v>2</v>
      </c>
      <c r="O168">
        <f>IF(ABS(D168)&gt;1,D168/1000000,D168)*'Real Analysis'!$B$4</f>
        <v>-4.6048140000000008E-2</v>
      </c>
      <c r="P168">
        <f>IF(ABS(E168)&gt;1,E168/1000000,E168)*'Real Analysis'!$B$4</f>
        <v>0.12134970000000002</v>
      </c>
      <c r="Q168">
        <f>IF(ABS(F168)&gt;1,F168/1000000,F168)*'Real Analysis'!$B$4</f>
        <v>9.8535858300000001</v>
      </c>
      <c r="R168">
        <f t="shared" si="17"/>
        <v>0</v>
      </c>
      <c r="S168">
        <f t="shared" si="18"/>
        <v>0</v>
      </c>
      <c r="T168">
        <f t="shared" si="19"/>
        <v>0</v>
      </c>
      <c r="U168">
        <f t="shared" si="20"/>
        <v>0</v>
      </c>
    </row>
    <row r="169" spans="1:21" x14ac:dyDescent="0.3">
      <c r="A169" s="4">
        <v>167</v>
      </c>
      <c r="B169" s="4">
        <v>-96588609185</v>
      </c>
      <c r="C169" s="5">
        <v>2</v>
      </c>
      <c r="D169" s="5">
        <v>-4.627E-3</v>
      </c>
      <c r="E169" s="5">
        <v>1.0617E-2</v>
      </c>
      <c r="F169" s="5">
        <v>1004453</v>
      </c>
      <c r="G169" s="5">
        <v>0</v>
      </c>
      <c r="H169" s="5">
        <v>0</v>
      </c>
      <c r="I169" s="5">
        <v>0</v>
      </c>
      <c r="J169" s="5">
        <v>0</v>
      </c>
      <c r="L169">
        <f t="shared" si="15"/>
        <v>167</v>
      </c>
      <c r="M169">
        <f>'Real Analysis'!$B$3+B169/1000000</f>
        <v>3.3908150000061141</v>
      </c>
      <c r="N169">
        <f t="shared" si="16"/>
        <v>2</v>
      </c>
      <c r="O169">
        <f>IF(ABS(D169)&gt;1,D169/1000000,D169)*'Real Analysis'!$B$4</f>
        <v>-4.539087E-2</v>
      </c>
      <c r="P169">
        <f>IF(ABS(E169)&gt;1,E169/1000000,E169)*'Real Analysis'!$B$4</f>
        <v>0.10415277000000001</v>
      </c>
      <c r="Q169">
        <f>IF(ABS(F169)&gt;1,F169/1000000,F169)*'Real Analysis'!$B$4</f>
        <v>9.8536839300000008</v>
      </c>
      <c r="R169">
        <f t="shared" si="17"/>
        <v>0</v>
      </c>
      <c r="S169">
        <f t="shared" si="18"/>
        <v>0</v>
      </c>
      <c r="T169">
        <f t="shared" si="19"/>
        <v>0</v>
      </c>
      <c r="U169">
        <f t="shared" si="20"/>
        <v>0</v>
      </c>
    </row>
    <row r="170" spans="1:21" x14ac:dyDescent="0.3">
      <c r="A170" s="4">
        <v>168</v>
      </c>
      <c r="B170" s="4">
        <v>-96588594513</v>
      </c>
      <c r="C170" s="5">
        <v>2</v>
      </c>
      <c r="D170" s="5">
        <v>-4.751E-3</v>
      </c>
      <c r="E170" s="5">
        <v>1.2912E-2</v>
      </c>
      <c r="F170" s="5">
        <v>1004440</v>
      </c>
      <c r="G170" s="5">
        <v>0</v>
      </c>
      <c r="H170" s="5">
        <v>0</v>
      </c>
      <c r="I170" s="5">
        <v>0</v>
      </c>
      <c r="J170" s="5">
        <v>0</v>
      </c>
      <c r="L170">
        <f t="shared" si="15"/>
        <v>168</v>
      </c>
      <c r="M170">
        <f>'Real Analysis'!$B$3+B170/1000000</f>
        <v>3.4054869999963557</v>
      </c>
      <c r="N170">
        <f t="shared" si="16"/>
        <v>2</v>
      </c>
      <c r="O170">
        <f>IF(ABS(D170)&gt;1,D170/1000000,D170)*'Real Analysis'!$B$4</f>
        <v>-4.6607310000000006E-2</v>
      </c>
      <c r="P170">
        <f>IF(ABS(E170)&gt;1,E170/1000000,E170)*'Real Analysis'!$B$4</f>
        <v>0.12666672000000001</v>
      </c>
      <c r="Q170">
        <f>IF(ABS(F170)&gt;1,F170/1000000,F170)*'Real Analysis'!$B$4</f>
        <v>9.8535564000000004</v>
      </c>
      <c r="R170">
        <f t="shared" si="17"/>
        <v>0</v>
      </c>
      <c r="S170">
        <f t="shared" si="18"/>
        <v>0</v>
      </c>
      <c r="T170">
        <f t="shared" si="19"/>
        <v>0</v>
      </c>
      <c r="U170">
        <f t="shared" si="20"/>
        <v>0</v>
      </c>
    </row>
    <row r="171" spans="1:21" x14ac:dyDescent="0.3">
      <c r="A171" s="4">
        <v>169</v>
      </c>
      <c r="B171" s="4">
        <v>-96588569795</v>
      </c>
      <c r="C171" s="5">
        <v>2</v>
      </c>
      <c r="D171" s="5">
        <v>-4.96E-3</v>
      </c>
      <c r="E171" s="5">
        <v>1.256E-2</v>
      </c>
      <c r="F171" s="5">
        <v>1004436</v>
      </c>
      <c r="G171" s="5">
        <v>0</v>
      </c>
      <c r="H171" s="5">
        <v>0</v>
      </c>
      <c r="I171" s="5">
        <v>0</v>
      </c>
      <c r="J171" s="5">
        <v>0</v>
      </c>
      <c r="L171">
        <f t="shared" si="15"/>
        <v>169</v>
      </c>
      <c r="M171">
        <f>'Real Analysis'!$B$3+B171/1000000</f>
        <v>3.4302049999969313</v>
      </c>
      <c r="N171">
        <f t="shared" si="16"/>
        <v>2</v>
      </c>
      <c r="O171">
        <f>IF(ABS(D171)&gt;1,D171/1000000,D171)*'Real Analysis'!$B$4</f>
        <v>-4.8657600000000002E-2</v>
      </c>
      <c r="P171">
        <f>IF(ABS(E171)&gt;1,E171/1000000,E171)*'Real Analysis'!$B$4</f>
        <v>0.12321360000000001</v>
      </c>
      <c r="Q171">
        <f>IF(ABS(F171)&gt;1,F171/1000000,F171)*'Real Analysis'!$B$4</f>
        <v>9.8535171600000009</v>
      </c>
      <c r="R171">
        <f t="shared" si="17"/>
        <v>0</v>
      </c>
      <c r="S171">
        <f t="shared" si="18"/>
        <v>0</v>
      </c>
      <c r="T171">
        <f t="shared" si="19"/>
        <v>0</v>
      </c>
      <c r="U171">
        <f t="shared" si="20"/>
        <v>0</v>
      </c>
    </row>
    <row r="172" spans="1:21" x14ac:dyDescent="0.3">
      <c r="A172" s="4">
        <v>170</v>
      </c>
      <c r="B172" s="4">
        <v>-96588547904</v>
      </c>
      <c r="C172" s="5">
        <v>2</v>
      </c>
      <c r="D172" s="5">
        <v>-4.9119999999999997E-3</v>
      </c>
      <c r="E172" s="5">
        <v>1.2496999999999999E-2</v>
      </c>
      <c r="F172" s="5">
        <v>1004437</v>
      </c>
      <c r="G172" s="5">
        <v>0</v>
      </c>
      <c r="H172" s="5">
        <v>0</v>
      </c>
      <c r="I172" s="5">
        <v>0</v>
      </c>
      <c r="J172" s="5">
        <v>0</v>
      </c>
      <c r="L172">
        <f t="shared" si="15"/>
        <v>170</v>
      </c>
      <c r="M172">
        <f>'Real Analysis'!$B$3+B172/1000000</f>
        <v>3.4520959999936167</v>
      </c>
      <c r="N172">
        <f t="shared" si="16"/>
        <v>2</v>
      </c>
      <c r="O172">
        <f>IF(ABS(D172)&gt;1,D172/1000000,D172)*'Real Analysis'!$B$4</f>
        <v>-4.8186720000000002E-2</v>
      </c>
      <c r="P172">
        <f>IF(ABS(E172)&gt;1,E172/1000000,E172)*'Real Analysis'!$B$4</f>
        <v>0.12259557</v>
      </c>
      <c r="Q172">
        <f>IF(ABS(F172)&gt;1,F172/1000000,F172)*'Real Analysis'!$B$4</f>
        <v>9.8535269700000008</v>
      </c>
      <c r="R172">
        <f t="shared" si="17"/>
        <v>0</v>
      </c>
      <c r="S172">
        <f t="shared" si="18"/>
        <v>0</v>
      </c>
      <c r="T172">
        <f t="shared" si="19"/>
        <v>0</v>
      </c>
      <c r="U172">
        <f t="shared" si="20"/>
        <v>0</v>
      </c>
    </row>
    <row r="173" spans="1:21" x14ac:dyDescent="0.3">
      <c r="A173" s="4">
        <v>171</v>
      </c>
      <c r="B173" s="4">
        <v>-96588535195</v>
      </c>
      <c r="C173" s="5">
        <v>2</v>
      </c>
      <c r="D173" s="5">
        <v>-4.8900000000000002E-3</v>
      </c>
      <c r="E173" s="5">
        <v>1.2390999999999999E-2</v>
      </c>
      <c r="F173" s="5">
        <v>1004438</v>
      </c>
      <c r="G173" s="5">
        <v>0</v>
      </c>
      <c r="H173" s="5">
        <v>0</v>
      </c>
      <c r="I173" s="5">
        <v>0</v>
      </c>
      <c r="J173" s="5">
        <v>0</v>
      </c>
      <c r="L173">
        <f t="shared" si="15"/>
        <v>171</v>
      </c>
      <c r="M173">
        <f>'Real Analysis'!$B$3+B173/1000000</f>
        <v>3.4648049999959767</v>
      </c>
      <c r="N173">
        <f t="shared" si="16"/>
        <v>2</v>
      </c>
      <c r="O173">
        <f>IF(ABS(D173)&gt;1,D173/1000000,D173)*'Real Analysis'!$B$4</f>
        <v>-4.7970900000000004E-2</v>
      </c>
      <c r="P173">
        <f>IF(ABS(E173)&gt;1,E173/1000000,E173)*'Real Analysis'!$B$4</f>
        <v>0.12155571</v>
      </c>
      <c r="Q173">
        <f>IF(ABS(F173)&gt;1,F173/1000000,F173)*'Real Analysis'!$B$4</f>
        <v>9.8535367800000007</v>
      </c>
      <c r="R173">
        <f t="shared" si="17"/>
        <v>0</v>
      </c>
      <c r="S173">
        <f t="shared" si="18"/>
        <v>0</v>
      </c>
      <c r="T173">
        <f t="shared" si="19"/>
        <v>0</v>
      </c>
      <c r="U173">
        <f t="shared" si="20"/>
        <v>0</v>
      </c>
    </row>
    <row r="174" spans="1:21" x14ac:dyDescent="0.3">
      <c r="A174" s="4">
        <v>172</v>
      </c>
      <c r="B174" s="4">
        <v>-96588509209</v>
      </c>
      <c r="C174" s="5">
        <v>2</v>
      </c>
      <c r="D174" s="5">
        <v>-5.045E-3</v>
      </c>
      <c r="E174" s="5">
        <v>1.2317E-2</v>
      </c>
      <c r="F174" s="5">
        <v>1004438</v>
      </c>
      <c r="G174" s="5">
        <v>0</v>
      </c>
      <c r="H174" s="5">
        <v>0</v>
      </c>
      <c r="I174" s="5">
        <v>0</v>
      </c>
      <c r="J174" s="5">
        <v>0</v>
      </c>
      <c r="L174">
        <f t="shared" si="15"/>
        <v>172</v>
      </c>
      <c r="M174">
        <f>'Real Analysis'!$B$3+B174/1000000</f>
        <v>3.49079100000381</v>
      </c>
      <c r="N174">
        <f t="shared" si="16"/>
        <v>2</v>
      </c>
      <c r="O174">
        <f>IF(ABS(D174)&gt;1,D174/1000000,D174)*'Real Analysis'!$B$4</f>
        <v>-4.9491449999999999E-2</v>
      </c>
      <c r="P174">
        <f>IF(ABS(E174)&gt;1,E174/1000000,E174)*'Real Analysis'!$B$4</f>
        <v>0.12082977</v>
      </c>
      <c r="Q174">
        <f>IF(ABS(F174)&gt;1,F174/1000000,F174)*'Real Analysis'!$B$4</f>
        <v>9.8535367800000007</v>
      </c>
      <c r="R174">
        <f t="shared" si="17"/>
        <v>0</v>
      </c>
      <c r="S174">
        <f t="shared" si="18"/>
        <v>0</v>
      </c>
      <c r="T174">
        <f t="shared" si="19"/>
        <v>0</v>
      </c>
      <c r="U174">
        <f t="shared" si="20"/>
        <v>0</v>
      </c>
    </row>
    <row r="175" spans="1:21" x14ac:dyDescent="0.3">
      <c r="A175" s="4">
        <v>173</v>
      </c>
      <c r="B175" s="4">
        <v>-96588499807</v>
      </c>
      <c r="C175" s="5">
        <v>2</v>
      </c>
      <c r="D175" s="5">
        <v>-5.0530000000000002E-3</v>
      </c>
      <c r="E175" s="5">
        <v>1.2303E-2</v>
      </c>
      <c r="F175" s="5">
        <v>1004436</v>
      </c>
      <c r="G175" s="5">
        <v>0</v>
      </c>
      <c r="H175" s="5">
        <v>0</v>
      </c>
      <c r="I175" s="5">
        <v>0</v>
      </c>
      <c r="J175" s="5">
        <v>0</v>
      </c>
      <c r="L175">
        <f t="shared" si="15"/>
        <v>173</v>
      </c>
      <c r="M175">
        <f>'Real Analysis'!$B$3+B175/1000000</f>
        <v>3.5001929999998538</v>
      </c>
      <c r="N175">
        <f t="shared" si="16"/>
        <v>2</v>
      </c>
      <c r="O175">
        <f>IF(ABS(D175)&gt;1,D175/1000000,D175)*'Real Analysis'!$B$4</f>
        <v>-4.9569930000000005E-2</v>
      </c>
      <c r="P175">
        <f>IF(ABS(E175)&gt;1,E175/1000000,E175)*'Real Analysis'!$B$4</f>
        <v>0.12069243</v>
      </c>
      <c r="Q175">
        <f>IF(ABS(F175)&gt;1,F175/1000000,F175)*'Real Analysis'!$B$4</f>
        <v>9.8535171600000009</v>
      </c>
      <c r="R175">
        <f t="shared" si="17"/>
        <v>0</v>
      </c>
      <c r="S175">
        <f t="shared" si="18"/>
        <v>0</v>
      </c>
      <c r="T175">
        <f t="shared" si="19"/>
        <v>0</v>
      </c>
      <c r="U175">
        <f t="shared" si="20"/>
        <v>0</v>
      </c>
    </row>
    <row r="176" spans="1:21" x14ac:dyDescent="0.3">
      <c r="A176" s="4">
        <v>174</v>
      </c>
      <c r="B176" s="4">
        <v>-96588469319</v>
      </c>
      <c r="C176" s="5">
        <v>2</v>
      </c>
      <c r="D176" s="5">
        <v>-4.895E-3</v>
      </c>
      <c r="E176" s="5">
        <v>1.2309E-2</v>
      </c>
      <c r="F176" s="5">
        <v>1004438</v>
      </c>
      <c r="G176" s="5">
        <v>0</v>
      </c>
      <c r="H176" s="5">
        <v>0</v>
      </c>
      <c r="I176" s="5">
        <v>0</v>
      </c>
      <c r="J176" s="5">
        <v>0</v>
      </c>
      <c r="L176">
        <f t="shared" si="15"/>
        <v>174</v>
      </c>
      <c r="M176">
        <f>'Real Analysis'!$B$3+B176/1000000</f>
        <v>3.530681000003824</v>
      </c>
      <c r="N176">
        <f t="shared" si="16"/>
        <v>2</v>
      </c>
      <c r="O176">
        <f>IF(ABS(D176)&gt;1,D176/1000000,D176)*'Real Analysis'!$B$4</f>
        <v>-4.8019950000000006E-2</v>
      </c>
      <c r="P176">
        <f>IF(ABS(E176)&gt;1,E176/1000000,E176)*'Real Analysis'!$B$4</f>
        <v>0.12075129000000001</v>
      </c>
      <c r="Q176">
        <f>IF(ABS(F176)&gt;1,F176/1000000,F176)*'Real Analysis'!$B$4</f>
        <v>9.8535367800000007</v>
      </c>
      <c r="R176">
        <f t="shared" si="17"/>
        <v>0</v>
      </c>
      <c r="S176">
        <f t="shared" si="18"/>
        <v>0</v>
      </c>
      <c r="T176">
        <f t="shared" si="19"/>
        <v>0</v>
      </c>
      <c r="U176">
        <f t="shared" si="20"/>
        <v>0</v>
      </c>
    </row>
    <row r="177" spans="1:21" x14ac:dyDescent="0.3">
      <c r="A177" s="4">
        <v>175</v>
      </c>
      <c r="B177" s="4">
        <v>-96588449350</v>
      </c>
      <c r="C177" s="5">
        <v>2</v>
      </c>
      <c r="D177" s="5">
        <v>-4.8279999999999998E-3</v>
      </c>
      <c r="E177" s="5">
        <v>1.2279999999999999E-2</v>
      </c>
      <c r="F177" s="5">
        <v>1004436</v>
      </c>
      <c r="G177" s="5">
        <v>0</v>
      </c>
      <c r="H177" s="5">
        <v>0</v>
      </c>
      <c r="I177" s="5">
        <v>0</v>
      </c>
      <c r="J177" s="5">
        <v>0</v>
      </c>
      <c r="L177">
        <f t="shared" si="15"/>
        <v>175</v>
      </c>
      <c r="M177">
        <f>'Real Analysis'!$B$3+B177/1000000</f>
        <v>3.5506500000046799</v>
      </c>
      <c r="N177">
        <f t="shared" si="16"/>
        <v>2</v>
      </c>
      <c r="O177">
        <f>IF(ABS(D177)&gt;1,D177/1000000,D177)*'Real Analysis'!$B$4</f>
        <v>-4.7362679999999997E-2</v>
      </c>
      <c r="P177">
        <f>IF(ABS(E177)&gt;1,E177/1000000,E177)*'Real Analysis'!$B$4</f>
        <v>0.1204668</v>
      </c>
      <c r="Q177">
        <f>IF(ABS(F177)&gt;1,F177/1000000,F177)*'Real Analysis'!$B$4</f>
        <v>9.8535171600000009</v>
      </c>
      <c r="R177">
        <f t="shared" si="17"/>
        <v>0</v>
      </c>
      <c r="S177">
        <f t="shared" si="18"/>
        <v>0</v>
      </c>
      <c r="T177">
        <f t="shared" si="19"/>
        <v>0</v>
      </c>
      <c r="U177">
        <f t="shared" si="20"/>
        <v>0</v>
      </c>
    </row>
    <row r="178" spans="1:21" x14ac:dyDescent="0.3">
      <c r="A178" s="4">
        <v>176</v>
      </c>
      <c r="B178" s="4">
        <v>-96588431248</v>
      </c>
      <c r="C178" s="5">
        <v>2</v>
      </c>
      <c r="D178" s="5">
        <v>-4.8690000000000001E-3</v>
      </c>
      <c r="E178" s="5">
        <v>1.2234999999999999E-2</v>
      </c>
      <c r="F178" s="5">
        <v>1004439</v>
      </c>
      <c r="G178" s="5">
        <v>0</v>
      </c>
      <c r="H178" s="5">
        <v>0</v>
      </c>
      <c r="I178" s="5">
        <v>0</v>
      </c>
      <c r="J178" s="5">
        <v>0</v>
      </c>
      <c r="L178">
        <f t="shared" si="15"/>
        <v>176</v>
      </c>
      <c r="M178">
        <f>'Real Analysis'!$B$3+B178/1000000</f>
        <v>3.5687520000064978</v>
      </c>
      <c r="N178">
        <f t="shared" si="16"/>
        <v>2</v>
      </c>
      <c r="O178">
        <f>IF(ABS(D178)&gt;1,D178/1000000,D178)*'Real Analysis'!$B$4</f>
        <v>-4.7764890000000004E-2</v>
      </c>
      <c r="P178">
        <f>IF(ABS(E178)&gt;1,E178/1000000,E178)*'Real Analysis'!$B$4</f>
        <v>0.12002535</v>
      </c>
      <c r="Q178">
        <f>IF(ABS(F178)&gt;1,F178/1000000,F178)*'Real Analysis'!$B$4</f>
        <v>9.8535465900000005</v>
      </c>
      <c r="R178">
        <f t="shared" si="17"/>
        <v>0</v>
      </c>
      <c r="S178">
        <f t="shared" si="18"/>
        <v>0</v>
      </c>
      <c r="T178">
        <f t="shared" si="19"/>
        <v>0</v>
      </c>
      <c r="U178">
        <f t="shared" si="20"/>
        <v>0</v>
      </c>
    </row>
    <row r="179" spans="1:21" x14ac:dyDescent="0.3">
      <c r="A179" s="4">
        <v>177</v>
      </c>
      <c r="B179" s="4">
        <v>-96588408991</v>
      </c>
      <c r="C179" s="5">
        <v>2</v>
      </c>
      <c r="D179" s="5">
        <v>-5.0130000000000001E-3</v>
      </c>
      <c r="E179" s="5">
        <v>1.2368000000000001E-2</v>
      </c>
      <c r="F179" s="5">
        <v>1004438</v>
      </c>
      <c r="G179" s="5">
        <v>0</v>
      </c>
      <c r="H179" s="5">
        <v>0</v>
      </c>
      <c r="I179" s="5">
        <v>0</v>
      </c>
      <c r="J179" s="5">
        <v>0</v>
      </c>
      <c r="L179">
        <f t="shared" si="15"/>
        <v>177</v>
      </c>
      <c r="M179">
        <f>'Real Analysis'!$B$3+B179/1000000</f>
        <v>3.5910089999961201</v>
      </c>
      <c r="N179">
        <f t="shared" si="16"/>
        <v>2</v>
      </c>
      <c r="O179">
        <f>IF(ABS(D179)&gt;1,D179/1000000,D179)*'Real Analysis'!$B$4</f>
        <v>-4.9177530000000004E-2</v>
      </c>
      <c r="P179">
        <f>IF(ABS(E179)&gt;1,E179/1000000,E179)*'Real Analysis'!$B$4</f>
        <v>0.12133008000000001</v>
      </c>
      <c r="Q179">
        <f>IF(ABS(F179)&gt;1,F179/1000000,F179)*'Real Analysis'!$B$4</f>
        <v>9.8535367800000007</v>
      </c>
      <c r="R179">
        <f t="shared" si="17"/>
        <v>0</v>
      </c>
      <c r="S179">
        <f t="shared" si="18"/>
        <v>0</v>
      </c>
      <c r="T179">
        <f t="shared" si="19"/>
        <v>0</v>
      </c>
      <c r="U179">
        <f t="shared" si="20"/>
        <v>0</v>
      </c>
    </row>
    <row r="180" spans="1:21" x14ac:dyDescent="0.3">
      <c r="A180" s="4">
        <v>178</v>
      </c>
      <c r="B180" s="4">
        <v>-96588394373</v>
      </c>
      <c r="C180" s="5">
        <v>2</v>
      </c>
      <c r="D180" s="5">
        <v>-4.9490000000000003E-3</v>
      </c>
      <c r="E180" s="5">
        <v>1.235E-2</v>
      </c>
      <c r="F180" s="5">
        <v>1004438</v>
      </c>
      <c r="G180" s="5">
        <v>0</v>
      </c>
      <c r="H180" s="5">
        <v>0</v>
      </c>
      <c r="I180" s="5">
        <v>0</v>
      </c>
      <c r="J180" s="5">
        <v>0</v>
      </c>
      <c r="L180">
        <f t="shared" si="15"/>
        <v>178</v>
      </c>
      <c r="M180">
        <f>'Real Analysis'!$B$3+B180/1000000</f>
        <v>3.6056269999971846</v>
      </c>
      <c r="N180">
        <f t="shared" si="16"/>
        <v>2</v>
      </c>
      <c r="O180">
        <f>IF(ABS(D180)&gt;1,D180/1000000,D180)*'Real Analysis'!$B$4</f>
        <v>-4.8549690000000006E-2</v>
      </c>
      <c r="P180">
        <f>IF(ABS(E180)&gt;1,E180/1000000,E180)*'Real Analysis'!$B$4</f>
        <v>0.12115350000000001</v>
      </c>
      <c r="Q180">
        <f>IF(ABS(F180)&gt;1,F180/1000000,F180)*'Real Analysis'!$B$4</f>
        <v>9.8535367800000007</v>
      </c>
      <c r="R180">
        <f t="shared" si="17"/>
        <v>0</v>
      </c>
      <c r="S180">
        <f t="shared" si="18"/>
        <v>0</v>
      </c>
      <c r="T180">
        <f t="shared" si="19"/>
        <v>0</v>
      </c>
      <c r="U180">
        <f t="shared" si="20"/>
        <v>0</v>
      </c>
    </row>
    <row r="181" spans="1:21" x14ac:dyDescent="0.3">
      <c r="A181" s="4">
        <v>179</v>
      </c>
      <c r="B181" s="4">
        <v>-96588369192</v>
      </c>
      <c r="C181" s="5">
        <v>2</v>
      </c>
      <c r="D181" s="5">
        <v>-4.9810000000000002E-3</v>
      </c>
      <c r="E181" s="5">
        <v>1.2281E-2</v>
      </c>
      <c r="F181" s="5">
        <v>1004438</v>
      </c>
      <c r="G181" s="5">
        <v>0</v>
      </c>
      <c r="H181" s="5">
        <v>0</v>
      </c>
      <c r="I181" s="5">
        <v>0</v>
      </c>
      <c r="J181" s="5">
        <v>0</v>
      </c>
      <c r="L181">
        <f t="shared" si="15"/>
        <v>179</v>
      </c>
      <c r="M181">
        <f>'Real Analysis'!$B$3+B181/1000000</f>
        <v>3.6308080000017071</v>
      </c>
      <c r="N181">
        <f t="shared" si="16"/>
        <v>2</v>
      </c>
      <c r="O181">
        <f>IF(ABS(D181)&gt;1,D181/1000000,D181)*'Real Analysis'!$B$4</f>
        <v>-4.8863610000000002E-2</v>
      </c>
      <c r="P181">
        <f>IF(ABS(E181)&gt;1,E181/1000000,E181)*'Real Analysis'!$B$4</f>
        <v>0.12047661000000001</v>
      </c>
      <c r="Q181">
        <f>IF(ABS(F181)&gt;1,F181/1000000,F181)*'Real Analysis'!$B$4</f>
        <v>9.8535367800000007</v>
      </c>
      <c r="R181">
        <f t="shared" si="17"/>
        <v>0</v>
      </c>
      <c r="S181">
        <f t="shared" si="18"/>
        <v>0</v>
      </c>
      <c r="T181">
        <f t="shared" si="19"/>
        <v>0</v>
      </c>
      <c r="U181">
        <f t="shared" si="20"/>
        <v>0</v>
      </c>
    </row>
    <row r="182" spans="1:21" x14ac:dyDescent="0.3">
      <c r="A182" s="4">
        <v>180</v>
      </c>
      <c r="B182" s="4">
        <v>-96588348304</v>
      </c>
      <c r="C182" s="5">
        <v>2</v>
      </c>
      <c r="D182" s="5">
        <v>-4.96E-3</v>
      </c>
      <c r="E182" s="5">
        <v>1.0645999999999999E-2</v>
      </c>
      <c r="F182" s="5">
        <v>1004440</v>
      </c>
      <c r="G182" s="5">
        <v>0</v>
      </c>
      <c r="H182" s="5">
        <v>0</v>
      </c>
      <c r="I182" s="5">
        <v>0</v>
      </c>
      <c r="J182" s="5">
        <v>0</v>
      </c>
      <c r="L182">
        <f t="shared" si="15"/>
        <v>180</v>
      </c>
      <c r="M182">
        <f>'Real Analysis'!$B$3+B182/1000000</f>
        <v>3.6516960000008112</v>
      </c>
      <c r="N182">
        <f t="shared" si="16"/>
        <v>2</v>
      </c>
      <c r="O182">
        <f>IF(ABS(D182)&gt;1,D182/1000000,D182)*'Real Analysis'!$B$4</f>
        <v>-4.8657600000000002E-2</v>
      </c>
      <c r="P182">
        <f>IF(ABS(E182)&gt;1,E182/1000000,E182)*'Real Analysis'!$B$4</f>
        <v>0.10443726</v>
      </c>
      <c r="Q182">
        <f>IF(ABS(F182)&gt;1,F182/1000000,F182)*'Real Analysis'!$B$4</f>
        <v>9.8535564000000004</v>
      </c>
      <c r="R182">
        <f t="shared" si="17"/>
        <v>0</v>
      </c>
      <c r="S182">
        <f t="shared" si="18"/>
        <v>0</v>
      </c>
      <c r="T182">
        <f t="shared" si="19"/>
        <v>0</v>
      </c>
      <c r="U182">
        <f t="shared" si="20"/>
        <v>0</v>
      </c>
    </row>
    <row r="183" spans="1:21" x14ac:dyDescent="0.3">
      <c r="A183" s="4">
        <v>181</v>
      </c>
      <c r="B183" s="4">
        <v>-96588332445</v>
      </c>
      <c r="C183" s="5">
        <v>2</v>
      </c>
      <c r="D183" s="5">
        <v>-4.9589999999999999E-3</v>
      </c>
      <c r="E183" s="5">
        <v>1.355E-2</v>
      </c>
      <c r="F183" s="5">
        <v>1004436</v>
      </c>
      <c r="G183" s="5">
        <v>0</v>
      </c>
      <c r="H183" s="5">
        <v>0</v>
      </c>
      <c r="I183" s="5">
        <v>0</v>
      </c>
      <c r="J183" s="5">
        <v>0</v>
      </c>
      <c r="L183">
        <f t="shared" si="15"/>
        <v>181</v>
      </c>
      <c r="M183">
        <f>'Real Analysis'!$B$3+B183/1000000</f>
        <v>3.667555000007269</v>
      </c>
      <c r="N183">
        <f t="shared" si="16"/>
        <v>2</v>
      </c>
      <c r="O183">
        <f>IF(ABS(D183)&gt;1,D183/1000000,D183)*'Real Analysis'!$B$4</f>
        <v>-4.8647790000000003E-2</v>
      </c>
      <c r="P183">
        <f>IF(ABS(E183)&gt;1,E183/1000000,E183)*'Real Analysis'!$B$4</f>
        <v>0.1329255</v>
      </c>
      <c r="Q183">
        <f>IF(ABS(F183)&gt;1,F183/1000000,F183)*'Real Analysis'!$B$4</f>
        <v>9.8535171600000009</v>
      </c>
      <c r="R183">
        <f t="shared" si="17"/>
        <v>0</v>
      </c>
      <c r="S183">
        <f t="shared" si="18"/>
        <v>0</v>
      </c>
      <c r="T183">
        <f t="shared" si="19"/>
        <v>0</v>
      </c>
      <c r="U183">
        <f t="shared" si="20"/>
        <v>0</v>
      </c>
    </row>
    <row r="184" spans="1:21" x14ac:dyDescent="0.3">
      <c r="A184" s="4">
        <v>182</v>
      </c>
      <c r="B184" s="4">
        <v>-96588307568</v>
      </c>
      <c r="C184" s="5">
        <v>2</v>
      </c>
      <c r="D184" s="5">
        <v>-1.2383999999999999E-2</v>
      </c>
      <c r="E184" s="5">
        <v>1.2482999999999999E-2</v>
      </c>
      <c r="F184" s="5">
        <v>1004154</v>
      </c>
      <c r="G184" s="5">
        <v>0</v>
      </c>
      <c r="H184" s="5">
        <v>0</v>
      </c>
      <c r="I184" s="5">
        <v>0</v>
      </c>
      <c r="J184" s="5">
        <v>0</v>
      </c>
      <c r="L184">
        <f t="shared" si="15"/>
        <v>182</v>
      </c>
      <c r="M184">
        <f>'Real Analysis'!$B$3+B184/1000000</f>
        <v>3.6924319999961881</v>
      </c>
      <c r="N184">
        <f t="shared" si="16"/>
        <v>2</v>
      </c>
      <c r="O184">
        <f>IF(ABS(D184)&gt;1,D184/1000000,D184)*'Real Analysis'!$B$4</f>
        <v>-0.12148704</v>
      </c>
      <c r="P184">
        <f>IF(ABS(E184)&gt;1,E184/1000000,E184)*'Real Analysis'!$B$4</f>
        <v>0.12245823</v>
      </c>
      <c r="Q184">
        <f>IF(ABS(F184)&gt;1,F184/1000000,F184)*'Real Analysis'!$B$4</f>
        <v>9.8507507400000005</v>
      </c>
      <c r="R184">
        <f t="shared" si="17"/>
        <v>0</v>
      </c>
      <c r="S184">
        <f t="shared" si="18"/>
        <v>0</v>
      </c>
      <c r="T184">
        <f t="shared" si="19"/>
        <v>0</v>
      </c>
      <c r="U184">
        <f t="shared" si="20"/>
        <v>0</v>
      </c>
    </row>
    <row r="185" spans="1:21" x14ac:dyDescent="0.3">
      <c r="A185" s="4">
        <v>183</v>
      </c>
      <c r="B185" s="4">
        <v>-96588288321</v>
      </c>
      <c r="C185" s="5">
        <v>2</v>
      </c>
      <c r="D185" s="5">
        <v>-1.3993999999999999E-2</v>
      </c>
      <c r="E185" s="5">
        <v>1.1995E-2</v>
      </c>
      <c r="F185" s="5">
        <v>1004093</v>
      </c>
      <c r="G185" s="5">
        <v>0</v>
      </c>
      <c r="H185" s="5">
        <v>0</v>
      </c>
      <c r="I185" s="5">
        <v>0</v>
      </c>
      <c r="J185" s="5">
        <v>0</v>
      </c>
      <c r="L185">
        <f t="shared" si="15"/>
        <v>183</v>
      </c>
      <c r="M185">
        <f>'Real Analysis'!$B$3+B185/1000000</f>
        <v>3.7116790000000037</v>
      </c>
      <c r="N185">
        <f t="shared" si="16"/>
        <v>2</v>
      </c>
      <c r="O185">
        <f>IF(ABS(D185)&gt;1,D185/1000000,D185)*'Real Analysis'!$B$4</f>
        <v>-0.13728114</v>
      </c>
      <c r="P185">
        <f>IF(ABS(E185)&gt;1,E185/1000000,E185)*'Real Analysis'!$B$4</f>
        <v>0.11767095000000001</v>
      </c>
      <c r="Q185">
        <f>IF(ABS(F185)&gt;1,F185/1000000,F185)*'Real Analysis'!$B$4</f>
        <v>9.8501523300000002</v>
      </c>
      <c r="R185">
        <f t="shared" si="17"/>
        <v>0</v>
      </c>
      <c r="S185">
        <f t="shared" si="18"/>
        <v>0</v>
      </c>
      <c r="T185">
        <f t="shared" si="19"/>
        <v>0</v>
      </c>
      <c r="U185">
        <f t="shared" si="20"/>
        <v>0</v>
      </c>
    </row>
    <row r="186" spans="1:21" x14ac:dyDescent="0.3">
      <c r="A186" s="4">
        <v>184</v>
      </c>
      <c r="B186" s="4">
        <v>-96588273528</v>
      </c>
      <c r="C186" s="5">
        <v>2</v>
      </c>
      <c r="D186" s="5">
        <v>-8.0579999999999992E-3</v>
      </c>
      <c r="E186" s="5">
        <v>1.2421E-2</v>
      </c>
      <c r="F186" s="5">
        <v>1004320</v>
      </c>
      <c r="G186" s="5">
        <v>0</v>
      </c>
      <c r="H186" s="5">
        <v>0</v>
      </c>
      <c r="I186" s="5">
        <v>0</v>
      </c>
      <c r="J186" s="5">
        <v>0</v>
      </c>
      <c r="L186">
        <f t="shared" si="15"/>
        <v>184</v>
      </c>
      <c r="M186">
        <f>'Real Analysis'!$B$3+B186/1000000</f>
        <v>3.7264719999948284</v>
      </c>
      <c r="N186">
        <f t="shared" si="16"/>
        <v>2</v>
      </c>
      <c r="O186">
        <f>IF(ABS(D186)&gt;1,D186/1000000,D186)*'Real Analysis'!$B$4</f>
        <v>-7.9048979999999991E-2</v>
      </c>
      <c r="P186">
        <f>IF(ABS(E186)&gt;1,E186/1000000,E186)*'Real Analysis'!$B$4</f>
        <v>0.12185001000000001</v>
      </c>
      <c r="Q186">
        <f>IF(ABS(F186)&gt;1,F186/1000000,F186)*'Real Analysis'!$B$4</f>
        <v>9.8523792000000014</v>
      </c>
      <c r="R186">
        <f t="shared" si="17"/>
        <v>0</v>
      </c>
      <c r="S186">
        <f t="shared" si="18"/>
        <v>0</v>
      </c>
      <c r="T186">
        <f t="shared" si="19"/>
        <v>0</v>
      </c>
      <c r="U186">
        <f t="shared" si="20"/>
        <v>0</v>
      </c>
    </row>
    <row r="187" spans="1:21" x14ac:dyDescent="0.3">
      <c r="A187" s="4">
        <v>185</v>
      </c>
      <c r="B187" s="4">
        <v>-96588252596</v>
      </c>
      <c r="C187" s="5">
        <v>2</v>
      </c>
      <c r="D187" s="5">
        <v>-3.6029999999999999E-3</v>
      </c>
      <c r="E187" s="5">
        <v>1.2352E-2</v>
      </c>
      <c r="F187" s="5">
        <v>1004491</v>
      </c>
      <c r="G187" s="5">
        <v>0</v>
      </c>
      <c r="H187" s="5">
        <v>0</v>
      </c>
      <c r="I187" s="5">
        <v>0</v>
      </c>
      <c r="J187" s="5">
        <v>0</v>
      </c>
      <c r="L187">
        <f t="shared" si="15"/>
        <v>185</v>
      </c>
      <c r="M187">
        <f>'Real Analysis'!$B$3+B187/1000000</f>
        <v>3.7474039999942761</v>
      </c>
      <c r="N187">
        <f t="shared" si="16"/>
        <v>2</v>
      </c>
      <c r="O187">
        <f>IF(ABS(D187)&gt;1,D187/1000000,D187)*'Real Analysis'!$B$4</f>
        <v>-3.5345429999999997E-2</v>
      </c>
      <c r="P187">
        <f>IF(ABS(E187)&gt;1,E187/1000000,E187)*'Real Analysis'!$B$4</f>
        <v>0.12117312000000001</v>
      </c>
      <c r="Q187">
        <f>IF(ABS(F187)&gt;1,F187/1000000,F187)*'Real Analysis'!$B$4</f>
        <v>9.8540567100000001</v>
      </c>
      <c r="R187">
        <f t="shared" si="17"/>
        <v>0</v>
      </c>
      <c r="S187">
        <f t="shared" si="18"/>
        <v>0</v>
      </c>
      <c r="T187">
        <f t="shared" si="19"/>
        <v>0</v>
      </c>
      <c r="U187">
        <f t="shared" si="20"/>
        <v>0</v>
      </c>
    </row>
    <row r="188" spans="1:21" x14ac:dyDescent="0.3">
      <c r="A188" s="4">
        <v>186</v>
      </c>
      <c r="B188" s="4">
        <v>-96588227513</v>
      </c>
      <c r="C188" s="5">
        <v>2</v>
      </c>
      <c r="D188" s="5">
        <v>-4.4819999999999999E-3</v>
      </c>
      <c r="E188" s="5">
        <v>1.0638E-2</v>
      </c>
      <c r="F188" s="5">
        <v>1004453</v>
      </c>
      <c r="G188" s="5">
        <v>0</v>
      </c>
      <c r="H188" s="5">
        <v>0</v>
      </c>
      <c r="I188" s="5">
        <v>0</v>
      </c>
      <c r="J188" s="5">
        <v>0</v>
      </c>
      <c r="L188">
        <f t="shared" si="15"/>
        <v>186</v>
      </c>
      <c r="M188">
        <f>'Real Analysis'!$B$3+B188/1000000</f>
        <v>3.7724869999947259</v>
      </c>
      <c r="N188">
        <f t="shared" si="16"/>
        <v>2</v>
      </c>
      <c r="O188">
        <f>IF(ABS(D188)&gt;1,D188/1000000,D188)*'Real Analysis'!$B$4</f>
        <v>-4.3968420000000001E-2</v>
      </c>
      <c r="P188">
        <f>IF(ABS(E188)&gt;1,E188/1000000,E188)*'Real Analysis'!$B$4</f>
        <v>0.10435878</v>
      </c>
      <c r="Q188">
        <f>IF(ABS(F188)&gt;1,F188/1000000,F188)*'Real Analysis'!$B$4</f>
        <v>9.8536839300000008</v>
      </c>
      <c r="R188">
        <f t="shared" si="17"/>
        <v>0</v>
      </c>
      <c r="S188">
        <f t="shared" si="18"/>
        <v>0</v>
      </c>
      <c r="T188">
        <f t="shared" si="19"/>
        <v>0</v>
      </c>
      <c r="U188">
        <f t="shared" si="20"/>
        <v>0</v>
      </c>
    </row>
    <row r="189" spans="1:21" x14ac:dyDescent="0.3">
      <c r="A189" s="4">
        <v>187</v>
      </c>
      <c r="B189" s="4">
        <v>-96588206553</v>
      </c>
      <c r="C189" s="5">
        <v>2</v>
      </c>
      <c r="D189" s="5">
        <v>-4.8929999999999998E-3</v>
      </c>
      <c r="E189" s="5">
        <v>6.711E-3</v>
      </c>
      <c r="F189" s="5">
        <v>1004446</v>
      </c>
      <c r="G189" s="5">
        <v>0</v>
      </c>
      <c r="H189" s="5">
        <v>0</v>
      </c>
      <c r="I189" s="5">
        <v>0</v>
      </c>
      <c r="J189" s="5">
        <v>0</v>
      </c>
      <c r="L189">
        <f t="shared" si="15"/>
        <v>187</v>
      </c>
      <c r="M189">
        <f>'Real Analysis'!$B$3+B189/1000000</f>
        <v>3.7934470000036526</v>
      </c>
      <c r="N189">
        <f t="shared" si="16"/>
        <v>2</v>
      </c>
      <c r="O189">
        <f>IF(ABS(D189)&gt;1,D189/1000000,D189)*'Real Analysis'!$B$4</f>
        <v>-4.8000330000000001E-2</v>
      </c>
      <c r="P189">
        <f>IF(ABS(E189)&gt;1,E189/1000000,E189)*'Real Analysis'!$B$4</f>
        <v>6.5834909999999996E-2</v>
      </c>
      <c r="Q189">
        <f>IF(ABS(F189)&gt;1,F189/1000000,F189)*'Real Analysis'!$B$4</f>
        <v>9.8536152599999998</v>
      </c>
      <c r="R189">
        <f t="shared" si="17"/>
        <v>0</v>
      </c>
      <c r="S189">
        <f t="shared" si="18"/>
        <v>0</v>
      </c>
      <c r="T189">
        <f t="shared" si="19"/>
        <v>0</v>
      </c>
      <c r="U189">
        <f t="shared" si="20"/>
        <v>0</v>
      </c>
    </row>
    <row r="190" spans="1:21" x14ac:dyDescent="0.3">
      <c r="A190" s="4">
        <v>188</v>
      </c>
      <c r="B190" s="4">
        <v>-96588192319</v>
      </c>
      <c r="C190" s="5">
        <v>2</v>
      </c>
      <c r="D190" s="5">
        <v>-6.365E-3</v>
      </c>
      <c r="E190" s="5">
        <v>1.0782E-2</v>
      </c>
      <c r="F190" s="5">
        <v>1002823</v>
      </c>
      <c r="G190" s="5">
        <v>0</v>
      </c>
      <c r="H190" s="5">
        <v>0</v>
      </c>
      <c r="I190" s="5">
        <v>0</v>
      </c>
      <c r="J190" s="5">
        <v>0</v>
      </c>
      <c r="L190">
        <f t="shared" si="15"/>
        <v>188</v>
      </c>
      <c r="M190">
        <f>'Real Analysis'!$B$3+B190/1000000</f>
        <v>3.8076810000056867</v>
      </c>
      <c r="N190">
        <f t="shared" si="16"/>
        <v>2</v>
      </c>
      <c r="O190">
        <f>IF(ABS(D190)&gt;1,D190/1000000,D190)*'Real Analysis'!$B$4</f>
        <v>-6.244065E-2</v>
      </c>
      <c r="P190">
        <f>IF(ABS(E190)&gt;1,E190/1000000,E190)*'Real Analysis'!$B$4</f>
        <v>0.10577142</v>
      </c>
      <c r="Q190">
        <f>IF(ABS(F190)&gt;1,F190/1000000,F190)*'Real Analysis'!$B$4</f>
        <v>9.8376936300000004</v>
      </c>
      <c r="R190">
        <f t="shared" si="17"/>
        <v>0</v>
      </c>
      <c r="S190">
        <f t="shared" si="18"/>
        <v>0</v>
      </c>
      <c r="T190">
        <f t="shared" si="19"/>
        <v>0</v>
      </c>
      <c r="U190">
        <f t="shared" si="20"/>
        <v>0</v>
      </c>
    </row>
    <row r="191" spans="1:21" x14ac:dyDescent="0.3">
      <c r="A191" s="4">
        <v>189</v>
      </c>
      <c r="B191" s="4">
        <v>-96588167884</v>
      </c>
      <c r="C191" s="5">
        <v>2</v>
      </c>
      <c r="D191" s="5">
        <v>-1.3179E-2</v>
      </c>
      <c r="E191" s="5">
        <v>1.1578E-2</v>
      </c>
      <c r="F191" s="5">
        <v>0.99552300000000005</v>
      </c>
      <c r="G191" s="5">
        <v>0</v>
      </c>
      <c r="H191" s="5">
        <v>0</v>
      </c>
      <c r="I191" s="5">
        <v>0</v>
      </c>
      <c r="J191" s="5">
        <v>0</v>
      </c>
      <c r="L191">
        <f t="shared" si="15"/>
        <v>189</v>
      </c>
      <c r="M191">
        <f>'Real Analysis'!$B$3+B191/1000000</f>
        <v>3.832116000005044</v>
      </c>
      <c r="N191">
        <f t="shared" si="16"/>
        <v>2</v>
      </c>
      <c r="O191">
        <f>IF(ABS(D191)&gt;1,D191/1000000,D191)*'Real Analysis'!$B$4</f>
        <v>-0.12928599000000002</v>
      </c>
      <c r="P191">
        <f>IF(ABS(E191)&gt;1,E191/1000000,E191)*'Real Analysis'!$B$4</f>
        <v>0.11358018</v>
      </c>
      <c r="Q191">
        <f>IF(ABS(F191)&gt;1,F191/1000000,F191)*'Real Analysis'!$B$4</f>
        <v>9.7660806300000012</v>
      </c>
      <c r="R191">
        <f t="shared" si="17"/>
        <v>0</v>
      </c>
      <c r="S191">
        <f t="shared" si="18"/>
        <v>0</v>
      </c>
      <c r="T191">
        <f t="shared" si="19"/>
        <v>0</v>
      </c>
      <c r="U191">
        <f t="shared" si="20"/>
        <v>0</v>
      </c>
    </row>
    <row r="192" spans="1:21" x14ac:dyDescent="0.3">
      <c r="A192" s="4">
        <v>190</v>
      </c>
      <c r="B192" s="4">
        <v>-96588157455</v>
      </c>
      <c r="C192" s="5">
        <v>2</v>
      </c>
      <c r="D192" s="5">
        <v>-1.2579E-2</v>
      </c>
      <c r="E192" s="5">
        <v>1.2739E-2</v>
      </c>
      <c r="F192" s="5">
        <v>0.99972399999999995</v>
      </c>
      <c r="G192" s="5">
        <v>0</v>
      </c>
      <c r="H192" s="5">
        <v>0</v>
      </c>
      <c r="I192" s="5">
        <v>0</v>
      </c>
      <c r="J192" s="5">
        <v>0</v>
      </c>
      <c r="L192">
        <f t="shared" si="15"/>
        <v>190</v>
      </c>
      <c r="M192">
        <f>'Real Analysis'!$B$3+B192/1000000</f>
        <v>3.842545000006794</v>
      </c>
      <c r="N192">
        <f t="shared" si="16"/>
        <v>2</v>
      </c>
      <c r="O192">
        <f>IF(ABS(D192)&gt;1,D192/1000000,D192)*'Real Analysis'!$B$4</f>
        <v>-0.12339999</v>
      </c>
      <c r="P192">
        <f>IF(ABS(E192)&gt;1,E192/1000000,E192)*'Real Analysis'!$B$4</f>
        <v>0.12496959000000001</v>
      </c>
      <c r="Q192">
        <f>IF(ABS(F192)&gt;1,F192/1000000,F192)*'Real Analysis'!$B$4</f>
        <v>9.8072924399999994</v>
      </c>
      <c r="R192">
        <f t="shared" si="17"/>
        <v>0</v>
      </c>
      <c r="S192">
        <f t="shared" si="18"/>
        <v>0</v>
      </c>
      <c r="T192">
        <f t="shared" si="19"/>
        <v>0</v>
      </c>
      <c r="U192">
        <f t="shared" si="20"/>
        <v>0</v>
      </c>
    </row>
    <row r="193" spans="1:21" x14ac:dyDescent="0.3">
      <c r="A193" s="4">
        <v>191</v>
      </c>
      <c r="B193" s="4">
        <v>-96588128593</v>
      </c>
      <c r="C193" s="5">
        <v>2</v>
      </c>
      <c r="D193" s="5">
        <v>-6.8890000000000002E-3</v>
      </c>
      <c r="E193" s="5">
        <v>1.2435E-2</v>
      </c>
      <c r="F193" s="5">
        <v>1003572</v>
      </c>
      <c r="G193" s="5">
        <v>0</v>
      </c>
      <c r="H193" s="5">
        <v>0</v>
      </c>
      <c r="I193" s="5">
        <v>0</v>
      </c>
      <c r="J193" s="5">
        <v>0</v>
      </c>
      <c r="L193">
        <f t="shared" si="15"/>
        <v>191</v>
      </c>
      <c r="M193">
        <f>'Real Analysis'!$B$3+B193/1000000</f>
        <v>3.871406999998726</v>
      </c>
      <c r="N193">
        <f t="shared" si="16"/>
        <v>2</v>
      </c>
      <c r="O193">
        <f>IF(ABS(D193)&gt;1,D193/1000000,D193)*'Real Analysis'!$B$4</f>
        <v>-6.758109000000001E-2</v>
      </c>
      <c r="P193">
        <f>IF(ABS(E193)&gt;1,E193/1000000,E193)*'Real Analysis'!$B$4</f>
        <v>0.12198735000000001</v>
      </c>
      <c r="Q193">
        <f>IF(ABS(F193)&gt;1,F193/1000000,F193)*'Real Analysis'!$B$4</f>
        <v>9.84504132</v>
      </c>
      <c r="R193">
        <f t="shared" si="17"/>
        <v>0</v>
      </c>
      <c r="S193">
        <f t="shared" si="18"/>
        <v>0</v>
      </c>
      <c r="T193">
        <f t="shared" si="19"/>
        <v>0</v>
      </c>
      <c r="U193">
        <f t="shared" si="20"/>
        <v>0</v>
      </c>
    </row>
    <row r="194" spans="1:21" x14ac:dyDescent="0.3">
      <c r="A194" s="4">
        <v>192</v>
      </c>
      <c r="B194" s="4">
        <v>-96588107404</v>
      </c>
      <c r="C194" s="5">
        <v>2</v>
      </c>
      <c r="D194" s="5">
        <v>-1.0577E-2</v>
      </c>
      <c r="E194" s="5">
        <v>1.2252000000000001E-2</v>
      </c>
      <c r="F194" s="5">
        <v>0.99882700000000002</v>
      </c>
      <c r="G194" s="5">
        <v>0</v>
      </c>
      <c r="H194" s="5">
        <v>0</v>
      </c>
      <c r="I194" s="5">
        <v>0</v>
      </c>
      <c r="J194" s="5">
        <v>0</v>
      </c>
      <c r="L194">
        <f t="shared" si="15"/>
        <v>192</v>
      </c>
      <c r="M194">
        <f>'Real Analysis'!$B$3+B194/1000000</f>
        <v>3.8925960000051418</v>
      </c>
      <c r="N194">
        <f t="shared" si="16"/>
        <v>2</v>
      </c>
      <c r="O194">
        <f>IF(ABS(D194)&gt;1,D194/1000000,D194)*'Real Analysis'!$B$4</f>
        <v>-0.10376037</v>
      </c>
      <c r="P194">
        <f>IF(ABS(E194)&gt;1,E194/1000000,E194)*'Real Analysis'!$B$4</f>
        <v>0.12019212000000001</v>
      </c>
      <c r="Q194">
        <f>IF(ABS(F194)&gt;1,F194/1000000,F194)*'Real Analysis'!$B$4</f>
        <v>9.7984928700000005</v>
      </c>
      <c r="R194">
        <f t="shared" si="17"/>
        <v>0</v>
      </c>
      <c r="S194">
        <f t="shared" si="18"/>
        <v>0</v>
      </c>
      <c r="T194">
        <f t="shared" si="19"/>
        <v>0</v>
      </c>
      <c r="U194">
        <f t="shared" si="20"/>
        <v>0</v>
      </c>
    </row>
    <row r="195" spans="1:21" x14ac:dyDescent="0.3">
      <c r="A195" s="4">
        <v>193</v>
      </c>
      <c r="B195" s="4">
        <v>-96588087325</v>
      </c>
      <c r="C195" s="5">
        <v>2</v>
      </c>
      <c r="D195" s="5">
        <v>-6.3839999999999999E-3</v>
      </c>
      <c r="E195" s="5">
        <v>1.2224E-2</v>
      </c>
      <c r="F195" s="5">
        <v>1005126</v>
      </c>
      <c r="G195" s="5">
        <v>0</v>
      </c>
      <c r="H195" s="5">
        <v>0</v>
      </c>
      <c r="I195" s="5">
        <v>0</v>
      </c>
      <c r="J195" s="5">
        <v>0</v>
      </c>
      <c r="L195">
        <f t="shared" ref="L195:L258" si="21">A195</f>
        <v>193</v>
      </c>
      <c r="M195">
        <f>'Real Analysis'!$B$3+B195/1000000</f>
        <v>3.9126749999995809</v>
      </c>
      <c r="N195">
        <f t="shared" ref="N195:N258" si="22">C195</f>
        <v>2</v>
      </c>
      <c r="O195">
        <f>IF(ABS(D195)&gt;1,D195/1000000,D195)*'Real Analysis'!$B$4</f>
        <v>-6.2627040000000009E-2</v>
      </c>
      <c r="P195">
        <f>IF(ABS(E195)&gt;1,E195/1000000,E195)*'Real Analysis'!$B$4</f>
        <v>0.11991744000000001</v>
      </c>
      <c r="Q195">
        <f>IF(ABS(F195)&gt;1,F195/1000000,F195)*'Real Analysis'!$B$4</f>
        <v>9.86028606</v>
      </c>
      <c r="R195">
        <f t="shared" ref="R195:R258" si="23">IF(ABS(G195)&gt;1,G195/1000000,G195)</f>
        <v>0</v>
      </c>
      <c r="S195">
        <f t="shared" ref="S195:S258" si="24">IF(ABS(H195)&gt;1,H195/1000000,H195)</f>
        <v>0</v>
      </c>
      <c r="T195">
        <f t="shared" ref="T195:T258" si="25">IF(ABS(I195)&gt;1,I195/1000000,I195)</f>
        <v>0</v>
      </c>
      <c r="U195">
        <f t="shared" si="20"/>
        <v>0</v>
      </c>
    </row>
    <row r="196" spans="1:21" x14ac:dyDescent="0.3">
      <c r="A196" s="4">
        <v>194</v>
      </c>
      <c r="B196" s="4">
        <v>-96588075448</v>
      </c>
      <c r="C196" s="5">
        <v>2</v>
      </c>
      <c r="D196" s="5">
        <v>-5.4219999999999997E-3</v>
      </c>
      <c r="E196" s="5">
        <v>1.2248E-2</v>
      </c>
      <c r="F196" s="5">
        <v>1003825</v>
      </c>
      <c r="G196" s="5">
        <v>0</v>
      </c>
      <c r="H196" s="5">
        <v>0</v>
      </c>
      <c r="I196" s="5">
        <v>0</v>
      </c>
      <c r="J196" s="5">
        <v>0</v>
      </c>
      <c r="L196">
        <f t="shared" si="21"/>
        <v>194</v>
      </c>
      <c r="M196">
        <f>'Real Analysis'!$B$3+B196/1000000</f>
        <v>3.9245519999967655</v>
      </c>
      <c r="N196">
        <f t="shared" si="22"/>
        <v>2</v>
      </c>
      <c r="O196">
        <f>IF(ABS(D196)&gt;1,D196/1000000,D196)*'Real Analysis'!$B$4</f>
        <v>-5.3189819999999999E-2</v>
      </c>
      <c r="P196">
        <f>IF(ABS(E196)&gt;1,E196/1000000,E196)*'Real Analysis'!$B$4</f>
        <v>0.12015288</v>
      </c>
      <c r="Q196">
        <f>IF(ABS(F196)&gt;1,F196/1000000,F196)*'Real Analysis'!$B$4</f>
        <v>9.8475232500000001</v>
      </c>
      <c r="R196">
        <f t="shared" si="23"/>
        <v>0</v>
      </c>
      <c r="S196">
        <f t="shared" si="24"/>
        <v>0</v>
      </c>
      <c r="T196">
        <f t="shared" si="25"/>
        <v>0</v>
      </c>
      <c r="U196">
        <f t="shared" si="20"/>
        <v>0</v>
      </c>
    </row>
    <row r="197" spans="1:21" x14ac:dyDescent="0.3">
      <c r="A197" s="4">
        <v>195</v>
      </c>
      <c r="B197" s="4">
        <v>-96588051877</v>
      </c>
      <c r="C197" s="5">
        <v>2</v>
      </c>
      <c r="D197" s="5">
        <v>-4.79E-3</v>
      </c>
      <c r="E197" s="5">
        <v>1.2328E-2</v>
      </c>
      <c r="F197" s="5">
        <v>1004352</v>
      </c>
      <c r="G197" s="5">
        <v>0</v>
      </c>
      <c r="H197" s="5">
        <v>0</v>
      </c>
      <c r="I197" s="5">
        <v>0</v>
      </c>
      <c r="J197" s="5">
        <v>0</v>
      </c>
      <c r="L197">
        <f t="shared" si="21"/>
        <v>195</v>
      </c>
      <c r="M197">
        <f>'Real Analysis'!$B$3+B197/1000000</f>
        <v>3.9481229999946663</v>
      </c>
      <c r="N197">
        <f t="shared" si="22"/>
        <v>2</v>
      </c>
      <c r="O197">
        <f>IF(ABS(D197)&gt;1,D197/1000000,D197)*'Real Analysis'!$B$4</f>
        <v>-4.6989900000000001E-2</v>
      </c>
      <c r="P197">
        <f>IF(ABS(E197)&gt;1,E197/1000000,E197)*'Real Analysis'!$B$4</f>
        <v>0.12093768000000001</v>
      </c>
      <c r="Q197">
        <f>IF(ABS(F197)&gt;1,F197/1000000,F197)*'Real Analysis'!$B$4</f>
        <v>9.8526931199999996</v>
      </c>
      <c r="R197">
        <f t="shared" si="23"/>
        <v>0</v>
      </c>
      <c r="S197">
        <f t="shared" si="24"/>
        <v>0</v>
      </c>
      <c r="T197">
        <f t="shared" si="25"/>
        <v>0</v>
      </c>
      <c r="U197">
        <f t="shared" si="20"/>
        <v>0</v>
      </c>
    </row>
    <row r="198" spans="1:21" x14ac:dyDescent="0.3">
      <c r="A198" s="4">
        <v>196</v>
      </c>
      <c r="B198" s="4">
        <v>-96588036583</v>
      </c>
      <c r="C198" s="5">
        <v>2</v>
      </c>
      <c r="D198" s="5">
        <v>-4.8910000000000004E-3</v>
      </c>
      <c r="E198" s="5">
        <v>1.2262E-2</v>
      </c>
      <c r="F198" s="5">
        <v>1004457</v>
      </c>
      <c r="G198" s="5">
        <v>0</v>
      </c>
      <c r="H198" s="5">
        <v>0</v>
      </c>
      <c r="I198" s="5">
        <v>0</v>
      </c>
      <c r="J198" s="5">
        <v>0</v>
      </c>
      <c r="L198">
        <f t="shared" si="21"/>
        <v>196</v>
      </c>
      <c r="M198">
        <f>'Real Analysis'!$B$3+B198/1000000</f>
        <v>3.9634170000063023</v>
      </c>
      <c r="N198">
        <f t="shared" si="22"/>
        <v>2</v>
      </c>
      <c r="O198">
        <f>IF(ABS(D198)&gt;1,D198/1000000,D198)*'Real Analysis'!$B$4</f>
        <v>-4.7980710000000003E-2</v>
      </c>
      <c r="P198">
        <f>IF(ABS(E198)&gt;1,E198/1000000,E198)*'Real Analysis'!$B$4</f>
        <v>0.12029022</v>
      </c>
      <c r="Q198">
        <f>IF(ABS(F198)&gt;1,F198/1000000,F198)*'Real Analysis'!$B$4</f>
        <v>9.8537231700000003</v>
      </c>
      <c r="R198">
        <f t="shared" si="23"/>
        <v>0</v>
      </c>
      <c r="S198">
        <f t="shared" si="24"/>
        <v>0</v>
      </c>
      <c r="T198">
        <f t="shared" si="25"/>
        <v>0</v>
      </c>
      <c r="U198">
        <f t="shared" si="20"/>
        <v>0</v>
      </c>
    </row>
    <row r="199" spans="1:21" x14ac:dyDescent="0.3">
      <c r="A199" s="4">
        <v>197</v>
      </c>
      <c r="B199" s="4">
        <v>-96588009788</v>
      </c>
      <c r="C199" s="5">
        <v>2</v>
      </c>
      <c r="D199" s="5">
        <v>-4.8799999999999998E-3</v>
      </c>
      <c r="E199" s="5">
        <v>1.2256E-2</v>
      </c>
      <c r="F199" s="5">
        <v>1004436</v>
      </c>
      <c r="G199" s="5">
        <v>0</v>
      </c>
      <c r="H199" s="5">
        <v>0</v>
      </c>
      <c r="I199" s="5">
        <v>0</v>
      </c>
      <c r="J199" s="5">
        <v>0</v>
      </c>
      <c r="L199">
        <f t="shared" si="21"/>
        <v>197</v>
      </c>
      <c r="M199">
        <f>'Real Analysis'!$B$3+B199/1000000</f>
        <v>3.9902120000042487</v>
      </c>
      <c r="N199">
        <f t="shared" si="22"/>
        <v>2</v>
      </c>
      <c r="O199">
        <f>IF(ABS(D199)&gt;1,D199/1000000,D199)*'Real Analysis'!$B$4</f>
        <v>-4.78728E-2</v>
      </c>
      <c r="P199">
        <f>IF(ABS(E199)&gt;1,E199/1000000,E199)*'Real Analysis'!$B$4</f>
        <v>0.12023136</v>
      </c>
      <c r="Q199">
        <f>IF(ABS(F199)&gt;1,F199/1000000,F199)*'Real Analysis'!$B$4</f>
        <v>9.8535171600000009</v>
      </c>
      <c r="R199">
        <f t="shared" si="23"/>
        <v>0</v>
      </c>
      <c r="S199">
        <f t="shared" si="24"/>
        <v>0</v>
      </c>
      <c r="T199">
        <f t="shared" si="25"/>
        <v>0</v>
      </c>
      <c r="U199">
        <f t="shared" si="20"/>
        <v>0</v>
      </c>
    </row>
    <row r="200" spans="1:21" x14ac:dyDescent="0.3">
      <c r="A200" s="4">
        <v>198</v>
      </c>
      <c r="B200" s="4">
        <v>-96587991727</v>
      </c>
      <c r="C200" s="5">
        <v>2</v>
      </c>
      <c r="D200" s="5">
        <v>-4.9509999999999997E-3</v>
      </c>
      <c r="E200" s="5">
        <v>1.2312E-2</v>
      </c>
      <c r="F200" s="5">
        <v>1004450</v>
      </c>
      <c r="G200" s="5">
        <v>0</v>
      </c>
      <c r="H200" s="5">
        <v>0</v>
      </c>
      <c r="I200" s="5">
        <v>0</v>
      </c>
      <c r="J200" s="5">
        <v>0</v>
      </c>
      <c r="L200">
        <f t="shared" si="21"/>
        <v>198</v>
      </c>
      <c r="M200">
        <f>'Real Analysis'!$B$3+B200/1000000</f>
        <v>4.0082729999994626</v>
      </c>
      <c r="N200">
        <f t="shared" si="22"/>
        <v>2</v>
      </c>
      <c r="O200">
        <f>IF(ABS(D200)&gt;1,D200/1000000,D200)*'Real Analysis'!$B$4</f>
        <v>-4.8569309999999997E-2</v>
      </c>
      <c r="P200">
        <f>IF(ABS(E200)&gt;1,E200/1000000,E200)*'Real Analysis'!$B$4</f>
        <v>0.12078072000000001</v>
      </c>
      <c r="Q200">
        <f>IF(ABS(F200)&gt;1,F200/1000000,F200)*'Real Analysis'!$B$4</f>
        <v>9.8536545000000011</v>
      </c>
      <c r="R200">
        <f t="shared" si="23"/>
        <v>0</v>
      </c>
      <c r="S200">
        <f t="shared" si="24"/>
        <v>0</v>
      </c>
      <c r="T200">
        <f t="shared" si="25"/>
        <v>0</v>
      </c>
      <c r="U200">
        <f t="shared" si="20"/>
        <v>0</v>
      </c>
    </row>
    <row r="201" spans="1:21" x14ac:dyDescent="0.3">
      <c r="A201" s="4">
        <v>199</v>
      </c>
      <c r="B201" s="4">
        <v>-96587967096</v>
      </c>
      <c r="C201" s="5">
        <v>2</v>
      </c>
      <c r="D201" s="5">
        <v>-4.947E-3</v>
      </c>
      <c r="E201" s="5">
        <v>8.8699999999999994E-3</v>
      </c>
      <c r="F201" s="5">
        <v>1004449</v>
      </c>
      <c r="G201" s="5">
        <v>0</v>
      </c>
      <c r="H201" s="5">
        <v>0</v>
      </c>
      <c r="I201" s="5">
        <v>0</v>
      </c>
      <c r="J201" s="5">
        <v>0</v>
      </c>
      <c r="L201">
        <f t="shared" si="21"/>
        <v>199</v>
      </c>
      <c r="M201">
        <f>'Real Analysis'!$B$3+B201/1000000</f>
        <v>4.0329040000069654</v>
      </c>
      <c r="N201">
        <f t="shared" si="22"/>
        <v>2</v>
      </c>
      <c r="O201">
        <f>IF(ABS(D201)&gt;1,D201/1000000,D201)*'Real Analysis'!$B$4</f>
        <v>-4.8530070000000002E-2</v>
      </c>
      <c r="P201">
        <f>IF(ABS(E201)&gt;1,E201/1000000,E201)*'Real Analysis'!$B$4</f>
        <v>8.70147E-2</v>
      </c>
      <c r="Q201">
        <f>IF(ABS(F201)&gt;1,F201/1000000,F201)*'Real Analysis'!$B$4</f>
        <v>9.8536446899999994</v>
      </c>
      <c r="R201">
        <f t="shared" si="23"/>
        <v>0</v>
      </c>
      <c r="S201">
        <f t="shared" si="24"/>
        <v>0</v>
      </c>
      <c r="T201">
        <f t="shared" si="25"/>
        <v>0</v>
      </c>
      <c r="U201">
        <f t="shared" si="20"/>
        <v>0</v>
      </c>
    </row>
    <row r="202" spans="1:21" x14ac:dyDescent="0.3">
      <c r="A202" s="4">
        <v>200</v>
      </c>
      <c r="B202" s="4">
        <v>-96587951432</v>
      </c>
      <c r="C202" s="5">
        <v>2</v>
      </c>
      <c r="D202" s="5">
        <v>-4.9760000000000004E-3</v>
      </c>
      <c r="E202" s="5">
        <v>1.3029000000000001E-2</v>
      </c>
      <c r="F202" s="5">
        <v>1004439</v>
      </c>
      <c r="G202" s="5">
        <v>0</v>
      </c>
      <c r="H202" s="5">
        <v>0</v>
      </c>
      <c r="I202" s="5">
        <v>0</v>
      </c>
      <c r="J202" s="5">
        <v>0</v>
      </c>
      <c r="L202">
        <f t="shared" si="21"/>
        <v>200</v>
      </c>
      <c r="M202">
        <f>'Real Analysis'!$B$3+B202/1000000</f>
        <v>4.0485679999983404</v>
      </c>
      <c r="N202">
        <f t="shared" si="22"/>
        <v>2</v>
      </c>
      <c r="O202">
        <f>IF(ABS(D202)&gt;1,D202/1000000,D202)*'Real Analysis'!$B$4</f>
        <v>-4.8814560000000007E-2</v>
      </c>
      <c r="P202">
        <f>IF(ABS(E202)&gt;1,E202/1000000,E202)*'Real Analysis'!$B$4</f>
        <v>0.12781449</v>
      </c>
      <c r="Q202">
        <f>IF(ABS(F202)&gt;1,F202/1000000,F202)*'Real Analysis'!$B$4</f>
        <v>9.8535465900000005</v>
      </c>
      <c r="R202">
        <f t="shared" si="23"/>
        <v>0</v>
      </c>
      <c r="S202">
        <f t="shared" si="24"/>
        <v>0</v>
      </c>
      <c r="T202">
        <f t="shared" si="25"/>
        <v>0</v>
      </c>
      <c r="U202">
        <f t="shared" si="20"/>
        <v>0</v>
      </c>
    </row>
    <row r="203" spans="1:21" x14ac:dyDescent="0.3">
      <c r="A203" s="4">
        <v>201</v>
      </c>
      <c r="B203" s="4">
        <v>-96587934427</v>
      </c>
      <c r="C203" s="5">
        <v>2</v>
      </c>
      <c r="D203" s="5">
        <v>-5.0020000000000004E-3</v>
      </c>
      <c r="E203" s="5">
        <v>1.2578000000000001E-2</v>
      </c>
      <c r="F203" s="5">
        <v>1004435</v>
      </c>
      <c r="G203" s="5">
        <v>0</v>
      </c>
      <c r="H203" s="5">
        <v>0</v>
      </c>
      <c r="I203" s="5">
        <v>0</v>
      </c>
      <c r="J203" s="5">
        <v>0</v>
      </c>
      <c r="L203">
        <f t="shared" si="21"/>
        <v>201</v>
      </c>
      <c r="M203">
        <f>'Real Analysis'!$B$3+B203/1000000</f>
        <v>4.0655729999998584</v>
      </c>
      <c r="N203">
        <f t="shared" si="22"/>
        <v>2</v>
      </c>
      <c r="O203">
        <f>IF(ABS(D203)&gt;1,D203/1000000,D203)*'Real Analysis'!$B$4</f>
        <v>-4.9069620000000008E-2</v>
      </c>
      <c r="P203">
        <f>IF(ABS(E203)&gt;1,E203/1000000,E203)*'Real Analysis'!$B$4</f>
        <v>0.12339018000000002</v>
      </c>
      <c r="Q203">
        <f>IF(ABS(F203)&gt;1,F203/1000000,F203)*'Real Analysis'!$B$4</f>
        <v>9.853507350000001</v>
      </c>
      <c r="R203">
        <f t="shared" si="23"/>
        <v>0</v>
      </c>
      <c r="S203">
        <f t="shared" si="24"/>
        <v>0</v>
      </c>
      <c r="T203">
        <f t="shared" si="25"/>
        <v>0</v>
      </c>
      <c r="U203">
        <f t="shared" ref="U203:U266" si="26">J203/1000</f>
        <v>0</v>
      </c>
    </row>
    <row r="204" spans="1:21" x14ac:dyDescent="0.3">
      <c r="A204" s="4">
        <v>202</v>
      </c>
      <c r="B204" s="4">
        <v>-96587911479</v>
      </c>
      <c r="C204" s="5">
        <v>2</v>
      </c>
      <c r="D204" s="5">
        <v>-4.9319999999999998E-3</v>
      </c>
      <c r="E204" s="5">
        <v>1.2463E-2</v>
      </c>
      <c r="F204" s="5">
        <v>1004436</v>
      </c>
      <c r="G204" s="5">
        <v>0</v>
      </c>
      <c r="H204" s="5">
        <v>0</v>
      </c>
      <c r="I204" s="5">
        <v>0</v>
      </c>
      <c r="J204" s="5">
        <v>0</v>
      </c>
      <c r="L204">
        <f t="shared" si="21"/>
        <v>202</v>
      </c>
      <c r="M204">
        <f>'Real Analysis'!$B$3+B204/1000000</f>
        <v>4.0885209999978542</v>
      </c>
      <c r="N204">
        <f t="shared" si="22"/>
        <v>2</v>
      </c>
      <c r="O204">
        <f>IF(ABS(D204)&gt;1,D204/1000000,D204)*'Real Analysis'!$B$4</f>
        <v>-4.8382920000000003E-2</v>
      </c>
      <c r="P204">
        <f>IF(ABS(E204)&gt;1,E204/1000000,E204)*'Real Analysis'!$B$4</f>
        <v>0.12226203000000001</v>
      </c>
      <c r="Q204">
        <f>IF(ABS(F204)&gt;1,F204/1000000,F204)*'Real Analysis'!$B$4</f>
        <v>9.8535171600000009</v>
      </c>
      <c r="R204">
        <f t="shared" si="23"/>
        <v>0</v>
      </c>
      <c r="S204">
        <f t="shared" si="24"/>
        <v>0</v>
      </c>
      <c r="T204">
        <f t="shared" si="25"/>
        <v>0</v>
      </c>
      <c r="U204">
        <f t="shared" si="26"/>
        <v>0</v>
      </c>
    </row>
    <row r="205" spans="1:21" x14ac:dyDescent="0.3">
      <c r="A205" s="4">
        <v>203</v>
      </c>
      <c r="B205" s="4">
        <v>-96587890342</v>
      </c>
      <c r="C205" s="5">
        <v>2</v>
      </c>
      <c r="D205" s="5">
        <v>-4.8380000000000003E-3</v>
      </c>
      <c r="E205" s="5">
        <v>1.2222E-2</v>
      </c>
      <c r="F205" s="5">
        <v>1004439</v>
      </c>
      <c r="G205" s="5">
        <v>0</v>
      </c>
      <c r="H205" s="5">
        <v>0</v>
      </c>
      <c r="I205" s="5">
        <v>0</v>
      </c>
      <c r="J205" s="5">
        <v>0</v>
      </c>
      <c r="L205">
        <f t="shared" si="21"/>
        <v>203</v>
      </c>
      <c r="M205">
        <f>'Real Analysis'!$B$3+B205/1000000</f>
        <v>4.1096580000012182</v>
      </c>
      <c r="N205">
        <f t="shared" si="22"/>
        <v>2</v>
      </c>
      <c r="O205">
        <f>IF(ABS(D205)&gt;1,D205/1000000,D205)*'Real Analysis'!$B$4</f>
        <v>-4.7460780000000008E-2</v>
      </c>
      <c r="P205">
        <f>IF(ABS(E205)&gt;1,E205/1000000,E205)*'Real Analysis'!$B$4</f>
        <v>0.11989782</v>
      </c>
      <c r="Q205">
        <f>IF(ABS(F205)&gt;1,F205/1000000,F205)*'Real Analysis'!$B$4</f>
        <v>9.8535465900000005</v>
      </c>
      <c r="R205">
        <f t="shared" si="23"/>
        <v>0</v>
      </c>
      <c r="S205">
        <f t="shared" si="24"/>
        <v>0</v>
      </c>
      <c r="T205">
        <f t="shared" si="25"/>
        <v>0</v>
      </c>
      <c r="U205">
        <f t="shared" si="26"/>
        <v>0</v>
      </c>
    </row>
    <row r="206" spans="1:21" x14ac:dyDescent="0.3">
      <c r="A206" s="4">
        <v>204</v>
      </c>
      <c r="B206" s="4">
        <v>-96587870343</v>
      </c>
      <c r="C206" s="5">
        <v>2</v>
      </c>
      <c r="D206" s="5">
        <v>-4.9150000000000001E-3</v>
      </c>
      <c r="E206" s="5">
        <v>1.2317E-2</v>
      </c>
      <c r="F206" s="5">
        <v>1004437</v>
      </c>
      <c r="G206" s="5">
        <v>0</v>
      </c>
      <c r="H206" s="5">
        <v>0</v>
      </c>
      <c r="I206" s="5">
        <v>0</v>
      </c>
      <c r="J206" s="5">
        <v>0</v>
      </c>
      <c r="L206">
        <f t="shared" si="21"/>
        <v>204</v>
      </c>
      <c r="M206">
        <f>'Real Analysis'!$B$3+B206/1000000</f>
        <v>4.1296569999976782</v>
      </c>
      <c r="N206">
        <f t="shared" si="22"/>
        <v>2</v>
      </c>
      <c r="O206">
        <f>IF(ABS(D206)&gt;1,D206/1000000,D206)*'Real Analysis'!$B$4</f>
        <v>-4.8216150000000006E-2</v>
      </c>
      <c r="P206">
        <f>IF(ABS(E206)&gt;1,E206/1000000,E206)*'Real Analysis'!$B$4</f>
        <v>0.12082977</v>
      </c>
      <c r="Q206">
        <f>IF(ABS(F206)&gt;1,F206/1000000,F206)*'Real Analysis'!$B$4</f>
        <v>9.8535269700000008</v>
      </c>
      <c r="R206">
        <f t="shared" si="23"/>
        <v>0</v>
      </c>
      <c r="S206">
        <f t="shared" si="24"/>
        <v>0</v>
      </c>
      <c r="T206">
        <f t="shared" si="25"/>
        <v>0</v>
      </c>
      <c r="U206">
        <f t="shared" si="26"/>
        <v>0</v>
      </c>
    </row>
    <row r="207" spans="1:21" x14ac:dyDescent="0.3">
      <c r="A207" s="4">
        <v>205</v>
      </c>
      <c r="B207" s="4">
        <v>-96587851483</v>
      </c>
      <c r="C207" s="5">
        <v>2</v>
      </c>
      <c r="D207" s="5">
        <v>-5.019E-3</v>
      </c>
      <c r="E207" s="5">
        <v>1.239E-2</v>
      </c>
      <c r="F207" s="5">
        <v>1004437</v>
      </c>
      <c r="G207" s="5">
        <v>0</v>
      </c>
      <c r="H207" s="5">
        <v>0</v>
      </c>
      <c r="I207" s="5">
        <v>0</v>
      </c>
      <c r="J207" s="5">
        <v>0</v>
      </c>
      <c r="L207">
        <f t="shared" si="21"/>
        <v>205</v>
      </c>
      <c r="M207">
        <f>'Real Analysis'!$B$3+B207/1000000</f>
        <v>4.1485169999941718</v>
      </c>
      <c r="N207">
        <f t="shared" si="22"/>
        <v>2</v>
      </c>
      <c r="O207">
        <f>IF(ABS(D207)&gt;1,D207/1000000,D207)*'Real Analysis'!$B$4</f>
        <v>-4.9236390000000005E-2</v>
      </c>
      <c r="P207">
        <f>IF(ABS(E207)&gt;1,E207/1000000,E207)*'Real Analysis'!$B$4</f>
        <v>0.12154590000000001</v>
      </c>
      <c r="Q207">
        <f>IF(ABS(F207)&gt;1,F207/1000000,F207)*'Real Analysis'!$B$4</f>
        <v>9.8535269700000008</v>
      </c>
      <c r="R207">
        <f t="shared" si="23"/>
        <v>0</v>
      </c>
      <c r="S207">
        <f t="shared" si="24"/>
        <v>0</v>
      </c>
      <c r="T207">
        <f t="shared" si="25"/>
        <v>0</v>
      </c>
      <c r="U207">
        <f t="shared" si="26"/>
        <v>0</v>
      </c>
    </row>
    <row r="208" spans="1:21" x14ac:dyDescent="0.3">
      <c r="A208" s="4">
        <v>206</v>
      </c>
      <c r="B208" s="4">
        <v>-96587835827</v>
      </c>
      <c r="C208" s="5">
        <v>2</v>
      </c>
      <c r="D208" s="5">
        <v>-4.8939999999999999E-3</v>
      </c>
      <c r="E208" s="5">
        <v>1.2385E-2</v>
      </c>
      <c r="F208" s="5">
        <v>1004436</v>
      </c>
      <c r="G208" s="5">
        <v>0</v>
      </c>
      <c r="H208" s="5">
        <v>0</v>
      </c>
      <c r="I208" s="5">
        <v>0</v>
      </c>
      <c r="J208" s="5">
        <v>0</v>
      </c>
      <c r="L208">
        <f t="shared" si="21"/>
        <v>206</v>
      </c>
      <c r="M208">
        <f>'Real Analysis'!$B$3+B208/1000000</f>
        <v>4.1641729999973904</v>
      </c>
      <c r="N208">
        <f t="shared" si="22"/>
        <v>2</v>
      </c>
      <c r="O208">
        <f>IF(ABS(D208)&gt;1,D208/1000000,D208)*'Real Analysis'!$B$4</f>
        <v>-4.801014E-2</v>
      </c>
      <c r="P208">
        <f>IF(ABS(E208)&gt;1,E208/1000000,E208)*'Real Analysis'!$B$4</f>
        <v>0.12149685</v>
      </c>
      <c r="Q208">
        <f>IF(ABS(F208)&gt;1,F208/1000000,F208)*'Real Analysis'!$B$4</f>
        <v>9.8535171600000009</v>
      </c>
      <c r="R208">
        <f t="shared" si="23"/>
        <v>0</v>
      </c>
      <c r="S208">
        <f t="shared" si="24"/>
        <v>0</v>
      </c>
      <c r="T208">
        <f t="shared" si="25"/>
        <v>0</v>
      </c>
      <c r="U208">
        <f t="shared" si="26"/>
        <v>0</v>
      </c>
    </row>
    <row r="209" spans="1:21" x14ac:dyDescent="0.3">
      <c r="A209" s="4">
        <v>207</v>
      </c>
      <c r="B209" s="4">
        <v>-96587807288</v>
      </c>
      <c r="C209" s="5">
        <v>2</v>
      </c>
      <c r="D209" s="5">
        <v>-1.0375000000000001E-2</v>
      </c>
      <c r="E209" s="5">
        <v>1.2120000000000001E-2</v>
      </c>
      <c r="F209" s="5">
        <v>1004231</v>
      </c>
      <c r="G209" s="5">
        <v>0</v>
      </c>
      <c r="H209" s="5">
        <v>0</v>
      </c>
      <c r="I209" s="5">
        <v>0</v>
      </c>
      <c r="J209" s="5">
        <v>0</v>
      </c>
      <c r="L209">
        <f t="shared" si="21"/>
        <v>207</v>
      </c>
      <c r="M209">
        <f>'Real Analysis'!$B$3+B209/1000000</f>
        <v>4.1927120000036666</v>
      </c>
      <c r="N209">
        <f t="shared" si="22"/>
        <v>2</v>
      </c>
      <c r="O209">
        <f>IF(ABS(D209)&gt;1,D209/1000000,D209)*'Real Analysis'!$B$4</f>
        <v>-0.10177875000000002</v>
      </c>
      <c r="P209">
        <f>IF(ABS(E209)&gt;1,E209/1000000,E209)*'Real Analysis'!$B$4</f>
        <v>0.11889720000000001</v>
      </c>
      <c r="Q209">
        <f>IF(ABS(F209)&gt;1,F209/1000000,F209)*'Real Analysis'!$B$4</f>
        <v>9.8515061100000008</v>
      </c>
      <c r="R209">
        <f t="shared" si="23"/>
        <v>0</v>
      </c>
      <c r="S209">
        <f t="shared" si="24"/>
        <v>0</v>
      </c>
      <c r="T209">
        <f t="shared" si="25"/>
        <v>0</v>
      </c>
      <c r="U209">
        <f t="shared" si="26"/>
        <v>0</v>
      </c>
    </row>
    <row r="210" spans="1:21" x14ac:dyDescent="0.3">
      <c r="A210" s="4">
        <v>208</v>
      </c>
      <c r="B210" s="4">
        <v>-96587789427</v>
      </c>
      <c r="C210" s="5">
        <v>2</v>
      </c>
      <c r="D210" s="5">
        <v>-2.993E-3</v>
      </c>
      <c r="E210" s="5">
        <v>1.2349000000000001E-2</v>
      </c>
      <c r="F210" s="5">
        <v>1004513</v>
      </c>
      <c r="G210" s="5">
        <v>0</v>
      </c>
      <c r="H210" s="5">
        <v>0</v>
      </c>
      <c r="I210" s="5">
        <v>0</v>
      </c>
      <c r="J210" s="5">
        <v>0</v>
      </c>
      <c r="L210">
        <f t="shared" si="21"/>
        <v>208</v>
      </c>
      <c r="M210">
        <f>'Real Analysis'!$B$3+B210/1000000</f>
        <v>4.210573000003933</v>
      </c>
      <c r="N210">
        <f t="shared" si="22"/>
        <v>2</v>
      </c>
      <c r="O210">
        <f>IF(ABS(D210)&gt;1,D210/1000000,D210)*'Real Analysis'!$B$4</f>
        <v>-2.9361330000000001E-2</v>
      </c>
      <c r="P210">
        <f>IF(ABS(E210)&gt;1,E210/1000000,E210)*'Real Analysis'!$B$4</f>
        <v>0.12114369000000001</v>
      </c>
      <c r="Q210">
        <f>IF(ABS(F210)&gt;1,F210/1000000,F210)*'Real Analysis'!$B$4</f>
        <v>9.8542725300000011</v>
      </c>
      <c r="R210">
        <f t="shared" si="23"/>
        <v>0</v>
      </c>
      <c r="S210">
        <f t="shared" si="24"/>
        <v>0</v>
      </c>
      <c r="T210">
        <f t="shared" si="25"/>
        <v>0</v>
      </c>
      <c r="U210">
        <f t="shared" si="26"/>
        <v>0</v>
      </c>
    </row>
    <row r="211" spans="1:21" x14ac:dyDescent="0.3">
      <c r="A211" s="4">
        <v>209</v>
      </c>
      <c r="B211" s="4">
        <v>-96587769975</v>
      </c>
      <c r="C211" s="5">
        <v>2</v>
      </c>
      <c r="D211" s="5">
        <v>-5.411E-3</v>
      </c>
      <c r="E211" s="5">
        <v>1.2407E-2</v>
      </c>
      <c r="F211" s="5">
        <v>1004420</v>
      </c>
      <c r="G211" s="5">
        <v>0</v>
      </c>
      <c r="H211" s="5">
        <v>0</v>
      </c>
      <c r="I211" s="5">
        <v>0</v>
      </c>
      <c r="J211" s="5">
        <v>0</v>
      </c>
      <c r="L211">
        <f t="shared" si="21"/>
        <v>209</v>
      </c>
      <c r="M211">
        <f>'Real Analysis'!$B$3+B211/1000000</f>
        <v>4.2300249999971129</v>
      </c>
      <c r="N211">
        <f t="shared" si="22"/>
        <v>2</v>
      </c>
      <c r="O211">
        <f>IF(ABS(D211)&gt;1,D211/1000000,D211)*'Real Analysis'!$B$4</f>
        <v>-5.3081910000000003E-2</v>
      </c>
      <c r="P211">
        <f>IF(ABS(E211)&gt;1,E211/1000000,E211)*'Real Analysis'!$B$4</f>
        <v>0.12171267000000001</v>
      </c>
      <c r="Q211">
        <f>IF(ABS(F211)&gt;1,F211/1000000,F211)*'Real Analysis'!$B$4</f>
        <v>9.8533602000000009</v>
      </c>
      <c r="R211">
        <f t="shared" si="23"/>
        <v>0</v>
      </c>
      <c r="S211">
        <f t="shared" si="24"/>
        <v>0</v>
      </c>
      <c r="T211">
        <f t="shared" si="25"/>
        <v>0</v>
      </c>
      <c r="U211">
        <f t="shared" si="26"/>
        <v>0</v>
      </c>
    </row>
    <row r="212" spans="1:21" x14ac:dyDescent="0.3">
      <c r="A212" s="4">
        <v>210</v>
      </c>
      <c r="B212" s="4">
        <v>-96587750823</v>
      </c>
      <c r="C212" s="5">
        <v>2</v>
      </c>
      <c r="D212" s="5">
        <v>-4.9350000000000002E-3</v>
      </c>
      <c r="E212" s="5">
        <v>1.2158E-2</v>
      </c>
      <c r="F212" s="5">
        <v>0.997394</v>
      </c>
      <c r="G212" s="5">
        <v>0</v>
      </c>
      <c r="H212" s="5">
        <v>0</v>
      </c>
      <c r="I212" s="5">
        <v>0</v>
      </c>
      <c r="J212" s="5">
        <v>0</v>
      </c>
      <c r="L212">
        <f t="shared" si="21"/>
        <v>210</v>
      </c>
      <c r="M212">
        <f>'Real Analysis'!$B$3+B212/1000000</f>
        <v>4.2491770000051474</v>
      </c>
      <c r="N212">
        <f t="shared" si="22"/>
        <v>2</v>
      </c>
      <c r="O212">
        <f>IF(ABS(D212)&gt;1,D212/1000000,D212)*'Real Analysis'!$B$4</f>
        <v>-4.8412350000000007E-2</v>
      </c>
      <c r="P212">
        <f>IF(ABS(E212)&gt;1,E212/1000000,E212)*'Real Analysis'!$B$4</f>
        <v>0.11926998000000001</v>
      </c>
      <c r="Q212">
        <f>IF(ABS(F212)&gt;1,F212/1000000,F212)*'Real Analysis'!$B$4</f>
        <v>9.7844351400000011</v>
      </c>
      <c r="R212">
        <f t="shared" si="23"/>
        <v>0</v>
      </c>
      <c r="S212">
        <f t="shared" si="24"/>
        <v>0</v>
      </c>
      <c r="T212">
        <f t="shared" si="25"/>
        <v>0</v>
      </c>
      <c r="U212">
        <f t="shared" si="26"/>
        <v>0</v>
      </c>
    </row>
    <row r="213" spans="1:21" x14ac:dyDescent="0.3">
      <c r="A213" s="4">
        <v>211</v>
      </c>
      <c r="B213" s="4">
        <v>-96587730619</v>
      </c>
      <c r="C213" s="5">
        <v>2</v>
      </c>
      <c r="D213" s="5">
        <v>-8.2730000000000008E-3</v>
      </c>
      <c r="E213" s="5">
        <v>8.6920000000000001E-3</v>
      </c>
      <c r="F213" s="5">
        <v>0.997054</v>
      </c>
      <c r="G213" s="5">
        <v>0</v>
      </c>
      <c r="H213" s="5">
        <v>0</v>
      </c>
      <c r="I213" s="5">
        <v>0</v>
      </c>
      <c r="J213" s="5">
        <v>0</v>
      </c>
      <c r="L213">
        <f t="shared" si="21"/>
        <v>211</v>
      </c>
      <c r="M213">
        <f>'Real Analysis'!$B$3+B213/1000000</f>
        <v>4.2693810000055237</v>
      </c>
      <c r="N213">
        <f t="shared" si="22"/>
        <v>2</v>
      </c>
      <c r="O213">
        <f>IF(ABS(D213)&gt;1,D213/1000000,D213)*'Real Analysis'!$B$4</f>
        <v>-8.1158130000000009E-2</v>
      </c>
      <c r="P213">
        <f>IF(ABS(E213)&gt;1,E213/1000000,E213)*'Real Analysis'!$B$4</f>
        <v>8.526852E-2</v>
      </c>
      <c r="Q213">
        <f>IF(ABS(F213)&gt;1,F213/1000000,F213)*'Real Analysis'!$B$4</f>
        <v>9.7810997400000002</v>
      </c>
      <c r="R213">
        <f t="shared" si="23"/>
        <v>0</v>
      </c>
      <c r="S213">
        <f t="shared" si="24"/>
        <v>0</v>
      </c>
      <c r="T213">
        <f t="shared" si="25"/>
        <v>0</v>
      </c>
      <c r="U213">
        <f t="shared" si="26"/>
        <v>0</v>
      </c>
    </row>
    <row r="214" spans="1:21" x14ac:dyDescent="0.3">
      <c r="A214" s="4">
        <v>212</v>
      </c>
      <c r="B214" s="4">
        <v>-96587707319</v>
      </c>
      <c r="C214" s="5">
        <v>2</v>
      </c>
      <c r="D214" s="5">
        <v>-3.6129999999999999E-3</v>
      </c>
      <c r="E214" s="5">
        <v>1.357E-2</v>
      </c>
      <c r="F214" s="5">
        <v>1003368</v>
      </c>
      <c r="G214" s="5">
        <v>0</v>
      </c>
      <c r="H214" s="5">
        <v>0</v>
      </c>
      <c r="I214" s="5">
        <v>0</v>
      </c>
      <c r="J214" s="5">
        <v>0</v>
      </c>
      <c r="L214">
        <f t="shared" si="21"/>
        <v>212</v>
      </c>
      <c r="M214">
        <f>'Real Analysis'!$B$3+B214/1000000</f>
        <v>4.2926810000062687</v>
      </c>
      <c r="N214">
        <f t="shared" si="22"/>
        <v>2</v>
      </c>
      <c r="O214">
        <f>IF(ABS(D214)&gt;1,D214/1000000,D214)*'Real Analysis'!$B$4</f>
        <v>-3.5443530000000001E-2</v>
      </c>
      <c r="P214">
        <f>IF(ABS(E214)&gt;1,E214/1000000,E214)*'Real Analysis'!$B$4</f>
        <v>0.13312170000000001</v>
      </c>
      <c r="Q214">
        <f>IF(ABS(F214)&gt;1,F214/1000000,F214)*'Real Analysis'!$B$4</f>
        <v>9.8430400800000015</v>
      </c>
      <c r="R214">
        <f t="shared" si="23"/>
        <v>0</v>
      </c>
      <c r="S214">
        <f t="shared" si="24"/>
        <v>0</v>
      </c>
      <c r="T214">
        <f t="shared" si="25"/>
        <v>0</v>
      </c>
      <c r="U214">
        <f t="shared" si="26"/>
        <v>0</v>
      </c>
    </row>
    <row r="215" spans="1:21" x14ac:dyDescent="0.3">
      <c r="A215" s="4">
        <v>213</v>
      </c>
      <c r="B215" s="4">
        <v>-96587687638</v>
      </c>
      <c r="C215" s="5">
        <v>2</v>
      </c>
      <c r="D215" s="5">
        <v>-4.4929999999999996E-3</v>
      </c>
      <c r="E215" s="5">
        <v>1.2659E-2</v>
      </c>
      <c r="F215" s="5">
        <v>1003550</v>
      </c>
      <c r="G215" s="5">
        <v>0</v>
      </c>
      <c r="H215" s="5">
        <v>0</v>
      </c>
      <c r="I215" s="5">
        <v>0</v>
      </c>
      <c r="J215" s="5">
        <v>0</v>
      </c>
      <c r="L215">
        <f t="shared" si="21"/>
        <v>213</v>
      </c>
      <c r="M215">
        <f>'Real Analysis'!$B$3+B215/1000000</f>
        <v>4.3123619999969378</v>
      </c>
      <c r="N215">
        <f t="shared" si="22"/>
        <v>2</v>
      </c>
      <c r="O215">
        <f>IF(ABS(D215)&gt;1,D215/1000000,D215)*'Real Analysis'!$B$4</f>
        <v>-4.4076329999999997E-2</v>
      </c>
      <c r="P215">
        <f>IF(ABS(E215)&gt;1,E215/1000000,E215)*'Real Analysis'!$B$4</f>
        <v>0.12418479</v>
      </c>
      <c r="Q215">
        <f>IF(ABS(F215)&gt;1,F215/1000000,F215)*'Real Analysis'!$B$4</f>
        <v>9.8448255000000007</v>
      </c>
      <c r="R215">
        <f t="shared" si="23"/>
        <v>0</v>
      </c>
      <c r="S215">
        <f t="shared" si="24"/>
        <v>0</v>
      </c>
      <c r="T215">
        <f t="shared" si="25"/>
        <v>0</v>
      </c>
      <c r="U215">
        <f t="shared" si="26"/>
        <v>0</v>
      </c>
    </row>
    <row r="216" spans="1:21" x14ac:dyDescent="0.3">
      <c r="A216" s="4">
        <v>214</v>
      </c>
      <c r="B216" s="4">
        <v>-96587676373</v>
      </c>
      <c r="C216" s="5">
        <v>2</v>
      </c>
      <c r="D216" s="5">
        <v>-5.0489999999999997E-3</v>
      </c>
      <c r="E216" s="5">
        <v>1.2135999999999999E-2</v>
      </c>
      <c r="F216" s="5">
        <v>1004102</v>
      </c>
      <c r="G216" s="5">
        <v>0</v>
      </c>
      <c r="H216" s="5">
        <v>0</v>
      </c>
      <c r="I216" s="5">
        <v>0</v>
      </c>
      <c r="J216" s="5">
        <v>0</v>
      </c>
      <c r="L216">
        <f t="shared" si="21"/>
        <v>214</v>
      </c>
      <c r="M216">
        <f>'Real Analysis'!$B$3+B216/1000000</f>
        <v>4.3236270000052173</v>
      </c>
      <c r="N216">
        <f t="shared" si="22"/>
        <v>2</v>
      </c>
      <c r="O216">
        <f>IF(ABS(D216)&gt;1,D216/1000000,D216)*'Real Analysis'!$B$4</f>
        <v>-4.9530690000000002E-2</v>
      </c>
      <c r="P216">
        <f>IF(ABS(E216)&gt;1,E216/1000000,E216)*'Real Analysis'!$B$4</f>
        <v>0.11905415999999999</v>
      </c>
      <c r="Q216">
        <f>IF(ABS(F216)&gt;1,F216/1000000,F216)*'Real Analysis'!$B$4</f>
        <v>9.850240620000001</v>
      </c>
      <c r="R216">
        <f t="shared" si="23"/>
        <v>0</v>
      </c>
      <c r="S216">
        <f t="shared" si="24"/>
        <v>0</v>
      </c>
      <c r="T216">
        <f t="shared" si="25"/>
        <v>0</v>
      </c>
      <c r="U216">
        <f t="shared" si="26"/>
        <v>0</v>
      </c>
    </row>
    <row r="217" spans="1:21" x14ac:dyDescent="0.3">
      <c r="A217" s="4">
        <v>215</v>
      </c>
      <c r="B217" s="4">
        <v>-96587648743</v>
      </c>
      <c r="C217" s="5">
        <v>2</v>
      </c>
      <c r="D217" s="5">
        <v>-4.8370000000000002E-3</v>
      </c>
      <c r="E217" s="5">
        <v>1.2460000000000001E-2</v>
      </c>
      <c r="F217" s="5">
        <v>1004542</v>
      </c>
      <c r="G217" s="5">
        <v>0</v>
      </c>
      <c r="H217" s="5">
        <v>0</v>
      </c>
      <c r="I217" s="5">
        <v>0</v>
      </c>
      <c r="J217" s="5">
        <v>0</v>
      </c>
      <c r="L217">
        <f t="shared" si="21"/>
        <v>215</v>
      </c>
      <c r="M217">
        <f>'Real Analysis'!$B$3+B217/1000000</f>
        <v>4.3512570000020787</v>
      </c>
      <c r="N217">
        <f t="shared" si="22"/>
        <v>2</v>
      </c>
      <c r="O217">
        <f>IF(ABS(D217)&gt;1,D217/1000000,D217)*'Real Analysis'!$B$4</f>
        <v>-4.7450970000000002E-2</v>
      </c>
      <c r="P217">
        <f>IF(ABS(E217)&gt;1,E217/1000000,E217)*'Real Analysis'!$B$4</f>
        <v>0.12223260000000001</v>
      </c>
      <c r="Q217">
        <f>IF(ABS(F217)&gt;1,F217/1000000,F217)*'Real Analysis'!$B$4</f>
        <v>9.8545570200000014</v>
      </c>
      <c r="R217">
        <f t="shared" si="23"/>
        <v>0</v>
      </c>
      <c r="S217">
        <f t="shared" si="24"/>
        <v>0</v>
      </c>
      <c r="T217">
        <f t="shared" si="25"/>
        <v>0</v>
      </c>
      <c r="U217">
        <f t="shared" si="26"/>
        <v>0</v>
      </c>
    </row>
    <row r="218" spans="1:21" x14ac:dyDescent="0.3">
      <c r="A218" s="4">
        <v>216</v>
      </c>
      <c r="B218" s="4">
        <v>-96587629547</v>
      </c>
      <c r="C218" s="5">
        <v>2</v>
      </c>
      <c r="D218" s="5">
        <v>-4.8970000000000003E-3</v>
      </c>
      <c r="E218" s="5">
        <v>1.2239E-2</v>
      </c>
      <c r="F218" s="5">
        <v>1004381</v>
      </c>
      <c r="G218" s="5">
        <v>0</v>
      </c>
      <c r="H218" s="5">
        <v>0</v>
      </c>
      <c r="I218" s="5">
        <v>0</v>
      </c>
      <c r="J218" s="5">
        <v>0</v>
      </c>
      <c r="L218">
        <f t="shared" si="21"/>
        <v>216</v>
      </c>
      <c r="M218">
        <f>'Real Analysis'!$B$3+B218/1000000</f>
        <v>4.370452999995905</v>
      </c>
      <c r="N218">
        <f t="shared" si="22"/>
        <v>2</v>
      </c>
      <c r="O218">
        <f>IF(ABS(D218)&gt;1,D218/1000000,D218)*'Real Analysis'!$B$4</f>
        <v>-4.8039570000000004E-2</v>
      </c>
      <c r="P218">
        <f>IF(ABS(E218)&gt;1,E218/1000000,E218)*'Real Analysis'!$B$4</f>
        <v>0.12006459</v>
      </c>
      <c r="Q218">
        <f>IF(ABS(F218)&gt;1,F218/1000000,F218)*'Real Analysis'!$B$4</f>
        <v>9.8529776099999999</v>
      </c>
      <c r="R218">
        <f t="shared" si="23"/>
        <v>0</v>
      </c>
      <c r="S218">
        <f t="shared" si="24"/>
        <v>0</v>
      </c>
      <c r="T218">
        <f t="shared" si="25"/>
        <v>0</v>
      </c>
      <c r="U218">
        <f t="shared" si="26"/>
        <v>0</v>
      </c>
    </row>
    <row r="219" spans="1:21" x14ac:dyDescent="0.3">
      <c r="A219" s="4">
        <v>217</v>
      </c>
      <c r="B219" s="4">
        <v>-96587614405</v>
      </c>
      <c r="C219" s="5">
        <v>2</v>
      </c>
      <c r="D219" s="5">
        <v>-6.4419999999999998E-3</v>
      </c>
      <c r="E219" s="5">
        <v>1.2194999999999999E-2</v>
      </c>
      <c r="F219" s="5">
        <v>1004367</v>
      </c>
      <c r="G219" s="5">
        <v>0</v>
      </c>
      <c r="H219" s="5">
        <v>0</v>
      </c>
      <c r="I219" s="5">
        <v>0</v>
      </c>
      <c r="J219" s="5">
        <v>0</v>
      </c>
      <c r="L219">
        <f t="shared" si="21"/>
        <v>217</v>
      </c>
      <c r="M219">
        <f>'Real Analysis'!$B$3+B219/1000000</f>
        <v>4.3855949999997392</v>
      </c>
      <c r="N219">
        <f t="shared" si="22"/>
        <v>2</v>
      </c>
      <c r="O219">
        <f>IF(ABS(D219)&gt;1,D219/1000000,D219)*'Real Analysis'!$B$4</f>
        <v>-6.3196020000000006E-2</v>
      </c>
      <c r="P219">
        <f>IF(ABS(E219)&gt;1,E219/1000000,E219)*'Real Analysis'!$B$4</f>
        <v>0.11963295</v>
      </c>
      <c r="Q219">
        <f>IF(ABS(F219)&gt;1,F219/1000000,F219)*'Real Analysis'!$B$4</f>
        <v>9.8528402699999997</v>
      </c>
      <c r="R219">
        <f t="shared" si="23"/>
        <v>0</v>
      </c>
      <c r="S219">
        <f t="shared" si="24"/>
        <v>0</v>
      </c>
      <c r="T219">
        <f t="shared" si="25"/>
        <v>0</v>
      </c>
      <c r="U219">
        <f t="shared" si="26"/>
        <v>0</v>
      </c>
    </row>
    <row r="220" spans="1:21" x14ac:dyDescent="0.3">
      <c r="A220" s="4">
        <v>218</v>
      </c>
      <c r="B220" s="4">
        <v>-96587588349</v>
      </c>
      <c r="C220" s="5">
        <v>2</v>
      </c>
      <c r="D220" s="5">
        <v>-1.0024E-2</v>
      </c>
      <c r="E220" s="5">
        <v>1.2303E-2</v>
      </c>
      <c r="F220" s="5">
        <v>1004242</v>
      </c>
      <c r="G220" s="5">
        <v>0</v>
      </c>
      <c r="H220" s="5">
        <v>0</v>
      </c>
      <c r="I220" s="5">
        <v>0</v>
      </c>
      <c r="J220" s="5">
        <v>0</v>
      </c>
      <c r="L220">
        <f t="shared" si="21"/>
        <v>218</v>
      </c>
      <c r="M220">
        <f>'Real Analysis'!$B$3+B220/1000000</f>
        <v>4.4116510000021663</v>
      </c>
      <c r="N220">
        <f t="shared" si="22"/>
        <v>2</v>
      </c>
      <c r="O220">
        <f>IF(ABS(D220)&gt;1,D220/1000000,D220)*'Real Analysis'!$B$4</f>
        <v>-9.833544000000001E-2</v>
      </c>
      <c r="P220">
        <f>IF(ABS(E220)&gt;1,E220/1000000,E220)*'Real Analysis'!$B$4</f>
        <v>0.12069243</v>
      </c>
      <c r="Q220">
        <f>IF(ABS(F220)&gt;1,F220/1000000,F220)*'Real Analysis'!$B$4</f>
        <v>9.8516140200000013</v>
      </c>
      <c r="R220">
        <f t="shared" si="23"/>
        <v>0</v>
      </c>
      <c r="S220">
        <f t="shared" si="24"/>
        <v>0</v>
      </c>
      <c r="T220">
        <f t="shared" si="25"/>
        <v>0</v>
      </c>
      <c r="U220">
        <f t="shared" si="26"/>
        <v>0</v>
      </c>
    </row>
    <row r="221" spans="1:21" x14ac:dyDescent="0.3">
      <c r="A221" s="4">
        <v>219</v>
      </c>
      <c r="B221" s="4">
        <v>-96587568044</v>
      </c>
      <c r="C221" s="5">
        <v>2</v>
      </c>
      <c r="D221" s="5">
        <v>-8.4139999999999996E-3</v>
      </c>
      <c r="E221" s="5">
        <v>1.2383E-2</v>
      </c>
      <c r="F221" s="5">
        <v>1004308</v>
      </c>
      <c r="G221" s="5">
        <v>0</v>
      </c>
      <c r="H221" s="5">
        <v>0</v>
      </c>
      <c r="I221" s="5">
        <v>0</v>
      </c>
      <c r="J221" s="5">
        <v>0</v>
      </c>
      <c r="L221">
        <f t="shared" si="21"/>
        <v>219</v>
      </c>
      <c r="M221">
        <f>'Real Analysis'!$B$3+B221/1000000</f>
        <v>4.4319560000003548</v>
      </c>
      <c r="N221">
        <f t="shared" si="22"/>
        <v>2</v>
      </c>
      <c r="O221">
        <f>IF(ABS(D221)&gt;1,D221/1000000,D221)*'Real Analysis'!$B$4</f>
        <v>-8.2541340000000005E-2</v>
      </c>
      <c r="P221">
        <f>IF(ABS(E221)&gt;1,E221/1000000,E221)*'Real Analysis'!$B$4</f>
        <v>0.12147723000000001</v>
      </c>
      <c r="Q221">
        <f>IF(ABS(F221)&gt;1,F221/1000000,F221)*'Real Analysis'!$B$4</f>
        <v>9.852261480000001</v>
      </c>
      <c r="R221">
        <f t="shared" si="23"/>
        <v>0</v>
      </c>
      <c r="S221">
        <f t="shared" si="24"/>
        <v>0</v>
      </c>
      <c r="T221">
        <f t="shared" si="25"/>
        <v>0</v>
      </c>
      <c r="U221">
        <f t="shared" si="26"/>
        <v>0</v>
      </c>
    </row>
    <row r="222" spans="1:21" x14ac:dyDescent="0.3">
      <c r="A222" s="4">
        <v>220</v>
      </c>
      <c r="B222" s="4">
        <v>-96587549391</v>
      </c>
      <c r="C222" s="5">
        <v>2</v>
      </c>
      <c r="D222" s="5">
        <v>-6.2579999999999997E-3</v>
      </c>
      <c r="E222" s="5">
        <v>1.2069E-2</v>
      </c>
      <c r="F222" s="5">
        <v>0.99734199999999995</v>
      </c>
      <c r="G222" s="5">
        <v>0</v>
      </c>
      <c r="H222" s="5">
        <v>0</v>
      </c>
      <c r="I222" s="5">
        <v>0</v>
      </c>
      <c r="J222" s="5">
        <v>0</v>
      </c>
      <c r="L222">
        <f t="shared" si="21"/>
        <v>220</v>
      </c>
      <c r="M222">
        <f>'Real Analysis'!$B$3+B222/1000000</f>
        <v>4.450609000006807</v>
      </c>
      <c r="N222">
        <f t="shared" si="22"/>
        <v>2</v>
      </c>
      <c r="O222">
        <f>IF(ABS(D222)&gt;1,D222/1000000,D222)*'Real Analysis'!$B$4</f>
        <v>-6.1390979999999998E-2</v>
      </c>
      <c r="P222">
        <f>IF(ABS(E222)&gt;1,E222/1000000,E222)*'Real Analysis'!$B$4</f>
        <v>0.11839689</v>
      </c>
      <c r="Q222">
        <f>IF(ABS(F222)&gt;1,F222/1000000,F222)*'Real Analysis'!$B$4</f>
        <v>9.7839250199999999</v>
      </c>
      <c r="R222">
        <f t="shared" si="23"/>
        <v>0</v>
      </c>
      <c r="S222">
        <f t="shared" si="24"/>
        <v>0</v>
      </c>
      <c r="T222">
        <f t="shared" si="25"/>
        <v>0</v>
      </c>
      <c r="U222">
        <f t="shared" si="26"/>
        <v>0</v>
      </c>
    </row>
    <row r="223" spans="1:21" x14ac:dyDescent="0.3">
      <c r="A223" s="4">
        <v>221</v>
      </c>
      <c r="B223" s="4">
        <v>-96587528859</v>
      </c>
      <c r="C223" s="5">
        <v>2</v>
      </c>
      <c r="D223" s="5">
        <v>-1.3056E-2</v>
      </c>
      <c r="E223" s="5">
        <v>1.2137999999999999E-2</v>
      </c>
      <c r="F223" s="5">
        <v>0.99854799999999999</v>
      </c>
      <c r="G223" s="5">
        <v>0</v>
      </c>
      <c r="H223" s="5">
        <v>0</v>
      </c>
      <c r="I223" s="5">
        <v>0</v>
      </c>
      <c r="J223" s="5">
        <v>0</v>
      </c>
      <c r="L223">
        <f t="shared" si="21"/>
        <v>221</v>
      </c>
      <c r="M223">
        <f>'Real Analysis'!$B$3+B223/1000000</f>
        <v>4.4711410000018077</v>
      </c>
      <c r="N223">
        <f t="shared" si="22"/>
        <v>2</v>
      </c>
      <c r="O223">
        <f>IF(ABS(D223)&gt;1,D223/1000000,D223)*'Real Analysis'!$B$4</f>
        <v>-0.12807936</v>
      </c>
      <c r="P223">
        <f>IF(ABS(E223)&gt;1,E223/1000000,E223)*'Real Analysis'!$B$4</f>
        <v>0.11907378</v>
      </c>
      <c r="Q223">
        <f>IF(ABS(F223)&gt;1,F223/1000000,F223)*'Real Analysis'!$B$4</f>
        <v>9.7957558799999997</v>
      </c>
      <c r="R223">
        <f t="shared" si="23"/>
        <v>0</v>
      </c>
      <c r="S223">
        <f t="shared" si="24"/>
        <v>0</v>
      </c>
      <c r="T223">
        <f t="shared" si="25"/>
        <v>0</v>
      </c>
      <c r="U223">
        <f t="shared" si="26"/>
        <v>0</v>
      </c>
    </row>
    <row r="224" spans="1:21" x14ac:dyDescent="0.3">
      <c r="A224" s="4">
        <v>222</v>
      </c>
      <c r="B224" s="4">
        <v>-96587508535</v>
      </c>
      <c r="C224" s="5">
        <v>2</v>
      </c>
      <c r="D224" s="5">
        <v>-1.0076999999999999E-2</v>
      </c>
      <c r="E224" s="5">
        <v>1.2462000000000001E-2</v>
      </c>
      <c r="F224" s="5">
        <v>1005454</v>
      </c>
      <c r="G224" s="5">
        <v>0</v>
      </c>
      <c r="H224" s="5">
        <v>0</v>
      </c>
      <c r="I224" s="5">
        <v>0</v>
      </c>
      <c r="J224" s="5">
        <v>0</v>
      </c>
      <c r="L224">
        <f t="shared" si="21"/>
        <v>222</v>
      </c>
      <c r="M224">
        <f>'Real Analysis'!$B$3+B224/1000000</f>
        <v>4.4914649999991525</v>
      </c>
      <c r="N224">
        <f t="shared" si="22"/>
        <v>2</v>
      </c>
      <c r="O224">
        <f>IF(ABS(D224)&gt;1,D224/1000000,D224)*'Real Analysis'!$B$4</f>
        <v>-9.8855369999999998E-2</v>
      </c>
      <c r="P224">
        <f>IF(ABS(E224)&gt;1,E224/1000000,E224)*'Real Analysis'!$B$4</f>
        <v>0.12225222000000001</v>
      </c>
      <c r="Q224">
        <f>IF(ABS(F224)&gt;1,F224/1000000,F224)*'Real Analysis'!$B$4</f>
        <v>9.8635037400000005</v>
      </c>
      <c r="R224">
        <f t="shared" si="23"/>
        <v>0</v>
      </c>
      <c r="S224">
        <f t="shared" si="24"/>
        <v>0</v>
      </c>
      <c r="T224">
        <f t="shared" si="25"/>
        <v>0</v>
      </c>
      <c r="U224">
        <f t="shared" si="26"/>
        <v>0</v>
      </c>
    </row>
    <row r="225" spans="1:21" x14ac:dyDescent="0.3">
      <c r="A225" s="4">
        <v>223</v>
      </c>
      <c r="B225" s="4">
        <v>-96587488623</v>
      </c>
      <c r="C225" s="5">
        <v>2</v>
      </c>
      <c r="D225" s="5">
        <v>-9.5119999999999996E-3</v>
      </c>
      <c r="E225" s="5">
        <v>1.2292000000000001E-2</v>
      </c>
      <c r="F225" s="5">
        <v>1003764</v>
      </c>
      <c r="G225" s="5">
        <v>0</v>
      </c>
      <c r="H225" s="5">
        <v>0</v>
      </c>
      <c r="I225" s="5">
        <v>0</v>
      </c>
      <c r="J225" s="5">
        <v>0</v>
      </c>
      <c r="L225">
        <f t="shared" si="21"/>
        <v>223</v>
      </c>
      <c r="M225">
        <f>'Real Analysis'!$B$3+B225/1000000</f>
        <v>4.5113770000025397</v>
      </c>
      <c r="N225">
        <f t="shared" si="22"/>
        <v>2</v>
      </c>
      <c r="O225">
        <f>IF(ABS(D225)&gt;1,D225/1000000,D225)*'Real Analysis'!$B$4</f>
        <v>-9.3312720000000002E-2</v>
      </c>
      <c r="P225">
        <f>IF(ABS(E225)&gt;1,E225/1000000,E225)*'Real Analysis'!$B$4</f>
        <v>0.12058452000000001</v>
      </c>
      <c r="Q225">
        <f>IF(ABS(F225)&gt;1,F225/1000000,F225)*'Real Analysis'!$B$4</f>
        <v>9.8469248400000016</v>
      </c>
      <c r="R225">
        <f t="shared" si="23"/>
        <v>0</v>
      </c>
      <c r="S225">
        <f t="shared" si="24"/>
        <v>0</v>
      </c>
      <c r="T225">
        <f t="shared" si="25"/>
        <v>0</v>
      </c>
      <c r="U225">
        <f t="shared" si="26"/>
        <v>0</v>
      </c>
    </row>
    <row r="226" spans="1:21" x14ac:dyDescent="0.3">
      <c r="A226" s="4">
        <v>224</v>
      </c>
      <c r="B226" s="4">
        <v>-96587466489</v>
      </c>
      <c r="C226" s="5">
        <v>2</v>
      </c>
      <c r="D226" s="5">
        <v>-6.0359999999999997E-3</v>
      </c>
      <c r="E226" s="5">
        <v>1.2163E-2</v>
      </c>
      <c r="F226" s="5">
        <v>1004251</v>
      </c>
      <c r="G226" s="5">
        <v>0</v>
      </c>
      <c r="H226" s="5">
        <v>0</v>
      </c>
      <c r="I226" s="5">
        <v>0</v>
      </c>
      <c r="J226" s="5">
        <v>0</v>
      </c>
      <c r="L226">
        <f t="shared" si="21"/>
        <v>224</v>
      </c>
      <c r="M226">
        <f>'Real Analysis'!$B$3+B226/1000000</f>
        <v>4.5335110000014538</v>
      </c>
      <c r="N226">
        <f t="shared" si="22"/>
        <v>2</v>
      </c>
      <c r="O226">
        <f>IF(ABS(D226)&gt;1,D226/1000000,D226)*'Real Analysis'!$B$4</f>
        <v>-5.9213160000000001E-2</v>
      </c>
      <c r="P226">
        <f>IF(ABS(E226)&gt;1,E226/1000000,E226)*'Real Analysis'!$B$4</f>
        <v>0.11931903000000001</v>
      </c>
      <c r="Q226">
        <f>IF(ABS(F226)&gt;1,F226/1000000,F226)*'Real Analysis'!$B$4</f>
        <v>9.8517023100000003</v>
      </c>
      <c r="R226">
        <f t="shared" si="23"/>
        <v>0</v>
      </c>
      <c r="S226">
        <f t="shared" si="24"/>
        <v>0</v>
      </c>
      <c r="T226">
        <f t="shared" si="25"/>
        <v>0</v>
      </c>
      <c r="U226">
        <f t="shared" si="26"/>
        <v>0</v>
      </c>
    </row>
    <row r="227" spans="1:21" x14ac:dyDescent="0.3">
      <c r="A227" s="4">
        <v>225</v>
      </c>
      <c r="B227" s="4">
        <v>-96587448112</v>
      </c>
      <c r="C227" s="5">
        <v>2</v>
      </c>
      <c r="D227" s="5">
        <v>-7.8320000000000004E-3</v>
      </c>
      <c r="E227" s="5">
        <v>1.23E-2</v>
      </c>
      <c r="F227" s="5">
        <v>1004437</v>
      </c>
      <c r="G227" s="5">
        <v>0</v>
      </c>
      <c r="H227" s="5">
        <v>0</v>
      </c>
      <c r="I227" s="5">
        <v>0</v>
      </c>
      <c r="J227" s="5">
        <v>0</v>
      </c>
      <c r="L227">
        <f t="shared" si="21"/>
        <v>225</v>
      </c>
      <c r="M227">
        <f>'Real Analysis'!$B$3+B227/1000000</f>
        <v>4.5518880000017816</v>
      </c>
      <c r="N227">
        <f t="shared" si="22"/>
        <v>2</v>
      </c>
      <c r="O227">
        <f>IF(ABS(D227)&gt;1,D227/1000000,D227)*'Real Analysis'!$B$4</f>
        <v>-7.6831920000000012E-2</v>
      </c>
      <c r="P227">
        <f>IF(ABS(E227)&gt;1,E227/1000000,E227)*'Real Analysis'!$B$4</f>
        <v>0.12066300000000001</v>
      </c>
      <c r="Q227">
        <f>IF(ABS(F227)&gt;1,F227/1000000,F227)*'Real Analysis'!$B$4</f>
        <v>9.8535269700000008</v>
      </c>
      <c r="R227">
        <f t="shared" si="23"/>
        <v>0</v>
      </c>
      <c r="S227">
        <f t="shared" si="24"/>
        <v>0</v>
      </c>
      <c r="T227">
        <f t="shared" si="25"/>
        <v>0</v>
      </c>
      <c r="U227">
        <f t="shared" si="26"/>
        <v>0</v>
      </c>
    </row>
    <row r="228" spans="1:21" x14ac:dyDescent="0.3">
      <c r="A228" s="4">
        <v>226</v>
      </c>
      <c r="B228" s="4">
        <v>-96587427284</v>
      </c>
      <c r="C228" s="5">
        <v>2</v>
      </c>
      <c r="D228" s="5">
        <v>-1.2955E-2</v>
      </c>
      <c r="E228" s="5">
        <v>1.2381E-2</v>
      </c>
      <c r="F228" s="5">
        <v>1004132</v>
      </c>
      <c r="G228" s="5">
        <v>0</v>
      </c>
      <c r="H228" s="5">
        <v>0</v>
      </c>
      <c r="I228" s="5">
        <v>0</v>
      </c>
      <c r="J228" s="5">
        <v>0</v>
      </c>
      <c r="L228">
        <f t="shared" si="21"/>
        <v>226</v>
      </c>
      <c r="M228">
        <f>'Real Analysis'!$B$3+B228/1000000</f>
        <v>4.5727159999951255</v>
      </c>
      <c r="N228">
        <f t="shared" si="22"/>
        <v>2</v>
      </c>
      <c r="O228">
        <f>IF(ABS(D228)&gt;1,D228/1000000,D228)*'Real Analysis'!$B$4</f>
        <v>-0.12708854999999999</v>
      </c>
      <c r="P228">
        <f>IF(ABS(E228)&gt;1,E228/1000000,E228)*'Real Analysis'!$B$4</f>
        <v>0.12145761000000001</v>
      </c>
      <c r="Q228">
        <f>IF(ABS(F228)&gt;1,F228/1000000,F228)*'Real Analysis'!$B$4</f>
        <v>9.8505349200000012</v>
      </c>
      <c r="R228">
        <f t="shared" si="23"/>
        <v>0</v>
      </c>
      <c r="S228">
        <f t="shared" si="24"/>
        <v>0</v>
      </c>
      <c r="T228">
        <f t="shared" si="25"/>
        <v>0</v>
      </c>
      <c r="U228">
        <f t="shared" si="26"/>
        <v>0</v>
      </c>
    </row>
    <row r="229" spans="1:21" x14ac:dyDescent="0.3">
      <c r="A229" s="4">
        <v>227</v>
      </c>
      <c r="B229" s="4">
        <v>-96587412401</v>
      </c>
      <c r="C229" s="5">
        <v>2</v>
      </c>
      <c r="D229" s="5">
        <v>-1.239E-2</v>
      </c>
      <c r="E229" s="5">
        <v>5.4209999999999996E-3</v>
      </c>
      <c r="F229" s="5">
        <v>1004173</v>
      </c>
      <c r="G229" s="5">
        <v>0</v>
      </c>
      <c r="H229" s="5">
        <v>0</v>
      </c>
      <c r="I229" s="5">
        <v>0</v>
      </c>
      <c r="J229" s="5">
        <v>0</v>
      </c>
      <c r="L229">
        <f t="shared" si="21"/>
        <v>227</v>
      </c>
      <c r="M229">
        <f>'Real Analysis'!$B$3+B229/1000000</f>
        <v>4.5875990000058664</v>
      </c>
      <c r="N229">
        <f t="shared" si="22"/>
        <v>2</v>
      </c>
      <c r="O229">
        <f>IF(ABS(D229)&gt;1,D229/1000000,D229)*'Real Analysis'!$B$4</f>
        <v>-0.12154590000000001</v>
      </c>
      <c r="P229">
        <f>IF(ABS(E229)&gt;1,E229/1000000,E229)*'Real Analysis'!$B$4</f>
        <v>5.318001E-2</v>
      </c>
      <c r="Q229">
        <f>IF(ABS(F229)&gt;1,F229/1000000,F229)*'Real Analysis'!$B$4</f>
        <v>9.8509371300000002</v>
      </c>
      <c r="R229">
        <f t="shared" si="23"/>
        <v>0</v>
      </c>
      <c r="S229">
        <f t="shared" si="24"/>
        <v>0</v>
      </c>
      <c r="T229">
        <f t="shared" si="25"/>
        <v>0</v>
      </c>
      <c r="U229">
        <f t="shared" si="26"/>
        <v>0</v>
      </c>
    </row>
    <row r="230" spans="1:21" x14ac:dyDescent="0.3">
      <c r="A230" s="4">
        <v>228</v>
      </c>
      <c r="B230" s="4">
        <v>-96587388421</v>
      </c>
      <c r="C230" s="5">
        <v>2</v>
      </c>
      <c r="D230" s="5">
        <v>-1.2588E-2</v>
      </c>
      <c r="E230" s="5">
        <v>4.47E-3</v>
      </c>
      <c r="F230" s="5">
        <v>1004163</v>
      </c>
      <c r="G230" s="5">
        <v>0</v>
      </c>
      <c r="H230" s="5">
        <v>0</v>
      </c>
      <c r="I230" s="5">
        <v>0</v>
      </c>
      <c r="J230" s="5">
        <v>0</v>
      </c>
      <c r="L230">
        <f t="shared" si="21"/>
        <v>228</v>
      </c>
      <c r="M230">
        <f>'Real Analysis'!$B$3+B230/1000000</f>
        <v>4.6115790000039851</v>
      </c>
      <c r="N230">
        <f t="shared" si="22"/>
        <v>2</v>
      </c>
      <c r="O230">
        <f>IF(ABS(D230)&gt;1,D230/1000000,D230)*'Real Analysis'!$B$4</f>
        <v>-0.12348828000000001</v>
      </c>
      <c r="P230">
        <f>IF(ABS(E230)&gt;1,E230/1000000,E230)*'Real Analysis'!$B$4</f>
        <v>4.3850699999999999E-2</v>
      </c>
      <c r="Q230">
        <f>IF(ABS(F230)&gt;1,F230/1000000,F230)*'Real Analysis'!$B$4</f>
        <v>9.8508390299999995</v>
      </c>
      <c r="R230">
        <f t="shared" si="23"/>
        <v>0</v>
      </c>
      <c r="S230">
        <f t="shared" si="24"/>
        <v>0</v>
      </c>
      <c r="T230">
        <f t="shared" si="25"/>
        <v>0</v>
      </c>
      <c r="U230">
        <f t="shared" si="26"/>
        <v>0</v>
      </c>
    </row>
    <row r="231" spans="1:21" x14ac:dyDescent="0.3">
      <c r="A231" s="4">
        <v>229</v>
      </c>
      <c r="B231" s="4">
        <v>-96587371073</v>
      </c>
      <c r="C231" s="5">
        <v>2</v>
      </c>
      <c r="D231" s="5">
        <v>-9.4929999999999997E-3</v>
      </c>
      <c r="E231" s="5">
        <v>1.1129E-2</v>
      </c>
      <c r="F231" s="5">
        <v>1004271</v>
      </c>
      <c r="G231" s="5">
        <v>0</v>
      </c>
      <c r="H231" s="5">
        <v>0</v>
      </c>
      <c r="I231" s="5">
        <v>0</v>
      </c>
      <c r="J231" s="5">
        <v>0</v>
      </c>
      <c r="L231">
        <f t="shared" si="21"/>
        <v>229</v>
      </c>
      <c r="M231">
        <f>'Real Analysis'!$B$3+B231/1000000</f>
        <v>4.6289269999979297</v>
      </c>
      <c r="N231">
        <f t="shared" si="22"/>
        <v>2</v>
      </c>
      <c r="O231">
        <f>IF(ABS(D231)&gt;1,D231/1000000,D231)*'Real Analysis'!$B$4</f>
        <v>-9.3126330000000007E-2</v>
      </c>
      <c r="P231">
        <f>IF(ABS(E231)&gt;1,E231/1000000,E231)*'Real Analysis'!$B$4</f>
        <v>0.10917549</v>
      </c>
      <c r="Q231">
        <f>IF(ABS(F231)&gt;1,F231/1000000,F231)*'Real Analysis'!$B$4</f>
        <v>9.8518985099999998</v>
      </c>
      <c r="R231">
        <f t="shared" si="23"/>
        <v>0</v>
      </c>
      <c r="S231">
        <f t="shared" si="24"/>
        <v>0</v>
      </c>
      <c r="T231">
        <f t="shared" si="25"/>
        <v>0</v>
      </c>
      <c r="U231">
        <f t="shared" si="26"/>
        <v>0</v>
      </c>
    </row>
    <row r="232" spans="1:21" x14ac:dyDescent="0.3">
      <c r="A232" s="4">
        <v>230</v>
      </c>
      <c r="B232" s="4">
        <v>-96587353354</v>
      </c>
      <c r="C232" s="5">
        <v>2</v>
      </c>
      <c r="D232" s="5">
        <v>-4.4679999999999997E-3</v>
      </c>
      <c r="E232" s="5">
        <v>1.1481999999999999E-2</v>
      </c>
      <c r="F232" s="5">
        <v>1004460</v>
      </c>
      <c r="G232" s="5">
        <v>0</v>
      </c>
      <c r="H232" s="5">
        <v>0</v>
      </c>
      <c r="I232" s="5">
        <v>0</v>
      </c>
      <c r="J232" s="5">
        <v>0</v>
      </c>
      <c r="L232">
        <f t="shared" si="21"/>
        <v>230</v>
      </c>
      <c r="M232">
        <f>'Real Analysis'!$B$3+B232/1000000</f>
        <v>4.6466459999937797</v>
      </c>
      <c r="N232">
        <f t="shared" si="22"/>
        <v>2</v>
      </c>
      <c r="O232">
        <f>IF(ABS(D232)&gt;1,D232/1000000,D232)*'Real Analysis'!$B$4</f>
        <v>-4.3831080000000001E-2</v>
      </c>
      <c r="P232">
        <f>IF(ABS(E232)&gt;1,E232/1000000,E232)*'Real Analysis'!$B$4</f>
        <v>0.11263842</v>
      </c>
      <c r="Q232">
        <f>IF(ABS(F232)&gt;1,F232/1000000,F232)*'Real Analysis'!$B$4</f>
        <v>9.8537526</v>
      </c>
      <c r="R232">
        <f t="shared" si="23"/>
        <v>0</v>
      </c>
      <c r="S232">
        <f t="shared" si="24"/>
        <v>0</v>
      </c>
      <c r="T232">
        <f t="shared" si="25"/>
        <v>0</v>
      </c>
      <c r="U232">
        <f t="shared" si="26"/>
        <v>0</v>
      </c>
    </row>
    <row r="233" spans="1:21" x14ac:dyDescent="0.3">
      <c r="A233" s="4">
        <v>231</v>
      </c>
      <c r="B233" s="4">
        <v>-96587332010</v>
      </c>
      <c r="C233" s="5">
        <v>2</v>
      </c>
      <c r="D233" s="5">
        <v>-4.4060000000000002E-3</v>
      </c>
      <c r="E233" s="5">
        <v>1.0932000000000001E-2</v>
      </c>
      <c r="F233" s="5">
        <v>1002894</v>
      </c>
      <c r="G233" s="5">
        <v>0</v>
      </c>
      <c r="H233" s="5">
        <v>0</v>
      </c>
      <c r="I233" s="5">
        <v>0</v>
      </c>
      <c r="J233" s="5">
        <v>0</v>
      </c>
      <c r="L233">
        <f t="shared" si="21"/>
        <v>231</v>
      </c>
      <c r="M233">
        <f>'Real Analysis'!$B$3+B233/1000000</f>
        <v>4.6679900000017369</v>
      </c>
      <c r="N233">
        <f t="shared" si="22"/>
        <v>2</v>
      </c>
      <c r="O233">
        <f>IF(ABS(D233)&gt;1,D233/1000000,D233)*'Real Analysis'!$B$4</f>
        <v>-4.3222860000000002E-2</v>
      </c>
      <c r="P233">
        <f>IF(ABS(E233)&gt;1,E233/1000000,E233)*'Real Analysis'!$B$4</f>
        <v>0.10724292000000002</v>
      </c>
      <c r="Q233">
        <f>IF(ABS(F233)&gt;1,F233/1000000,F233)*'Real Analysis'!$B$4</f>
        <v>9.8383901399999996</v>
      </c>
      <c r="R233">
        <f t="shared" si="23"/>
        <v>0</v>
      </c>
      <c r="S233">
        <f t="shared" si="24"/>
        <v>0</v>
      </c>
      <c r="T233">
        <f t="shared" si="25"/>
        <v>0</v>
      </c>
      <c r="U233">
        <f t="shared" si="26"/>
        <v>0</v>
      </c>
    </row>
    <row r="234" spans="1:21" x14ac:dyDescent="0.3">
      <c r="A234" s="4">
        <v>232</v>
      </c>
      <c r="B234" s="4">
        <v>-96587307530</v>
      </c>
      <c r="C234" s="5">
        <v>2</v>
      </c>
      <c r="D234" s="5">
        <v>-4.8149999999999998E-3</v>
      </c>
      <c r="E234" s="5">
        <v>3.9430000000000003E-3</v>
      </c>
      <c r="F234" s="5">
        <v>1002895</v>
      </c>
      <c r="G234" s="5">
        <v>0</v>
      </c>
      <c r="H234" s="5">
        <v>0</v>
      </c>
      <c r="I234" s="5">
        <v>0</v>
      </c>
      <c r="J234" s="5">
        <v>0</v>
      </c>
      <c r="L234">
        <f t="shared" si="21"/>
        <v>232</v>
      </c>
      <c r="M234">
        <f>'Real Analysis'!$B$3+B234/1000000</f>
        <v>4.6924699999945005</v>
      </c>
      <c r="N234">
        <f t="shared" si="22"/>
        <v>2</v>
      </c>
      <c r="O234">
        <f>IF(ABS(D234)&gt;1,D234/1000000,D234)*'Real Analysis'!$B$4</f>
        <v>-4.7235150000000004E-2</v>
      </c>
      <c r="P234">
        <f>IF(ABS(E234)&gt;1,E234/1000000,E234)*'Real Analysis'!$B$4</f>
        <v>3.8680830000000006E-2</v>
      </c>
      <c r="Q234">
        <f>IF(ABS(F234)&gt;1,F234/1000000,F234)*'Real Analysis'!$B$4</f>
        <v>9.8383999500000012</v>
      </c>
      <c r="R234">
        <f t="shared" si="23"/>
        <v>0</v>
      </c>
      <c r="S234">
        <f t="shared" si="24"/>
        <v>0</v>
      </c>
      <c r="T234">
        <f t="shared" si="25"/>
        <v>0</v>
      </c>
      <c r="U234">
        <f t="shared" si="26"/>
        <v>0</v>
      </c>
    </row>
    <row r="235" spans="1:21" x14ac:dyDescent="0.3">
      <c r="A235" s="4">
        <v>233</v>
      </c>
      <c r="B235" s="4">
        <v>-96587292717</v>
      </c>
      <c r="C235" s="5">
        <v>2</v>
      </c>
      <c r="D235" s="5">
        <v>-5.0239999999999998E-3</v>
      </c>
      <c r="E235" s="5">
        <v>6.3200000000000001E-3</v>
      </c>
      <c r="F235" s="5">
        <v>1005362</v>
      </c>
      <c r="G235" s="5">
        <v>0</v>
      </c>
      <c r="H235" s="5">
        <v>0</v>
      </c>
      <c r="I235" s="5">
        <v>0</v>
      </c>
      <c r="J235" s="5">
        <v>0</v>
      </c>
      <c r="L235">
        <f t="shared" si="21"/>
        <v>233</v>
      </c>
      <c r="M235">
        <f>'Real Analysis'!$B$3+B235/1000000</f>
        <v>4.7072829999960959</v>
      </c>
      <c r="N235">
        <f t="shared" si="22"/>
        <v>2</v>
      </c>
      <c r="O235">
        <f>IF(ABS(D235)&gt;1,D235/1000000,D235)*'Real Analysis'!$B$4</f>
        <v>-4.928544E-2</v>
      </c>
      <c r="P235">
        <f>IF(ABS(E235)&gt;1,E235/1000000,E235)*'Real Analysis'!$B$4</f>
        <v>6.1999200000000004E-2</v>
      </c>
      <c r="Q235">
        <f>IF(ABS(F235)&gt;1,F235/1000000,F235)*'Real Analysis'!$B$4</f>
        <v>9.8626012200000019</v>
      </c>
      <c r="R235">
        <f t="shared" si="23"/>
        <v>0</v>
      </c>
      <c r="S235">
        <f t="shared" si="24"/>
        <v>0</v>
      </c>
      <c r="T235">
        <f t="shared" si="25"/>
        <v>0</v>
      </c>
      <c r="U235">
        <f t="shared" si="26"/>
        <v>0</v>
      </c>
    </row>
    <row r="236" spans="1:21" x14ac:dyDescent="0.3">
      <c r="A236" s="4">
        <v>234</v>
      </c>
      <c r="B236" s="4">
        <v>-96587267836</v>
      </c>
      <c r="C236" s="5">
        <v>2</v>
      </c>
      <c r="D236" s="5">
        <v>-4.9179999999999996E-3</v>
      </c>
      <c r="E236" s="5">
        <v>1.3029000000000001E-2</v>
      </c>
      <c r="F236" s="5">
        <v>1004707</v>
      </c>
      <c r="G236" s="5">
        <v>0</v>
      </c>
      <c r="H236" s="5">
        <v>0</v>
      </c>
      <c r="I236" s="5">
        <v>0</v>
      </c>
      <c r="J236" s="5">
        <v>0</v>
      </c>
      <c r="L236">
        <f t="shared" si="21"/>
        <v>234</v>
      </c>
      <c r="M236">
        <f>'Real Analysis'!$B$3+B236/1000000</f>
        <v>4.7321640000009211</v>
      </c>
      <c r="N236">
        <f t="shared" si="22"/>
        <v>2</v>
      </c>
      <c r="O236">
        <f>IF(ABS(D236)&gt;1,D236/1000000,D236)*'Real Analysis'!$B$4</f>
        <v>-4.8245579999999996E-2</v>
      </c>
      <c r="P236">
        <f>IF(ABS(E236)&gt;1,E236/1000000,E236)*'Real Analysis'!$B$4</f>
        <v>0.12781449</v>
      </c>
      <c r="Q236">
        <f>IF(ABS(F236)&gt;1,F236/1000000,F236)*'Real Analysis'!$B$4</f>
        <v>9.8561756700000007</v>
      </c>
      <c r="R236">
        <f t="shared" si="23"/>
        <v>0</v>
      </c>
      <c r="S236">
        <f t="shared" si="24"/>
        <v>0</v>
      </c>
      <c r="T236">
        <f t="shared" si="25"/>
        <v>0</v>
      </c>
      <c r="U236">
        <f t="shared" si="26"/>
        <v>0</v>
      </c>
    </row>
    <row r="237" spans="1:21" x14ac:dyDescent="0.3">
      <c r="A237" s="4">
        <v>235</v>
      </c>
      <c r="B237" s="4">
        <v>-96587251131</v>
      </c>
      <c r="C237" s="5">
        <v>2</v>
      </c>
      <c r="D237" s="5">
        <v>-4.9020000000000001E-3</v>
      </c>
      <c r="E237" s="5">
        <v>1.2005E-2</v>
      </c>
      <c r="F237" s="5">
        <v>1004311</v>
      </c>
      <c r="G237" s="5">
        <v>0</v>
      </c>
      <c r="H237" s="5">
        <v>0</v>
      </c>
      <c r="I237" s="5">
        <v>0</v>
      </c>
      <c r="J237" s="5">
        <v>0</v>
      </c>
      <c r="L237">
        <f t="shared" si="21"/>
        <v>235</v>
      </c>
      <c r="M237">
        <f>'Real Analysis'!$B$3+B237/1000000</f>
        <v>4.7488690000027418</v>
      </c>
      <c r="N237">
        <f t="shared" si="22"/>
        <v>2</v>
      </c>
      <c r="O237">
        <f>IF(ABS(D237)&gt;1,D237/1000000,D237)*'Real Analysis'!$B$4</f>
        <v>-4.8088620000000006E-2</v>
      </c>
      <c r="P237">
        <f>IF(ABS(E237)&gt;1,E237/1000000,E237)*'Real Analysis'!$B$4</f>
        <v>0.11776905</v>
      </c>
      <c r="Q237">
        <f>IF(ABS(F237)&gt;1,F237/1000000,F237)*'Real Analysis'!$B$4</f>
        <v>9.8522909100000007</v>
      </c>
      <c r="R237">
        <f t="shared" si="23"/>
        <v>0</v>
      </c>
      <c r="S237">
        <f t="shared" si="24"/>
        <v>0</v>
      </c>
      <c r="T237">
        <f t="shared" si="25"/>
        <v>0</v>
      </c>
      <c r="U237">
        <f t="shared" si="26"/>
        <v>0</v>
      </c>
    </row>
    <row r="238" spans="1:21" x14ac:dyDescent="0.3">
      <c r="A238" s="4">
        <v>236</v>
      </c>
      <c r="B238" s="4">
        <v>-96587231944</v>
      </c>
      <c r="C238" s="5">
        <v>2</v>
      </c>
      <c r="D238" s="5">
        <v>-1.4499999999999999E-3</v>
      </c>
      <c r="E238" s="5">
        <v>1.2244E-2</v>
      </c>
      <c r="F238" s="5">
        <v>1004587</v>
      </c>
      <c r="G238" s="5">
        <v>0</v>
      </c>
      <c r="H238" s="5">
        <v>0</v>
      </c>
      <c r="I238" s="5">
        <v>0</v>
      </c>
      <c r="J238" s="5">
        <v>0</v>
      </c>
      <c r="L238">
        <f t="shared" si="21"/>
        <v>236</v>
      </c>
      <c r="M238">
        <f>'Real Analysis'!$B$3+B238/1000000</f>
        <v>4.7680560000007972</v>
      </c>
      <c r="N238">
        <f t="shared" si="22"/>
        <v>2</v>
      </c>
      <c r="O238">
        <f>IF(ABS(D238)&gt;1,D238/1000000,D238)*'Real Analysis'!$B$4</f>
        <v>-1.4224499999999999E-2</v>
      </c>
      <c r="P238">
        <f>IF(ABS(E238)&gt;1,E238/1000000,E238)*'Real Analysis'!$B$4</f>
        <v>0.12011364000000001</v>
      </c>
      <c r="Q238">
        <f>IF(ABS(F238)&gt;1,F238/1000000,F238)*'Real Analysis'!$B$4</f>
        <v>9.85499847</v>
      </c>
      <c r="R238">
        <f t="shared" si="23"/>
        <v>0</v>
      </c>
      <c r="S238">
        <f t="shared" si="24"/>
        <v>0</v>
      </c>
      <c r="T238">
        <f t="shared" si="25"/>
        <v>0</v>
      </c>
      <c r="U238">
        <f t="shared" si="26"/>
        <v>0</v>
      </c>
    </row>
    <row r="239" spans="1:21" x14ac:dyDescent="0.3">
      <c r="A239" s="4">
        <v>237</v>
      </c>
      <c r="B239" s="4">
        <v>-96587207774</v>
      </c>
      <c r="C239" s="5">
        <v>2</v>
      </c>
      <c r="D239" s="5">
        <v>-4.2950000000000002E-3</v>
      </c>
      <c r="E239" s="5">
        <v>1.0782999999999999E-2</v>
      </c>
      <c r="F239" s="5">
        <v>1004478</v>
      </c>
      <c r="G239" s="5">
        <v>0</v>
      </c>
      <c r="H239" s="5">
        <v>0</v>
      </c>
      <c r="I239" s="5">
        <v>0</v>
      </c>
      <c r="J239" s="5">
        <v>0</v>
      </c>
      <c r="L239">
        <f t="shared" si="21"/>
        <v>237</v>
      </c>
      <c r="M239">
        <f>'Real Analysis'!$B$3+B239/1000000</f>
        <v>4.7922260000050301</v>
      </c>
      <c r="N239">
        <f t="shared" si="22"/>
        <v>2</v>
      </c>
      <c r="O239">
        <f>IF(ABS(D239)&gt;1,D239/1000000,D239)*'Real Analysis'!$B$4</f>
        <v>-4.2133950000000003E-2</v>
      </c>
      <c r="P239">
        <f>IF(ABS(E239)&gt;1,E239/1000000,E239)*'Real Analysis'!$B$4</f>
        <v>0.10578123</v>
      </c>
      <c r="Q239">
        <f>IF(ABS(F239)&gt;1,F239/1000000,F239)*'Real Analysis'!$B$4</f>
        <v>9.8539291799999997</v>
      </c>
      <c r="R239">
        <f t="shared" si="23"/>
        <v>0</v>
      </c>
      <c r="S239">
        <f t="shared" si="24"/>
        <v>0</v>
      </c>
      <c r="T239">
        <f t="shared" si="25"/>
        <v>0</v>
      </c>
      <c r="U239">
        <f t="shared" si="26"/>
        <v>0</v>
      </c>
    </row>
    <row r="240" spans="1:21" x14ac:dyDescent="0.3">
      <c r="A240" s="4">
        <v>238</v>
      </c>
      <c r="B240" s="4">
        <v>-96587187694</v>
      </c>
      <c r="C240" s="5">
        <v>2</v>
      </c>
      <c r="D240" s="5">
        <v>-5.2440000000000004E-3</v>
      </c>
      <c r="E240" s="5">
        <v>1.1731999999999999E-2</v>
      </c>
      <c r="F240" s="5">
        <v>1004421</v>
      </c>
      <c r="G240" s="5">
        <v>0</v>
      </c>
      <c r="H240" s="5">
        <v>0</v>
      </c>
      <c r="I240" s="5">
        <v>0</v>
      </c>
      <c r="J240" s="5">
        <v>0</v>
      </c>
      <c r="L240">
        <f t="shared" si="21"/>
        <v>238</v>
      </c>
      <c r="M240">
        <f>'Real Analysis'!$B$3+B240/1000000</f>
        <v>4.8123060000070836</v>
      </c>
      <c r="N240">
        <f t="shared" si="22"/>
        <v>2</v>
      </c>
      <c r="O240">
        <f>IF(ABS(D240)&gt;1,D240/1000000,D240)*'Real Analysis'!$B$4</f>
        <v>-5.1443640000000006E-2</v>
      </c>
      <c r="P240">
        <f>IF(ABS(E240)&gt;1,E240/1000000,E240)*'Real Analysis'!$B$4</f>
        <v>0.11509092</v>
      </c>
      <c r="Q240">
        <f>IF(ABS(F240)&gt;1,F240/1000000,F240)*'Real Analysis'!$B$4</f>
        <v>9.8533700100000008</v>
      </c>
      <c r="R240">
        <f t="shared" si="23"/>
        <v>0</v>
      </c>
      <c r="S240">
        <f t="shared" si="24"/>
        <v>0</v>
      </c>
      <c r="T240">
        <f t="shared" si="25"/>
        <v>0</v>
      </c>
      <c r="U240">
        <f t="shared" si="26"/>
        <v>0</v>
      </c>
    </row>
    <row r="241" spans="1:21" x14ac:dyDescent="0.3">
      <c r="A241" s="4">
        <v>239</v>
      </c>
      <c r="B241" s="4">
        <v>-96587172187</v>
      </c>
      <c r="C241" s="5">
        <v>2</v>
      </c>
      <c r="D241" s="5">
        <v>-4.7330000000000002E-3</v>
      </c>
      <c r="E241" s="5">
        <v>1.1721000000000001E-2</v>
      </c>
      <c r="F241" s="5">
        <v>1004450</v>
      </c>
      <c r="G241" s="5">
        <v>0</v>
      </c>
      <c r="H241" s="5">
        <v>0</v>
      </c>
      <c r="I241" s="5">
        <v>0</v>
      </c>
      <c r="J241" s="5">
        <v>0</v>
      </c>
      <c r="L241">
        <f t="shared" si="21"/>
        <v>239</v>
      </c>
      <c r="M241">
        <f>'Real Analysis'!$B$3+B241/1000000</f>
        <v>4.8278129999962403</v>
      </c>
      <c r="N241">
        <f t="shared" si="22"/>
        <v>2</v>
      </c>
      <c r="O241">
        <f>IF(ABS(D241)&gt;1,D241/1000000,D241)*'Real Analysis'!$B$4</f>
        <v>-4.6430730000000003E-2</v>
      </c>
      <c r="P241">
        <f>IF(ABS(E241)&gt;1,E241/1000000,E241)*'Real Analysis'!$B$4</f>
        <v>0.11498301000000001</v>
      </c>
      <c r="Q241">
        <f>IF(ABS(F241)&gt;1,F241/1000000,F241)*'Real Analysis'!$B$4</f>
        <v>9.8536545000000011</v>
      </c>
      <c r="R241">
        <f t="shared" si="23"/>
        <v>0</v>
      </c>
      <c r="S241">
        <f t="shared" si="24"/>
        <v>0</v>
      </c>
      <c r="T241">
        <f t="shared" si="25"/>
        <v>0</v>
      </c>
      <c r="U241">
        <f t="shared" si="26"/>
        <v>0</v>
      </c>
    </row>
    <row r="242" spans="1:21" x14ac:dyDescent="0.3">
      <c r="A242" s="4">
        <v>240</v>
      </c>
      <c r="B242" s="4">
        <v>-96587148129</v>
      </c>
      <c r="C242" s="5">
        <v>2</v>
      </c>
      <c r="D242" s="5">
        <v>-1.621E-3</v>
      </c>
      <c r="E242" s="5">
        <v>9.2339999999999992E-3</v>
      </c>
      <c r="F242" s="5">
        <v>1004565</v>
      </c>
      <c r="G242" s="5">
        <v>0</v>
      </c>
      <c r="H242" s="5">
        <v>0</v>
      </c>
      <c r="I242" s="5">
        <v>0</v>
      </c>
      <c r="J242" s="5">
        <v>0</v>
      </c>
      <c r="L242">
        <f t="shared" si="21"/>
        <v>240</v>
      </c>
      <c r="M242">
        <f>'Real Analysis'!$B$3+B242/1000000</f>
        <v>4.8518710000062129</v>
      </c>
      <c r="N242">
        <f t="shared" si="22"/>
        <v>2</v>
      </c>
      <c r="O242">
        <f>IF(ABS(D242)&gt;1,D242/1000000,D242)*'Real Analysis'!$B$4</f>
        <v>-1.5902010000000001E-2</v>
      </c>
      <c r="P242">
        <f>IF(ABS(E242)&gt;1,E242/1000000,E242)*'Real Analysis'!$B$4</f>
        <v>9.0585539999999992E-2</v>
      </c>
      <c r="Q242">
        <f>IF(ABS(F242)&gt;1,F242/1000000,F242)*'Real Analysis'!$B$4</f>
        <v>9.8547826500000006</v>
      </c>
      <c r="R242">
        <f t="shared" si="23"/>
        <v>0</v>
      </c>
      <c r="S242">
        <f t="shared" si="24"/>
        <v>0</v>
      </c>
      <c r="T242">
        <f t="shared" si="25"/>
        <v>0</v>
      </c>
      <c r="U242">
        <f t="shared" si="26"/>
        <v>0</v>
      </c>
    </row>
    <row r="243" spans="1:21" x14ac:dyDescent="0.3">
      <c r="A243" s="4">
        <v>241</v>
      </c>
      <c r="B243" s="4">
        <v>-96587131489</v>
      </c>
      <c r="C243" s="5">
        <v>2</v>
      </c>
      <c r="D243" s="5">
        <v>1.7000000000000001E-4</v>
      </c>
      <c r="E243" s="5">
        <v>1.1015E-2</v>
      </c>
      <c r="F243" s="5">
        <v>1004633</v>
      </c>
      <c r="G243" s="5">
        <v>0</v>
      </c>
      <c r="H243" s="5">
        <v>0</v>
      </c>
      <c r="I243" s="5">
        <v>0</v>
      </c>
      <c r="J243" s="5">
        <v>0</v>
      </c>
      <c r="L243">
        <f t="shared" si="21"/>
        <v>241</v>
      </c>
      <c r="M243">
        <f>'Real Analysis'!$B$3+B243/1000000</f>
        <v>4.8685109999933047</v>
      </c>
      <c r="N243">
        <f t="shared" si="22"/>
        <v>2</v>
      </c>
      <c r="O243">
        <f>IF(ABS(D243)&gt;1,D243/1000000,D243)*'Real Analysis'!$B$4</f>
        <v>1.6677000000000003E-3</v>
      </c>
      <c r="P243">
        <f>IF(ABS(E243)&gt;1,E243/1000000,E243)*'Real Analysis'!$B$4</f>
        <v>0.10805715</v>
      </c>
      <c r="Q243">
        <f>IF(ABS(F243)&gt;1,F243/1000000,F243)*'Real Analysis'!$B$4</f>
        <v>9.8554497300000019</v>
      </c>
      <c r="R243">
        <f t="shared" si="23"/>
        <v>0</v>
      </c>
      <c r="S243">
        <f t="shared" si="24"/>
        <v>0</v>
      </c>
      <c r="T243">
        <f t="shared" si="25"/>
        <v>0</v>
      </c>
      <c r="U243">
        <f t="shared" si="26"/>
        <v>0</v>
      </c>
    </row>
    <row r="244" spans="1:21" x14ac:dyDescent="0.3">
      <c r="A244" s="4">
        <v>242</v>
      </c>
      <c r="B244" s="4">
        <v>-96587109903</v>
      </c>
      <c r="C244" s="5">
        <v>2</v>
      </c>
      <c r="D244" s="5">
        <v>-5.0660000000000002E-3</v>
      </c>
      <c r="E244" s="5">
        <v>5.8190000000000004E-3</v>
      </c>
      <c r="F244" s="5">
        <v>1004446</v>
      </c>
      <c r="G244" s="5">
        <v>0</v>
      </c>
      <c r="H244" s="5">
        <v>0</v>
      </c>
      <c r="I244" s="5">
        <v>0</v>
      </c>
      <c r="J244" s="5">
        <v>0</v>
      </c>
      <c r="L244">
        <f t="shared" si="21"/>
        <v>242</v>
      </c>
      <c r="M244">
        <f>'Real Analysis'!$B$3+B244/1000000</f>
        <v>4.8900969999958761</v>
      </c>
      <c r="N244">
        <f t="shared" si="22"/>
        <v>2</v>
      </c>
      <c r="O244">
        <f>IF(ABS(D244)&gt;1,D244/1000000,D244)*'Real Analysis'!$B$4</f>
        <v>-4.9697460000000006E-2</v>
      </c>
      <c r="P244">
        <f>IF(ABS(E244)&gt;1,E244/1000000,E244)*'Real Analysis'!$B$4</f>
        <v>5.7084390000000006E-2</v>
      </c>
      <c r="Q244">
        <f>IF(ABS(F244)&gt;1,F244/1000000,F244)*'Real Analysis'!$B$4</f>
        <v>9.8536152599999998</v>
      </c>
      <c r="R244">
        <f t="shared" si="23"/>
        <v>0</v>
      </c>
      <c r="S244">
        <f t="shared" si="24"/>
        <v>0</v>
      </c>
      <c r="T244">
        <f t="shared" si="25"/>
        <v>0</v>
      </c>
      <c r="U244">
        <f t="shared" si="26"/>
        <v>0</v>
      </c>
    </row>
    <row r="245" spans="1:21" x14ac:dyDescent="0.3">
      <c r="A245" s="4">
        <v>243</v>
      </c>
      <c r="B245" s="4">
        <v>-96587089023</v>
      </c>
      <c r="C245" s="5">
        <v>2</v>
      </c>
      <c r="D245" s="5">
        <v>-5.5669999999999999E-3</v>
      </c>
      <c r="E245" s="5">
        <v>1.3254999999999999E-2</v>
      </c>
      <c r="F245" s="5">
        <v>1004411</v>
      </c>
      <c r="G245" s="5">
        <v>0</v>
      </c>
      <c r="H245" s="5">
        <v>0</v>
      </c>
      <c r="I245" s="5">
        <v>0</v>
      </c>
      <c r="J245" s="5">
        <v>0</v>
      </c>
      <c r="L245">
        <f t="shared" si="21"/>
        <v>243</v>
      </c>
      <c r="M245">
        <f>'Real Analysis'!$B$3+B245/1000000</f>
        <v>4.9109770000068238</v>
      </c>
      <c r="N245">
        <f t="shared" si="22"/>
        <v>2</v>
      </c>
      <c r="O245">
        <f>IF(ABS(D245)&gt;1,D245/1000000,D245)*'Real Analysis'!$B$4</f>
        <v>-5.4612270000000004E-2</v>
      </c>
      <c r="P245">
        <f>IF(ABS(E245)&gt;1,E245/1000000,E245)*'Real Analysis'!$B$4</f>
        <v>0.13003155</v>
      </c>
      <c r="Q245">
        <f>IF(ABS(F245)&gt;1,F245/1000000,F245)*'Real Analysis'!$B$4</f>
        <v>9.8532719100000001</v>
      </c>
      <c r="R245">
        <f t="shared" si="23"/>
        <v>0</v>
      </c>
      <c r="S245">
        <f t="shared" si="24"/>
        <v>0</v>
      </c>
      <c r="T245">
        <f t="shared" si="25"/>
        <v>0</v>
      </c>
      <c r="U245">
        <f t="shared" si="26"/>
        <v>0</v>
      </c>
    </row>
    <row r="246" spans="1:21" x14ac:dyDescent="0.3">
      <c r="A246" s="4">
        <v>244</v>
      </c>
      <c r="B246" s="4">
        <v>-96587071755</v>
      </c>
      <c r="C246" s="5">
        <v>2</v>
      </c>
      <c r="D246" s="5">
        <v>-3.2139999999999998E-3</v>
      </c>
      <c r="E246" s="5">
        <v>1.2853E-2</v>
      </c>
      <c r="F246" s="5">
        <v>1004502</v>
      </c>
      <c r="G246" s="5">
        <v>0</v>
      </c>
      <c r="H246" s="5">
        <v>0</v>
      </c>
      <c r="I246" s="5">
        <v>0</v>
      </c>
      <c r="J246" s="5">
        <v>0</v>
      </c>
      <c r="L246">
        <f t="shared" si="21"/>
        <v>244</v>
      </c>
      <c r="M246">
        <f>'Real Analysis'!$B$3+B246/1000000</f>
        <v>4.9282450000027893</v>
      </c>
      <c r="N246">
        <f t="shared" si="22"/>
        <v>2</v>
      </c>
      <c r="O246">
        <f>IF(ABS(D246)&gt;1,D246/1000000,D246)*'Real Analysis'!$B$4</f>
        <v>-3.1529340000000003E-2</v>
      </c>
      <c r="P246">
        <f>IF(ABS(E246)&gt;1,E246/1000000,E246)*'Real Analysis'!$B$4</f>
        <v>0.12608793000000001</v>
      </c>
      <c r="Q246">
        <f>IF(ABS(F246)&gt;1,F246/1000000,F246)*'Real Analysis'!$B$4</f>
        <v>9.8541646200000006</v>
      </c>
      <c r="R246">
        <f t="shared" si="23"/>
        <v>0</v>
      </c>
      <c r="S246">
        <f t="shared" si="24"/>
        <v>0</v>
      </c>
      <c r="T246">
        <f t="shared" si="25"/>
        <v>0</v>
      </c>
      <c r="U246">
        <f t="shared" si="26"/>
        <v>0</v>
      </c>
    </row>
    <row r="247" spans="1:21" x14ac:dyDescent="0.3">
      <c r="A247" s="4">
        <v>245</v>
      </c>
      <c r="B247" s="4">
        <v>-96587049478</v>
      </c>
      <c r="C247" s="5">
        <v>2</v>
      </c>
      <c r="D247" s="5">
        <v>4.2220000000000001E-3</v>
      </c>
      <c r="E247" s="5">
        <v>1.2238000000000001E-2</v>
      </c>
      <c r="F247" s="5">
        <v>1002866</v>
      </c>
      <c r="G247" s="5">
        <v>0</v>
      </c>
      <c r="H247" s="5">
        <v>0</v>
      </c>
      <c r="I247" s="5">
        <v>0</v>
      </c>
      <c r="J247" s="5">
        <v>0</v>
      </c>
      <c r="L247">
        <f t="shared" si="21"/>
        <v>245</v>
      </c>
      <c r="M247">
        <f>'Real Analysis'!$B$3+B247/1000000</f>
        <v>4.9505219999991823</v>
      </c>
      <c r="N247">
        <f t="shared" si="22"/>
        <v>2</v>
      </c>
      <c r="O247">
        <f>IF(ABS(D247)&gt;1,D247/1000000,D247)*'Real Analysis'!$B$4</f>
        <v>4.1417820000000001E-2</v>
      </c>
      <c r="P247">
        <f>IF(ABS(E247)&gt;1,E247/1000000,E247)*'Real Analysis'!$B$4</f>
        <v>0.12005478000000001</v>
      </c>
      <c r="Q247">
        <f>IF(ABS(F247)&gt;1,F247/1000000,F247)*'Real Analysis'!$B$4</f>
        <v>9.8381154600000009</v>
      </c>
      <c r="R247">
        <f t="shared" si="23"/>
        <v>0</v>
      </c>
      <c r="S247">
        <f t="shared" si="24"/>
        <v>0</v>
      </c>
      <c r="T247">
        <f t="shared" si="25"/>
        <v>0</v>
      </c>
      <c r="U247">
        <f t="shared" si="26"/>
        <v>0</v>
      </c>
    </row>
    <row r="248" spans="1:21" x14ac:dyDescent="0.3">
      <c r="A248" s="4">
        <v>246</v>
      </c>
      <c r="B248" s="4">
        <v>-96587030150</v>
      </c>
      <c r="C248" s="5">
        <v>2</v>
      </c>
      <c r="D248" s="5">
        <v>2.6489999999999999E-3</v>
      </c>
      <c r="E248" s="5">
        <v>1.2409E-2</v>
      </c>
      <c r="F248" s="5">
        <v>1005419</v>
      </c>
      <c r="G248" s="5">
        <v>0</v>
      </c>
      <c r="H248" s="5">
        <v>0</v>
      </c>
      <c r="I248" s="5">
        <v>0</v>
      </c>
      <c r="J248" s="5">
        <v>0</v>
      </c>
      <c r="L248">
        <f t="shared" si="21"/>
        <v>246</v>
      </c>
      <c r="M248">
        <f>'Real Analysis'!$B$3+B248/1000000</f>
        <v>4.9698499999940395</v>
      </c>
      <c r="N248">
        <f t="shared" si="22"/>
        <v>2</v>
      </c>
      <c r="O248">
        <f>IF(ABS(D248)&gt;1,D248/1000000,D248)*'Real Analysis'!$B$4</f>
        <v>2.598669E-2</v>
      </c>
      <c r="P248">
        <f>IF(ABS(E248)&gt;1,E248/1000000,E248)*'Real Analysis'!$B$4</f>
        <v>0.12173229000000001</v>
      </c>
      <c r="Q248">
        <f>IF(ABS(F248)&gt;1,F248/1000000,F248)*'Real Analysis'!$B$4</f>
        <v>9.8631603900000009</v>
      </c>
      <c r="R248">
        <f t="shared" si="23"/>
        <v>0</v>
      </c>
      <c r="S248">
        <f t="shared" si="24"/>
        <v>0</v>
      </c>
      <c r="T248">
        <f t="shared" si="25"/>
        <v>0</v>
      </c>
      <c r="U248">
        <f t="shared" si="26"/>
        <v>0</v>
      </c>
    </row>
    <row r="249" spans="1:21" x14ac:dyDescent="0.3">
      <c r="A249" s="4">
        <v>247</v>
      </c>
      <c r="B249" s="4">
        <v>-96587007407</v>
      </c>
      <c r="C249" s="5">
        <v>2</v>
      </c>
      <c r="D249" s="5">
        <v>-5.9100000000000005E-4</v>
      </c>
      <c r="E249" s="5">
        <v>1.2318000000000001E-2</v>
      </c>
      <c r="F249" s="5">
        <v>1010793</v>
      </c>
      <c r="G249" s="5">
        <v>0</v>
      </c>
      <c r="H249" s="5">
        <v>0</v>
      </c>
      <c r="I249" s="5">
        <v>0</v>
      </c>
      <c r="J249" s="5">
        <v>0</v>
      </c>
      <c r="L249">
        <f t="shared" si="21"/>
        <v>247</v>
      </c>
      <c r="M249">
        <f>'Real Analysis'!$B$3+B249/1000000</f>
        <v>4.992593000002671</v>
      </c>
      <c r="N249">
        <f t="shared" si="22"/>
        <v>2</v>
      </c>
      <c r="O249">
        <f>IF(ABS(D249)&gt;1,D249/1000000,D249)*'Real Analysis'!$B$4</f>
        <v>-5.7977100000000011E-3</v>
      </c>
      <c r="P249">
        <f>IF(ABS(E249)&gt;1,E249/1000000,E249)*'Real Analysis'!$B$4</f>
        <v>0.12083958000000002</v>
      </c>
      <c r="Q249">
        <f>IF(ABS(F249)&gt;1,F249/1000000,F249)*'Real Analysis'!$B$4</f>
        <v>9.915879330000001</v>
      </c>
      <c r="R249">
        <f t="shared" si="23"/>
        <v>0</v>
      </c>
      <c r="S249">
        <f t="shared" si="24"/>
        <v>0</v>
      </c>
      <c r="T249">
        <f t="shared" si="25"/>
        <v>0</v>
      </c>
      <c r="U249">
        <f t="shared" si="26"/>
        <v>0</v>
      </c>
    </row>
    <row r="250" spans="1:21" x14ac:dyDescent="0.3">
      <c r="A250" s="4">
        <v>248</v>
      </c>
      <c r="B250" s="4">
        <v>-96586991188</v>
      </c>
      <c r="C250" s="5">
        <v>2</v>
      </c>
      <c r="D250" s="5">
        <v>2.9559999999999999E-3</v>
      </c>
      <c r="E250" s="5">
        <v>1.2383999999999999E-2</v>
      </c>
      <c r="F250" s="5">
        <v>1010598</v>
      </c>
      <c r="G250" s="5">
        <v>0</v>
      </c>
      <c r="H250" s="5">
        <v>0</v>
      </c>
      <c r="I250" s="5">
        <v>0</v>
      </c>
      <c r="J250" s="5">
        <v>0</v>
      </c>
      <c r="L250">
        <f t="shared" si="21"/>
        <v>248</v>
      </c>
      <c r="M250">
        <f>'Real Analysis'!$B$3+B250/1000000</f>
        <v>5.0088120000000345</v>
      </c>
      <c r="N250">
        <f t="shared" si="22"/>
        <v>2</v>
      </c>
      <c r="O250">
        <f>IF(ABS(D250)&gt;1,D250/1000000,D250)*'Real Analysis'!$B$4</f>
        <v>2.8998360000000001E-2</v>
      </c>
      <c r="P250">
        <f>IF(ABS(E250)&gt;1,E250/1000000,E250)*'Real Analysis'!$B$4</f>
        <v>0.12148704</v>
      </c>
      <c r="Q250">
        <f>IF(ABS(F250)&gt;1,F250/1000000,F250)*'Real Analysis'!$B$4</f>
        <v>9.9139663800000015</v>
      </c>
      <c r="R250">
        <f t="shared" si="23"/>
        <v>0</v>
      </c>
      <c r="S250">
        <f t="shared" si="24"/>
        <v>0</v>
      </c>
      <c r="T250">
        <f t="shared" si="25"/>
        <v>0</v>
      </c>
      <c r="U250">
        <f t="shared" si="26"/>
        <v>0</v>
      </c>
    </row>
    <row r="251" spans="1:21" x14ac:dyDescent="0.3">
      <c r="A251" s="4">
        <v>249</v>
      </c>
      <c r="B251" s="4">
        <v>-96586968390</v>
      </c>
      <c r="C251" s="5">
        <v>2</v>
      </c>
      <c r="D251" s="5">
        <v>-2.7780000000000001E-3</v>
      </c>
      <c r="E251" s="5">
        <v>1.2300999999999999E-2</v>
      </c>
      <c r="F251" s="5">
        <v>1003327</v>
      </c>
      <c r="G251" s="5">
        <v>0</v>
      </c>
      <c r="H251" s="5">
        <v>0</v>
      </c>
      <c r="I251" s="5">
        <v>0</v>
      </c>
      <c r="J251" s="5">
        <v>0</v>
      </c>
      <c r="L251">
        <f t="shared" si="21"/>
        <v>249</v>
      </c>
      <c r="M251">
        <f>'Real Analysis'!$B$3+B251/1000000</f>
        <v>5.0316100000054576</v>
      </c>
      <c r="N251">
        <f t="shared" si="22"/>
        <v>2</v>
      </c>
      <c r="O251">
        <f>IF(ABS(D251)&gt;1,D251/1000000,D251)*'Real Analysis'!$B$4</f>
        <v>-2.7252180000000001E-2</v>
      </c>
      <c r="P251">
        <f>IF(ABS(E251)&gt;1,E251/1000000,E251)*'Real Analysis'!$B$4</f>
        <v>0.12067281000000001</v>
      </c>
      <c r="Q251">
        <f>IF(ABS(F251)&gt;1,F251/1000000,F251)*'Real Analysis'!$B$4</f>
        <v>9.8426378700000008</v>
      </c>
      <c r="R251">
        <f t="shared" si="23"/>
        <v>0</v>
      </c>
      <c r="S251">
        <f t="shared" si="24"/>
        <v>0</v>
      </c>
      <c r="T251">
        <f t="shared" si="25"/>
        <v>0</v>
      </c>
      <c r="U251">
        <f t="shared" si="26"/>
        <v>0</v>
      </c>
    </row>
    <row r="252" spans="1:21" x14ac:dyDescent="0.3">
      <c r="A252" s="4">
        <v>250</v>
      </c>
      <c r="B252" s="4">
        <v>-96586950003</v>
      </c>
      <c r="C252" s="5">
        <v>2</v>
      </c>
      <c r="D252" s="5">
        <v>-1.9E-3</v>
      </c>
      <c r="E252" s="5">
        <v>1.2322E-2</v>
      </c>
      <c r="F252" s="5">
        <v>1004562</v>
      </c>
      <c r="G252" s="5">
        <v>0</v>
      </c>
      <c r="H252" s="5">
        <v>0</v>
      </c>
      <c r="I252" s="5">
        <v>0</v>
      </c>
      <c r="J252" s="5">
        <v>0</v>
      </c>
      <c r="L252">
        <f t="shared" si="21"/>
        <v>250</v>
      </c>
      <c r="M252">
        <f>'Real Analysis'!$B$3+B252/1000000</f>
        <v>5.0499969999946188</v>
      </c>
      <c r="N252">
        <f t="shared" si="22"/>
        <v>2</v>
      </c>
      <c r="O252">
        <f>IF(ABS(D252)&gt;1,D252/1000000,D252)*'Real Analysis'!$B$4</f>
        <v>-1.8638999999999999E-2</v>
      </c>
      <c r="P252">
        <f>IF(ABS(E252)&gt;1,E252/1000000,E252)*'Real Analysis'!$B$4</f>
        <v>0.12087882</v>
      </c>
      <c r="Q252">
        <f>IF(ABS(F252)&gt;1,F252/1000000,F252)*'Real Analysis'!$B$4</f>
        <v>9.8547532199999992</v>
      </c>
      <c r="R252">
        <f t="shared" si="23"/>
        <v>0</v>
      </c>
      <c r="S252">
        <f t="shared" si="24"/>
        <v>0</v>
      </c>
      <c r="T252">
        <f t="shared" si="25"/>
        <v>0</v>
      </c>
      <c r="U252">
        <f t="shared" si="26"/>
        <v>0</v>
      </c>
    </row>
    <row r="253" spans="1:21" x14ac:dyDescent="0.3">
      <c r="A253" s="4">
        <v>251</v>
      </c>
      <c r="B253" s="4">
        <v>-96586930687</v>
      </c>
      <c r="C253" s="5">
        <v>2</v>
      </c>
      <c r="D253" s="5">
        <v>2.7759999999999998E-3</v>
      </c>
      <c r="E253" s="5">
        <v>1.2298999999999999E-2</v>
      </c>
      <c r="F253" s="5">
        <v>1004673</v>
      </c>
      <c r="G253" s="5">
        <v>0</v>
      </c>
      <c r="H253" s="5">
        <v>0</v>
      </c>
      <c r="I253" s="5">
        <v>0</v>
      </c>
      <c r="J253" s="5">
        <v>0</v>
      </c>
      <c r="L253">
        <f t="shared" si="21"/>
        <v>251</v>
      </c>
      <c r="M253">
        <f>'Real Analysis'!$B$3+B253/1000000</f>
        <v>5.0693129999999655</v>
      </c>
      <c r="N253">
        <f t="shared" si="22"/>
        <v>2</v>
      </c>
      <c r="O253">
        <f>IF(ABS(D253)&gt;1,D253/1000000,D253)*'Real Analysis'!$B$4</f>
        <v>2.7232559999999999E-2</v>
      </c>
      <c r="P253">
        <f>IF(ABS(E253)&gt;1,E253/1000000,E253)*'Real Analysis'!$B$4</f>
        <v>0.12065318999999999</v>
      </c>
      <c r="Q253">
        <f>IF(ABS(F253)&gt;1,F253/1000000,F253)*'Real Analysis'!$B$4</f>
        <v>9.8558421299999992</v>
      </c>
      <c r="R253">
        <f t="shared" si="23"/>
        <v>0</v>
      </c>
      <c r="S253">
        <f t="shared" si="24"/>
        <v>0</v>
      </c>
      <c r="T253">
        <f t="shared" si="25"/>
        <v>0</v>
      </c>
      <c r="U253">
        <f t="shared" si="26"/>
        <v>0</v>
      </c>
    </row>
    <row r="254" spans="1:21" x14ac:dyDescent="0.3">
      <c r="A254" s="4">
        <v>252</v>
      </c>
      <c r="B254" s="4">
        <v>-96586910677</v>
      </c>
      <c r="C254" s="5">
        <v>2</v>
      </c>
      <c r="D254" s="5">
        <v>2.2160000000000001E-3</v>
      </c>
      <c r="E254" s="5">
        <v>1.2338999999999999E-2</v>
      </c>
      <c r="F254" s="5">
        <v>1004743</v>
      </c>
      <c r="G254" s="5">
        <v>0</v>
      </c>
      <c r="H254" s="5">
        <v>0</v>
      </c>
      <c r="I254" s="5">
        <v>0</v>
      </c>
      <c r="J254" s="5">
        <v>0</v>
      </c>
      <c r="L254">
        <f t="shared" si="21"/>
        <v>252</v>
      </c>
      <c r="M254">
        <f>'Real Analysis'!$B$3+B254/1000000</f>
        <v>5.0893229999928735</v>
      </c>
      <c r="N254">
        <f t="shared" si="22"/>
        <v>2</v>
      </c>
      <c r="O254">
        <f>IF(ABS(D254)&gt;1,D254/1000000,D254)*'Real Analysis'!$B$4</f>
        <v>2.1738960000000002E-2</v>
      </c>
      <c r="P254">
        <f>IF(ABS(E254)&gt;1,E254/1000000,E254)*'Real Analysis'!$B$4</f>
        <v>0.12104558999999999</v>
      </c>
      <c r="Q254">
        <f>IF(ABS(F254)&gt;1,F254/1000000,F254)*'Real Analysis'!$B$4</f>
        <v>9.8565288300000002</v>
      </c>
      <c r="R254">
        <f t="shared" si="23"/>
        <v>0</v>
      </c>
      <c r="S254">
        <f t="shared" si="24"/>
        <v>0</v>
      </c>
      <c r="T254">
        <f t="shared" si="25"/>
        <v>0</v>
      </c>
      <c r="U254">
        <f t="shared" si="26"/>
        <v>0</v>
      </c>
    </row>
    <row r="255" spans="1:21" x14ac:dyDescent="0.3">
      <c r="A255" s="4">
        <v>253</v>
      </c>
      <c r="B255" s="4">
        <v>-96586894298</v>
      </c>
      <c r="C255" s="5">
        <v>2</v>
      </c>
      <c r="D255" s="5">
        <v>-1.6570000000000001E-3</v>
      </c>
      <c r="E255" s="5">
        <v>1.2425E-2</v>
      </c>
      <c r="F255" s="5">
        <v>1004530</v>
      </c>
      <c r="G255" s="5">
        <v>0</v>
      </c>
      <c r="H255" s="5">
        <v>0</v>
      </c>
      <c r="I255" s="5">
        <v>0</v>
      </c>
      <c r="J255" s="5">
        <v>0</v>
      </c>
      <c r="L255">
        <f t="shared" si="21"/>
        <v>253</v>
      </c>
      <c r="M255">
        <f>'Real Analysis'!$B$3+B255/1000000</f>
        <v>5.1057020000007469</v>
      </c>
      <c r="N255">
        <f t="shared" si="22"/>
        <v>2</v>
      </c>
      <c r="O255">
        <f>IF(ABS(D255)&gt;1,D255/1000000,D255)*'Real Analysis'!$B$4</f>
        <v>-1.6255170000000003E-2</v>
      </c>
      <c r="P255">
        <f>IF(ABS(E255)&gt;1,E255/1000000,E255)*'Real Analysis'!$B$4</f>
        <v>0.12188925</v>
      </c>
      <c r="Q255">
        <f>IF(ABS(F255)&gt;1,F255/1000000,F255)*'Real Analysis'!$B$4</f>
        <v>9.8544392999999992</v>
      </c>
      <c r="R255">
        <f t="shared" si="23"/>
        <v>0</v>
      </c>
      <c r="S255">
        <f t="shared" si="24"/>
        <v>0</v>
      </c>
      <c r="T255">
        <f t="shared" si="25"/>
        <v>0</v>
      </c>
      <c r="U255">
        <f t="shared" si="26"/>
        <v>0</v>
      </c>
    </row>
    <row r="256" spans="1:21" x14ac:dyDescent="0.3">
      <c r="A256" s="4">
        <v>254</v>
      </c>
      <c r="B256" s="4">
        <v>-96586869675</v>
      </c>
      <c r="C256" s="5">
        <v>2</v>
      </c>
      <c r="D256" s="5">
        <v>-6.0819999999999997E-3</v>
      </c>
      <c r="E256" s="5">
        <v>1.2259000000000001E-2</v>
      </c>
      <c r="F256" s="5">
        <v>1004387</v>
      </c>
      <c r="G256" s="5">
        <v>0</v>
      </c>
      <c r="H256" s="5">
        <v>0</v>
      </c>
      <c r="I256" s="5">
        <v>0</v>
      </c>
      <c r="J256" s="5">
        <v>0</v>
      </c>
      <c r="L256">
        <f t="shared" si="21"/>
        <v>254</v>
      </c>
      <c r="M256">
        <f>'Real Analysis'!$B$3+B256/1000000</f>
        <v>5.1303250000055414</v>
      </c>
      <c r="N256">
        <f t="shared" si="22"/>
        <v>2</v>
      </c>
      <c r="O256">
        <f>IF(ABS(D256)&gt;1,D256/1000000,D256)*'Real Analysis'!$B$4</f>
        <v>-5.9664420000000003E-2</v>
      </c>
      <c r="P256">
        <f>IF(ABS(E256)&gt;1,E256/1000000,E256)*'Real Analysis'!$B$4</f>
        <v>0.12026079000000002</v>
      </c>
      <c r="Q256">
        <f>IF(ABS(F256)&gt;1,F256/1000000,F256)*'Real Analysis'!$B$4</f>
        <v>9.8530364699999993</v>
      </c>
      <c r="R256">
        <f t="shared" si="23"/>
        <v>0</v>
      </c>
      <c r="S256">
        <f t="shared" si="24"/>
        <v>0</v>
      </c>
      <c r="T256">
        <f t="shared" si="25"/>
        <v>0</v>
      </c>
      <c r="U256">
        <f t="shared" si="26"/>
        <v>0</v>
      </c>
    </row>
    <row r="257" spans="1:21" x14ac:dyDescent="0.3">
      <c r="A257" s="4">
        <v>255</v>
      </c>
      <c r="B257" s="4">
        <v>-96586847759</v>
      </c>
      <c r="C257" s="5">
        <v>2</v>
      </c>
      <c r="D257" s="5">
        <v>-5.241E-3</v>
      </c>
      <c r="E257" s="5">
        <v>1.2245000000000001E-2</v>
      </c>
      <c r="F257" s="5">
        <v>1004435</v>
      </c>
      <c r="G257" s="5">
        <v>0</v>
      </c>
      <c r="H257" s="5">
        <v>0</v>
      </c>
      <c r="I257" s="5">
        <v>0</v>
      </c>
      <c r="J257" s="5">
        <v>0</v>
      </c>
      <c r="L257">
        <f t="shared" si="21"/>
        <v>255</v>
      </c>
      <c r="M257">
        <f>'Real Analysis'!$B$3+B257/1000000</f>
        <v>5.1522410000034142</v>
      </c>
      <c r="N257">
        <f t="shared" si="22"/>
        <v>2</v>
      </c>
      <c r="O257">
        <f>IF(ABS(D257)&gt;1,D257/1000000,D257)*'Real Analysis'!$B$4</f>
        <v>-5.1414210000000002E-2</v>
      </c>
      <c r="P257">
        <f>IF(ABS(E257)&gt;1,E257/1000000,E257)*'Real Analysis'!$B$4</f>
        <v>0.12012345000000001</v>
      </c>
      <c r="Q257">
        <f>IF(ABS(F257)&gt;1,F257/1000000,F257)*'Real Analysis'!$B$4</f>
        <v>9.853507350000001</v>
      </c>
      <c r="R257">
        <f t="shared" si="23"/>
        <v>0</v>
      </c>
      <c r="S257">
        <f t="shared" si="24"/>
        <v>0</v>
      </c>
      <c r="T257">
        <f t="shared" si="25"/>
        <v>0</v>
      </c>
      <c r="U257">
        <f t="shared" si="26"/>
        <v>0</v>
      </c>
    </row>
    <row r="258" spans="1:21" x14ac:dyDescent="0.3">
      <c r="A258" s="4">
        <v>256</v>
      </c>
      <c r="B258" s="4">
        <v>-96586829472</v>
      </c>
      <c r="C258" s="5">
        <v>2</v>
      </c>
      <c r="D258" s="5">
        <v>-4.6880000000000003E-3</v>
      </c>
      <c r="E258" s="5">
        <v>1.2352999999999999E-2</v>
      </c>
      <c r="F258" s="5">
        <v>1006128</v>
      </c>
      <c r="G258" s="5">
        <v>0</v>
      </c>
      <c r="H258" s="5">
        <v>0</v>
      </c>
      <c r="I258" s="5">
        <v>0</v>
      </c>
      <c r="J258" s="5">
        <v>0</v>
      </c>
      <c r="L258">
        <f t="shared" si="21"/>
        <v>256</v>
      </c>
      <c r="M258">
        <f>'Real Analysis'!$B$3+B258/1000000</f>
        <v>5.1705280000023777</v>
      </c>
      <c r="N258">
        <f t="shared" si="22"/>
        <v>2</v>
      </c>
      <c r="O258">
        <f>IF(ABS(D258)&gt;1,D258/1000000,D258)*'Real Analysis'!$B$4</f>
        <v>-4.5989280000000007E-2</v>
      </c>
      <c r="P258">
        <f>IF(ABS(E258)&gt;1,E258/1000000,E258)*'Real Analysis'!$B$4</f>
        <v>0.12118292999999999</v>
      </c>
      <c r="Q258">
        <f>IF(ABS(F258)&gt;1,F258/1000000,F258)*'Real Analysis'!$B$4</f>
        <v>9.8701156799999996</v>
      </c>
      <c r="R258">
        <f t="shared" si="23"/>
        <v>0</v>
      </c>
      <c r="S258">
        <f t="shared" si="24"/>
        <v>0</v>
      </c>
      <c r="T258">
        <f t="shared" si="25"/>
        <v>0</v>
      </c>
      <c r="U258">
        <f t="shared" si="26"/>
        <v>0</v>
      </c>
    </row>
    <row r="259" spans="1:21" x14ac:dyDescent="0.3">
      <c r="A259" s="4">
        <v>257</v>
      </c>
      <c r="B259" s="4">
        <v>-96586809574</v>
      </c>
      <c r="C259" s="5">
        <v>2</v>
      </c>
      <c r="D259" s="5">
        <v>-5.228E-3</v>
      </c>
      <c r="E259" s="5">
        <v>1.2442999999999999E-2</v>
      </c>
      <c r="F259" s="5">
        <v>1013801</v>
      </c>
      <c r="G259" s="5">
        <v>0</v>
      </c>
      <c r="H259" s="5">
        <v>0</v>
      </c>
      <c r="I259" s="5">
        <v>0</v>
      </c>
      <c r="J259" s="5">
        <v>0</v>
      </c>
      <c r="L259">
        <f t="shared" ref="L259:L322" si="27">A259</f>
        <v>257</v>
      </c>
      <c r="M259">
        <f>'Real Analysis'!$B$3+B259/1000000</f>
        <v>5.1904260000010254</v>
      </c>
      <c r="N259">
        <f t="shared" ref="N259:N322" si="28">C259</f>
        <v>2</v>
      </c>
      <c r="O259">
        <f>IF(ABS(D259)&gt;1,D259/1000000,D259)*'Real Analysis'!$B$4</f>
        <v>-5.1286680000000001E-2</v>
      </c>
      <c r="P259">
        <f>IF(ABS(E259)&gt;1,E259/1000000,E259)*'Real Analysis'!$B$4</f>
        <v>0.12206583</v>
      </c>
      <c r="Q259">
        <f>IF(ABS(F259)&gt;1,F259/1000000,F259)*'Real Analysis'!$B$4</f>
        <v>9.9453878099999997</v>
      </c>
      <c r="R259">
        <f t="shared" ref="R259:R322" si="29">IF(ABS(G259)&gt;1,G259/1000000,G259)</f>
        <v>0</v>
      </c>
      <c r="S259">
        <f t="shared" ref="S259:S322" si="30">IF(ABS(H259)&gt;1,H259/1000000,H259)</f>
        <v>0</v>
      </c>
      <c r="T259">
        <f t="shared" ref="T259:T322" si="31">IF(ABS(I259)&gt;1,I259/1000000,I259)</f>
        <v>0</v>
      </c>
      <c r="U259">
        <f t="shared" si="26"/>
        <v>0</v>
      </c>
    </row>
    <row r="260" spans="1:21" x14ac:dyDescent="0.3">
      <c r="A260" s="4">
        <v>258</v>
      </c>
      <c r="B260" s="4">
        <v>-96586787941</v>
      </c>
      <c r="C260" s="5">
        <v>2</v>
      </c>
      <c r="D260" s="5">
        <v>-4.9500000000000004E-3</v>
      </c>
      <c r="E260" s="5">
        <v>1.2307999999999999E-2</v>
      </c>
      <c r="F260" s="5">
        <v>1003376</v>
      </c>
      <c r="G260" s="5">
        <v>0</v>
      </c>
      <c r="H260" s="5">
        <v>0</v>
      </c>
      <c r="I260" s="5">
        <v>0</v>
      </c>
      <c r="J260" s="5">
        <v>0</v>
      </c>
      <c r="L260">
        <f t="shared" si="27"/>
        <v>258</v>
      </c>
      <c r="M260">
        <f>'Real Analysis'!$B$3+B260/1000000</f>
        <v>5.2120589999976801</v>
      </c>
      <c r="N260">
        <f t="shared" si="28"/>
        <v>2</v>
      </c>
      <c r="O260">
        <f>IF(ABS(D260)&gt;1,D260/1000000,D260)*'Real Analysis'!$B$4</f>
        <v>-4.8559500000000005E-2</v>
      </c>
      <c r="P260">
        <f>IF(ABS(E260)&gt;1,E260/1000000,E260)*'Real Analysis'!$B$4</f>
        <v>0.12074148</v>
      </c>
      <c r="Q260">
        <f>IF(ABS(F260)&gt;1,F260/1000000,F260)*'Real Analysis'!$B$4</f>
        <v>9.8431185600000006</v>
      </c>
      <c r="R260">
        <f t="shared" si="29"/>
        <v>0</v>
      </c>
      <c r="S260">
        <f t="shared" si="30"/>
        <v>0</v>
      </c>
      <c r="T260">
        <f t="shared" si="31"/>
        <v>0</v>
      </c>
      <c r="U260">
        <f t="shared" si="26"/>
        <v>0</v>
      </c>
    </row>
    <row r="261" spans="1:21" x14ac:dyDescent="0.3">
      <c r="A261" s="4">
        <v>259</v>
      </c>
      <c r="B261" s="4">
        <v>-96586767905</v>
      </c>
      <c r="C261" s="5">
        <v>2</v>
      </c>
      <c r="D261" s="5">
        <v>-5.0210000000000003E-3</v>
      </c>
      <c r="E261" s="5">
        <v>1.2321E-2</v>
      </c>
      <c r="F261" s="5">
        <v>1004372</v>
      </c>
      <c r="G261" s="5">
        <v>0</v>
      </c>
      <c r="H261" s="5">
        <v>0</v>
      </c>
      <c r="I261" s="5">
        <v>0</v>
      </c>
      <c r="J261" s="5">
        <v>0</v>
      </c>
      <c r="L261">
        <f t="shared" si="27"/>
        <v>259</v>
      </c>
      <c r="M261">
        <f>'Real Analysis'!$B$3+B261/1000000</f>
        <v>5.23209499999939</v>
      </c>
      <c r="N261">
        <f t="shared" si="28"/>
        <v>2</v>
      </c>
      <c r="O261">
        <f>IF(ABS(D261)&gt;1,D261/1000000,D261)*'Real Analysis'!$B$4</f>
        <v>-4.9256010000000003E-2</v>
      </c>
      <c r="P261">
        <f>IF(ABS(E261)&gt;1,E261/1000000,E261)*'Real Analysis'!$B$4</f>
        <v>0.12086901000000001</v>
      </c>
      <c r="Q261">
        <f>IF(ABS(F261)&gt;1,F261/1000000,F261)*'Real Analysis'!$B$4</f>
        <v>9.852889320000001</v>
      </c>
      <c r="R261">
        <f t="shared" si="29"/>
        <v>0</v>
      </c>
      <c r="S261">
        <f t="shared" si="30"/>
        <v>0</v>
      </c>
      <c r="T261">
        <f t="shared" si="31"/>
        <v>0</v>
      </c>
      <c r="U261">
        <f t="shared" si="26"/>
        <v>0</v>
      </c>
    </row>
    <row r="262" spans="1:21" x14ac:dyDescent="0.3">
      <c r="A262" s="4">
        <v>260</v>
      </c>
      <c r="B262" s="4">
        <v>-96586758553</v>
      </c>
      <c r="C262" s="5">
        <v>2</v>
      </c>
      <c r="D262" s="5">
        <v>-4.9589999999999999E-3</v>
      </c>
      <c r="E262" s="5">
        <v>1.2318000000000001E-2</v>
      </c>
      <c r="F262" s="5">
        <v>1003841</v>
      </c>
      <c r="G262" s="5">
        <v>0</v>
      </c>
      <c r="H262" s="5">
        <v>0</v>
      </c>
      <c r="I262" s="5">
        <v>0</v>
      </c>
      <c r="J262" s="5">
        <v>0</v>
      </c>
      <c r="L262">
        <f t="shared" si="27"/>
        <v>260</v>
      </c>
      <c r="M262">
        <f>'Real Analysis'!$B$3+B262/1000000</f>
        <v>5.2414469999930589</v>
      </c>
      <c r="N262">
        <f t="shared" si="28"/>
        <v>2</v>
      </c>
      <c r="O262">
        <f>IF(ABS(D262)&gt;1,D262/1000000,D262)*'Real Analysis'!$B$4</f>
        <v>-4.8647790000000003E-2</v>
      </c>
      <c r="P262">
        <f>IF(ABS(E262)&gt;1,E262/1000000,E262)*'Real Analysis'!$B$4</f>
        <v>0.12083958000000002</v>
      </c>
      <c r="Q262">
        <f>IF(ABS(F262)&gt;1,F262/1000000,F262)*'Real Analysis'!$B$4</f>
        <v>9.84768021</v>
      </c>
      <c r="R262">
        <f t="shared" si="29"/>
        <v>0</v>
      </c>
      <c r="S262">
        <f t="shared" si="30"/>
        <v>0</v>
      </c>
      <c r="T262">
        <f t="shared" si="31"/>
        <v>0</v>
      </c>
      <c r="U262">
        <f t="shared" si="26"/>
        <v>0</v>
      </c>
    </row>
    <row r="263" spans="1:21" x14ac:dyDescent="0.3">
      <c r="A263" s="4">
        <v>261</v>
      </c>
      <c r="B263" s="4">
        <v>-96586734859</v>
      </c>
      <c r="C263" s="5">
        <v>2</v>
      </c>
      <c r="D263" s="5">
        <v>-4.8989999999999997E-3</v>
      </c>
      <c r="E263" s="5">
        <v>1.2274999999999999E-2</v>
      </c>
      <c r="F263" s="5">
        <v>1004285</v>
      </c>
      <c r="G263" s="5">
        <v>0</v>
      </c>
      <c r="H263" s="5">
        <v>0</v>
      </c>
      <c r="I263" s="5">
        <v>0</v>
      </c>
      <c r="J263" s="5">
        <v>0</v>
      </c>
      <c r="L263">
        <f t="shared" si="27"/>
        <v>261</v>
      </c>
      <c r="M263">
        <f>'Real Analysis'!$B$3+B263/1000000</f>
        <v>5.2651409999962198</v>
      </c>
      <c r="N263">
        <f t="shared" si="28"/>
        <v>2</v>
      </c>
      <c r="O263">
        <f>IF(ABS(D263)&gt;1,D263/1000000,D263)*'Real Analysis'!$B$4</f>
        <v>-4.8059190000000002E-2</v>
      </c>
      <c r="P263">
        <f>IF(ABS(E263)&gt;1,E263/1000000,E263)*'Real Analysis'!$B$4</f>
        <v>0.12041775</v>
      </c>
      <c r="Q263">
        <f>IF(ABS(F263)&gt;1,F263/1000000,F263)*'Real Analysis'!$B$4</f>
        <v>9.8520358500000018</v>
      </c>
      <c r="R263">
        <f t="shared" si="29"/>
        <v>0</v>
      </c>
      <c r="S263">
        <f t="shared" si="30"/>
        <v>0</v>
      </c>
      <c r="T263">
        <f t="shared" si="31"/>
        <v>0</v>
      </c>
      <c r="U263">
        <f t="shared" si="26"/>
        <v>0</v>
      </c>
    </row>
    <row r="264" spans="1:21" x14ac:dyDescent="0.3">
      <c r="A264" s="4">
        <v>262</v>
      </c>
      <c r="B264" s="4">
        <v>-96586708460</v>
      </c>
      <c r="C264" s="5">
        <v>2</v>
      </c>
      <c r="D264" s="5">
        <v>-6.4840000000000002E-3</v>
      </c>
      <c r="E264" s="5">
        <v>1.2357E-2</v>
      </c>
      <c r="F264" s="5">
        <v>1004339</v>
      </c>
      <c r="G264" s="5">
        <v>0</v>
      </c>
      <c r="H264" s="5">
        <v>0</v>
      </c>
      <c r="I264" s="5">
        <v>0</v>
      </c>
      <c r="J264" s="5">
        <v>0</v>
      </c>
      <c r="L264">
        <f t="shared" si="27"/>
        <v>262</v>
      </c>
      <c r="M264">
        <f>'Real Analysis'!$B$3+B264/1000000</f>
        <v>5.2915400000056252</v>
      </c>
      <c r="N264">
        <f t="shared" si="28"/>
        <v>2</v>
      </c>
      <c r="O264">
        <f>IF(ABS(D264)&gt;1,D264/1000000,D264)*'Real Analysis'!$B$4</f>
        <v>-6.3608040000000005E-2</v>
      </c>
      <c r="P264">
        <f>IF(ABS(E264)&gt;1,E264/1000000,E264)*'Real Analysis'!$B$4</f>
        <v>0.12122217</v>
      </c>
      <c r="Q264">
        <f>IF(ABS(F264)&gt;1,F264/1000000,F264)*'Real Analysis'!$B$4</f>
        <v>9.8525655900000011</v>
      </c>
      <c r="R264">
        <f t="shared" si="29"/>
        <v>0</v>
      </c>
      <c r="S264">
        <f t="shared" si="30"/>
        <v>0</v>
      </c>
      <c r="T264">
        <f t="shared" si="31"/>
        <v>0</v>
      </c>
      <c r="U264">
        <f t="shared" si="26"/>
        <v>0</v>
      </c>
    </row>
    <row r="265" spans="1:21" x14ac:dyDescent="0.3">
      <c r="A265" s="4">
        <v>263</v>
      </c>
      <c r="B265" s="4">
        <v>-96586688573</v>
      </c>
      <c r="C265" s="5">
        <v>2</v>
      </c>
      <c r="D265" s="5">
        <v>-1.4023000000000001E-2</v>
      </c>
      <c r="E265" s="5">
        <v>1.2201999999999999E-2</v>
      </c>
      <c r="F265" s="5">
        <v>1000560</v>
      </c>
      <c r="G265" s="5">
        <v>0</v>
      </c>
      <c r="H265" s="5">
        <v>0</v>
      </c>
      <c r="I265" s="5">
        <v>0</v>
      </c>
      <c r="J265" s="5">
        <v>0</v>
      </c>
      <c r="L265">
        <f t="shared" si="27"/>
        <v>263</v>
      </c>
      <c r="M265">
        <f>'Real Analysis'!$B$3+B265/1000000</f>
        <v>5.3114269999932731</v>
      </c>
      <c r="N265">
        <f t="shared" si="28"/>
        <v>2</v>
      </c>
      <c r="O265">
        <f>IF(ABS(D265)&gt;1,D265/1000000,D265)*'Real Analysis'!$B$4</f>
        <v>-0.13756563000000002</v>
      </c>
      <c r="P265">
        <f>IF(ABS(E265)&gt;1,E265/1000000,E265)*'Real Analysis'!$B$4</f>
        <v>0.11970161999999999</v>
      </c>
      <c r="Q265">
        <f>IF(ABS(F265)&gt;1,F265/1000000,F265)*'Real Analysis'!$B$4</f>
        <v>9.8154935999999999</v>
      </c>
      <c r="R265">
        <f t="shared" si="29"/>
        <v>0</v>
      </c>
      <c r="S265">
        <f t="shared" si="30"/>
        <v>0</v>
      </c>
      <c r="T265">
        <f t="shared" si="31"/>
        <v>0</v>
      </c>
      <c r="U265">
        <f t="shared" si="26"/>
        <v>0</v>
      </c>
    </row>
    <row r="266" spans="1:21" x14ac:dyDescent="0.3">
      <c r="A266" s="4">
        <v>264</v>
      </c>
      <c r="B266" s="4">
        <v>-96586674146</v>
      </c>
      <c r="C266" s="5">
        <v>2</v>
      </c>
      <c r="D266" s="5">
        <v>-9.3550000000000005E-3</v>
      </c>
      <c r="E266" s="5">
        <v>1.2185E-2</v>
      </c>
      <c r="F266" s="5">
        <v>1004976</v>
      </c>
      <c r="G266" s="5">
        <v>0</v>
      </c>
      <c r="H266" s="5">
        <v>0</v>
      </c>
      <c r="I266" s="5">
        <v>0</v>
      </c>
      <c r="J266" s="5">
        <v>0</v>
      </c>
      <c r="L266">
        <f t="shared" si="27"/>
        <v>264</v>
      </c>
      <c r="M266">
        <f>'Real Analysis'!$B$3+B266/1000000</f>
        <v>5.3258539999951608</v>
      </c>
      <c r="N266">
        <f t="shared" si="28"/>
        <v>2</v>
      </c>
      <c r="O266">
        <f>IF(ABS(D266)&gt;1,D266/1000000,D266)*'Real Analysis'!$B$4</f>
        <v>-9.1772550000000008E-2</v>
      </c>
      <c r="P266">
        <f>IF(ABS(E266)&gt;1,E266/1000000,E266)*'Real Analysis'!$B$4</f>
        <v>0.11953485</v>
      </c>
      <c r="Q266">
        <f>IF(ABS(F266)&gt;1,F266/1000000,F266)*'Real Analysis'!$B$4</f>
        <v>9.8588145600000008</v>
      </c>
      <c r="R266">
        <f t="shared" si="29"/>
        <v>0</v>
      </c>
      <c r="S266">
        <f t="shared" si="30"/>
        <v>0</v>
      </c>
      <c r="T266">
        <f t="shared" si="31"/>
        <v>0</v>
      </c>
      <c r="U266">
        <f t="shared" si="26"/>
        <v>0</v>
      </c>
    </row>
    <row r="267" spans="1:21" x14ac:dyDescent="0.3">
      <c r="A267" s="4">
        <v>265</v>
      </c>
      <c r="B267" s="4">
        <v>-96586649268</v>
      </c>
      <c r="C267" s="5">
        <v>2</v>
      </c>
      <c r="D267" s="5">
        <v>-5.7279999999999996E-3</v>
      </c>
      <c r="E267" s="5">
        <v>1.2276E-2</v>
      </c>
      <c r="F267" s="5">
        <v>1004793</v>
      </c>
      <c r="G267" s="5">
        <v>0</v>
      </c>
      <c r="H267" s="5">
        <v>0</v>
      </c>
      <c r="I267" s="5">
        <v>0</v>
      </c>
      <c r="J267" s="5">
        <v>0</v>
      </c>
      <c r="L267">
        <f t="shared" si="27"/>
        <v>265</v>
      </c>
      <c r="M267">
        <f>'Real Analysis'!$B$3+B267/1000000</f>
        <v>5.3507320000062464</v>
      </c>
      <c r="N267">
        <f t="shared" si="28"/>
        <v>2</v>
      </c>
      <c r="O267">
        <f>IF(ABS(D267)&gt;1,D267/1000000,D267)*'Real Analysis'!$B$4</f>
        <v>-5.6191680000000001E-2</v>
      </c>
      <c r="P267">
        <f>IF(ABS(E267)&gt;1,E267/1000000,E267)*'Real Analysis'!$B$4</f>
        <v>0.12042756000000002</v>
      </c>
      <c r="Q267">
        <f>IF(ABS(F267)&gt;1,F267/1000000,F267)*'Real Analysis'!$B$4</f>
        <v>9.8570193300000017</v>
      </c>
      <c r="R267">
        <f t="shared" si="29"/>
        <v>0</v>
      </c>
      <c r="S267">
        <f t="shared" si="30"/>
        <v>0</v>
      </c>
      <c r="T267">
        <f t="shared" si="31"/>
        <v>0</v>
      </c>
      <c r="U267">
        <f t="shared" ref="U267:U330" si="32">J267/1000</f>
        <v>0</v>
      </c>
    </row>
    <row r="268" spans="1:21" x14ac:dyDescent="0.3">
      <c r="A268" s="4">
        <v>266</v>
      </c>
      <c r="B268" s="4">
        <v>-96586628787</v>
      </c>
      <c r="C268" s="5">
        <v>2</v>
      </c>
      <c r="D268" s="5">
        <v>-4.8180000000000002E-3</v>
      </c>
      <c r="E268" s="5">
        <v>5.4460000000000003E-3</v>
      </c>
      <c r="F268" s="5">
        <v>1004178</v>
      </c>
      <c r="G268" s="5">
        <v>0</v>
      </c>
      <c r="H268" s="5">
        <v>0</v>
      </c>
      <c r="I268" s="5">
        <v>0</v>
      </c>
      <c r="J268" s="5">
        <v>0</v>
      </c>
      <c r="L268">
        <f t="shared" si="27"/>
        <v>266</v>
      </c>
      <c r="M268">
        <f>'Real Analysis'!$B$3+B268/1000000</f>
        <v>5.3712130000058096</v>
      </c>
      <c r="N268">
        <f t="shared" si="28"/>
        <v>2</v>
      </c>
      <c r="O268">
        <f>IF(ABS(D268)&gt;1,D268/1000000,D268)*'Real Analysis'!$B$4</f>
        <v>-4.7264580000000007E-2</v>
      </c>
      <c r="P268">
        <f>IF(ABS(E268)&gt;1,E268/1000000,E268)*'Real Analysis'!$B$4</f>
        <v>5.3425260000000009E-2</v>
      </c>
      <c r="Q268">
        <f>IF(ABS(F268)&gt;1,F268/1000000,F268)*'Real Analysis'!$B$4</f>
        <v>9.8509861800000014</v>
      </c>
      <c r="R268">
        <f t="shared" si="29"/>
        <v>0</v>
      </c>
      <c r="S268">
        <f t="shared" si="30"/>
        <v>0</v>
      </c>
      <c r="T268">
        <f t="shared" si="31"/>
        <v>0</v>
      </c>
      <c r="U268">
        <f t="shared" si="32"/>
        <v>0</v>
      </c>
    </row>
    <row r="269" spans="1:21" x14ac:dyDescent="0.3">
      <c r="A269" s="4">
        <v>267</v>
      </c>
      <c r="B269" s="4">
        <v>-96586611609</v>
      </c>
      <c r="C269" s="5">
        <v>2</v>
      </c>
      <c r="D269" s="5">
        <v>-8.5310000000000004E-3</v>
      </c>
      <c r="E269" s="5">
        <v>3.9150000000000001E-3</v>
      </c>
      <c r="F269" s="5">
        <v>1004260</v>
      </c>
      <c r="G269" s="5">
        <v>0</v>
      </c>
      <c r="H269" s="5">
        <v>0</v>
      </c>
      <c r="I269" s="5">
        <v>0</v>
      </c>
      <c r="J269" s="5">
        <v>0</v>
      </c>
      <c r="L269">
        <f t="shared" si="27"/>
        <v>267</v>
      </c>
      <c r="M269">
        <f>'Real Analysis'!$B$3+B269/1000000</f>
        <v>5.3883910000004107</v>
      </c>
      <c r="N269">
        <f t="shared" si="28"/>
        <v>2</v>
      </c>
      <c r="O269">
        <f>IF(ABS(D269)&gt;1,D269/1000000,D269)*'Real Analysis'!$B$4</f>
        <v>-8.3689110000000011E-2</v>
      </c>
      <c r="P269">
        <f>IF(ABS(E269)&gt;1,E269/1000000,E269)*'Real Analysis'!$B$4</f>
        <v>3.840615E-2</v>
      </c>
      <c r="Q269">
        <f>IF(ABS(F269)&gt;1,F269/1000000,F269)*'Real Analysis'!$B$4</f>
        <v>9.8517905999999993</v>
      </c>
      <c r="R269">
        <f t="shared" si="29"/>
        <v>0</v>
      </c>
      <c r="S269">
        <f t="shared" si="30"/>
        <v>0</v>
      </c>
      <c r="T269">
        <f t="shared" si="31"/>
        <v>0</v>
      </c>
      <c r="U269">
        <f t="shared" si="32"/>
        <v>0</v>
      </c>
    </row>
    <row r="270" spans="1:21" x14ac:dyDescent="0.3">
      <c r="A270" s="4">
        <v>268</v>
      </c>
      <c r="B270" s="4">
        <v>-96586588357</v>
      </c>
      <c r="C270" s="5">
        <v>2</v>
      </c>
      <c r="D270" s="5">
        <v>-8.7760000000000008E-3</v>
      </c>
      <c r="E270" s="5">
        <v>1.2909E-2</v>
      </c>
      <c r="F270" s="5">
        <v>1004269</v>
      </c>
      <c r="G270" s="5">
        <v>0</v>
      </c>
      <c r="H270" s="5">
        <v>0</v>
      </c>
      <c r="I270" s="5">
        <v>0</v>
      </c>
      <c r="J270" s="5">
        <v>0</v>
      </c>
      <c r="L270">
        <f t="shared" si="27"/>
        <v>268</v>
      </c>
      <c r="M270">
        <f>'Real Analysis'!$B$3+B270/1000000</f>
        <v>5.411642999999458</v>
      </c>
      <c r="N270">
        <f t="shared" si="28"/>
        <v>2</v>
      </c>
      <c r="O270">
        <f>IF(ABS(D270)&gt;1,D270/1000000,D270)*'Real Analysis'!$B$4</f>
        <v>-8.6092560000000012E-2</v>
      </c>
      <c r="P270">
        <f>IF(ABS(E270)&gt;1,E270/1000000,E270)*'Real Analysis'!$B$4</f>
        <v>0.12663729000000001</v>
      </c>
      <c r="Q270">
        <f>IF(ABS(F270)&gt;1,F270/1000000,F270)*'Real Analysis'!$B$4</f>
        <v>9.8518788900000018</v>
      </c>
      <c r="R270">
        <f t="shared" si="29"/>
        <v>0</v>
      </c>
      <c r="S270">
        <f t="shared" si="30"/>
        <v>0</v>
      </c>
      <c r="T270">
        <f t="shared" si="31"/>
        <v>0</v>
      </c>
      <c r="U270">
        <f t="shared" si="32"/>
        <v>0</v>
      </c>
    </row>
    <row r="271" spans="1:21" x14ac:dyDescent="0.3">
      <c r="A271" s="4">
        <v>269</v>
      </c>
      <c r="B271" s="4">
        <v>-96586568877</v>
      </c>
      <c r="C271" s="5">
        <v>2</v>
      </c>
      <c r="D271" s="5">
        <v>-7.9729999999999992E-3</v>
      </c>
      <c r="E271" s="5">
        <v>1.1991999999999999E-2</v>
      </c>
      <c r="F271" s="5">
        <v>1004329</v>
      </c>
      <c r="G271" s="5">
        <v>0</v>
      </c>
      <c r="H271" s="5">
        <v>0</v>
      </c>
      <c r="I271" s="5">
        <v>0</v>
      </c>
      <c r="J271" s="5">
        <v>0</v>
      </c>
      <c r="L271">
        <f t="shared" si="27"/>
        <v>269</v>
      </c>
      <c r="M271">
        <f>'Real Analysis'!$B$3+B271/1000000</f>
        <v>5.4311230000021169</v>
      </c>
      <c r="N271">
        <f t="shared" si="28"/>
        <v>2</v>
      </c>
      <c r="O271">
        <f>IF(ABS(D271)&gt;1,D271/1000000,D271)*'Real Analysis'!$B$4</f>
        <v>-7.8215129999999994E-2</v>
      </c>
      <c r="P271">
        <f>IF(ABS(E271)&gt;1,E271/1000000,E271)*'Real Analysis'!$B$4</f>
        <v>0.11764152</v>
      </c>
      <c r="Q271">
        <f>IF(ABS(F271)&gt;1,F271/1000000,F271)*'Real Analysis'!$B$4</f>
        <v>9.8524674900000004</v>
      </c>
      <c r="R271">
        <f t="shared" si="29"/>
        <v>0</v>
      </c>
      <c r="S271">
        <f t="shared" si="30"/>
        <v>0</v>
      </c>
      <c r="T271">
        <f t="shared" si="31"/>
        <v>0</v>
      </c>
      <c r="U271">
        <f t="shared" si="32"/>
        <v>0</v>
      </c>
    </row>
    <row r="272" spans="1:21" x14ac:dyDescent="0.3">
      <c r="A272" s="4">
        <v>270</v>
      </c>
      <c r="B272" s="4">
        <v>-96586551370</v>
      </c>
      <c r="C272" s="5">
        <v>2</v>
      </c>
      <c r="D272" s="5">
        <v>-5.8830000000000002E-3</v>
      </c>
      <c r="E272" s="5">
        <v>1.2374E-2</v>
      </c>
      <c r="F272" s="5">
        <v>1002469</v>
      </c>
      <c r="G272" s="5">
        <v>0</v>
      </c>
      <c r="H272" s="5">
        <v>0</v>
      </c>
      <c r="I272" s="5">
        <v>0</v>
      </c>
      <c r="J272" s="5">
        <v>0</v>
      </c>
      <c r="L272">
        <f t="shared" si="27"/>
        <v>270</v>
      </c>
      <c r="M272">
        <f>'Real Analysis'!$B$3+B272/1000000</f>
        <v>5.4486299999989569</v>
      </c>
      <c r="N272">
        <f t="shared" si="28"/>
        <v>2</v>
      </c>
      <c r="O272">
        <f>IF(ABS(D272)&gt;1,D272/1000000,D272)*'Real Analysis'!$B$4</f>
        <v>-5.7712230000000003E-2</v>
      </c>
      <c r="P272">
        <f>IF(ABS(E272)&gt;1,E272/1000000,E272)*'Real Analysis'!$B$4</f>
        <v>0.12138894</v>
      </c>
      <c r="Q272">
        <f>IF(ABS(F272)&gt;1,F272/1000000,F272)*'Real Analysis'!$B$4</f>
        <v>9.834220890000001</v>
      </c>
      <c r="R272">
        <f t="shared" si="29"/>
        <v>0</v>
      </c>
      <c r="S272">
        <f t="shared" si="30"/>
        <v>0</v>
      </c>
      <c r="T272">
        <f t="shared" si="31"/>
        <v>0</v>
      </c>
      <c r="U272">
        <f t="shared" si="32"/>
        <v>0</v>
      </c>
    </row>
    <row r="273" spans="1:21" x14ac:dyDescent="0.3">
      <c r="A273" s="4">
        <v>271</v>
      </c>
      <c r="B273" s="4">
        <v>-96586527532</v>
      </c>
      <c r="C273" s="5">
        <v>2</v>
      </c>
      <c r="D273" s="5">
        <v>-1.265E-2</v>
      </c>
      <c r="E273" s="5">
        <v>1.2272E-2</v>
      </c>
      <c r="F273" s="5">
        <v>1005483</v>
      </c>
      <c r="G273" s="5">
        <v>0</v>
      </c>
      <c r="H273" s="5">
        <v>0</v>
      </c>
      <c r="I273" s="5">
        <v>0</v>
      </c>
      <c r="J273" s="5">
        <v>0</v>
      </c>
      <c r="L273">
        <f t="shared" si="27"/>
        <v>271</v>
      </c>
      <c r="M273">
        <f>'Real Analysis'!$B$3+B273/1000000</f>
        <v>5.4724680000072112</v>
      </c>
      <c r="N273">
        <f t="shared" si="28"/>
        <v>2</v>
      </c>
      <c r="O273">
        <f>IF(ABS(D273)&gt;1,D273/1000000,D273)*'Real Analysis'!$B$4</f>
        <v>-0.1240965</v>
      </c>
      <c r="P273">
        <f>IF(ABS(E273)&gt;1,E273/1000000,E273)*'Real Analysis'!$B$4</f>
        <v>0.12038832000000001</v>
      </c>
      <c r="Q273">
        <f>IF(ABS(F273)&gt;1,F273/1000000,F273)*'Real Analysis'!$B$4</f>
        <v>9.863788229999999</v>
      </c>
      <c r="R273">
        <f t="shared" si="29"/>
        <v>0</v>
      </c>
      <c r="S273">
        <f t="shared" si="30"/>
        <v>0</v>
      </c>
      <c r="T273">
        <f t="shared" si="31"/>
        <v>0</v>
      </c>
      <c r="U273">
        <f t="shared" si="32"/>
        <v>0</v>
      </c>
    </row>
    <row r="274" spans="1:21" x14ac:dyDescent="0.3">
      <c r="A274" s="4">
        <v>272</v>
      </c>
      <c r="B274" s="4">
        <v>-96586508073</v>
      </c>
      <c r="C274" s="5">
        <v>2</v>
      </c>
      <c r="D274" s="5">
        <v>-1.3872000000000001E-2</v>
      </c>
      <c r="E274" s="5">
        <v>1.2239999999999999E-2</v>
      </c>
      <c r="F274" s="5">
        <v>1004482</v>
      </c>
      <c r="G274" s="5">
        <v>0</v>
      </c>
      <c r="H274" s="5">
        <v>0</v>
      </c>
      <c r="I274" s="5">
        <v>0</v>
      </c>
      <c r="J274" s="5">
        <v>0</v>
      </c>
      <c r="L274">
        <f t="shared" si="27"/>
        <v>272</v>
      </c>
      <c r="M274">
        <f>'Real Analysis'!$B$3+B274/1000000</f>
        <v>5.4919269999954849</v>
      </c>
      <c r="N274">
        <f t="shared" si="28"/>
        <v>2</v>
      </c>
      <c r="O274">
        <f>IF(ABS(D274)&gt;1,D274/1000000,D274)*'Real Analysis'!$B$4</f>
        <v>-0.13608432000000001</v>
      </c>
      <c r="P274">
        <f>IF(ABS(E274)&gt;1,E274/1000000,E274)*'Real Analysis'!$B$4</f>
        <v>0.1200744</v>
      </c>
      <c r="Q274">
        <f>IF(ABS(F274)&gt;1,F274/1000000,F274)*'Real Analysis'!$B$4</f>
        <v>9.8539684200000011</v>
      </c>
      <c r="R274">
        <f t="shared" si="29"/>
        <v>0</v>
      </c>
      <c r="S274">
        <f t="shared" si="30"/>
        <v>0</v>
      </c>
      <c r="T274">
        <f t="shared" si="31"/>
        <v>0</v>
      </c>
      <c r="U274">
        <f t="shared" si="32"/>
        <v>0</v>
      </c>
    </row>
    <row r="275" spans="1:21" x14ac:dyDescent="0.3">
      <c r="A275" s="4">
        <v>273</v>
      </c>
      <c r="B275" s="4">
        <v>-96586488137</v>
      </c>
      <c r="C275" s="5">
        <v>2</v>
      </c>
      <c r="D275" s="5">
        <v>-9.0840000000000001E-3</v>
      </c>
      <c r="E275" s="5">
        <v>1.2272999999999999E-2</v>
      </c>
      <c r="F275" s="5">
        <v>1004004</v>
      </c>
      <c r="G275" s="5">
        <v>0</v>
      </c>
      <c r="H275" s="5">
        <v>0</v>
      </c>
      <c r="I275" s="5">
        <v>0</v>
      </c>
      <c r="J275" s="5">
        <v>0</v>
      </c>
      <c r="L275">
        <f t="shared" si="27"/>
        <v>273</v>
      </c>
      <c r="M275">
        <f>'Real Analysis'!$B$3+B275/1000000</f>
        <v>5.511863000006997</v>
      </c>
      <c r="N275">
        <f t="shared" si="28"/>
        <v>2</v>
      </c>
      <c r="O275">
        <f>IF(ABS(D275)&gt;1,D275/1000000,D275)*'Real Analysis'!$B$4</f>
        <v>-8.9114040000000005E-2</v>
      </c>
      <c r="P275">
        <f>IF(ABS(E275)&gt;1,E275/1000000,E275)*'Real Analysis'!$B$4</f>
        <v>0.12039812999999999</v>
      </c>
      <c r="Q275">
        <f>IF(ABS(F275)&gt;1,F275/1000000,F275)*'Real Analysis'!$B$4</f>
        <v>9.8492792399999995</v>
      </c>
      <c r="R275">
        <f t="shared" si="29"/>
        <v>0</v>
      </c>
      <c r="S275">
        <f t="shared" si="30"/>
        <v>0</v>
      </c>
      <c r="T275">
        <f t="shared" si="31"/>
        <v>0</v>
      </c>
      <c r="U275">
        <f t="shared" si="32"/>
        <v>0</v>
      </c>
    </row>
    <row r="276" spans="1:21" x14ac:dyDescent="0.3">
      <c r="A276" s="4">
        <v>274</v>
      </c>
      <c r="B276" s="4">
        <v>-96586469519</v>
      </c>
      <c r="C276" s="5">
        <v>2</v>
      </c>
      <c r="D276" s="5">
        <v>-7.1170000000000001E-3</v>
      </c>
      <c r="E276" s="5">
        <v>1.2343E-2</v>
      </c>
      <c r="F276" s="5">
        <v>1005862</v>
      </c>
      <c r="G276" s="5">
        <v>0</v>
      </c>
      <c r="H276" s="5">
        <v>0</v>
      </c>
      <c r="I276" s="5">
        <v>0</v>
      </c>
      <c r="J276" s="5">
        <v>0</v>
      </c>
      <c r="L276">
        <f t="shared" si="27"/>
        <v>274</v>
      </c>
      <c r="M276">
        <f>'Real Analysis'!$B$3+B276/1000000</f>
        <v>5.5304809999943245</v>
      </c>
      <c r="N276">
        <f t="shared" si="28"/>
        <v>2</v>
      </c>
      <c r="O276">
        <f>IF(ABS(D276)&gt;1,D276/1000000,D276)*'Real Analysis'!$B$4</f>
        <v>-6.9817770000000001E-2</v>
      </c>
      <c r="P276">
        <f>IF(ABS(E276)&gt;1,E276/1000000,E276)*'Real Analysis'!$B$4</f>
        <v>0.12108483</v>
      </c>
      <c r="Q276">
        <f>IF(ABS(F276)&gt;1,F276/1000000,F276)*'Real Analysis'!$B$4</f>
        <v>9.867506220000001</v>
      </c>
      <c r="R276">
        <f t="shared" si="29"/>
        <v>0</v>
      </c>
      <c r="S276">
        <f t="shared" si="30"/>
        <v>0</v>
      </c>
      <c r="T276">
        <f t="shared" si="31"/>
        <v>0</v>
      </c>
      <c r="U276">
        <f t="shared" si="32"/>
        <v>0</v>
      </c>
    </row>
    <row r="277" spans="1:21" x14ac:dyDescent="0.3">
      <c r="A277" s="4">
        <v>275</v>
      </c>
      <c r="B277" s="4">
        <v>-96586452965</v>
      </c>
      <c r="C277" s="5">
        <v>2</v>
      </c>
      <c r="D277" s="5">
        <v>-1.3745E-2</v>
      </c>
      <c r="E277" s="5">
        <v>1.2285000000000001E-2</v>
      </c>
      <c r="F277" s="5">
        <v>1006376</v>
      </c>
      <c r="G277" s="5">
        <v>0</v>
      </c>
      <c r="H277" s="5">
        <v>0</v>
      </c>
      <c r="I277" s="5">
        <v>0</v>
      </c>
      <c r="J277" s="5">
        <v>0</v>
      </c>
      <c r="L277">
        <f t="shared" si="27"/>
        <v>275</v>
      </c>
      <c r="M277">
        <f>'Real Analysis'!$B$3+B277/1000000</f>
        <v>5.5470349999959581</v>
      </c>
      <c r="N277">
        <f t="shared" si="28"/>
        <v>2</v>
      </c>
      <c r="O277">
        <f>IF(ABS(D277)&gt;1,D277/1000000,D277)*'Real Analysis'!$B$4</f>
        <v>-0.13483845</v>
      </c>
      <c r="P277">
        <f>IF(ABS(E277)&gt;1,E277/1000000,E277)*'Real Analysis'!$B$4</f>
        <v>0.12051585000000001</v>
      </c>
      <c r="Q277">
        <f>IF(ABS(F277)&gt;1,F277/1000000,F277)*'Real Analysis'!$B$4</f>
        <v>9.8725485600000003</v>
      </c>
      <c r="R277">
        <f t="shared" si="29"/>
        <v>0</v>
      </c>
      <c r="S277">
        <f t="shared" si="30"/>
        <v>0</v>
      </c>
      <c r="T277">
        <f t="shared" si="31"/>
        <v>0</v>
      </c>
      <c r="U277">
        <f t="shared" si="32"/>
        <v>0</v>
      </c>
    </row>
    <row r="278" spans="1:21" x14ac:dyDescent="0.3">
      <c r="A278" s="4">
        <v>276</v>
      </c>
      <c r="B278" s="4">
        <v>-96586427512</v>
      </c>
      <c r="C278" s="5">
        <v>2</v>
      </c>
      <c r="D278" s="5">
        <v>-6.1739999999999998E-3</v>
      </c>
      <c r="E278" s="5">
        <v>1.2316000000000001E-2</v>
      </c>
      <c r="F278" s="5">
        <v>1005034</v>
      </c>
      <c r="G278" s="5">
        <v>0</v>
      </c>
      <c r="H278" s="5">
        <v>0</v>
      </c>
      <c r="I278" s="5">
        <v>0</v>
      </c>
      <c r="J278" s="5">
        <v>0</v>
      </c>
      <c r="L278">
        <f t="shared" si="27"/>
        <v>276</v>
      </c>
      <c r="M278">
        <f>'Real Analysis'!$B$3+B278/1000000</f>
        <v>5.5724880000052508</v>
      </c>
      <c r="N278">
        <f t="shared" si="28"/>
        <v>2</v>
      </c>
      <c r="O278">
        <f>IF(ABS(D278)&gt;1,D278/1000000,D278)*'Real Analysis'!$B$4</f>
        <v>-6.056694E-2</v>
      </c>
      <c r="P278">
        <f>IF(ABS(E278)&gt;1,E278/1000000,E278)*'Real Analysis'!$B$4</f>
        <v>0.12081996000000002</v>
      </c>
      <c r="Q278">
        <f>IF(ABS(F278)&gt;1,F278/1000000,F278)*'Real Analysis'!$B$4</f>
        <v>9.8593835399999996</v>
      </c>
      <c r="R278">
        <f t="shared" si="29"/>
        <v>0</v>
      </c>
      <c r="S278">
        <f t="shared" si="30"/>
        <v>0</v>
      </c>
      <c r="T278">
        <f t="shared" si="31"/>
        <v>0</v>
      </c>
      <c r="U278">
        <f t="shared" si="32"/>
        <v>0</v>
      </c>
    </row>
    <row r="279" spans="1:21" x14ac:dyDescent="0.3">
      <c r="A279" s="4">
        <v>277</v>
      </c>
      <c r="B279" s="4">
        <v>-96586417287</v>
      </c>
      <c r="C279" s="5">
        <v>2</v>
      </c>
      <c r="D279" s="5">
        <v>-7.0489999999999997E-3</v>
      </c>
      <c r="E279" s="5">
        <v>1.2276E-2</v>
      </c>
      <c r="F279" s="5">
        <v>1003748</v>
      </c>
      <c r="G279" s="5">
        <v>0</v>
      </c>
      <c r="H279" s="5">
        <v>0</v>
      </c>
      <c r="I279" s="5">
        <v>0</v>
      </c>
      <c r="J279" s="5">
        <v>0</v>
      </c>
      <c r="L279">
        <f t="shared" si="27"/>
        <v>277</v>
      </c>
      <c r="M279">
        <f>'Real Analysis'!$B$3+B279/1000000</f>
        <v>5.5827129999961471</v>
      </c>
      <c r="N279">
        <f t="shared" si="28"/>
        <v>2</v>
      </c>
      <c r="O279">
        <f>IF(ABS(D279)&gt;1,D279/1000000,D279)*'Real Analysis'!$B$4</f>
        <v>-6.9150690000000001E-2</v>
      </c>
      <c r="P279">
        <f>IF(ABS(E279)&gt;1,E279/1000000,E279)*'Real Analysis'!$B$4</f>
        <v>0.12042756000000002</v>
      </c>
      <c r="Q279">
        <f>IF(ABS(F279)&gt;1,F279/1000000,F279)*'Real Analysis'!$B$4</f>
        <v>9.8467678800000016</v>
      </c>
      <c r="R279">
        <f t="shared" si="29"/>
        <v>0</v>
      </c>
      <c r="S279">
        <f t="shared" si="30"/>
        <v>0</v>
      </c>
      <c r="T279">
        <f t="shared" si="31"/>
        <v>0</v>
      </c>
      <c r="U279">
        <f t="shared" si="32"/>
        <v>0</v>
      </c>
    </row>
    <row r="280" spans="1:21" x14ac:dyDescent="0.3">
      <c r="A280" s="4">
        <v>278</v>
      </c>
      <c r="B280" s="4">
        <v>-96586387193</v>
      </c>
      <c r="C280" s="5">
        <v>2</v>
      </c>
      <c r="D280" s="5">
        <v>-1.277E-2</v>
      </c>
      <c r="E280" s="5">
        <v>1.2331E-2</v>
      </c>
      <c r="F280" s="5">
        <v>1011173</v>
      </c>
      <c r="G280" s="5">
        <v>0</v>
      </c>
      <c r="H280" s="5">
        <v>0</v>
      </c>
      <c r="I280" s="5">
        <v>0</v>
      </c>
      <c r="J280" s="5">
        <v>0</v>
      </c>
      <c r="L280">
        <f t="shared" si="27"/>
        <v>278</v>
      </c>
      <c r="M280">
        <f>'Real Analysis'!$B$3+B280/1000000</f>
        <v>5.6128069999977015</v>
      </c>
      <c r="N280">
        <f t="shared" si="28"/>
        <v>2</v>
      </c>
      <c r="O280">
        <f>IF(ABS(D280)&gt;1,D280/1000000,D280)*'Real Analysis'!$B$4</f>
        <v>-0.12527370000000002</v>
      </c>
      <c r="P280">
        <f>IF(ABS(E280)&gt;1,E280/1000000,E280)*'Real Analysis'!$B$4</f>
        <v>0.12096711</v>
      </c>
      <c r="Q280">
        <f>IF(ABS(F280)&gt;1,F280/1000000,F280)*'Real Analysis'!$B$4</f>
        <v>9.919607130000001</v>
      </c>
      <c r="R280">
        <f t="shared" si="29"/>
        <v>0</v>
      </c>
      <c r="S280">
        <f t="shared" si="30"/>
        <v>0</v>
      </c>
      <c r="T280">
        <f t="shared" si="31"/>
        <v>0</v>
      </c>
      <c r="U280">
        <f t="shared" si="32"/>
        <v>0</v>
      </c>
    </row>
    <row r="281" spans="1:21" x14ac:dyDescent="0.3">
      <c r="A281" s="4">
        <v>279</v>
      </c>
      <c r="B281" s="4">
        <v>-96586369802</v>
      </c>
      <c r="C281" s="5">
        <v>2</v>
      </c>
      <c r="D281" s="5">
        <v>-1.333E-2</v>
      </c>
      <c r="E281" s="5">
        <v>1.2355E-2</v>
      </c>
      <c r="F281" s="5">
        <v>1012791</v>
      </c>
      <c r="G281" s="5">
        <v>0</v>
      </c>
      <c r="H281" s="5">
        <v>0</v>
      </c>
      <c r="I281" s="5">
        <v>0</v>
      </c>
      <c r="J281" s="5">
        <v>0</v>
      </c>
      <c r="L281">
        <f t="shared" si="27"/>
        <v>279</v>
      </c>
      <c r="M281">
        <f>'Real Analysis'!$B$3+B281/1000000</f>
        <v>5.6301979999989271</v>
      </c>
      <c r="N281">
        <f t="shared" si="28"/>
        <v>2</v>
      </c>
      <c r="O281">
        <f>IF(ABS(D281)&gt;1,D281/1000000,D281)*'Real Analysis'!$B$4</f>
        <v>-0.1307673</v>
      </c>
      <c r="P281">
        <f>IF(ABS(E281)&gt;1,E281/1000000,E281)*'Real Analysis'!$B$4</f>
        <v>0.12120255000000001</v>
      </c>
      <c r="Q281">
        <f>IF(ABS(F281)&gt;1,F281/1000000,F281)*'Real Analysis'!$B$4</f>
        <v>9.935479710000001</v>
      </c>
      <c r="R281">
        <f t="shared" si="29"/>
        <v>0</v>
      </c>
      <c r="S281">
        <f t="shared" si="30"/>
        <v>0</v>
      </c>
      <c r="T281">
        <f t="shared" si="31"/>
        <v>0</v>
      </c>
      <c r="U281">
        <f t="shared" si="32"/>
        <v>0</v>
      </c>
    </row>
    <row r="282" spans="1:21" x14ac:dyDescent="0.3">
      <c r="A282" s="4">
        <v>280</v>
      </c>
      <c r="B282" s="4">
        <v>-96586351891</v>
      </c>
      <c r="C282" s="5">
        <v>2</v>
      </c>
      <c r="D282" s="5">
        <v>-1.2928E-2</v>
      </c>
      <c r="E282" s="5">
        <v>1.2316000000000001E-2</v>
      </c>
      <c r="F282" s="5">
        <v>1003940</v>
      </c>
      <c r="G282" s="5">
        <v>0</v>
      </c>
      <c r="H282" s="5">
        <v>0</v>
      </c>
      <c r="I282" s="5">
        <v>0</v>
      </c>
      <c r="J282" s="5">
        <v>0</v>
      </c>
      <c r="L282">
        <f t="shared" si="27"/>
        <v>280</v>
      </c>
      <c r="M282">
        <f>'Real Analysis'!$B$3+B282/1000000</f>
        <v>5.6481090000015683</v>
      </c>
      <c r="N282">
        <f t="shared" si="28"/>
        <v>2</v>
      </c>
      <c r="O282">
        <f>IF(ABS(D282)&gt;1,D282/1000000,D282)*'Real Analysis'!$B$4</f>
        <v>-0.12682368000000002</v>
      </c>
      <c r="P282">
        <f>IF(ABS(E282)&gt;1,E282/1000000,E282)*'Real Analysis'!$B$4</f>
        <v>0.12081996000000002</v>
      </c>
      <c r="Q282">
        <f>IF(ABS(F282)&gt;1,F282/1000000,F282)*'Real Analysis'!$B$4</f>
        <v>9.8486514000000014</v>
      </c>
      <c r="R282">
        <f t="shared" si="29"/>
        <v>0</v>
      </c>
      <c r="S282">
        <f t="shared" si="30"/>
        <v>0</v>
      </c>
      <c r="T282">
        <f t="shared" si="31"/>
        <v>0</v>
      </c>
      <c r="U282">
        <f t="shared" si="32"/>
        <v>0</v>
      </c>
    </row>
    <row r="283" spans="1:21" x14ac:dyDescent="0.3">
      <c r="A283" s="4">
        <v>281</v>
      </c>
      <c r="B283" s="4">
        <v>-96586328967</v>
      </c>
      <c r="C283" s="5">
        <v>2</v>
      </c>
      <c r="D283" s="5">
        <v>-1.2782999999999999E-2</v>
      </c>
      <c r="E283" s="5">
        <v>8.9079999999999993E-3</v>
      </c>
      <c r="F283" s="5">
        <v>1004126</v>
      </c>
      <c r="G283" s="5">
        <v>0</v>
      </c>
      <c r="H283" s="5">
        <v>0</v>
      </c>
      <c r="I283" s="5">
        <v>0</v>
      </c>
      <c r="J283" s="5">
        <v>0</v>
      </c>
      <c r="L283">
        <f t="shared" si="27"/>
        <v>281</v>
      </c>
      <c r="M283">
        <f>'Real Analysis'!$B$3+B283/1000000</f>
        <v>5.6710330000059912</v>
      </c>
      <c r="N283">
        <f t="shared" si="28"/>
        <v>2</v>
      </c>
      <c r="O283">
        <f>IF(ABS(D283)&gt;1,D283/1000000,D283)*'Real Analysis'!$B$4</f>
        <v>-0.12540123</v>
      </c>
      <c r="P283">
        <f>IF(ABS(E283)&gt;1,E283/1000000,E283)*'Real Analysis'!$B$4</f>
        <v>8.7387480000000003E-2</v>
      </c>
      <c r="Q283">
        <f>IF(ABS(F283)&gt;1,F283/1000000,F283)*'Real Analysis'!$B$4</f>
        <v>9.8504760600000019</v>
      </c>
      <c r="R283">
        <f t="shared" si="29"/>
        <v>0</v>
      </c>
      <c r="S283">
        <f t="shared" si="30"/>
        <v>0</v>
      </c>
      <c r="T283">
        <f t="shared" si="31"/>
        <v>0</v>
      </c>
      <c r="U283">
        <f t="shared" si="32"/>
        <v>0</v>
      </c>
    </row>
    <row r="284" spans="1:21" x14ac:dyDescent="0.3">
      <c r="A284" s="4">
        <v>282</v>
      </c>
      <c r="B284" s="4">
        <v>-96586311414</v>
      </c>
      <c r="C284" s="5">
        <v>2</v>
      </c>
      <c r="D284" s="5">
        <v>-1.3101E-2</v>
      </c>
      <c r="E284" s="5">
        <v>3.9129999999999998E-3</v>
      </c>
      <c r="F284" s="5">
        <v>1009782</v>
      </c>
      <c r="G284" s="5">
        <v>0</v>
      </c>
      <c r="H284" s="5">
        <v>0</v>
      </c>
      <c r="I284" s="5">
        <v>0</v>
      </c>
      <c r="J284" s="5">
        <v>0</v>
      </c>
      <c r="L284">
        <f t="shared" si="27"/>
        <v>282</v>
      </c>
      <c r="M284">
        <f>'Real Analysis'!$B$3+B284/1000000</f>
        <v>5.688586000003852</v>
      </c>
      <c r="N284">
        <f t="shared" si="28"/>
        <v>2</v>
      </c>
      <c r="O284">
        <f>IF(ABS(D284)&gt;1,D284/1000000,D284)*'Real Analysis'!$B$4</f>
        <v>-0.12852081000000001</v>
      </c>
      <c r="P284">
        <f>IF(ABS(E284)&gt;1,E284/1000000,E284)*'Real Analysis'!$B$4</f>
        <v>3.8386530000000002E-2</v>
      </c>
      <c r="Q284">
        <f>IF(ABS(F284)&gt;1,F284/1000000,F284)*'Real Analysis'!$B$4</f>
        <v>9.9059614200000006</v>
      </c>
      <c r="R284">
        <f t="shared" si="29"/>
        <v>0</v>
      </c>
      <c r="S284">
        <f t="shared" si="30"/>
        <v>0</v>
      </c>
      <c r="T284">
        <f t="shared" si="31"/>
        <v>0</v>
      </c>
      <c r="U284">
        <f t="shared" si="32"/>
        <v>0</v>
      </c>
    </row>
    <row r="285" spans="1:21" x14ac:dyDescent="0.3">
      <c r="A285" s="4">
        <v>283</v>
      </c>
      <c r="B285" s="4">
        <v>-96586294815</v>
      </c>
      <c r="C285" s="5">
        <v>2</v>
      </c>
      <c r="D285" s="5">
        <v>-1.3072E-2</v>
      </c>
      <c r="E285" s="5">
        <v>5.2199999999999998E-3</v>
      </c>
      <c r="F285" s="5">
        <v>1009324</v>
      </c>
      <c r="G285" s="5">
        <v>0</v>
      </c>
      <c r="H285" s="5">
        <v>0</v>
      </c>
      <c r="I285" s="5">
        <v>0</v>
      </c>
      <c r="J285" s="5">
        <v>0</v>
      </c>
      <c r="L285">
        <f t="shared" si="27"/>
        <v>283</v>
      </c>
      <c r="M285">
        <f>'Real Analysis'!$B$3+B285/1000000</f>
        <v>5.7051849999988917</v>
      </c>
      <c r="N285">
        <f t="shared" si="28"/>
        <v>2</v>
      </c>
      <c r="O285">
        <f>IF(ABS(D285)&gt;1,D285/1000000,D285)*'Real Analysis'!$B$4</f>
        <v>-0.12823632000000001</v>
      </c>
      <c r="P285">
        <f>IF(ABS(E285)&gt;1,E285/1000000,E285)*'Real Analysis'!$B$4</f>
        <v>5.1208200000000002E-2</v>
      </c>
      <c r="Q285">
        <f>IF(ABS(F285)&gt;1,F285/1000000,F285)*'Real Analysis'!$B$4</f>
        <v>9.9014684400000021</v>
      </c>
      <c r="R285">
        <f t="shared" si="29"/>
        <v>0</v>
      </c>
      <c r="S285">
        <f t="shared" si="30"/>
        <v>0</v>
      </c>
      <c r="T285">
        <f t="shared" si="31"/>
        <v>0</v>
      </c>
      <c r="U285">
        <f t="shared" si="32"/>
        <v>0</v>
      </c>
    </row>
    <row r="286" spans="1:21" x14ac:dyDescent="0.3">
      <c r="A286" s="4">
        <v>284</v>
      </c>
      <c r="B286" s="4">
        <v>-96586268237</v>
      </c>
      <c r="C286" s="5">
        <v>2</v>
      </c>
      <c r="D286" s="5">
        <v>-8.0230000000000006E-3</v>
      </c>
      <c r="E286" s="5">
        <v>1.2987E-2</v>
      </c>
      <c r="F286" s="5">
        <v>1005020</v>
      </c>
      <c r="G286" s="5">
        <v>0</v>
      </c>
      <c r="H286" s="5">
        <v>0</v>
      </c>
      <c r="I286" s="5">
        <v>0</v>
      </c>
      <c r="J286" s="5">
        <v>0</v>
      </c>
      <c r="L286">
        <f t="shared" si="27"/>
        <v>284</v>
      </c>
      <c r="M286">
        <f>'Real Analysis'!$B$3+B286/1000000</f>
        <v>5.7317630000034114</v>
      </c>
      <c r="N286">
        <f t="shared" si="28"/>
        <v>2</v>
      </c>
      <c r="O286">
        <f>IF(ABS(D286)&gt;1,D286/1000000,D286)*'Real Analysis'!$B$4</f>
        <v>-7.8705630000000013E-2</v>
      </c>
      <c r="P286">
        <f>IF(ABS(E286)&gt;1,E286/1000000,E286)*'Real Analysis'!$B$4</f>
        <v>0.12740247000000002</v>
      </c>
      <c r="Q286">
        <f>IF(ABS(F286)&gt;1,F286/1000000,F286)*'Real Analysis'!$B$4</f>
        <v>9.8592462000000012</v>
      </c>
      <c r="R286">
        <f t="shared" si="29"/>
        <v>0</v>
      </c>
      <c r="S286">
        <f t="shared" si="30"/>
        <v>0</v>
      </c>
      <c r="T286">
        <f t="shared" si="31"/>
        <v>0</v>
      </c>
      <c r="U286">
        <f t="shared" si="32"/>
        <v>0</v>
      </c>
    </row>
    <row r="287" spans="1:21" x14ac:dyDescent="0.3">
      <c r="A287" s="4">
        <v>285</v>
      </c>
      <c r="B287" s="4">
        <v>-96586251554</v>
      </c>
      <c r="C287" s="5">
        <v>2</v>
      </c>
      <c r="D287" s="5">
        <v>-1.3466000000000001E-2</v>
      </c>
      <c r="E287" s="5">
        <v>1.1846000000000001E-2</v>
      </c>
      <c r="F287" s="5">
        <v>1004255</v>
      </c>
      <c r="G287" s="5">
        <v>0</v>
      </c>
      <c r="H287" s="5">
        <v>0</v>
      </c>
      <c r="I287" s="5">
        <v>0</v>
      </c>
      <c r="J287" s="5">
        <v>0</v>
      </c>
      <c r="L287">
        <f t="shared" si="27"/>
        <v>285</v>
      </c>
      <c r="M287">
        <f>'Real Analysis'!$B$3+B287/1000000</f>
        <v>5.7484459999977844</v>
      </c>
      <c r="N287">
        <f t="shared" si="28"/>
        <v>2</v>
      </c>
      <c r="O287">
        <f>IF(ABS(D287)&gt;1,D287/1000000,D287)*'Real Analysis'!$B$4</f>
        <v>-0.13210146</v>
      </c>
      <c r="P287">
        <f>IF(ABS(E287)&gt;1,E287/1000000,E287)*'Real Analysis'!$B$4</f>
        <v>0.11620926000000001</v>
      </c>
      <c r="Q287">
        <f>IF(ABS(F287)&gt;1,F287/1000000,F287)*'Real Analysis'!$B$4</f>
        <v>9.8517415499999998</v>
      </c>
      <c r="R287">
        <f t="shared" si="29"/>
        <v>0</v>
      </c>
      <c r="S287">
        <f t="shared" si="30"/>
        <v>0</v>
      </c>
      <c r="T287">
        <f t="shared" si="31"/>
        <v>0</v>
      </c>
      <c r="U287">
        <f t="shared" si="32"/>
        <v>0</v>
      </c>
    </row>
    <row r="288" spans="1:21" x14ac:dyDescent="0.3">
      <c r="A288" s="4">
        <v>286</v>
      </c>
      <c r="B288" s="4">
        <v>-96586229990</v>
      </c>
      <c r="C288" s="5">
        <v>2</v>
      </c>
      <c r="D288" s="5">
        <v>-1.3439E-2</v>
      </c>
      <c r="E288" s="5">
        <v>1.2337000000000001E-2</v>
      </c>
      <c r="F288" s="5">
        <v>1004078</v>
      </c>
      <c r="G288" s="5">
        <v>0</v>
      </c>
      <c r="H288" s="5">
        <v>0</v>
      </c>
      <c r="I288" s="5">
        <v>0</v>
      </c>
      <c r="J288" s="5">
        <v>0</v>
      </c>
      <c r="L288">
        <f t="shared" si="27"/>
        <v>286</v>
      </c>
      <c r="M288">
        <f>'Real Analysis'!$B$3+B288/1000000</f>
        <v>5.770009999992908</v>
      </c>
      <c r="N288">
        <f t="shared" si="28"/>
        <v>2</v>
      </c>
      <c r="O288">
        <f>IF(ABS(D288)&gt;1,D288/1000000,D288)*'Real Analysis'!$B$4</f>
        <v>-0.13183659</v>
      </c>
      <c r="P288">
        <f>IF(ABS(E288)&gt;1,E288/1000000,E288)*'Real Analysis'!$B$4</f>
        <v>0.12102597000000001</v>
      </c>
      <c r="Q288">
        <f>IF(ABS(F288)&gt;1,F288/1000000,F288)*'Real Analysis'!$B$4</f>
        <v>9.8500051800000001</v>
      </c>
      <c r="R288">
        <f t="shared" si="29"/>
        <v>0</v>
      </c>
      <c r="S288">
        <f t="shared" si="30"/>
        <v>0</v>
      </c>
      <c r="T288">
        <f t="shared" si="31"/>
        <v>0</v>
      </c>
      <c r="U288">
        <f t="shared" si="32"/>
        <v>0</v>
      </c>
    </row>
    <row r="289" spans="1:21" x14ac:dyDescent="0.3">
      <c r="A289" s="4">
        <v>287</v>
      </c>
      <c r="B289" s="4">
        <v>-96586208957</v>
      </c>
      <c r="C289" s="5">
        <v>2</v>
      </c>
      <c r="D289" s="5">
        <v>-1.2576E-2</v>
      </c>
      <c r="E289" s="5">
        <v>1.2194999999999999E-2</v>
      </c>
      <c r="F289" s="5">
        <v>1004155</v>
      </c>
      <c r="G289" s="5">
        <v>0</v>
      </c>
      <c r="H289" s="5">
        <v>0</v>
      </c>
      <c r="I289" s="5">
        <v>0</v>
      </c>
      <c r="J289" s="5">
        <v>0</v>
      </c>
      <c r="L289">
        <f t="shared" si="27"/>
        <v>287</v>
      </c>
      <c r="M289">
        <f>'Real Analysis'!$B$3+B289/1000000</f>
        <v>5.7910430000047199</v>
      </c>
      <c r="N289">
        <f t="shared" si="28"/>
        <v>2</v>
      </c>
      <c r="O289">
        <f>IF(ABS(D289)&gt;1,D289/1000000,D289)*'Real Analysis'!$B$4</f>
        <v>-0.12337056</v>
      </c>
      <c r="P289">
        <f>IF(ABS(E289)&gt;1,E289/1000000,E289)*'Real Analysis'!$B$4</f>
        <v>0.11963295</v>
      </c>
      <c r="Q289">
        <f>IF(ABS(F289)&gt;1,F289/1000000,F289)*'Real Analysis'!$B$4</f>
        <v>9.8507605500000004</v>
      </c>
      <c r="R289">
        <f t="shared" si="29"/>
        <v>0</v>
      </c>
      <c r="S289">
        <f t="shared" si="30"/>
        <v>0</v>
      </c>
      <c r="T289">
        <f t="shared" si="31"/>
        <v>0</v>
      </c>
      <c r="U289">
        <f t="shared" si="32"/>
        <v>0</v>
      </c>
    </row>
    <row r="290" spans="1:21" x14ac:dyDescent="0.3">
      <c r="A290" s="4">
        <v>288</v>
      </c>
      <c r="B290" s="4">
        <v>-96586188800</v>
      </c>
      <c r="C290" s="5">
        <v>2</v>
      </c>
      <c r="D290" s="5">
        <v>-1.1374E-2</v>
      </c>
      <c r="E290" s="5">
        <v>1.2278000000000001E-2</v>
      </c>
      <c r="F290" s="5">
        <v>1004181</v>
      </c>
      <c r="G290" s="5">
        <v>0</v>
      </c>
      <c r="H290" s="5">
        <v>0</v>
      </c>
      <c r="I290" s="5">
        <v>0</v>
      </c>
      <c r="J290" s="5">
        <v>0</v>
      </c>
      <c r="L290">
        <f t="shared" si="27"/>
        <v>288</v>
      </c>
      <c r="M290">
        <f>'Real Analysis'!$B$3+B290/1000000</f>
        <v>5.811199999996461</v>
      </c>
      <c r="N290">
        <f t="shared" si="28"/>
        <v>2</v>
      </c>
      <c r="O290">
        <f>IF(ABS(D290)&gt;1,D290/1000000,D290)*'Real Analysis'!$B$4</f>
        <v>-0.11157894000000002</v>
      </c>
      <c r="P290">
        <f>IF(ABS(E290)&gt;1,E290/1000000,E290)*'Real Analysis'!$B$4</f>
        <v>0.12044718000000001</v>
      </c>
      <c r="Q290">
        <f>IF(ABS(F290)&gt;1,F290/1000000,F290)*'Real Analysis'!$B$4</f>
        <v>9.851015610000001</v>
      </c>
      <c r="R290">
        <f t="shared" si="29"/>
        <v>0</v>
      </c>
      <c r="S290">
        <f t="shared" si="30"/>
        <v>0</v>
      </c>
      <c r="T290">
        <f t="shared" si="31"/>
        <v>0</v>
      </c>
      <c r="U290">
        <f t="shared" si="32"/>
        <v>0</v>
      </c>
    </row>
    <row r="291" spans="1:21" x14ac:dyDescent="0.3">
      <c r="A291" s="4">
        <v>289</v>
      </c>
      <c r="B291" s="4">
        <v>-96586170637</v>
      </c>
      <c r="C291" s="5">
        <v>2</v>
      </c>
      <c r="D291" s="5">
        <v>-1.0664999999999999E-2</v>
      </c>
      <c r="E291" s="5">
        <v>1.2277E-2</v>
      </c>
      <c r="F291" s="5">
        <v>1004228</v>
      </c>
      <c r="G291" s="5">
        <v>0</v>
      </c>
      <c r="H291" s="5">
        <v>0</v>
      </c>
      <c r="I291" s="5">
        <v>0</v>
      </c>
      <c r="J291" s="5">
        <v>0</v>
      </c>
      <c r="L291">
        <f t="shared" si="27"/>
        <v>289</v>
      </c>
      <c r="M291">
        <f>'Real Analysis'!$B$3+B291/1000000</f>
        <v>5.8293629999971017</v>
      </c>
      <c r="N291">
        <f t="shared" si="28"/>
        <v>2</v>
      </c>
      <c r="O291">
        <f>IF(ABS(D291)&gt;1,D291/1000000,D291)*'Real Analysis'!$B$4</f>
        <v>-0.10462365</v>
      </c>
      <c r="P291">
        <f>IF(ABS(E291)&gt;1,E291/1000000,E291)*'Real Analysis'!$B$4</f>
        <v>0.12043737</v>
      </c>
      <c r="Q291">
        <f>IF(ABS(F291)&gt;1,F291/1000000,F291)*'Real Analysis'!$B$4</f>
        <v>9.8514766799999993</v>
      </c>
      <c r="R291">
        <f t="shared" si="29"/>
        <v>0</v>
      </c>
      <c r="S291">
        <f t="shared" si="30"/>
        <v>0</v>
      </c>
      <c r="T291">
        <f t="shared" si="31"/>
        <v>0</v>
      </c>
      <c r="U291">
        <f t="shared" si="32"/>
        <v>0</v>
      </c>
    </row>
    <row r="292" spans="1:21" x14ac:dyDescent="0.3">
      <c r="A292" s="4">
        <v>290</v>
      </c>
      <c r="B292" s="4">
        <v>-96586155479</v>
      </c>
      <c r="C292" s="5">
        <v>2</v>
      </c>
      <c r="D292" s="5">
        <v>-1.2094000000000001E-2</v>
      </c>
      <c r="E292" s="5">
        <v>1.2333999999999999E-2</v>
      </c>
      <c r="F292" s="5">
        <v>1005732</v>
      </c>
      <c r="G292" s="5">
        <v>0</v>
      </c>
      <c r="H292" s="5">
        <v>0</v>
      </c>
      <c r="I292" s="5">
        <v>0</v>
      </c>
      <c r="J292" s="5">
        <v>0</v>
      </c>
      <c r="L292">
        <f t="shared" si="27"/>
        <v>290</v>
      </c>
      <c r="M292">
        <f>'Real Analysis'!$B$3+B292/1000000</f>
        <v>5.8445210000063526</v>
      </c>
      <c r="N292">
        <f t="shared" si="28"/>
        <v>2</v>
      </c>
      <c r="O292">
        <f>IF(ABS(D292)&gt;1,D292/1000000,D292)*'Real Analysis'!$B$4</f>
        <v>-0.11864214000000001</v>
      </c>
      <c r="P292">
        <f>IF(ABS(E292)&gt;1,E292/1000000,E292)*'Real Analysis'!$B$4</f>
        <v>0.12099654</v>
      </c>
      <c r="Q292">
        <f>IF(ABS(F292)&gt;1,F292/1000000,F292)*'Real Analysis'!$B$4</f>
        <v>9.8662309200000013</v>
      </c>
      <c r="R292">
        <f t="shared" si="29"/>
        <v>0</v>
      </c>
      <c r="S292">
        <f t="shared" si="30"/>
        <v>0</v>
      </c>
      <c r="T292">
        <f t="shared" si="31"/>
        <v>0</v>
      </c>
      <c r="U292">
        <f t="shared" si="32"/>
        <v>0</v>
      </c>
    </row>
    <row r="293" spans="1:21" x14ac:dyDescent="0.3">
      <c r="A293" s="4">
        <v>291</v>
      </c>
      <c r="B293" s="4">
        <v>-96586128277</v>
      </c>
      <c r="C293" s="5">
        <v>2</v>
      </c>
      <c r="D293" s="5">
        <v>-1.0192E-2</v>
      </c>
      <c r="E293" s="5">
        <v>1.2303E-2</v>
      </c>
      <c r="F293" s="5">
        <v>1006033</v>
      </c>
      <c r="G293" s="5">
        <v>0</v>
      </c>
      <c r="H293" s="5">
        <v>0</v>
      </c>
      <c r="I293" s="5">
        <v>0</v>
      </c>
      <c r="J293" s="5">
        <v>0</v>
      </c>
      <c r="L293">
        <f t="shared" si="27"/>
        <v>291</v>
      </c>
      <c r="M293">
        <f>'Real Analysis'!$B$3+B293/1000000</f>
        <v>5.8717230000038398</v>
      </c>
      <c r="N293">
        <f t="shared" si="28"/>
        <v>2</v>
      </c>
      <c r="O293">
        <f>IF(ABS(D293)&gt;1,D293/1000000,D293)*'Real Analysis'!$B$4</f>
        <v>-9.9983520000000006E-2</v>
      </c>
      <c r="P293">
        <f>IF(ABS(E293)&gt;1,E293/1000000,E293)*'Real Analysis'!$B$4</f>
        <v>0.12069243</v>
      </c>
      <c r="Q293">
        <f>IF(ABS(F293)&gt;1,F293/1000000,F293)*'Real Analysis'!$B$4</f>
        <v>9.8691837299999996</v>
      </c>
      <c r="R293">
        <f t="shared" si="29"/>
        <v>0</v>
      </c>
      <c r="S293">
        <f t="shared" si="30"/>
        <v>0</v>
      </c>
      <c r="T293">
        <f t="shared" si="31"/>
        <v>0</v>
      </c>
      <c r="U293">
        <f t="shared" si="32"/>
        <v>0</v>
      </c>
    </row>
    <row r="294" spans="1:21" x14ac:dyDescent="0.3">
      <c r="A294" s="4">
        <v>292</v>
      </c>
      <c r="B294" s="4">
        <v>-96586108122</v>
      </c>
      <c r="C294" s="5">
        <v>2</v>
      </c>
      <c r="D294" s="5">
        <v>-1.2154999999999999E-2</v>
      </c>
      <c r="E294" s="5">
        <v>1.2154E-2</v>
      </c>
      <c r="F294" s="5">
        <v>1004103</v>
      </c>
      <c r="G294" s="5">
        <v>0</v>
      </c>
      <c r="H294" s="5">
        <v>0</v>
      </c>
      <c r="I294" s="5">
        <v>0</v>
      </c>
      <c r="J294" s="5">
        <v>0</v>
      </c>
      <c r="L294">
        <f t="shared" si="27"/>
        <v>292</v>
      </c>
      <c r="M294">
        <f>'Real Analysis'!$B$3+B294/1000000</f>
        <v>5.8918779999949038</v>
      </c>
      <c r="N294">
        <f t="shared" si="28"/>
        <v>2</v>
      </c>
      <c r="O294">
        <f>IF(ABS(D294)&gt;1,D294/1000000,D294)*'Real Analysis'!$B$4</f>
        <v>-0.11924055</v>
      </c>
      <c r="P294">
        <f>IF(ABS(E294)&gt;1,E294/1000000,E294)*'Real Analysis'!$B$4</f>
        <v>0.11923074</v>
      </c>
      <c r="Q294">
        <f>IF(ABS(F294)&gt;1,F294/1000000,F294)*'Real Analysis'!$B$4</f>
        <v>9.8502504300000009</v>
      </c>
      <c r="R294">
        <f t="shared" si="29"/>
        <v>0</v>
      </c>
      <c r="S294">
        <f t="shared" si="30"/>
        <v>0</v>
      </c>
      <c r="T294">
        <f t="shared" si="31"/>
        <v>0</v>
      </c>
      <c r="U294">
        <f t="shared" si="32"/>
        <v>0</v>
      </c>
    </row>
    <row r="295" spans="1:21" x14ac:dyDescent="0.3">
      <c r="A295" s="4">
        <v>293</v>
      </c>
      <c r="B295" s="4">
        <v>-96586090536</v>
      </c>
      <c r="C295" s="5">
        <v>2</v>
      </c>
      <c r="D295" s="5">
        <v>-1.2371999999999999E-2</v>
      </c>
      <c r="E295" s="5">
        <v>1.2267999999999999E-2</v>
      </c>
      <c r="F295" s="5">
        <v>1004979</v>
      </c>
      <c r="G295" s="5">
        <v>0</v>
      </c>
      <c r="H295" s="5">
        <v>0</v>
      </c>
      <c r="I295" s="5">
        <v>0</v>
      </c>
      <c r="J295" s="5">
        <v>0</v>
      </c>
      <c r="L295">
        <f t="shared" si="27"/>
        <v>293</v>
      </c>
      <c r="M295">
        <f>'Real Analysis'!$B$3+B295/1000000</f>
        <v>5.9094639999966603</v>
      </c>
      <c r="N295">
        <f t="shared" si="28"/>
        <v>2</v>
      </c>
      <c r="O295">
        <f>IF(ABS(D295)&gt;1,D295/1000000,D295)*'Real Analysis'!$B$4</f>
        <v>-0.12136932</v>
      </c>
      <c r="P295">
        <f>IF(ABS(E295)&gt;1,E295/1000000,E295)*'Real Analysis'!$B$4</f>
        <v>0.12034908</v>
      </c>
      <c r="Q295">
        <f>IF(ABS(F295)&gt;1,F295/1000000,F295)*'Real Analysis'!$B$4</f>
        <v>9.8588439900000004</v>
      </c>
      <c r="R295">
        <f t="shared" si="29"/>
        <v>0</v>
      </c>
      <c r="S295">
        <f t="shared" si="30"/>
        <v>0</v>
      </c>
      <c r="T295">
        <f t="shared" si="31"/>
        <v>0</v>
      </c>
      <c r="U295">
        <f t="shared" si="32"/>
        <v>0</v>
      </c>
    </row>
    <row r="296" spans="1:21" x14ac:dyDescent="0.3">
      <c r="A296" s="4">
        <v>294</v>
      </c>
      <c r="B296" s="4">
        <v>-96586069022</v>
      </c>
      <c r="C296" s="5">
        <v>2</v>
      </c>
      <c r="D296" s="5">
        <v>-1.3073E-2</v>
      </c>
      <c r="E296" s="5">
        <v>1.2376E-2</v>
      </c>
      <c r="F296" s="5">
        <v>1003956</v>
      </c>
      <c r="G296" s="5">
        <v>0</v>
      </c>
      <c r="H296" s="5">
        <v>0</v>
      </c>
      <c r="I296" s="5">
        <v>0</v>
      </c>
      <c r="J296" s="5">
        <v>0</v>
      </c>
      <c r="L296">
        <f t="shared" si="27"/>
        <v>294</v>
      </c>
      <c r="M296">
        <f>'Real Analysis'!$B$3+B296/1000000</f>
        <v>5.9309780000039609</v>
      </c>
      <c r="N296">
        <f t="shared" si="28"/>
        <v>2</v>
      </c>
      <c r="O296">
        <f>IF(ABS(D296)&gt;1,D296/1000000,D296)*'Real Analysis'!$B$4</f>
        <v>-0.12824613000000001</v>
      </c>
      <c r="P296">
        <f>IF(ABS(E296)&gt;1,E296/1000000,E296)*'Real Analysis'!$B$4</f>
        <v>0.12140856</v>
      </c>
      <c r="Q296">
        <f>IF(ABS(F296)&gt;1,F296/1000000,F296)*'Real Analysis'!$B$4</f>
        <v>9.8488083600000014</v>
      </c>
      <c r="R296">
        <f t="shared" si="29"/>
        <v>0</v>
      </c>
      <c r="S296">
        <f t="shared" si="30"/>
        <v>0</v>
      </c>
      <c r="T296">
        <f t="shared" si="31"/>
        <v>0</v>
      </c>
      <c r="U296">
        <f t="shared" si="32"/>
        <v>0</v>
      </c>
    </row>
    <row r="297" spans="1:21" x14ac:dyDescent="0.3">
      <c r="A297" s="4">
        <v>295</v>
      </c>
      <c r="B297" s="4">
        <v>-96586055799</v>
      </c>
      <c r="C297" s="5">
        <v>2</v>
      </c>
      <c r="D297" s="5">
        <v>-1.1499000000000001E-2</v>
      </c>
      <c r="E297" s="5">
        <v>1.2274E-2</v>
      </c>
      <c r="F297" s="5">
        <v>1004192</v>
      </c>
      <c r="G297" s="5">
        <v>0</v>
      </c>
      <c r="H297" s="5">
        <v>0</v>
      </c>
      <c r="I297" s="5">
        <v>0</v>
      </c>
      <c r="J297" s="5">
        <v>0</v>
      </c>
      <c r="L297">
        <f t="shared" si="27"/>
        <v>295</v>
      </c>
      <c r="M297">
        <f>'Real Analysis'!$B$3+B297/1000000</f>
        <v>5.9442010000057053</v>
      </c>
      <c r="N297">
        <f t="shared" si="28"/>
        <v>2</v>
      </c>
      <c r="O297">
        <f>IF(ABS(D297)&gt;1,D297/1000000,D297)*'Real Analysis'!$B$4</f>
        <v>-0.11280519000000001</v>
      </c>
      <c r="P297">
        <f>IF(ABS(E297)&gt;1,E297/1000000,E297)*'Real Analysis'!$B$4</f>
        <v>0.12040794</v>
      </c>
      <c r="Q297">
        <f>IF(ABS(F297)&gt;1,F297/1000000,F297)*'Real Analysis'!$B$4</f>
        <v>9.8511235199999998</v>
      </c>
      <c r="R297">
        <f t="shared" si="29"/>
        <v>0</v>
      </c>
      <c r="S297">
        <f t="shared" si="30"/>
        <v>0</v>
      </c>
      <c r="T297">
        <f t="shared" si="31"/>
        <v>0</v>
      </c>
      <c r="U297">
        <f t="shared" si="32"/>
        <v>0</v>
      </c>
    </row>
    <row r="298" spans="1:21" x14ac:dyDescent="0.3">
      <c r="A298" s="4">
        <v>296</v>
      </c>
      <c r="B298" s="4">
        <v>-96586030869</v>
      </c>
      <c r="C298" s="5">
        <v>2</v>
      </c>
      <c r="D298" s="5">
        <v>-7.8750000000000001E-3</v>
      </c>
      <c r="E298" s="5">
        <v>1.2292000000000001E-2</v>
      </c>
      <c r="F298" s="5">
        <v>1004329</v>
      </c>
      <c r="G298" s="5">
        <v>0</v>
      </c>
      <c r="H298" s="5">
        <v>0</v>
      </c>
      <c r="I298" s="5">
        <v>0</v>
      </c>
      <c r="J298" s="5">
        <v>0</v>
      </c>
      <c r="L298">
        <f t="shared" si="27"/>
        <v>296</v>
      </c>
      <c r="M298">
        <f>'Real Analysis'!$B$3+B298/1000000</f>
        <v>5.9691310000052908</v>
      </c>
      <c r="N298">
        <f t="shared" si="28"/>
        <v>2</v>
      </c>
      <c r="O298">
        <f>IF(ABS(D298)&gt;1,D298/1000000,D298)*'Real Analysis'!$B$4</f>
        <v>-7.725375000000001E-2</v>
      </c>
      <c r="P298">
        <f>IF(ABS(E298)&gt;1,E298/1000000,E298)*'Real Analysis'!$B$4</f>
        <v>0.12058452000000001</v>
      </c>
      <c r="Q298">
        <f>IF(ABS(F298)&gt;1,F298/1000000,F298)*'Real Analysis'!$B$4</f>
        <v>9.8524674900000004</v>
      </c>
      <c r="R298">
        <f t="shared" si="29"/>
        <v>0</v>
      </c>
      <c r="S298">
        <f t="shared" si="30"/>
        <v>0</v>
      </c>
      <c r="T298">
        <f t="shared" si="31"/>
        <v>0</v>
      </c>
      <c r="U298">
        <f t="shared" si="32"/>
        <v>0</v>
      </c>
    </row>
    <row r="299" spans="1:21" x14ac:dyDescent="0.3">
      <c r="A299" s="4">
        <v>297</v>
      </c>
      <c r="B299" s="4">
        <v>-96586010787</v>
      </c>
      <c r="C299" s="5">
        <v>2</v>
      </c>
      <c r="D299" s="5">
        <v>-1.2788000000000001E-2</v>
      </c>
      <c r="E299" s="5">
        <v>1.2204E-2</v>
      </c>
      <c r="F299" s="5">
        <v>1002206</v>
      </c>
      <c r="G299" s="5">
        <v>0</v>
      </c>
      <c r="H299" s="5">
        <v>0</v>
      </c>
      <c r="I299" s="5">
        <v>0</v>
      </c>
      <c r="J299" s="5">
        <v>0</v>
      </c>
      <c r="L299">
        <f t="shared" si="27"/>
        <v>297</v>
      </c>
      <c r="M299">
        <f>'Real Analysis'!$B$3+B299/1000000</f>
        <v>5.9892129999934696</v>
      </c>
      <c r="N299">
        <f t="shared" si="28"/>
        <v>2</v>
      </c>
      <c r="O299">
        <f>IF(ABS(D299)&gt;1,D299/1000000,D299)*'Real Analysis'!$B$4</f>
        <v>-0.12545028000000003</v>
      </c>
      <c r="P299">
        <f>IF(ABS(E299)&gt;1,E299/1000000,E299)*'Real Analysis'!$B$4</f>
        <v>0.11972124000000001</v>
      </c>
      <c r="Q299">
        <f>IF(ABS(F299)&gt;1,F299/1000000,F299)*'Real Analysis'!$B$4</f>
        <v>9.8316408600000003</v>
      </c>
      <c r="R299">
        <f t="shared" si="29"/>
        <v>0</v>
      </c>
      <c r="S299">
        <f t="shared" si="30"/>
        <v>0</v>
      </c>
      <c r="T299">
        <f t="shared" si="31"/>
        <v>0</v>
      </c>
      <c r="U299">
        <f t="shared" si="32"/>
        <v>0</v>
      </c>
    </row>
    <row r="300" spans="1:21" x14ac:dyDescent="0.3">
      <c r="A300" s="4">
        <v>298</v>
      </c>
      <c r="B300" s="4">
        <v>-96585988755</v>
      </c>
      <c r="C300" s="5">
        <v>2</v>
      </c>
      <c r="D300" s="5">
        <v>-6.6750000000000004E-3</v>
      </c>
      <c r="E300" s="5">
        <v>1.2267E-2</v>
      </c>
      <c r="F300" s="5">
        <v>1005079</v>
      </c>
      <c r="G300" s="5">
        <v>0</v>
      </c>
      <c r="H300" s="5">
        <v>0</v>
      </c>
      <c r="I300" s="5">
        <v>0</v>
      </c>
      <c r="J300" s="5">
        <v>0</v>
      </c>
      <c r="L300">
        <f t="shared" si="27"/>
        <v>298</v>
      </c>
      <c r="M300">
        <f>'Real Analysis'!$B$3+B300/1000000</f>
        <v>6.0112450000015087</v>
      </c>
      <c r="N300">
        <f t="shared" si="28"/>
        <v>2</v>
      </c>
      <c r="O300">
        <f>IF(ABS(D300)&gt;1,D300/1000000,D300)*'Real Analysis'!$B$4</f>
        <v>-6.5481750000000005E-2</v>
      </c>
      <c r="P300">
        <f>IF(ABS(E300)&gt;1,E300/1000000,E300)*'Real Analysis'!$B$4</f>
        <v>0.12033927000000001</v>
      </c>
      <c r="Q300">
        <f>IF(ABS(F300)&gt;1,F300/1000000,F300)*'Real Analysis'!$B$4</f>
        <v>9.8598249900000017</v>
      </c>
      <c r="R300">
        <f t="shared" si="29"/>
        <v>0</v>
      </c>
      <c r="S300">
        <f t="shared" si="30"/>
        <v>0</v>
      </c>
      <c r="T300">
        <f t="shared" si="31"/>
        <v>0</v>
      </c>
      <c r="U300">
        <f t="shared" si="32"/>
        <v>0</v>
      </c>
    </row>
    <row r="301" spans="1:21" x14ac:dyDescent="0.3">
      <c r="A301" s="4">
        <v>299</v>
      </c>
      <c r="B301" s="4">
        <v>-96585968334</v>
      </c>
      <c r="C301" s="5">
        <v>2</v>
      </c>
      <c r="D301" s="5">
        <v>-5.5640000000000004E-3</v>
      </c>
      <c r="E301" s="5">
        <v>1.2305E-2</v>
      </c>
      <c r="F301" s="5">
        <v>1003557</v>
      </c>
      <c r="G301" s="5">
        <v>0</v>
      </c>
      <c r="H301" s="5">
        <v>0</v>
      </c>
      <c r="I301" s="5">
        <v>0</v>
      </c>
      <c r="J301" s="5">
        <v>0</v>
      </c>
      <c r="L301">
        <f t="shared" si="27"/>
        <v>299</v>
      </c>
      <c r="M301">
        <f>'Real Analysis'!$B$3+B301/1000000</f>
        <v>6.0316659999953117</v>
      </c>
      <c r="N301">
        <f t="shared" si="28"/>
        <v>2</v>
      </c>
      <c r="O301">
        <f>IF(ABS(D301)&gt;1,D301/1000000,D301)*'Real Analysis'!$B$4</f>
        <v>-5.4582840000000007E-2</v>
      </c>
      <c r="P301">
        <f>IF(ABS(E301)&gt;1,E301/1000000,E301)*'Real Analysis'!$B$4</f>
        <v>0.12071205</v>
      </c>
      <c r="Q301">
        <f>IF(ABS(F301)&gt;1,F301/1000000,F301)*'Real Analysis'!$B$4</f>
        <v>9.8448941700000017</v>
      </c>
      <c r="R301">
        <f t="shared" si="29"/>
        <v>0</v>
      </c>
      <c r="S301">
        <f t="shared" si="30"/>
        <v>0</v>
      </c>
      <c r="T301">
        <f t="shared" si="31"/>
        <v>0</v>
      </c>
      <c r="U301">
        <f t="shared" si="32"/>
        <v>0</v>
      </c>
    </row>
    <row r="302" spans="1:21" x14ac:dyDescent="0.3">
      <c r="A302" s="4">
        <v>300</v>
      </c>
      <c r="B302" s="4">
        <v>-96585950276</v>
      </c>
      <c r="C302" s="5">
        <v>2</v>
      </c>
      <c r="D302" s="5">
        <v>-4.7670000000000004E-3</v>
      </c>
      <c r="E302" s="5">
        <v>1.2395E-2</v>
      </c>
      <c r="F302" s="5">
        <v>1004605</v>
      </c>
      <c r="G302" s="5">
        <v>0</v>
      </c>
      <c r="H302" s="5">
        <v>0</v>
      </c>
      <c r="I302" s="5">
        <v>0</v>
      </c>
      <c r="J302" s="5">
        <v>0</v>
      </c>
      <c r="L302">
        <f t="shared" si="27"/>
        <v>300</v>
      </c>
      <c r="M302">
        <f>'Real Analysis'!$B$3+B302/1000000</f>
        <v>6.049723999996786</v>
      </c>
      <c r="N302">
        <f t="shared" si="28"/>
        <v>2</v>
      </c>
      <c r="O302">
        <f>IF(ABS(D302)&gt;1,D302/1000000,D302)*'Real Analysis'!$B$4</f>
        <v>-4.6764270000000004E-2</v>
      </c>
      <c r="P302">
        <f>IF(ABS(E302)&gt;1,E302/1000000,E302)*'Real Analysis'!$B$4</f>
        <v>0.12159495000000001</v>
      </c>
      <c r="Q302">
        <f>IF(ABS(F302)&gt;1,F302/1000000,F302)*'Real Analysis'!$B$4</f>
        <v>9.8551750499999997</v>
      </c>
      <c r="R302">
        <f t="shared" si="29"/>
        <v>0</v>
      </c>
      <c r="S302">
        <f t="shared" si="30"/>
        <v>0</v>
      </c>
      <c r="T302">
        <f t="shared" si="31"/>
        <v>0</v>
      </c>
      <c r="U302">
        <f t="shared" si="32"/>
        <v>0</v>
      </c>
    </row>
    <row r="303" spans="1:21" x14ac:dyDescent="0.3">
      <c r="A303" s="4">
        <v>301</v>
      </c>
      <c r="B303" s="4">
        <v>-96585929709</v>
      </c>
      <c r="C303" s="5">
        <v>2</v>
      </c>
      <c r="D303" s="5">
        <v>-4.7809999999999997E-3</v>
      </c>
      <c r="E303" s="5">
        <v>1.2321E-2</v>
      </c>
      <c r="F303" s="5">
        <v>1004387</v>
      </c>
      <c r="G303" s="5">
        <v>0</v>
      </c>
      <c r="H303" s="5">
        <v>0</v>
      </c>
      <c r="I303" s="5">
        <v>0</v>
      </c>
      <c r="J303" s="5">
        <v>0</v>
      </c>
      <c r="L303">
        <f t="shared" si="27"/>
        <v>301</v>
      </c>
      <c r="M303">
        <f>'Real Analysis'!$B$3+B303/1000000</f>
        <v>6.0702909999963595</v>
      </c>
      <c r="N303">
        <f t="shared" si="28"/>
        <v>2</v>
      </c>
      <c r="O303">
        <f>IF(ABS(D303)&gt;1,D303/1000000,D303)*'Real Analysis'!$B$4</f>
        <v>-4.6901609999999996E-2</v>
      </c>
      <c r="P303">
        <f>IF(ABS(E303)&gt;1,E303/1000000,E303)*'Real Analysis'!$B$4</f>
        <v>0.12086901000000001</v>
      </c>
      <c r="Q303">
        <f>IF(ABS(F303)&gt;1,F303/1000000,F303)*'Real Analysis'!$B$4</f>
        <v>9.8530364699999993</v>
      </c>
      <c r="R303">
        <f t="shared" si="29"/>
        <v>0</v>
      </c>
      <c r="S303">
        <f t="shared" si="30"/>
        <v>0</v>
      </c>
      <c r="T303">
        <f t="shared" si="31"/>
        <v>0</v>
      </c>
      <c r="U303">
        <f t="shared" si="32"/>
        <v>0</v>
      </c>
    </row>
    <row r="304" spans="1:21" x14ac:dyDescent="0.3">
      <c r="A304" s="4">
        <v>302</v>
      </c>
      <c r="B304" s="4">
        <v>-96585908366</v>
      </c>
      <c r="C304" s="5">
        <v>2</v>
      </c>
      <c r="D304" s="5">
        <v>-8.5030000000000001E-3</v>
      </c>
      <c r="E304" s="5">
        <v>1.2171E-2</v>
      </c>
      <c r="F304" s="5">
        <v>1004323</v>
      </c>
      <c r="G304" s="5">
        <v>0</v>
      </c>
      <c r="H304" s="5">
        <v>0</v>
      </c>
      <c r="I304" s="5">
        <v>0</v>
      </c>
      <c r="J304" s="5">
        <v>0</v>
      </c>
      <c r="L304">
        <f t="shared" si="27"/>
        <v>302</v>
      </c>
      <c r="M304">
        <f>'Real Analysis'!$B$3+B304/1000000</f>
        <v>6.0916339999967022</v>
      </c>
      <c r="N304">
        <f t="shared" si="28"/>
        <v>2</v>
      </c>
      <c r="O304">
        <f>IF(ABS(D304)&gt;1,D304/1000000,D304)*'Real Analysis'!$B$4</f>
        <v>-8.3414430000000012E-2</v>
      </c>
      <c r="P304">
        <f>IF(ABS(E304)&gt;1,E304/1000000,E304)*'Real Analysis'!$B$4</f>
        <v>0.11939751</v>
      </c>
      <c r="Q304">
        <f>IF(ABS(F304)&gt;1,F304/1000000,F304)*'Real Analysis'!$B$4</f>
        <v>9.8524086300000011</v>
      </c>
      <c r="R304">
        <f t="shared" si="29"/>
        <v>0</v>
      </c>
      <c r="S304">
        <f t="shared" si="30"/>
        <v>0</v>
      </c>
      <c r="T304">
        <f t="shared" si="31"/>
        <v>0</v>
      </c>
      <c r="U304">
        <f t="shared" si="32"/>
        <v>0</v>
      </c>
    </row>
    <row r="305" spans="1:21" x14ac:dyDescent="0.3">
      <c r="A305" s="4">
        <v>303</v>
      </c>
      <c r="B305" s="4">
        <v>-96585890139</v>
      </c>
      <c r="C305" s="5">
        <v>2</v>
      </c>
      <c r="D305" s="5">
        <v>-1.3462E-2</v>
      </c>
      <c r="E305" s="5">
        <v>1.2199E-2</v>
      </c>
      <c r="F305" s="5">
        <v>1004123</v>
      </c>
      <c r="G305" s="5">
        <v>0</v>
      </c>
      <c r="H305" s="5">
        <v>0</v>
      </c>
      <c r="I305" s="5">
        <v>0</v>
      </c>
      <c r="J305" s="5">
        <v>0</v>
      </c>
      <c r="L305">
        <f t="shared" si="27"/>
        <v>303</v>
      </c>
      <c r="M305">
        <f>'Real Analysis'!$B$3+B305/1000000</f>
        <v>6.1098610000044573</v>
      </c>
      <c r="N305">
        <f t="shared" si="28"/>
        <v>2</v>
      </c>
      <c r="O305">
        <f>IF(ABS(D305)&gt;1,D305/1000000,D305)*'Real Analysis'!$B$4</f>
        <v>-0.13206222000000001</v>
      </c>
      <c r="P305">
        <f>IF(ABS(E305)&gt;1,E305/1000000,E305)*'Real Analysis'!$B$4</f>
        <v>0.11967219</v>
      </c>
      <c r="Q305">
        <f>IF(ABS(F305)&gt;1,F305/1000000,F305)*'Real Analysis'!$B$4</f>
        <v>9.8504466300000022</v>
      </c>
      <c r="R305">
        <f t="shared" si="29"/>
        <v>0</v>
      </c>
      <c r="S305">
        <f t="shared" si="30"/>
        <v>0</v>
      </c>
      <c r="T305">
        <f t="shared" si="31"/>
        <v>0</v>
      </c>
      <c r="U305">
        <f t="shared" si="32"/>
        <v>0</v>
      </c>
    </row>
    <row r="306" spans="1:21" x14ac:dyDescent="0.3">
      <c r="A306" s="4">
        <v>304</v>
      </c>
      <c r="B306" s="4">
        <v>-96585870303</v>
      </c>
      <c r="C306" s="5">
        <v>2</v>
      </c>
      <c r="D306" s="5">
        <v>-1.2527E-2</v>
      </c>
      <c r="E306" s="5">
        <v>1.2279E-2</v>
      </c>
      <c r="F306" s="5">
        <v>1004165</v>
      </c>
      <c r="G306" s="5">
        <v>0</v>
      </c>
      <c r="H306" s="5">
        <v>0</v>
      </c>
      <c r="I306" s="5">
        <v>0</v>
      </c>
      <c r="J306" s="5">
        <v>0</v>
      </c>
      <c r="L306">
        <f t="shared" si="27"/>
        <v>304</v>
      </c>
      <c r="M306">
        <f>'Real Analysis'!$B$3+B306/1000000</f>
        <v>6.1296969999966677</v>
      </c>
      <c r="N306">
        <f t="shared" si="28"/>
        <v>2</v>
      </c>
      <c r="O306">
        <f>IF(ABS(D306)&gt;1,D306/1000000,D306)*'Real Analysis'!$B$4</f>
        <v>-0.12288987000000001</v>
      </c>
      <c r="P306">
        <f>IF(ABS(E306)&gt;1,E306/1000000,E306)*'Real Analysis'!$B$4</f>
        <v>0.12045699</v>
      </c>
      <c r="Q306">
        <f>IF(ABS(F306)&gt;1,F306/1000000,F306)*'Real Analysis'!$B$4</f>
        <v>9.850858650000001</v>
      </c>
      <c r="R306">
        <f t="shared" si="29"/>
        <v>0</v>
      </c>
      <c r="S306">
        <f t="shared" si="30"/>
        <v>0</v>
      </c>
      <c r="T306">
        <f t="shared" si="31"/>
        <v>0</v>
      </c>
      <c r="U306">
        <f t="shared" si="32"/>
        <v>0</v>
      </c>
    </row>
    <row r="307" spans="1:21" x14ac:dyDescent="0.3">
      <c r="A307" s="4">
        <v>305</v>
      </c>
      <c r="B307" s="4">
        <v>-96585852621</v>
      </c>
      <c r="C307" s="5">
        <v>2</v>
      </c>
      <c r="D307" s="5">
        <v>-9.3369999999999998E-3</v>
      </c>
      <c r="E307" s="5">
        <v>1.2375000000000001E-2</v>
      </c>
      <c r="F307" s="5">
        <v>1004265</v>
      </c>
      <c r="G307" s="5">
        <v>0</v>
      </c>
      <c r="H307" s="5">
        <v>0</v>
      </c>
      <c r="I307" s="5">
        <v>0</v>
      </c>
      <c r="J307" s="5">
        <v>0</v>
      </c>
      <c r="L307">
        <f t="shared" si="27"/>
        <v>305</v>
      </c>
      <c r="M307">
        <f>'Real Analysis'!$B$3+B307/1000000</f>
        <v>6.1473790000018198</v>
      </c>
      <c r="N307">
        <f t="shared" si="28"/>
        <v>2</v>
      </c>
      <c r="O307">
        <f>IF(ABS(D307)&gt;1,D307/1000000,D307)*'Real Analysis'!$B$4</f>
        <v>-9.1595969999999999E-2</v>
      </c>
      <c r="P307">
        <f>IF(ABS(E307)&gt;1,E307/1000000,E307)*'Real Analysis'!$B$4</f>
        <v>0.12139875000000001</v>
      </c>
      <c r="Q307">
        <f>IF(ABS(F307)&gt;1,F307/1000000,F307)*'Real Analysis'!$B$4</f>
        <v>9.8518396500000005</v>
      </c>
      <c r="R307">
        <f t="shared" si="29"/>
        <v>0</v>
      </c>
      <c r="S307">
        <f t="shared" si="30"/>
        <v>0</v>
      </c>
      <c r="T307">
        <f t="shared" si="31"/>
        <v>0</v>
      </c>
      <c r="U307">
        <f t="shared" si="32"/>
        <v>0</v>
      </c>
    </row>
    <row r="308" spans="1:21" x14ac:dyDescent="0.3">
      <c r="A308" s="4">
        <v>306</v>
      </c>
      <c r="B308" s="4">
        <v>-96585829483</v>
      </c>
      <c r="C308" s="5">
        <v>2</v>
      </c>
      <c r="D308" s="5">
        <v>-5.2979999999999998E-3</v>
      </c>
      <c r="E308" s="5">
        <v>1.2342000000000001E-2</v>
      </c>
      <c r="F308" s="5">
        <v>1004421</v>
      </c>
      <c r="G308" s="5">
        <v>0</v>
      </c>
      <c r="H308" s="5">
        <v>0</v>
      </c>
      <c r="I308" s="5">
        <v>0</v>
      </c>
      <c r="J308" s="5">
        <v>0</v>
      </c>
      <c r="L308">
        <f t="shared" si="27"/>
        <v>306</v>
      </c>
      <c r="M308">
        <f>'Real Analysis'!$B$3+B308/1000000</f>
        <v>6.1705170000059297</v>
      </c>
      <c r="N308">
        <f t="shared" si="28"/>
        <v>2</v>
      </c>
      <c r="O308">
        <f>IF(ABS(D308)&gt;1,D308/1000000,D308)*'Real Analysis'!$B$4</f>
        <v>-5.197338E-2</v>
      </c>
      <c r="P308">
        <f>IF(ABS(E308)&gt;1,E308/1000000,E308)*'Real Analysis'!$B$4</f>
        <v>0.12107502000000001</v>
      </c>
      <c r="Q308">
        <f>IF(ABS(F308)&gt;1,F308/1000000,F308)*'Real Analysis'!$B$4</f>
        <v>9.8533700100000008</v>
      </c>
      <c r="R308">
        <f t="shared" si="29"/>
        <v>0</v>
      </c>
      <c r="S308">
        <f t="shared" si="30"/>
        <v>0</v>
      </c>
      <c r="T308">
        <f t="shared" si="31"/>
        <v>0</v>
      </c>
      <c r="U308">
        <f t="shared" si="32"/>
        <v>0</v>
      </c>
    </row>
    <row r="309" spans="1:21" x14ac:dyDescent="0.3">
      <c r="A309" s="4">
        <v>307</v>
      </c>
      <c r="B309" s="4">
        <v>-96585808927</v>
      </c>
      <c r="C309" s="5">
        <v>2</v>
      </c>
      <c r="D309" s="5">
        <v>-1.4482E-2</v>
      </c>
      <c r="E309" s="5">
        <v>8.7039999999999999E-3</v>
      </c>
      <c r="F309" s="5">
        <v>1004079</v>
      </c>
      <c r="G309" s="5">
        <v>0</v>
      </c>
      <c r="H309" s="5">
        <v>0</v>
      </c>
      <c r="I309" s="5">
        <v>0</v>
      </c>
      <c r="J309" s="5">
        <v>0</v>
      </c>
      <c r="L309">
        <f t="shared" si="27"/>
        <v>307</v>
      </c>
      <c r="M309">
        <f>'Real Analysis'!$B$3+B309/1000000</f>
        <v>6.1910729999945033</v>
      </c>
      <c r="N309">
        <f t="shared" si="28"/>
        <v>2</v>
      </c>
      <c r="O309">
        <f>IF(ABS(D309)&gt;1,D309/1000000,D309)*'Real Analysis'!$B$4</f>
        <v>-0.14206842</v>
      </c>
      <c r="P309">
        <f>IF(ABS(E309)&gt;1,E309/1000000,E309)*'Real Analysis'!$B$4</f>
        <v>8.5386240000000002E-2</v>
      </c>
      <c r="Q309">
        <f>IF(ABS(F309)&gt;1,F309/1000000,F309)*'Real Analysis'!$B$4</f>
        <v>9.85001499</v>
      </c>
      <c r="R309">
        <f t="shared" si="29"/>
        <v>0</v>
      </c>
      <c r="S309">
        <f t="shared" si="30"/>
        <v>0</v>
      </c>
      <c r="T309">
        <f t="shared" si="31"/>
        <v>0</v>
      </c>
      <c r="U309">
        <f t="shared" si="32"/>
        <v>0</v>
      </c>
    </row>
    <row r="310" spans="1:21" x14ac:dyDescent="0.3">
      <c r="A310" s="4">
        <v>308</v>
      </c>
      <c r="B310" s="4">
        <v>-96585788705</v>
      </c>
      <c r="C310" s="5">
        <v>2</v>
      </c>
      <c r="D310" s="5">
        <v>-1.273E-2</v>
      </c>
      <c r="E310" s="5">
        <v>8.1949999999999992E-3</v>
      </c>
      <c r="F310" s="5">
        <v>1004150</v>
      </c>
      <c r="G310" s="5">
        <v>0</v>
      </c>
      <c r="H310" s="5">
        <v>0</v>
      </c>
      <c r="I310" s="5">
        <v>0</v>
      </c>
      <c r="J310" s="5">
        <v>0</v>
      </c>
      <c r="L310">
        <f t="shared" si="27"/>
        <v>308</v>
      </c>
      <c r="M310">
        <f>'Real Analysis'!$B$3+B310/1000000</f>
        <v>6.2112950000009732</v>
      </c>
      <c r="N310">
        <f t="shared" si="28"/>
        <v>2</v>
      </c>
      <c r="O310">
        <f>IF(ABS(D310)&gt;1,D310/1000000,D310)*'Real Analysis'!$B$4</f>
        <v>-0.1248813</v>
      </c>
      <c r="P310">
        <f>IF(ABS(E310)&gt;1,E310/1000000,E310)*'Real Analysis'!$B$4</f>
        <v>8.0392949999999991E-2</v>
      </c>
      <c r="Q310">
        <f>IF(ABS(F310)&gt;1,F310/1000000,F310)*'Real Analysis'!$B$4</f>
        <v>9.850711500000001</v>
      </c>
      <c r="R310">
        <f t="shared" si="29"/>
        <v>0</v>
      </c>
      <c r="S310">
        <f t="shared" si="30"/>
        <v>0</v>
      </c>
      <c r="T310">
        <f t="shared" si="31"/>
        <v>0</v>
      </c>
      <c r="U310">
        <f t="shared" si="32"/>
        <v>0</v>
      </c>
    </row>
    <row r="311" spans="1:21" x14ac:dyDescent="0.3">
      <c r="A311" s="4">
        <v>309</v>
      </c>
      <c r="B311" s="4">
        <v>-96585767501</v>
      </c>
      <c r="C311" s="5">
        <v>2</v>
      </c>
      <c r="D311" s="5">
        <v>-1.2477E-2</v>
      </c>
      <c r="E311" s="5">
        <v>1.4697E-2</v>
      </c>
      <c r="F311" s="5">
        <v>1004146</v>
      </c>
      <c r="G311" s="5">
        <v>0</v>
      </c>
      <c r="H311" s="5">
        <v>0</v>
      </c>
      <c r="I311" s="5">
        <v>0</v>
      </c>
      <c r="J311" s="5">
        <v>0</v>
      </c>
      <c r="L311">
        <f t="shared" si="27"/>
        <v>309</v>
      </c>
      <c r="M311">
        <f>'Real Analysis'!$B$3+B311/1000000</f>
        <v>6.2324990000051912</v>
      </c>
      <c r="N311">
        <f t="shared" si="28"/>
        <v>2</v>
      </c>
      <c r="O311">
        <f>IF(ABS(D311)&gt;1,D311/1000000,D311)*'Real Analysis'!$B$4</f>
        <v>-0.12239937000000001</v>
      </c>
      <c r="P311">
        <f>IF(ABS(E311)&gt;1,E311/1000000,E311)*'Real Analysis'!$B$4</f>
        <v>0.14417757</v>
      </c>
      <c r="Q311">
        <f>IF(ABS(F311)&gt;1,F311/1000000,F311)*'Real Analysis'!$B$4</f>
        <v>9.8506722599999996</v>
      </c>
      <c r="R311">
        <f t="shared" si="29"/>
        <v>0</v>
      </c>
      <c r="S311">
        <f t="shared" si="30"/>
        <v>0</v>
      </c>
      <c r="T311">
        <f t="shared" si="31"/>
        <v>0</v>
      </c>
      <c r="U311">
        <f t="shared" si="32"/>
        <v>0</v>
      </c>
    </row>
    <row r="312" spans="1:21" x14ac:dyDescent="0.3">
      <c r="A312" s="4">
        <v>310</v>
      </c>
      <c r="B312" s="4">
        <v>-96585753069</v>
      </c>
      <c r="C312" s="5">
        <v>2</v>
      </c>
      <c r="D312" s="5">
        <v>-1.2933999999999999E-2</v>
      </c>
      <c r="E312" s="5">
        <v>1.1797E-2</v>
      </c>
      <c r="F312" s="5">
        <v>1004134</v>
      </c>
      <c r="G312" s="5">
        <v>0</v>
      </c>
      <c r="H312" s="5">
        <v>0</v>
      </c>
      <c r="I312" s="5">
        <v>0</v>
      </c>
      <c r="J312" s="5">
        <v>0</v>
      </c>
      <c r="L312">
        <f t="shared" si="27"/>
        <v>310</v>
      </c>
      <c r="M312">
        <f>'Real Analysis'!$B$3+B312/1000000</f>
        <v>6.2469310000014957</v>
      </c>
      <c r="N312">
        <f t="shared" si="28"/>
        <v>2</v>
      </c>
      <c r="O312">
        <f>IF(ABS(D312)&gt;1,D312/1000000,D312)*'Real Analysis'!$B$4</f>
        <v>-0.12688253999999999</v>
      </c>
      <c r="P312">
        <f>IF(ABS(E312)&gt;1,E312/1000000,E312)*'Real Analysis'!$B$4</f>
        <v>0.11572857</v>
      </c>
      <c r="Q312">
        <f>IF(ABS(F312)&gt;1,F312/1000000,F312)*'Real Analysis'!$B$4</f>
        <v>9.850554540000001</v>
      </c>
      <c r="R312">
        <f t="shared" si="29"/>
        <v>0</v>
      </c>
      <c r="S312">
        <f t="shared" si="30"/>
        <v>0</v>
      </c>
      <c r="T312">
        <f t="shared" si="31"/>
        <v>0</v>
      </c>
      <c r="U312">
        <f t="shared" si="32"/>
        <v>0</v>
      </c>
    </row>
    <row r="313" spans="1:21" x14ac:dyDescent="0.3">
      <c r="A313" s="4">
        <v>311</v>
      </c>
      <c r="B313" s="4">
        <v>-96585732139</v>
      </c>
      <c r="C313" s="5">
        <v>2</v>
      </c>
      <c r="D313" s="5">
        <v>-1.2807000000000001E-2</v>
      </c>
      <c r="E313" s="5">
        <v>1.2179000000000001E-2</v>
      </c>
      <c r="F313" s="5">
        <v>1002575</v>
      </c>
      <c r="G313" s="5">
        <v>0</v>
      </c>
      <c r="H313" s="5">
        <v>0</v>
      </c>
      <c r="I313" s="5">
        <v>0</v>
      </c>
      <c r="J313" s="5">
        <v>0</v>
      </c>
      <c r="L313">
        <f t="shared" si="27"/>
        <v>311</v>
      </c>
      <c r="M313">
        <f>'Real Analysis'!$B$3+B313/1000000</f>
        <v>6.2678610000002664</v>
      </c>
      <c r="N313">
        <f t="shared" si="28"/>
        <v>2</v>
      </c>
      <c r="O313">
        <f>IF(ABS(D313)&gt;1,D313/1000000,D313)*'Real Analysis'!$B$4</f>
        <v>-0.12563667000000001</v>
      </c>
      <c r="P313">
        <f>IF(ABS(E313)&gt;1,E313/1000000,E313)*'Real Analysis'!$B$4</f>
        <v>0.11947599000000002</v>
      </c>
      <c r="Q313">
        <f>IF(ABS(F313)&gt;1,F313/1000000,F313)*'Real Analysis'!$B$4</f>
        <v>9.8352607499999998</v>
      </c>
      <c r="R313">
        <f t="shared" si="29"/>
        <v>0</v>
      </c>
      <c r="S313">
        <f t="shared" si="30"/>
        <v>0</v>
      </c>
      <c r="T313">
        <f t="shared" si="31"/>
        <v>0</v>
      </c>
      <c r="U313">
        <f t="shared" si="32"/>
        <v>0</v>
      </c>
    </row>
    <row r="314" spans="1:21" x14ac:dyDescent="0.3">
      <c r="A314" s="4">
        <v>312</v>
      </c>
      <c r="B314" s="4">
        <v>-96585713552</v>
      </c>
      <c r="C314" s="5">
        <v>2</v>
      </c>
      <c r="D314" s="5">
        <v>-1.1113E-2</v>
      </c>
      <c r="E314" s="5">
        <v>1.2159E-2</v>
      </c>
      <c r="F314" s="5">
        <v>0.99490400000000001</v>
      </c>
      <c r="G314" s="5">
        <v>0</v>
      </c>
      <c r="H314" s="5">
        <v>0</v>
      </c>
      <c r="I314" s="5">
        <v>0</v>
      </c>
      <c r="J314" s="5">
        <v>0</v>
      </c>
      <c r="L314">
        <f t="shared" si="27"/>
        <v>312</v>
      </c>
      <c r="M314">
        <f>'Real Analysis'!$B$3+B314/1000000</f>
        <v>6.2864479999989271</v>
      </c>
      <c r="N314">
        <f t="shared" si="28"/>
        <v>2</v>
      </c>
      <c r="O314">
        <f>IF(ABS(D314)&gt;1,D314/1000000,D314)*'Real Analysis'!$B$4</f>
        <v>-0.10901853</v>
      </c>
      <c r="P314">
        <f>IF(ABS(E314)&gt;1,E314/1000000,E314)*'Real Analysis'!$B$4</f>
        <v>0.11927979</v>
      </c>
      <c r="Q314">
        <f>IF(ABS(F314)&gt;1,F314/1000000,F314)*'Real Analysis'!$B$4</f>
        <v>9.7600082400000012</v>
      </c>
      <c r="R314">
        <f t="shared" si="29"/>
        <v>0</v>
      </c>
      <c r="S314">
        <f t="shared" si="30"/>
        <v>0</v>
      </c>
      <c r="T314">
        <f t="shared" si="31"/>
        <v>0</v>
      </c>
      <c r="U314">
        <f t="shared" si="32"/>
        <v>0</v>
      </c>
    </row>
    <row r="315" spans="1:21" x14ac:dyDescent="0.3">
      <c r="A315" s="4">
        <v>313</v>
      </c>
      <c r="B315" s="4">
        <v>-96585687316</v>
      </c>
      <c r="C315" s="5">
        <v>2</v>
      </c>
      <c r="D315" s="5">
        <v>-4.333E-3</v>
      </c>
      <c r="E315" s="5">
        <v>1.2252000000000001E-2</v>
      </c>
      <c r="F315" s="5">
        <v>0.99940499999999999</v>
      </c>
      <c r="G315" s="5">
        <v>0</v>
      </c>
      <c r="H315" s="5">
        <v>0</v>
      </c>
      <c r="I315" s="5">
        <v>0</v>
      </c>
      <c r="J315" s="5">
        <v>0</v>
      </c>
      <c r="L315">
        <f t="shared" si="27"/>
        <v>313</v>
      </c>
      <c r="M315">
        <f>'Real Analysis'!$B$3+B315/1000000</f>
        <v>6.3126840000040829</v>
      </c>
      <c r="N315">
        <f t="shared" si="28"/>
        <v>2</v>
      </c>
      <c r="O315">
        <f>IF(ABS(D315)&gt;1,D315/1000000,D315)*'Real Analysis'!$B$4</f>
        <v>-4.250673E-2</v>
      </c>
      <c r="P315">
        <f>IF(ABS(E315)&gt;1,E315/1000000,E315)*'Real Analysis'!$B$4</f>
        <v>0.12019212000000001</v>
      </c>
      <c r="Q315">
        <f>IF(ABS(F315)&gt;1,F315/1000000,F315)*'Real Analysis'!$B$4</f>
        <v>9.8041630499999997</v>
      </c>
      <c r="R315">
        <f t="shared" si="29"/>
        <v>0</v>
      </c>
      <c r="S315">
        <f t="shared" si="30"/>
        <v>0</v>
      </c>
      <c r="T315">
        <f t="shared" si="31"/>
        <v>0</v>
      </c>
      <c r="U315">
        <f t="shared" si="32"/>
        <v>0</v>
      </c>
    </row>
    <row r="316" spans="1:21" x14ac:dyDescent="0.3">
      <c r="A316" s="4">
        <v>314</v>
      </c>
      <c r="B316" s="4">
        <v>-96585667805</v>
      </c>
      <c r="C316" s="5">
        <v>2</v>
      </c>
      <c r="D316" s="5">
        <v>-4.5659999999999997E-3</v>
      </c>
      <c r="E316" s="5">
        <v>1.2338E-2</v>
      </c>
      <c r="F316" s="5">
        <v>1005166</v>
      </c>
      <c r="G316" s="5">
        <v>0</v>
      </c>
      <c r="H316" s="5">
        <v>0</v>
      </c>
      <c r="I316" s="5">
        <v>0</v>
      </c>
      <c r="J316" s="5">
        <v>0</v>
      </c>
      <c r="L316">
        <f t="shared" si="27"/>
        <v>314</v>
      </c>
      <c r="M316">
        <f>'Real Analysis'!$B$3+B316/1000000</f>
        <v>6.3321949999954086</v>
      </c>
      <c r="N316">
        <f t="shared" si="28"/>
        <v>2</v>
      </c>
      <c r="O316">
        <f>IF(ABS(D316)&gt;1,D316/1000000,D316)*'Real Analysis'!$B$4</f>
        <v>-4.4792459999999999E-2</v>
      </c>
      <c r="P316">
        <f>IF(ABS(E316)&gt;1,E316/1000000,E316)*'Real Analysis'!$B$4</f>
        <v>0.12103578000000001</v>
      </c>
      <c r="Q316">
        <f>IF(ABS(F316)&gt;1,F316/1000000,F316)*'Real Analysis'!$B$4</f>
        <v>9.8606784600000008</v>
      </c>
      <c r="R316">
        <f t="shared" si="29"/>
        <v>0</v>
      </c>
      <c r="S316">
        <f t="shared" si="30"/>
        <v>0</v>
      </c>
      <c r="T316">
        <f t="shared" si="31"/>
        <v>0</v>
      </c>
      <c r="U316">
        <f t="shared" si="32"/>
        <v>0</v>
      </c>
    </row>
    <row r="317" spans="1:21" x14ac:dyDescent="0.3">
      <c r="A317" s="4">
        <v>315</v>
      </c>
      <c r="B317" s="4">
        <v>-96585648489</v>
      </c>
      <c r="C317" s="5">
        <v>2</v>
      </c>
      <c r="D317" s="5">
        <v>-8.6169999999999997E-3</v>
      </c>
      <c r="E317" s="5">
        <v>1.2295E-2</v>
      </c>
      <c r="F317" s="5">
        <v>1004767</v>
      </c>
      <c r="G317" s="5">
        <v>0</v>
      </c>
      <c r="H317" s="5">
        <v>0</v>
      </c>
      <c r="I317" s="5">
        <v>0</v>
      </c>
      <c r="J317" s="5">
        <v>0</v>
      </c>
      <c r="L317">
        <f t="shared" si="27"/>
        <v>315</v>
      </c>
      <c r="M317">
        <f>'Real Analysis'!$B$3+B317/1000000</f>
        <v>6.3515110000007553</v>
      </c>
      <c r="N317">
        <f t="shared" si="28"/>
        <v>2</v>
      </c>
      <c r="O317">
        <f>IF(ABS(D317)&gt;1,D317/1000000,D317)*'Real Analysis'!$B$4</f>
        <v>-8.4532770000000007E-2</v>
      </c>
      <c r="P317">
        <f>IF(ABS(E317)&gt;1,E317/1000000,E317)*'Real Analysis'!$B$4</f>
        <v>0.12061395000000001</v>
      </c>
      <c r="Q317">
        <f>IF(ABS(F317)&gt;1,F317/1000000,F317)*'Real Analysis'!$B$4</f>
        <v>9.8567642699999993</v>
      </c>
      <c r="R317">
        <f t="shared" si="29"/>
        <v>0</v>
      </c>
      <c r="S317">
        <f t="shared" si="30"/>
        <v>0</v>
      </c>
      <c r="T317">
        <f t="shared" si="31"/>
        <v>0</v>
      </c>
      <c r="U317">
        <f t="shared" si="32"/>
        <v>0</v>
      </c>
    </row>
    <row r="318" spans="1:21" x14ac:dyDescent="0.3">
      <c r="A318" s="4">
        <v>316</v>
      </c>
      <c r="B318" s="4">
        <v>-96585633306</v>
      </c>
      <c r="C318" s="5">
        <v>2</v>
      </c>
      <c r="D318" s="5">
        <v>-4.2059999999999997E-3</v>
      </c>
      <c r="E318" s="5">
        <v>1.2258E-2</v>
      </c>
      <c r="F318" s="5">
        <v>1004457</v>
      </c>
      <c r="G318" s="5">
        <v>0</v>
      </c>
      <c r="H318" s="5">
        <v>0</v>
      </c>
      <c r="I318" s="5">
        <v>0</v>
      </c>
      <c r="J318" s="5">
        <v>0</v>
      </c>
      <c r="L318">
        <f t="shared" si="27"/>
        <v>316</v>
      </c>
      <c r="M318">
        <f>'Real Analysis'!$B$3+B318/1000000</f>
        <v>6.3666939999966417</v>
      </c>
      <c r="N318">
        <f t="shared" si="28"/>
        <v>2</v>
      </c>
      <c r="O318">
        <f>IF(ABS(D318)&gt;1,D318/1000000,D318)*'Real Analysis'!$B$4</f>
        <v>-4.1260859999999996E-2</v>
      </c>
      <c r="P318">
        <f>IF(ABS(E318)&gt;1,E318/1000000,E318)*'Real Analysis'!$B$4</f>
        <v>0.12025098000000001</v>
      </c>
      <c r="Q318">
        <f>IF(ABS(F318)&gt;1,F318/1000000,F318)*'Real Analysis'!$B$4</f>
        <v>9.8537231700000003</v>
      </c>
      <c r="R318">
        <f t="shared" si="29"/>
        <v>0</v>
      </c>
      <c r="S318">
        <f t="shared" si="30"/>
        <v>0</v>
      </c>
      <c r="T318">
        <f t="shared" si="31"/>
        <v>0</v>
      </c>
      <c r="U318">
        <f t="shared" si="32"/>
        <v>0</v>
      </c>
    </row>
    <row r="319" spans="1:21" x14ac:dyDescent="0.3">
      <c r="A319" s="4">
        <v>317</v>
      </c>
      <c r="B319" s="4">
        <v>-96585617487</v>
      </c>
      <c r="C319" s="5">
        <v>2</v>
      </c>
      <c r="D319" s="5">
        <v>-4.6969999999999998E-3</v>
      </c>
      <c r="E319" s="5">
        <v>1.2300999999999999E-2</v>
      </c>
      <c r="F319" s="5">
        <v>1006422</v>
      </c>
      <c r="G319" s="5">
        <v>0</v>
      </c>
      <c r="H319" s="5">
        <v>0</v>
      </c>
      <c r="I319" s="5">
        <v>0</v>
      </c>
      <c r="J319" s="5">
        <v>0</v>
      </c>
      <c r="L319">
        <f t="shared" si="27"/>
        <v>317</v>
      </c>
      <c r="M319">
        <f>'Real Analysis'!$B$3+B319/1000000</f>
        <v>6.3825130000041099</v>
      </c>
      <c r="N319">
        <f t="shared" si="28"/>
        <v>2</v>
      </c>
      <c r="O319">
        <f>IF(ABS(D319)&gt;1,D319/1000000,D319)*'Real Analysis'!$B$4</f>
        <v>-4.6077569999999998E-2</v>
      </c>
      <c r="P319">
        <f>IF(ABS(E319)&gt;1,E319/1000000,E319)*'Real Analysis'!$B$4</f>
        <v>0.12067281000000001</v>
      </c>
      <c r="Q319">
        <f>IF(ABS(F319)&gt;1,F319/1000000,F319)*'Real Analysis'!$B$4</f>
        <v>9.8729998200000004</v>
      </c>
      <c r="R319">
        <f t="shared" si="29"/>
        <v>0</v>
      </c>
      <c r="S319">
        <f t="shared" si="30"/>
        <v>0</v>
      </c>
      <c r="T319">
        <f t="shared" si="31"/>
        <v>0</v>
      </c>
      <c r="U319">
        <f t="shared" si="32"/>
        <v>0</v>
      </c>
    </row>
    <row r="320" spans="1:21" x14ac:dyDescent="0.3">
      <c r="A320" s="4">
        <v>318</v>
      </c>
      <c r="B320" s="4">
        <v>-96585588270</v>
      </c>
      <c r="C320" s="5">
        <v>2</v>
      </c>
      <c r="D320" s="5">
        <v>-5.3080000000000002E-3</v>
      </c>
      <c r="E320" s="5">
        <v>1.235E-2</v>
      </c>
      <c r="F320" s="5">
        <v>1005057</v>
      </c>
      <c r="G320" s="5">
        <v>0</v>
      </c>
      <c r="H320" s="5">
        <v>0</v>
      </c>
      <c r="I320" s="5">
        <v>0</v>
      </c>
      <c r="J320" s="5">
        <v>0</v>
      </c>
      <c r="L320">
        <f t="shared" si="27"/>
        <v>318</v>
      </c>
      <c r="M320">
        <f>'Real Analysis'!$B$3+B320/1000000</f>
        <v>6.4117300000070827</v>
      </c>
      <c r="N320">
        <f t="shared" si="28"/>
        <v>2</v>
      </c>
      <c r="O320">
        <f>IF(ABS(D320)&gt;1,D320/1000000,D320)*'Real Analysis'!$B$4</f>
        <v>-5.2071480000000003E-2</v>
      </c>
      <c r="P320">
        <f>IF(ABS(E320)&gt;1,E320/1000000,E320)*'Real Analysis'!$B$4</f>
        <v>0.12115350000000001</v>
      </c>
      <c r="Q320">
        <f>IF(ABS(F320)&gt;1,F320/1000000,F320)*'Real Analysis'!$B$4</f>
        <v>9.8596091700000006</v>
      </c>
      <c r="R320">
        <f t="shared" si="29"/>
        <v>0</v>
      </c>
      <c r="S320">
        <f t="shared" si="30"/>
        <v>0</v>
      </c>
      <c r="T320">
        <f t="shared" si="31"/>
        <v>0</v>
      </c>
      <c r="U320">
        <f t="shared" si="32"/>
        <v>0</v>
      </c>
    </row>
    <row r="321" spans="1:21" x14ac:dyDescent="0.3">
      <c r="A321" s="4">
        <v>319</v>
      </c>
      <c r="B321" s="4">
        <v>-96585571285</v>
      </c>
      <c r="C321" s="5">
        <v>2</v>
      </c>
      <c r="D321" s="5">
        <v>-6.5459999999999997E-3</v>
      </c>
      <c r="E321" s="5">
        <v>1.2194E-2</v>
      </c>
      <c r="F321" s="5">
        <v>1002082</v>
      </c>
      <c r="G321" s="5">
        <v>0</v>
      </c>
      <c r="H321" s="5">
        <v>0</v>
      </c>
      <c r="I321" s="5">
        <v>0</v>
      </c>
      <c r="J321" s="5">
        <v>0</v>
      </c>
      <c r="L321">
        <f t="shared" si="27"/>
        <v>319</v>
      </c>
      <c r="M321">
        <f>'Real Analysis'!$B$3+B321/1000000</f>
        <v>6.42871500000183</v>
      </c>
      <c r="N321">
        <f t="shared" si="28"/>
        <v>2</v>
      </c>
      <c r="O321">
        <f>IF(ABS(D321)&gt;1,D321/1000000,D321)*'Real Analysis'!$B$4</f>
        <v>-6.4216259999999997E-2</v>
      </c>
      <c r="P321">
        <f>IF(ABS(E321)&gt;1,E321/1000000,E321)*'Real Analysis'!$B$4</f>
        <v>0.11962314</v>
      </c>
      <c r="Q321">
        <f>IF(ABS(F321)&gt;1,F321/1000000,F321)*'Real Analysis'!$B$4</f>
        <v>9.8304244199999999</v>
      </c>
      <c r="R321">
        <f t="shared" si="29"/>
        <v>0</v>
      </c>
      <c r="S321">
        <f t="shared" si="30"/>
        <v>0</v>
      </c>
      <c r="T321">
        <f t="shared" si="31"/>
        <v>0</v>
      </c>
      <c r="U321">
        <f t="shared" si="32"/>
        <v>0</v>
      </c>
    </row>
    <row r="322" spans="1:21" x14ac:dyDescent="0.3">
      <c r="A322" s="4">
        <v>320</v>
      </c>
      <c r="B322" s="4">
        <v>-96585552685</v>
      </c>
      <c r="C322" s="5">
        <v>2</v>
      </c>
      <c r="D322" s="5">
        <v>-1.4075000000000001E-2</v>
      </c>
      <c r="E322" s="5">
        <v>1.2218E-2</v>
      </c>
      <c r="F322" s="5">
        <v>1005056</v>
      </c>
      <c r="G322" s="5">
        <v>0</v>
      </c>
      <c r="H322" s="5">
        <v>0</v>
      </c>
      <c r="I322" s="5">
        <v>0</v>
      </c>
      <c r="J322" s="5">
        <v>0</v>
      </c>
      <c r="L322">
        <f t="shared" si="27"/>
        <v>320</v>
      </c>
      <c r="M322">
        <f>'Real Analysis'!$B$3+B322/1000000</f>
        <v>6.4473149999976158</v>
      </c>
      <c r="N322">
        <f t="shared" si="28"/>
        <v>2</v>
      </c>
      <c r="O322">
        <f>IF(ABS(D322)&gt;1,D322/1000000,D322)*'Real Analysis'!$B$4</f>
        <v>-0.13807575000000002</v>
      </c>
      <c r="P322">
        <f>IF(ABS(E322)&gt;1,E322/1000000,E322)*'Real Analysis'!$B$4</f>
        <v>0.11985858000000001</v>
      </c>
      <c r="Q322">
        <f>IF(ABS(F322)&gt;1,F322/1000000,F322)*'Real Analysis'!$B$4</f>
        <v>9.8595993600000007</v>
      </c>
      <c r="R322">
        <f t="shared" si="29"/>
        <v>0</v>
      </c>
      <c r="S322">
        <f t="shared" si="30"/>
        <v>0</v>
      </c>
      <c r="T322">
        <f t="shared" si="31"/>
        <v>0</v>
      </c>
      <c r="U322">
        <f t="shared" si="32"/>
        <v>0</v>
      </c>
    </row>
    <row r="323" spans="1:21" x14ac:dyDescent="0.3">
      <c r="A323" s="4">
        <v>321</v>
      </c>
      <c r="B323" s="4">
        <v>-96585532798</v>
      </c>
      <c r="C323" s="5">
        <v>2</v>
      </c>
      <c r="D323" s="5">
        <v>-1.2478E-2</v>
      </c>
      <c r="E323" s="5">
        <v>1.2378999999999999E-2</v>
      </c>
      <c r="F323" s="5">
        <v>1004777</v>
      </c>
      <c r="G323" s="5">
        <v>0</v>
      </c>
      <c r="H323" s="5">
        <v>0</v>
      </c>
      <c r="I323" s="5">
        <v>0</v>
      </c>
      <c r="J323" s="5">
        <v>0</v>
      </c>
      <c r="L323">
        <f t="shared" ref="L323:L386" si="33">A323</f>
        <v>321</v>
      </c>
      <c r="M323">
        <f>'Real Analysis'!$B$3+B323/1000000</f>
        <v>6.4672019999998156</v>
      </c>
      <c r="N323">
        <f t="shared" ref="N323:N386" si="34">C323</f>
        <v>2</v>
      </c>
      <c r="O323">
        <f>IF(ABS(D323)&gt;1,D323/1000000,D323)*'Real Analysis'!$B$4</f>
        <v>-0.12240918000000001</v>
      </c>
      <c r="P323">
        <f>IF(ABS(E323)&gt;1,E323/1000000,E323)*'Real Analysis'!$B$4</f>
        <v>0.12143799</v>
      </c>
      <c r="Q323">
        <f>IF(ABS(F323)&gt;1,F323/1000000,F323)*'Real Analysis'!$B$4</f>
        <v>9.85686237</v>
      </c>
      <c r="R323">
        <f t="shared" ref="R323:R386" si="35">IF(ABS(G323)&gt;1,G323/1000000,G323)</f>
        <v>0</v>
      </c>
      <c r="S323">
        <f t="shared" ref="S323:S386" si="36">IF(ABS(H323)&gt;1,H323/1000000,H323)</f>
        <v>0</v>
      </c>
      <c r="T323">
        <f t="shared" ref="T323:T386" si="37">IF(ABS(I323)&gt;1,I323/1000000,I323)</f>
        <v>0</v>
      </c>
      <c r="U323">
        <f t="shared" si="32"/>
        <v>0</v>
      </c>
    </row>
    <row r="324" spans="1:21" x14ac:dyDescent="0.3">
      <c r="A324" s="4">
        <v>322</v>
      </c>
      <c r="B324" s="4">
        <v>-96585507224</v>
      </c>
      <c r="C324" s="5">
        <v>2</v>
      </c>
      <c r="D324" s="5">
        <v>-4.0879999999999996E-3</v>
      </c>
      <c r="E324" s="5">
        <v>1.2292000000000001E-2</v>
      </c>
      <c r="F324" s="5">
        <v>1004031</v>
      </c>
      <c r="G324" s="5">
        <v>0</v>
      </c>
      <c r="H324" s="5">
        <v>0</v>
      </c>
      <c r="I324" s="5">
        <v>0</v>
      </c>
      <c r="J324" s="5">
        <v>0</v>
      </c>
      <c r="L324">
        <f t="shared" si="33"/>
        <v>322</v>
      </c>
      <c r="M324">
        <f>'Real Analysis'!$B$3+B324/1000000</f>
        <v>6.4927759999991395</v>
      </c>
      <c r="N324">
        <f t="shared" si="34"/>
        <v>2</v>
      </c>
      <c r="O324">
        <f>IF(ABS(D324)&gt;1,D324/1000000,D324)*'Real Analysis'!$B$4</f>
        <v>-4.0103279999999998E-2</v>
      </c>
      <c r="P324">
        <f>IF(ABS(E324)&gt;1,E324/1000000,E324)*'Real Analysis'!$B$4</f>
        <v>0.12058452000000001</v>
      </c>
      <c r="Q324">
        <f>IF(ABS(F324)&gt;1,F324/1000000,F324)*'Real Analysis'!$B$4</f>
        <v>9.8495441100000001</v>
      </c>
      <c r="R324">
        <f t="shared" si="35"/>
        <v>0</v>
      </c>
      <c r="S324">
        <f t="shared" si="36"/>
        <v>0</v>
      </c>
      <c r="T324">
        <f t="shared" si="37"/>
        <v>0</v>
      </c>
      <c r="U324">
        <f t="shared" si="32"/>
        <v>0</v>
      </c>
    </row>
    <row r="325" spans="1:21" x14ac:dyDescent="0.3">
      <c r="A325" s="4">
        <v>323</v>
      </c>
      <c r="B325" s="4">
        <v>-96585487786</v>
      </c>
      <c r="C325" s="5">
        <v>2</v>
      </c>
      <c r="D325" s="5">
        <v>-1.2603E-2</v>
      </c>
      <c r="E325" s="5">
        <v>1.225E-2</v>
      </c>
      <c r="F325" s="5">
        <v>1004507</v>
      </c>
      <c r="G325" s="5">
        <v>0</v>
      </c>
      <c r="H325" s="5">
        <v>0</v>
      </c>
      <c r="I325" s="5">
        <v>0</v>
      </c>
      <c r="J325" s="5">
        <v>0</v>
      </c>
      <c r="L325">
        <f t="shared" si="33"/>
        <v>323</v>
      </c>
      <c r="M325">
        <f>'Real Analysis'!$B$3+B325/1000000</f>
        <v>6.5122140000021318</v>
      </c>
      <c r="N325">
        <f t="shared" si="34"/>
        <v>2</v>
      </c>
      <c r="O325">
        <f>IF(ABS(D325)&gt;1,D325/1000000,D325)*'Real Analysis'!$B$4</f>
        <v>-0.12363543</v>
      </c>
      <c r="P325">
        <f>IF(ABS(E325)&gt;1,E325/1000000,E325)*'Real Analysis'!$B$4</f>
        <v>0.12017250000000002</v>
      </c>
      <c r="Q325">
        <f>IF(ABS(F325)&gt;1,F325/1000000,F325)*'Real Analysis'!$B$4</f>
        <v>9.85421367</v>
      </c>
      <c r="R325">
        <f t="shared" si="35"/>
        <v>0</v>
      </c>
      <c r="S325">
        <f t="shared" si="36"/>
        <v>0</v>
      </c>
      <c r="T325">
        <f t="shared" si="37"/>
        <v>0</v>
      </c>
      <c r="U325">
        <f t="shared" si="32"/>
        <v>0</v>
      </c>
    </row>
    <row r="326" spans="1:21" x14ac:dyDescent="0.3">
      <c r="A326" s="4">
        <v>324</v>
      </c>
      <c r="B326" s="4">
        <v>-96585467216</v>
      </c>
      <c r="C326" s="5">
        <v>2</v>
      </c>
      <c r="D326" s="5">
        <v>-1.3027E-2</v>
      </c>
      <c r="E326" s="5">
        <v>1.2370000000000001E-2</v>
      </c>
      <c r="F326" s="5">
        <v>1011118</v>
      </c>
      <c r="G326" s="5">
        <v>0</v>
      </c>
      <c r="H326" s="5">
        <v>0</v>
      </c>
      <c r="I326" s="5">
        <v>0</v>
      </c>
      <c r="J326" s="5">
        <v>0</v>
      </c>
      <c r="L326">
        <f t="shared" si="33"/>
        <v>324</v>
      </c>
      <c r="M326">
        <f>'Real Analysis'!$B$3+B326/1000000</f>
        <v>6.5327839999954449</v>
      </c>
      <c r="N326">
        <f t="shared" si="34"/>
        <v>2</v>
      </c>
      <c r="O326">
        <f>IF(ABS(D326)&gt;1,D326/1000000,D326)*'Real Analysis'!$B$4</f>
        <v>-0.12779487</v>
      </c>
      <c r="P326">
        <f>IF(ABS(E326)&gt;1,E326/1000000,E326)*'Real Analysis'!$B$4</f>
        <v>0.12134970000000002</v>
      </c>
      <c r="Q326">
        <f>IF(ABS(F326)&gt;1,F326/1000000,F326)*'Real Analysis'!$B$4</f>
        <v>9.9190675800000001</v>
      </c>
      <c r="R326">
        <f t="shared" si="35"/>
        <v>0</v>
      </c>
      <c r="S326">
        <f t="shared" si="36"/>
        <v>0</v>
      </c>
      <c r="T326">
        <f t="shared" si="37"/>
        <v>0</v>
      </c>
      <c r="U326">
        <f t="shared" si="32"/>
        <v>0</v>
      </c>
    </row>
    <row r="327" spans="1:21" x14ac:dyDescent="0.3">
      <c r="A327" s="4">
        <v>325</v>
      </c>
      <c r="B327" s="4">
        <v>-96585447179</v>
      </c>
      <c r="C327" s="5">
        <v>2</v>
      </c>
      <c r="D327" s="5">
        <v>-5.7159999999999997E-3</v>
      </c>
      <c r="E327" s="5">
        <v>1.2319E-2</v>
      </c>
      <c r="F327" s="5">
        <v>1004621</v>
      </c>
      <c r="G327" s="5">
        <v>0</v>
      </c>
      <c r="H327" s="5">
        <v>0</v>
      </c>
      <c r="I327" s="5">
        <v>0</v>
      </c>
      <c r="J327" s="5">
        <v>0</v>
      </c>
      <c r="L327">
        <f t="shared" si="33"/>
        <v>325</v>
      </c>
      <c r="M327">
        <f>'Real Analysis'!$B$3+B327/1000000</f>
        <v>6.5528210000047693</v>
      </c>
      <c r="N327">
        <f t="shared" si="34"/>
        <v>2</v>
      </c>
      <c r="O327">
        <f>IF(ABS(D327)&gt;1,D327/1000000,D327)*'Real Analysis'!$B$4</f>
        <v>-5.6073959999999999E-2</v>
      </c>
      <c r="P327">
        <f>IF(ABS(E327)&gt;1,E327/1000000,E327)*'Real Analysis'!$B$4</f>
        <v>0.12084939</v>
      </c>
      <c r="Q327">
        <f>IF(ABS(F327)&gt;1,F327/1000000,F327)*'Real Analysis'!$B$4</f>
        <v>9.8553320099999997</v>
      </c>
      <c r="R327">
        <f t="shared" si="35"/>
        <v>0</v>
      </c>
      <c r="S327">
        <f t="shared" si="36"/>
        <v>0</v>
      </c>
      <c r="T327">
        <f t="shared" si="37"/>
        <v>0</v>
      </c>
      <c r="U327">
        <f t="shared" si="32"/>
        <v>0</v>
      </c>
    </row>
    <row r="328" spans="1:21" x14ac:dyDescent="0.3">
      <c r="A328" s="4">
        <v>326</v>
      </c>
      <c r="B328" s="4">
        <v>-96585430888</v>
      </c>
      <c r="C328" s="5">
        <v>2</v>
      </c>
      <c r="D328" s="5">
        <v>-4.5180000000000003E-3</v>
      </c>
      <c r="E328" s="5">
        <v>1.2317E-2</v>
      </c>
      <c r="F328" s="5">
        <v>1004451</v>
      </c>
      <c r="G328" s="5">
        <v>0</v>
      </c>
      <c r="H328" s="5">
        <v>0</v>
      </c>
      <c r="I328" s="5">
        <v>0</v>
      </c>
      <c r="J328" s="5">
        <v>0</v>
      </c>
      <c r="L328">
        <f t="shared" si="33"/>
        <v>326</v>
      </c>
      <c r="M328">
        <f>'Real Analysis'!$B$3+B328/1000000</f>
        <v>6.5691119999974035</v>
      </c>
      <c r="N328">
        <f t="shared" si="34"/>
        <v>2</v>
      </c>
      <c r="O328">
        <f>IF(ABS(D328)&gt;1,D328/1000000,D328)*'Real Analysis'!$B$4</f>
        <v>-4.4321580000000006E-2</v>
      </c>
      <c r="P328">
        <f>IF(ABS(E328)&gt;1,E328/1000000,E328)*'Real Analysis'!$B$4</f>
        <v>0.12082977</v>
      </c>
      <c r="Q328">
        <f>IF(ABS(F328)&gt;1,F328/1000000,F328)*'Real Analysis'!$B$4</f>
        <v>9.853664310000001</v>
      </c>
      <c r="R328">
        <f t="shared" si="35"/>
        <v>0</v>
      </c>
      <c r="S328">
        <f t="shared" si="36"/>
        <v>0</v>
      </c>
      <c r="T328">
        <f t="shared" si="37"/>
        <v>0</v>
      </c>
      <c r="U328">
        <f t="shared" si="32"/>
        <v>0</v>
      </c>
    </row>
    <row r="329" spans="1:21" x14ac:dyDescent="0.3">
      <c r="A329" s="4">
        <v>327</v>
      </c>
      <c r="B329" s="4">
        <v>-96585411461</v>
      </c>
      <c r="C329" s="5">
        <v>2</v>
      </c>
      <c r="D329" s="5">
        <v>-4.3420000000000004E-3</v>
      </c>
      <c r="E329" s="5">
        <v>1.2271000000000001E-2</v>
      </c>
      <c r="F329" s="5">
        <v>1003807</v>
      </c>
      <c r="G329" s="5">
        <v>0</v>
      </c>
      <c r="H329" s="5">
        <v>0</v>
      </c>
      <c r="I329" s="5">
        <v>0</v>
      </c>
      <c r="J329" s="5">
        <v>0</v>
      </c>
      <c r="L329">
        <f t="shared" si="33"/>
        <v>327</v>
      </c>
      <c r="M329">
        <f>'Real Analysis'!$B$3+B329/1000000</f>
        <v>6.5885390000039479</v>
      </c>
      <c r="N329">
        <f t="shared" si="34"/>
        <v>2</v>
      </c>
      <c r="O329">
        <f>IF(ABS(D329)&gt;1,D329/1000000,D329)*'Real Analysis'!$B$4</f>
        <v>-4.2595020000000004E-2</v>
      </c>
      <c r="P329">
        <f>IF(ABS(E329)&gt;1,E329/1000000,E329)*'Real Analysis'!$B$4</f>
        <v>0.12037851000000001</v>
      </c>
      <c r="Q329">
        <f>IF(ABS(F329)&gt;1,F329/1000000,F329)*'Real Analysis'!$B$4</f>
        <v>9.8473466700000003</v>
      </c>
      <c r="R329">
        <f t="shared" si="35"/>
        <v>0</v>
      </c>
      <c r="S329">
        <f t="shared" si="36"/>
        <v>0</v>
      </c>
      <c r="T329">
        <f t="shared" si="37"/>
        <v>0</v>
      </c>
      <c r="U329">
        <f t="shared" si="32"/>
        <v>0</v>
      </c>
    </row>
    <row r="330" spans="1:21" x14ac:dyDescent="0.3">
      <c r="A330" s="4">
        <v>328</v>
      </c>
      <c r="B330" s="4">
        <v>-96585391102</v>
      </c>
      <c r="C330" s="5">
        <v>2</v>
      </c>
      <c r="D330" s="5">
        <v>-1.5311E-2</v>
      </c>
      <c r="E330" s="5">
        <v>1.2211E-2</v>
      </c>
      <c r="F330" s="5">
        <v>1004225</v>
      </c>
      <c r="G330" s="5">
        <v>0</v>
      </c>
      <c r="H330" s="5">
        <v>0</v>
      </c>
      <c r="I330" s="5">
        <v>0</v>
      </c>
      <c r="J330" s="5">
        <v>0</v>
      </c>
      <c r="L330">
        <f t="shared" si="33"/>
        <v>328</v>
      </c>
      <c r="M330">
        <f>'Real Analysis'!$B$3+B330/1000000</f>
        <v>6.6088980000058655</v>
      </c>
      <c r="N330">
        <f t="shared" si="34"/>
        <v>2</v>
      </c>
      <c r="O330">
        <f>IF(ABS(D330)&gt;1,D330/1000000,D330)*'Real Analysis'!$B$4</f>
        <v>-0.15020091000000002</v>
      </c>
      <c r="P330">
        <f>IF(ABS(E330)&gt;1,E330/1000000,E330)*'Real Analysis'!$B$4</f>
        <v>0.11978991</v>
      </c>
      <c r="Q330">
        <f>IF(ABS(F330)&gt;1,F330/1000000,F330)*'Real Analysis'!$B$4</f>
        <v>9.8514472499999997</v>
      </c>
      <c r="R330">
        <f t="shared" si="35"/>
        <v>0</v>
      </c>
      <c r="S330">
        <f t="shared" si="36"/>
        <v>0</v>
      </c>
      <c r="T330">
        <f t="shared" si="37"/>
        <v>0</v>
      </c>
      <c r="U330">
        <f t="shared" si="32"/>
        <v>0</v>
      </c>
    </row>
    <row r="331" spans="1:21" x14ac:dyDescent="0.3">
      <c r="A331" s="4">
        <v>329</v>
      </c>
      <c r="B331" s="4">
        <v>-96585374953</v>
      </c>
      <c r="C331" s="5">
        <v>2</v>
      </c>
      <c r="D331" s="5">
        <v>-1.7375000000000002E-2</v>
      </c>
      <c r="E331" s="5">
        <v>1.2200000000000001E-2</v>
      </c>
      <c r="F331" s="5">
        <v>1004003</v>
      </c>
      <c r="G331" s="5">
        <v>0</v>
      </c>
      <c r="H331" s="5">
        <v>0</v>
      </c>
      <c r="I331" s="5">
        <v>0</v>
      </c>
      <c r="J331" s="5">
        <v>0</v>
      </c>
      <c r="L331">
        <f t="shared" si="33"/>
        <v>329</v>
      </c>
      <c r="M331">
        <f>'Real Analysis'!$B$3+B331/1000000</f>
        <v>6.6250469999940833</v>
      </c>
      <c r="N331">
        <f t="shared" si="34"/>
        <v>2</v>
      </c>
      <c r="O331">
        <f>IF(ABS(D331)&gt;1,D331/1000000,D331)*'Real Analysis'!$B$4</f>
        <v>-0.17044875000000004</v>
      </c>
      <c r="P331">
        <f>IF(ABS(E331)&gt;1,E331/1000000,E331)*'Real Analysis'!$B$4</f>
        <v>0.11968200000000001</v>
      </c>
      <c r="Q331">
        <f>IF(ABS(F331)&gt;1,F331/1000000,F331)*'Real Analysis'!$B$4</f>
        <v>9.8492694299999997</v>
      </c>
      <c r="R331">
        <f t="shared" si="35"/>
        <v>0</v>
      </c>
      <c r="S331">
        <f t="shared" si="36"/>
        <v>0</v>
      </c>
      <c r="T331">
        <f t="shared" si="37"/>
        <v>0</v>
      </c>
      <c r="U331">
        <f t="shared" ref="U331:U394" si="38">J331/1000</f>
        <v>0</v>
      </c>
    </row>
    <row r="332" spans="1:21" x14ac:dyDescent="0.3">
      <c r="A332" s="4">
        <v>330</v>
      </c>
      <c r="B332" s="4">
        <v>-96585350567</v>
      </c>
      <c r="C332" s="5">
        <v>2</v>
      </c>
      <c r="D332" s="5">
        <v>-1.1545E-2</v>
      </c>
      <c r="E332" s="5">
        <v>1.2279E-2</v>
      </c>
      <c r="F332" s="5">
        <v>1004194</v>
      </c>
      <c r="G332" s="5">
        <v>0</v>
      </c>
      <c r="H332" s="5">
        <v>0</v>
      </c>
      <c r="I332" s="5">
        <v>0</v>
      </c>
      <c r="J332" s="5">
        <v>0</v>
      </c>
      <c r="L332">
        <f t="shared" si="33"/>
        <v>330</v>
      </c>
      <c r="M332">
        <f>'Real Analysis'!$B$3+B332/1000000</f>
        <v>6.6494329999986803</v>
      </c>
      <c r="N332">
        <f t="shared" si="34"/>
        <v>2</v>
      </c>
      <c r="O332">
        <f>IF(ABS(D332)&gt;1,D332/1000000,D332)*'Real Analysis'!$B$4</f>
        <v>-0.11325645000000001</v>
      </c>
      <c r="P332">
        <f>IF(ABS(E332)&gt;1,E332/1000000,E332)*'Real Analysis'!$B$4</f>
        <v>0.12045699</v>
      </c>
      <c r="Q332">
        <f>IF(ABS(F332)&gt;1,F332/1000000,F332)*'Real Analysis'!$B$4</f>
        <v>9.8511431400000014</v>
      </c>
      <c r="R332">
        <f t="shared" si="35"/>
        <v>0</v>
      </c>
      <c r="S332">
        <f t="shared" si="36"/>
        <v>0</v>
      </c>
      <c r="T332">
        <f t="shared" si="37"/>
        <v>0</v>
      </c>
      <c r="U332">
        <f t="shared" si="38"/>
        <v>0</v>
      </c>
    </row>
    <row r="333" spans="1:21" x14ac:dyDescent="0.3">
      <c r="A333" s="4">
        <v>331</v>
      </c>
      <c r="B333" s="4">
        <v>-96585331674</v>
      </c>
      <c r="C333" s="5">
        <v>2</v>
      </c>
      <c r="D333" s="5">
        <v>-9.0419999999999997E-3</v>
      </c>
      <c r="E333" s="5">
        <v>1.2315E-2</v>
      </c>
      <c r="F333" s="5">
        <v>1005968</v>
      </c>
      <c r="G333" s="5">
        <v>0</v>
      </c>
      <c r="H333" s="5">
        <v>0</v>
      </c>
      <c r="I333" s="5">
        <v>0</v>
      </c>
      <c r="J333" s="5">
        <v>0</v>
      </c>
      <c r="L333">
        <f t="shared" si="33"/>
        <v>331</v>
      </c>
      <c r="M333">
        <f>'Real Analysis'!$B$3+B333/1000000</f>
        <v>6.6683259999990696</v>
      </c>
      <c r="N333">
        <f t="shared" si="34"/>
        <v>2</v>
      </c>
      <c r="O333">
        <f>IF(ABS(D333)&gt;1,D333/1000000,D333)*'Real Analysis'!$B$4</f>
        <v>-8.8702020000000006E-2</v>
      </c>
      <c r="P333">
        <f>IF(ABS(E333)&gt;1,E333/1000000,E333)*'Real Analysis'!$B$4</f>
        <v>0.12081015000000001</v>
      </c>
      <c r="Q333">
        <f>IF(ABS(F333)&gt;1,F333/1000000,F333)*'Real Analysis'!$B$4</f>
        <v>9.8685460799999998</v>
      </c>
      <c r="R333">
        <f t="shared" si="35"/>
        <v>0</v>
      </c>
      <c r="S333">
        <f t="shared" si="36"/>
        <v>0</v>
      </c>
      <c r="T333">
        <f t="shared" si="37"/>
        <v>0</v>
      </c>
      <c r="U333">
        <f t="shared" si="38"/>
        <v>0</v>
      </c>
    </row>
    <row r="334" spans="1:21" x14ac:dyDescent="0.3">
      <c r="A334" s="4">
        <v>332</v>
      </c>
      <c r="B334" s="4">
        <v>-96585310875</v>
      </c>
      <c r="C334" s="5">
        <v>2</v>
      </c>
      <c r="D334" s="5">
        <v>-1.1856999999999999E-2</v>
      </c>
      <c r="E334" s="5">
        <v>1.2232E-2</v>
      </c>
      <c r="F334" s="5">
        <v>1004815</v>
      </c>
      <c r="G334" s="5">
        <v>0</v>
      </c>
      <c r="H334" s="5">
        <v>0</v>
      </c>
      <c r="I334" s="5">
        <v>0</v>
      </c>
      <c r="J334" s="5">
        <v>0</v>
      </c>
      <c r="L334">
        <f t="shared" si="33"/>
        <v>332</v>
      </c>
      <c r="M334">
        <f>'Real Analysis'!$B$3+B334/1000000</f>
        <v>6.6891250000044238</v>
      </c>
      <c r="N334">
        <f t="shared" si="34"/>
        <v>2</v>
      </c>
      <c r="O334">
        <f>IF(ABS(D334)&gt;1,D334/1000000,D334)*'Real Analysis'!$B$4</f>
        <v>-0.11631717</v>
      </c>
      <c r="P334">
        <f>IF(ABS(E334)&gt;1,E334/1000000,E334)*'Real Analysis'!$B$4</f>
        <v>0.11999592000000001</v>
      </c>
      <c r="Q334">
        <f>IF(ABS(F334)&gt;1,F334/1000000,F334)*'Real Analysis'!$B$4</f>
        <v>9.8572351500000011</v>
      </c>
      <c r="R334">
        <f t="shared" si="35"/>
        <v>0</v>
      </c>
      <c r="S334">
        <f t="shared" si="36"/>
        <v>0</v>
      </c>
      <c r="T334">
        <f t="shared" si="37"/>
        <v>0</v>
      </c>
      <c r="U334">
        <f t="shared" si="38"/>
        <v>0</v>
      </c>
    </row>
    <row r="335" spans="1:21" x14ac:dyDescent="0.3">
      <c r="A335" s="4">
        <v>333</v>
      </c>
      <c r="B335" s="4">
        <v>-96585290378</v>
      </c>
      <c r="C335" s="5">
        <v>2</v>
      </c>
      <c r="D335" s="5">
        <v>-6.3280000000000003E-3</v>
      </c>
      <c r="E335" s="5">
        <v>1.2395E-2</v>
      </c>
      <c r="F335" s="5">
        <v>1002465</v>
      </c>
      <c r="G335" s="5">
        <v>0</v>
      </c>
      <c r="H335" s="5">
        <v>0</v>
      </c>
      <c r="I335" s="5">
        <v>0</v>
      </c>
      <c r="J335" s="5">
        <v>0</v>
      </c>
      <c r="L335">
        <f t="shared" si="33"/>
        <v>333</v>
      </c>
      <c r="M335">
        <f>'Real Analysis'!$B$3+B335/1000000</f>
        <v>6.7096219999948516</v>
      </c>
      <c r="N335">
        <f t="shared" si="34"/>
        <v>2</v>
      </c>
      <c r="O335">
        <f>IF(ABS(D335)&gt;1,D335/1000000,D335)*'Real Analysis'!$B$4</f>
        <v>-6.2077680000000003E-2</v>
      </c>
      <c r="P335">
        <f>IF(ABS(E335)&gt;1,E335/1000000,E335)*'Real Analysis'!$B$4</f>
        <v>0.12159495000000001</v>
      </c>
      <c r="Q335">
        <f>IF(ABS(F335)&gt;1,F335/1000000,F335)*'Real Analysis'!$B$4</f>
        <v>9.8341816499999997</v>
      </c>
      <c r="R335">
        <f t="shared" si="35"/>
        <v>0</v>
      </c>
      <c r="S335">
        <f t="shared" si="36"/>
        <v>0</v>
      </c>
      <c r="T335">
        <f t="shared" si="37"/>
        <v>0</v>
      </c>
      <c r="U335">
        <f t="shared" si="38"/>
        <v>0</v>
      </c>
    </row>
    <row r="336" spans="1:21" x14ac:dyDescent="0.3">
      <c r="A336" s="4">
        <v>334</v>
      </c>
      <c r="B336" s="4">
        <v>-96585268936</v>
      </c>
      <c r="C336" s="5">
        <v>2</v>
      </c>
      <c r="D336" s="5">
        <v>-7.2480000000000001E-3</v>
      </c>
      <c r="E336" s="5">
        <v>1.2260999999999999E-2</v>
      </c>
      <c r="F336" s="5">
        <v>1003625</v>
      </c>
      <c r="G336" s="5">
        <v>0</v>
      </c>
      <c r="H336" s="5">
        <v>0</v>
      </c>
      <c r="I336" s="5">
        <v>0</v>
      </c>
      <c r="J336" s="5">
        <v>0</v>
      </c>
      <c r="L336">
        <f t="shared" si="33"/>
        <v>334</v>
      </c>
      <c r="M336">
        <f>'Real Analysis'!$B$3+B336/1000000</f>
        <v>6.7310640000068815</v>
      </c>
      <c r="N336">
        <f t="shared" si="34"/>
        <v>2</v>
      </c>
      <c r="O336">
        <f>IF(ABS(D336)&gt;1,D336/1000000,D336)*'Real Analysis'!$B$4</f>
        <v>-7.1102880000000007E-2</v>
      </c>
      <c r="P336">
        <f>IF(ABS(E336)&gt;1,E336/1000000,E336)*'Real Analysis'!$B$4</f>
        <v>0.12028041</v>
      </c>
      <c r="Q336">
        <f>IF(ABS(F336)&gt;1,F336/1000000,F336)*'Real Analysis'!$B$4</f>
        <v>9.8455612500000012</v>
      </c>
      <c r="R336">
        <f t="shared" si="35"/>
        <v>0</v>
      </c>
      <c r="S336">
        <f t="shared" si="36"/>
        <v>0</v>
      </c>
      <c r="T336">
        <f t="shared" si="37"/>
        <v>0</v>
      </c>
      <c r="U336">
        <f t="shared" si="38"/>
        <v>0</v>
      </c>
    </row>
    <row r="337" spans="1:21" x14ac:dyDescent="0.3">
      <c r="A337" s="4">
        <v>335</v>
      </c>
      <c r="B337" s="4">
        <v>-96585249470</v>
      </c>
      <c r="C337" s="5">
        <v>2</v>
      </c>
      <c r="D337" s="5">
        <v>-1.3939E-2</v>
      </c>
      <c r="E337" s="5">
        <v>1.2142999999999999E-2</v>
      </c>
      <c r="F337" s="5">
        <v>1004424</v>
      </c>
      <c r="G337" s="5">
        <v>0</v>
      </c>
      <c r="H337" s="5">
        <v>0</v>
      </c>
      <c r="I337" s="5">
        <v>0</v>
      </c>
      <c r="J337" s="5">
        <v>0</v>
      </c>
      <c r="L337">
        <f t="shared" si="33"/>
        <v>335</v>
      </c>
      <c r="M337">
        <f>'Real Analysis'!$B$3+B337/1000000</f>
        <v>6.750530000004801</v>
      </c>
      <c r="N337">
        <f t="shared" si="34"/>
        <v>2</v>
      </c>
      <c r="O337">
        <f>IF(ABS(D337)&gt;1,D337/1000000,D337)*'Real Analysis'!$B$4</f>
        <v>-0.13674159</v>
      </c>
      <c r="P337">
        <f>IF(ABS(E337)&gt;1,E337/1000000,E337)*'Real Analysis'!$B$4</f>
        <v>0.11912283</v>
      </c>
      <c r="Q337">
        <f>IF(ABS(F337)&gt;1,F337/1000000,F337)*'Real Analysis'!$B$4</f>
        <v>9.8533994400000005</v>
      </c>
      <c r="R337">
        <f t="shared" si="35"/>
        <v>0</v>
      </c>
      <c r="S337">
        <f t="shared" si="36"/>
        <v>0</v>
      </c>
      <c r="T337">
        <f t="shared" si="37"/>
        <v>0</v>
      </c>
      <c r="U337">
        <f t="shared" si="38"/>
        <v>0</v>
      </c>
    </row>
    <row r="338" spans="1:21" x14ac:dyDescent="0.3">
      <c r="A338" s="4">
        <v>336</v>
      </c>
      <c r="B338" s="4">
        <v>-96585228100</v>
      </c>
      <c r="C338" s="5">
        <v>2</v>
      </c>
      <c r="D338" s="5">
        <v>-1.2441000000000001E-2</v>
      </c>
      <c r="E338" s="5">
        <v>1.239E-2</v>
      </c>
      <c r="F338" s="5">
        <v>1004198</v>
      </c>
      <c r="G338" s="5">
        <v>0</v>
      </c>
      <c r="H338" s="5">
        <v>0</v>
      </c>
      <c r="I338" s="5">
        <v>0</v>
      </c>
      <c r="J338" s="5">
        <v>0</v>
      </c>
      <c r="L338">
        <f t="shared" si="33"/>
        <v>336</v>
      </c>
      <c r="M338">
        <f>'Real Analysis'!$B$3+B338/1000000</f>
        <v>6.7719000000070082</v>
      </c>
      <c r="N338">
        <f t="shared" si="34"/>
        <v>2</v>
      </c>
      <c r="O338">
        <f>IF(ABS(D338)&gt;1,D338/1000000,D338)*'Real Analysis'!$B$4</f>
        <v>-0.12204621000000002</v>
      </c>
      <c r="P338">
        <f>IF(ABS(E338)&gt;1,E338/1000000,E338)*'Real Analysis'!$B$4</f>
        <v>0.12154590000000001</v>
      </c>
      <c r="Q338">
        <f>IF(ABS(F338)&gt;1,F338/1000000,F338)*'Real Analysis'!$B$4</f>
        <v>9.8511823799999991</v>
      </c>
      <c r="R338">
        <f t="shared" si="35"/>
        <v>0</v>
      </c>
      <c r="S338">
        <f t="shared" si="36"/>
        <v>0</v>
      </c>
      <c r="T338">
        <f t="shared" si="37"/>
        <v>0</v>
      </c>
      <c r="U338">
        <f t="shared" si="38"/>
        <v>0</v>
      </c>
    </row>
    <row r="339" spans="1:21" x14ac:dyDescent="0.3">
      <c r="A339" s="4">
        <v>337</v>
      </c>
      <c r="B339" s="4">
        <v>-96585210390</v>
      </c>
      <c r="C339" s="5">
        <v>2</v>
      </c>
      <c r="D339" s="5">
        <v>-9.4730000000000005E-3</v>
      </c>
      <c r="E339" s="5">
        <v>1.2253E-2</v>
      </c>
      <c r="F339" s="5">
        <v>1004186</v>
      </c>
      <c r="G339" s="5">
        <v>0</v>
      </c>
      <c r="H339" s="5">
        <v>0</v>
      </c>
      <c r="I339" s="5">
        <v>0</v>
      </c>
      <c r="J339" s="5">
        <v>0</v>
      </c>
      <c r="L339">
        <f t="shared" si="33"/>
        <v>337</v>
      </c>
      <c r="M339">
        <f>'Real Analysis'!$B$3+B339/1000000</f>
        <v>6.7896100000070874</v>
      </c>
      <c r="N339">
        <f t="shared" si="34"/>
        <v>2</v>
      </c>
      <c r="O339">
        <f>IF(ABS(D339)&gt;1,D339/1000000,D339)*'Real Analysis'!$B$4</f>
        <v>-9.2930130000000014E-2</v>
      </c>
      <c r="P339">
        <f>IF(ABS(E339)&gt;1,E339/1000000,E339)*'Real Analysis'!$B$4</f>
        <v>0.12020193000000001</v>
      </c>
      <c r="Q339">
        <f>IF(ABS(F339)&gt;1,F339/1000000,F339)*'Real Analysis'!$B$4</f>
        <v>9.8510646600000005</v>
      </c>
      <c r="R339">
        <f t="shared" si="35"/>
        <v>0</v>
      </c>
      <c r="S339">
        <f t="shared" si="36"/>
        <v>0</v>
      </c>
      <c r="T339">
        <f t="shared" si="37"/>
        <v>0</v>
      </c>
      <c r="U339">
        <f t="shared" si="38"/>
        <v>0</v>
      </c>
    </row>
    <row r="340" spans="1:21" x14ac:dyDescent="0.3">
      <c r="A340" s="4">
        <v>338</v>
      </c>
      <c r="B340" s="4">
        <v>-96585189212</v>
      </c>
      <c r="C340" s="5">
        <v>2</v>
      </c>
      <c r="D340" s="5">
        <v>-4.3689999999999996E-3</v>
      </c>
      <c r="E340" s="5">
        <v>6.9829999999999996E-3</v>
      </c>
      <c r="F340" s="5">
        <v>1004503</v>
      </c>
      <c r="G340" s="5">
        <v>0</v>
      </c>
      <c r="H340" s="5">
        <v>0</v>
      </c>
      <c r="I340" s="5">
        <v>0</v>
      </c>
      <c r="J340" s="5">
        <v>0</v>
      </c>
      <c r="L340">
        <f t="shared" si="33"/>
        <v>338</v>
      </c>
      <c r="M340">
        <f>'Real Analysis'!$B$3+B340/1000000</f>
        <v>6.8107880000025034</v>
      </c>
      <c r="N340">
        <f t="shared" si="34"/>
        <v>2</v>
      </c>
      <c r="O340">
        <f>IF(ABS(D340)&gt;1,D340/1000000,D340)*'Real Analysis'!$B$4</f>
        <v>-4.2859889999999998E-2</v>
      </c>
      <c r="P340">
        <f>IF(ABS(E340)&gt;1,E340/1000000,E340)*'Real Analysis'!$B$4</f>
        <v>6.8503229999999998E-2</v>
      </c>
      <c r="Q340">
        <f>IF(ABS(F340)&gt;1,F340/1000000,F340)*'Real Analysis'!$B$4</f>
        <v>9.8541744300000005</v>
      </c>
      <c r="R340">
        <f t="shared" si="35"/>
        <v>0</v>
      </c>
      <c r="S340">
        <f t="shared" si="36"/>
        <v>0</v>
      </c>
      <c r="T340">
        <f t="shared" si="37"/>
        <v>0</v>
      </c>
      <c r="U340">
        <f t="shared" si="38"/>
        <v>0</v>
      </c>
    </row>
    <row r="341" spans="1:21" x14ac:dyDescent="0.3">
      <c r="A341" s="4">
        <v>339</v>
      </c>
      <c r="B341" s="4">
        <v>-96585170837</v>
      </c>
      <c r="C341" s="5">
        <v>2</v>
      </c>
      <c r="D341" s="5">
        <v>-4.5149999999999999E-3</v>
      </c>
      <c r="E341" s="5">
        <v>1.4220999999999999E-2</v>
      </c>
      <c r="F341" s="5">
        <v>1004440</v>
      </c>
      <c r="G341" s="5">
        <v>0</v>
      </c>
      <c r="H341" s="5">
        <v>0</v>
      </c>
      <c r="I341" s="5">
        <v>0</v>
      </c>
      <c r="J341" s="5">
        <v>0</v>
      </c>
      <c r="L341">
        <f t="shared" si="33"/>
        <v>339</v>
      </c>
      <c r="M341">
        <f>'Real Analysis'!$B$3+B341/1000000</f>
        <v>6.8291630000021541</v>
      </c>
      <c r="N341">
        <f t="shared" si="34"/>
        <v>2</v>
      </c>
      <c r="O341">
        <f>IF(ABS(D341)&gt;1,D341/1000000,D341)*'Real Analysis'!$B$4</f>
        <v>-4.4292150000000002E-2</v>
      </c>
      <c r="P341">
        <f>IF(ABS(E341)&gt;1,E341/1000000,E341)*'Real Analysis'!$B$4</f>
        <v>0.13950800999999999</v>
      </c>
      <c r="Q341">
        <f>IF(ABS(F341)&gt;1,F341/1000000,F341)*'Real Analysis'!$B$4</f>
        <v>9.8535564000000004</v>
      </c>
      <c r="R341">
        <f t="shared" si="35"/>
        <v>0</v>
      </c>
      <c r="S341">
        <f t="shared" si="36"/>
        <v>0</v>
      </c>
      <c r="T341">
        <f t="shared" si="37"/>
        <v>0</v>
      </c>
      <c r="U341">
        <f t="shared" si="38"/>
        <v>0</v>
      </c>
    </row>
    <row r="342" spans="1:21" x14ac:dyDescent="0.3">
      <c r="A342" s="4">
        <v>340</v>
      </c>
      <c r="B342" s="4">
        <v>-96585149045</v>
      </c>
      <c r="C342" s="5">
        <v>2</v>
      </c>
      <c r="D342" s="5">
        <v>-5.1009999999999996E-3</v>
      </c>
      <c r="E342" s="5">
        <v>1.1762999999999999E-2</v>
      </c>
      <c r="F342" s="5">
        <v>1004436</v>
      </c>
      <c r="G342" s="5">
        <v>0</v>
      </c>
      <c r="H342" s="5">
        <v>0</v>
      </c>
      <c r="I342" s="5">
        <v>0</v>
      </c>
      <c r="J342" s="5">
        <v>0</v>
      </c>
      <c r="L342">
        <f t="shared" si="33"/>
        <v>340</v>
      </c>
      <c r="M342">
        <f>'Real Analysis'!$B$3+B342/1000000</f>
        <v>6.8509550000017043</v>
      </c>
      <c r="N342">
        <f t="shared" si="34"/>
        <v>2</v>
      </c>
      <c r="O342">
        <f>IF(ABS(D342)&gt;1,D342/1000000,D342)*'Real Analysis'!$B$4</f>
        <v>-5.0040809999999998E-2</v>
      </c>
      <c r="P342">
        <f>IF(ABS(E342)&gt;1,E342/1000000,E342)*'Real Analysis'!$B$4</f>
        <v>0.11539503</v>
      </c>
      <c r="Q342">
        <f>IF(ABS(F342)&gt;1,F342/1000000,F342)*'Real Analysis'!$B$4</f>
        <v>9.8535171600000009</v>
      </c>
      <c r="R342">
        <f t="shared" si="35"/>
        <v>0</v>
      </c>
      <c r="S342">
        <f t="shared" si="36"/>
        <v>0</v>
      </c>
      <c r="T342">
        <f t="shared" si="37"/>
        <v>0</v>
      </c>
      <c r="U342">
        <f t="shared" si="38"/>
        <v>0</v>
      </c>
    </row>
    <row r="343" spans="1:21" x14ac:dyDescent="0.3">
      <c r="A343" s="4">
        <v>341</v>
      </c>
      <c r="B343" s="4">
        <v>-96585129177</v>
      </c>
      <c r="C343" s="5">
        <v>2</v>
      </c>
      <c r="D343" s="5">
        <v>-4.8560000000000001E-3</v>
      </c>
      <c r="E343" s="5">
        <v>1.2251E-2</v>
      </c>
      <c r="F343" s="5">
        <v>1004438</v>
      </c>
      <c r="G343" s="5">
        <v>0</v>
      </c>
      <c r="H343" s="5">
        <v>0</v>
      </c>
      <c r="I343" s="5">
        <v>0</v>
      </c>
      <c r="J343" s="5">
        <v>0</v>
      </c>
      <c r="L343">
        <f t="shared" si="33"/>
        <v>341</v>
      </c>
      <c r="M343">
        <f>'Real Analysis'!$B$3+B343/1000000</f>
        <v>6.8708230000047479</v>
      </c>
      <c r="N343">
        <f t="shared" si="34"/>
        <v>2</v>
      </c>
      <c r="O343">
        <f>IF(ABS(D343)&gt;1,D343/1000000,D343)*'Real Analysis'!$B$4</f>
        <v>-4.7637360000000004E-2</v>
      </c>
      <c r="P343">
        <f>IF(ABS(E343)&gt;1,E343/1000000,E343)*'Real Analysis'!$B$4</f>
        <v>0.12018231</v>
      </c>
      <c r="Q343">
        <f>IF(ABS(F343)&gt;1,F343/1000000,F343)*'Real Analysis'!$B$4</f>
        <v>9.8535367800000007</v>
      </c>
      <c r="R343">
        <f t="shared" si="35"/>
        <v>0</v>
      </c>
      <c r="S343">
        <f t="shared" si="36"/>
        <v>0</v>
      </c>
      <c r="T343">
        <f t="shared" si="37"/>
        <v>0</v>
      </c>
      <c r="U343">
        <f t="shared" si="38"/>
        <v>0</v>
      </c>
    </row>
    <row r="344" spans="1:21" x14ac:dyDescent="0.3">
      <c r="A344" s="4">
        <v>342</v>
      </c>
      <c r="B344" s="4">
        <v>-96585109400</v>
      </c>
      <c r="C344" s="5">
        <v>2</v>
      </c>
      <c r="D344" s="5">
        <v>-6.489E-3</v>
      </c>
      <c r="E344" s="5">
        <v>1.2425E-2</v>
      </c>
      <c r="F344" s="5">
        <v>1004376</v>
      </c>
      <c r="G344" s="5">
        <v>0</v>
      </c>
      <c r="H344" s="5">
        <v>0</v>
      </c>
      <c r="I344" s="5">
        <v>0</v>
      </c>
      <c r="J344" s="5">
        <v>0</v>
      </c>
      <c r="L344">
        <f t="shared" si="33"/>
        <v>342</v>
      </c>
      <c r="M344">
        <f>'Real Analysis'!$B$3+B344/1000000</f>
        <v>6.8905999999988126</v>
      </c>
      <c r="N344">
        <f t="shared" si="34"/>
        <v>2</v>
      </c>
      <c r="O344">
        <f>IF(ABS(D344)&gt;1,D344/1000000,D344)*'Real Analysis'!$B$4</f>
        <v>-6.365709E-2</v>
      </c>
      <c r="P344">
        <f>IF(ABS(E344)&gt;1,E344/1000000,E344)*'Real Analysis'!$B$4</f>
        <v>0.12188925</v>
      </c>
      <c r="Q344">
        <f>IF(ABS(F344)&gt;1,F344/1000000,F344)*'Real Analysis'!$B$4</f>
        <v>9.8529285600000005</v>
      </c>
      <c r="R344">
        <f t="shared" si="35"/>
        <v>0</v>
      </c>
      <c r="S344">
        <f t="shared" si="36"/>
        <v>0</v>
      </c>
      <c r="T344">
        <f t="shared" si="37"/>
        <v>0</v>
      </c>
      <c r="U344">
        <f t="shared" si="38"/>
        <v>0</v>
      </c>
    </row>
    <row r="345" spans="1:21" x14ac:dyDescent="0.3">
      <c r="A345" s="4">
        <v>343</v>
      </c>
      <c r="B345" s="4">
        <v>-96585089952</v>
      </c>
      <c r="C345" s="5">
        <v>2</v>
      </c>
      <c r="D345" s="5">
        <v>-7.2069999999999999E-3</v>
      </c>
      <c r="E345" s="5">
        <v>1.227E-2</v>
      </c>
      <c r="F345" s="5">
        <v>1004355</v>
      </c>
      <c r="G345" s="5">
        <v>0</v>
      </c>
      <c r="H345" s="5">
        <v>0</v>
      </c>
      <c r="I345" s="5">
        <v>0</v>
      </c>
      <c r="J345" s="5">
        <v>0</v>
      </c>
      <c r="L345">
        <f t="shared" si="33"/>
        <v>343</v>
      </c>
      <c r="M345">
        <f>'Real Analysis'!$B$3+B345/1000000</f>
        <v>6.9100480000051903</v>
      </c>
      <c r="N345">
        <f t="shared" si="34"/>
        <v>2</v>
      </c>
      <c r="O345">
        <f>IF(ABS(D345)&gt;1,D345/1000000,D345)*'Real Analysis'!$B$4</f>
        <v>-7.0700670000000007E-2</v>
      </c>
      <c r="P345">
        <f>IF(ABS(E345)&gt;1,E345/1000000,E345)*'Real Analysis'!$B$4</f>
        <v>0.12036870000000001</v>
      </c>
      <c r="Q345">
        <f>IF(ABS(F345)&gt;1,F345/1000000,F345)*'Real Analysis'!$B$4</f>
        <v>9.8527225500000011</v>
      </c>
      <c r="R345">
        <f t="shared" si="35"/>
        <v>0</v>
      </c>
      <c r="S345">
        <f t="shared" si="36"/>
        <v>0</v>
      </c>
      <c r="T345">
        <f t="shared" si="37"/>
        <v>0</v>
      </c>
      <c r="U345">
        <f t="shared" si="38"/>
        <v>0</v>
      </c>
    </row>
    <row r="346" spans="1:21" x14ac:dyDescent="0.3">
      <c r="A346" s="4">
        <v>344</v>
      </c>
      <c r="B346" s="4">
        <v>-96585067367</v>
      </c>
      <c r="C346" s="5">
        <v>2</v>
      </c>
      <c r="D346" s="5">
        <v>-5.352E-3</v>
      </c>
      <c r="E346" s="5">
        <v>1.2311000000000001E-2</v>
      </c>
      <c r="F346" s="5">
        <v>1004420</v>
      </c>
      <c r="G346" s="5">
        <v>0</v>
      </c>
      <c r="H346" s="5">
        <v>0</v>
      </c>
      <c r="I346" s="5">
        <v>0</v>
      </c>
      <c r="J346" s="5">
        <v>0</v>
      </c>
      <c r="L346">
        <f t="shared" si="33"/>
        <v>344</v>
      </c>
      <c r="M346">
        <f>'Real Analysis'!$B$3+B346/1000000</f>
        <v>6.9326330000039889</v>
      </c>
      <c r="N346">
        <f t="shared" si="34"/>
        <v>2</v>
      </c>
      <c r="O346">
        <f>IF(ABS(D346)&gt;1,D346/1000000,D346)*'Real Analysis'!$B$4</f>
        <v>-5.250312E-2</v>
      </c>
      <c r="P346">
        <f>IF(ABS(E346)&gt;1,E346/1000000,E346)*'Real Analysis'!$B$4</f>
        <v>0.12077091000000001</v>
      </c>
      <c r="Q346">
        <f>IF(ABS(F346)&gt;1,F346/1000000,F346)*'Real Analysis'!$B$4</f>
        <v>9.8533602000000009</v>
      </c>
      <c r="R346">
        <f t="shared" si="35"/>
        <v>0</v>
      </c>
      <c r="S346">
        <f t="shared" si="36"/>
        <v>0</v>
      </c>
      <c r="T346">
        <f t="shared" si="37"/>
        <v>0</v>
      </c>
      <c r="U346">
        <f t="shared" si="38"/>
        <v>0</v>
      </c>
    </row>
    <row r="347" spans="1:21" x14ac:dyDescent="0.3">
      <c r="A347" s="4">
        <v>345</v>
      </c>
      <c r="B347" s="4">
        <v>-96585055011</v>
      </c>
      <c r="C347" s="5">
        <v>2</v>
      </c>
      <c r="D347" s="5">
        <v>-4.2680000000000001E-3</v>
      </c>
      <c r="E347" s="5">
        <v>1.23E-2</v>
      </c>
      <c r="F347" s="5">
        <v>1004461</v>
      </c>
      <c r="G347" s="5">
        <v>0</v>
      </c>
      <c r="H347" s="5">
        <v>0</v>
      </c>
      <c r="I347" s="5">
        <v>0</v>
      </c>
      <c r="J347" s="5">
        <v>0</v>
      </c>
      <c r="L347">
        <f t="shared" si="33"/>
        <v>345</v>
      </c>
      <c r="M347">
        <f>'Real Analysis'!$B$3+B347/1000000</f>
        <v>6.9449889999959851</v>
      </c>
      <c r="N347">
        <f t="shared" si="34"/>
        <v>2</v>
      </c>
      <c r="O347">
        <f>IF(ABS(D347)&gt;1,D347/1000000,D347)*'Real Analysis'!$B$4</f>
        <v>-4.1869080000000003E-2</v>
      </c>
      <c r="P347">
        <f>IF(ABS(E347)&gt;1,E347/1000000,E347)*'Real Analysis'!$B$4</f>
        <v>0.12066300000000001</v>
      </c>
      <c r="Q347">
        <f>IF(ABS(F347)&gt;1,F347/1000000,F347)*'Real Analysis'!$B$4</f>
        <v>9.8537624100000016</v>
      </c>
      <c r="R347">
        <f t="shared" si="35"/>
        <v>0</v>
      </c>
      <c r="S347">
        <f t="shared" si="36"/>
        <v>0</v>
      </c>
      <c r="T347">
        <f t="shared" si="37"/>
        <v>0</v>
      </c>
      <c r="U347">
        <f t="shared" si="38"/>
        <v>0</v>
      </c>
    </row>
    <row r="348" spans="1:21" x14ac:dyDescent="0.3">
      <c r="A348" s="4">
        <v>346</v>
      </c>
      <c r="B348" s="4">
        <v>-96585034473</v>
      </c>
      <c r="C348" s="5">
        <v>2</v>
      </c>
      <c r="D348" s="5">
        <v>-5.2009999999999999E-3</v>
      </c>
      <c r="E348" s="5">
        <v>1.2373E-2</v>
      </c>
      <c r="F348" s="5">
        <v>1007986</v>
      </c>
      <c r="G348" s="5">
        <v>0</v>
      </c>
      <c r="H348" s="5">
        <v>0</v>
      </c>
      <c r="I348" s="5">
        <v>0</v>
      </c>
      <c r="J348" s="5">
        <v>0</v>
      </c>
      <c r="L348">
        <f t="shared" si="33"/>
        <v>346</v>
      </c>
      <c r="M348">
        <f>'Real Analysis'!$B$3+B348/1000000</f>
        <v>6.9655269999930169</v>
      </c>
      <c r="N348">
        <f t="shared" si="34"/>
        <v>2</v>
      </c>
      <c r="O348">
        <f>IF(ABS(D348)&gt;1,D348/1000000,D348)*'Real Analysis'!$B$4</f>
        <v>-5.1021810000000001E-2</v>
      </c>
      <c r="P348">
        <f>IF(ABS(E348)&gt;1,E348/1000000,E348)*'Real Analysis'!$B$4</f>
        <v>0.12137913000000002</v>
      </c>
      <c r="Q348">
        <f>IF(ABS(F348)&gt;1,F348/1000000,F348)*'Real Analysis'!$B$4</f>
        <v>9.8883426600000011</v>
      </c>
      <c r="R348">
        <f t="shared" si="35"/>
        <v>0</v>
      </c>
      <c r="S348">
        <f t="shared" si="36"/>
        <v>0</v>
      </c>
      <c r="T348">
        <f t="shared" si="37"/>
        <v>0</v>
      </c>
      <c r="U348">
        <f t="shared" si="38"/>
        <v>0</v>
      </c>
    </row>
    <row r="349" spans="1:21" x14ac:dyDescent="0.3">
      <c r="A349" s="4">
        <v>347</v>
      </c>
      <c r="B349" s="4">
        <v>-96585011691</v>
      </c>
      <c r="C349" s="5">
        <v>2</v>
      </c>
      <c r="D349" s="5">
        <v>-5.0419999999999996E-3</v>
      </c>
      <c r="E349" s="5">
        <v>1.2444999999999999E-2</v>
      </c>
      <c r="F349" s="5">
        <v>1011823</v>
      </c>
      <c r="G349" s="5">
        <v>0</v>
      </c>
      <c r="H349" s="5">
        <v>0</v>
      </c>
      <c r="I349" s="5">
        <v>0</v>
      </c>
      <c r="J349" s="5">
        <v>0</v>
      </c>
      <c r="L349">
        <f t="shared" si="33"/>
        <v>347</v>
      </c>
      <c r="M349">
        <f>'Real Analysis'!$B$3+B349/1000000</f>
        <v>6.9883089999930235</v>
      </c>
      <c r="N349">
        <f t="shared" si="34"/>
        <v>2</v>
      </c>
      <c r="O349">
        <f>IF(ABS(D349)&gt;1,D349/1000000,D349)*'Real Analysis'!$B$4</f>
        <v>-4.9462019999999995E-2</v>
      </c>
      <c r="P349">
        <f>IF(ABS(E349)&gt;1,E349/1000000,E349)*'Real Analysis'!$B$4</f>
        <v>0.12208545</v>
      </c>
      <c r="Q349">
        <f>IF(ABS(F349)&gt;1,F349/1000000,F349)*'Real Analysis'!$B$4</f>
        <v>9.9259836299999993</v>
      </c>
      <c r="R349">
        <f t="shared" si="35"/>
        <v>0</v>
      </c>
      <c r="S349">
        <f t="shared" si="36"/>
        <v>0</v>
      </c>
      <c r="T349">
        <f t="shared" si="37"/>
        <v>0</v>
      </c>
      <c r="U349">
        <f t="shared" si="38"/>
        <v>0</v>
      </c>
    </row>
    <row r="350" spans="1:21" x14ac:dyDescent="0.3">
      <c r="A350" s="4">
        <v>348</v>
      </c>
      <c r="B350" s="4">
        <v>-96584984960</v>
      </c>
      <c r="C350" s="5">
        <v>2</v>
      </c>
      <c r="D350" s="5">
        <v>-1.4399E-2</v>
      </c>
      <c r="E350" s="5">
        <v>1.2311000000000001E-2</v>
      </c>
      <c r="F350" s="5">
        <v>1012760</v>
      </c>
      <c r="G350" s="5">
        <v>0</v>
      </c>
      <c r="H350" s="5">
        <v>0</v>
      </c>
      <c r="I350" s="5">
        <v>0</v>
      </c>
      <c r="J350" s="5">
        <v>0</v>
      </c>
      <c r="L350">
        <f t="shared" si="33"/>
        <v>348</v>
      </c>
      <c r="M350">
        <f>'Real Analysis'!$B$3+B350/1000000</f>
        <v>7.0150399999984074</v>
      </c>
      <c r="N350">
        <f t="shared" si="34"/>
        <v>2</v>
      </c>
      <c r="O350">
        <f>IF(ABS(D350)&gt;1,D350/1000000,D350)*'Real Analysis'!$B$4</f>
        <v>-0.14125419</v>
      </c>
      <c r="P350">
        <f>IF(ABS(E350)&gt;1,E350/1000000,E350)*'Real Analysis'!$B$4</f>
        <v>0.12077091000000001</v>
      </c>
      <c r="Q350">
        <f>IF(ABS(F350)&gt;1,F350/1000000,F350)*'Real Analysis'!$B$4</f>
        <v>9.9351756000000009</v>
      </c>
      <c r="R350">
        <f t="shared" si="35"/>
        <v>0</v>
      </c>
      <c r="S350">
        <f t="shared" si="36"/>
        <v>0</v>
      </c>
      <c r="T350">
        <f t="shared" si="37"/>
        <v>0</v>
      </c>
      <c r="U350">
        <f t="shared" si="38"/>
        <v>0</v>
      </c>
    </row>
    <row r="351" spans="1:21" x14ac:dyDescent="0.3">
      <c r="A351" s="4">
        <v>349</v>
      </c>
      <c r="B351" s="4">
        <v>-96584971262</v>
      </c>
      <c r="C351" s="5">
        <v>2</v>
      </c>
      <c r="D351" s="5">
        <v>-1.3665E-2</v>
      </c>
      <c r="E351" s="5">
        <v>1.2284E-2</v>
      </c>
      <c r="F351" s="5">
        <v>1012108</v>
      </c>
      <c r="G351" s="5">
        <v>0</v>
      </c>
      <c r="H351" s="5">
        <v>0</v>
      </c>
      <c r="I351" s="5">
        <v>0</v>
      </c>
      <c r="J351" s="5">
        <v>0</v>
      </c>
      <c r="L351">
        <f t="shared" si="33"/>
        <v>349</v>
      </c>
      <c r="M351">
        <f>'Real Analysis'!$B$3+B351/1000000</f>
        <v>7.0287379999936093</v>
      </c>
      <c r="N351">
        <f t="shared" si="34"/>
        <v>2</v>
      </c>
      <c r="O351">
        <f>IF(ABS(D351)&gt;1,D351/1000000,D351)*'Real Analysis'!$B$4</f>
        <v>-0.13405365</v>
      </c>
      <c r="P351">
        <f>IF(ABS(E351)&gt;1,E351/1000000,E351)*'Real Analysis'!$B$4</f>
        <v>0.12050604000000001</v>
      </c>
      <c r="Q351">
        <f>IF(ABS(F351)&gt;1,F351/1000000,F351)*'Real Analysis'!$B$4</f>
        <v>9.9287794800000011</v>
      </c>
      <c r="R351">
        <f t="shared" si="35"/>
        <v>0</v>
      </c>
      <c r="S351">
        <f t="shared" si="36"/>
        <v>0</v>
      </c>
      <c r="T351">
        <f t="shared" si="37"/>
        <v>0</v>
      </c>
      <c r="U351">
        <f t="shared" si="38"/>
        <v>0</v>
      </c>
    </row>
    <row r="352" spans="1:21" x14ac:dyDescent="0.3">
      <c r="A352" s="4">
        <v>350</v>
      </c>
      <c r="B352" s="4">
        <v>-96584950221</v>
      </c>
      <c r="C352" s="5">
        <v>2</v>
      </c>
      <c r="D352" s="5">
        <v>-1.2414E-2</v>
      </c>
      <c r="E352" s="5">
        <v>1.0762000000000001E-2</v>
      </c>
      <c r="F352" s="5">
        <v>1003427</v>
      </c>
      <c r="G352" s="5">
        <v>0</v>
      </c>
      <c r="H352" s="5">
        <v>0</v>
      </c>
      <c r="I352" s="5">
        <v>0</v>
      </c>
      <c r="J352" s="5">
        <v>0</v>
      </c>
      <c r="L352">
        <f t="shared" si="33"/>
        <v>350</v>
      </c>
      <c r="M352">
        <f>'Real Analysis'!$B$3+B352/1000000</f>
        <v>7.0497789999935776</v>
      </c>
      <c r="N352">
        <f t="shared" si="34"/>
        <v>2</v>
      </c>
      <c r="O352">
        <f>IF(ABS(D352)&gt;1,D352/1000000,D352)*'Real Analysis'!$B$4</f>
        <v>-0.12178134</v>
      </c>
      <c r="P352">
        <f>IF(ABS(E352)&gt;1,E352/1000000,E352)*'Real Analysis'!$B$4</f>
        <v>0.10557522000000001</v>
      </c>
      <c r="Q352">
        <f>IF(ABS(F352)&gt;1,F352/1000000,F352)*'Real Analysis'!$B$4</f>
        <v>9.843618870000002</v>
      </c>
      <c r="R352">
        <f t="shared" si="35"/>
        <v>0</v>
      </c>
      <c r="S352">
        <f t="shared" si="36"/>
        <v>0</v>
      </c>
      <c r="T352">
        <f t="shared" si="37"/>
        <v>0</v>
      </c>
      <c r="U352">
        <f t="shared" si="38"/>
        <v>0</v>
      </c>
    </row>
    <row r="353" spans="1:21" x14ac:dyDescent="0.3">
      <c r="A353" s="4">
        <v>351</v>
      </c>
      <c r="B353" s="4">
        <v>-96584929049</v>
      </c>
      <c r="C353" s="5">
        <v>2</v>
      </c>
      <c r="D353" s="5">
        <v>-1.2023000000000001E-2</v>
      </c>
      <c r="E353" s="5">
        <v>3.9220000000000001E-3</v>
      </c>
      <c r="F353" s="5">
        <v>1004515</v>
      </c>
      <c r="G353" s="5">
        <v>0</v>
      </c>
      <c r="H353" s="5">
        <v>0</v>
      </c>
      <c r="I353" s="5">
        <v>0</v>
      </c>
      <c r="J353" s="5">
        <v>0</v>
      </c>
      <c r="L353">
        <f t="shared" si="33"/>
        <v>351</v>
      </c>
      <c r="M353">
        <f>'Real Analysis'!$B$3+B353/1000000</f>
        <v>7.0709510000015143</v>
      </c>
      <c r="N353">
        <f t="shared" si="34"/>
        <v>2</v>
      </c>
      <c r="O353">
        <f>IF(ABS(D353)&gt;1,D353/1000000,D353)*'Real Analysis'!$B$4</f>
        <v>-0.11794563000000001</v>
      </c>
      <c r="P353">
        <f>IF(ABS(E353)&gt;1,E353/1000000,E353)*'Real Analysis'!$B$4</f>
        <v>3.847482E-2</v>
      </c>
      <c r="Q353">
        <f>IF(ABS(F353)&gt;1,F353/1000000,F353)*'Real Analysis'!$B$4</f>
        <v>9.8542921500000009</v>
      </c>
      <c r="R353">
        <f t="shared" si="35"/>
        <v>0</v>
      </c>
      <c r="S353">
        <f t="shared" si="36"/>
        <v>0</v>
      </c>
      <c r="T353">
        <f t="shared" si="37"/>
        <v>0</v>
      </c>
      <c r="U353">
        <f t="shared" si="38"/>
        <v>0</v>
      </c>
    </row>
    <row r="354" spans="1:21" x14ac:dyDescent="0.3">
      <c r="A354" s="4">
        <v>352</v>
      </c>
      <c r="B354" s="4">
        <v>-96584908811</v>
      </c>
      <c r="C354" s="5">
        <v>2</v>
      </c>
      <c r="D354" s="5">
        <v>-1.3119E-2</v>
      </c>
      <c r="E354" s="5">
        <v>3.888E-3</v>
      </c>
      <c r="F354" s="5">
        <v>1004159</v>
      </c>
      <c r="G354" s="5">
        <v>0</v>
      </c>
      <c r="H354" s="5">
        <v>0</v>
      </c>
      <c r="I354" s="5">
        <v>0</v>
      </c>
      <c r="J354" s="5">
        <v>0</v>
      </c>
      <c r="L354">
        <f t="shared" si="33"/>
        <v>352</v>
      </c>
      <c r="M354">
        <f>'Real Analysis'!$B$3+B354/1000000</f>
        <v>7.0911889999988489</v>
      </c>
      <c r="N354">
        <f t="shared" si="34"/>
        <v>2</v>
      </c>
      <c r="O354">
        <f>IF(ABS(D354)&gt;1,D354/1000000,D354)*'Real Analysis'!$B$4</f>
        <v>-0.12869739000000002</v>
      </c>
      <c r="P354">
        <f>IF(ABS(E354)&gt;1,E354/1000000,E354)*'Real Analysis'!$B$4</f>
        <v>3.814128E-2</v>
      </c>
      <c r="Q354">
        <f>IF(ABS(F354)&gt;1,F354/1000000,F354)*'Real Analysis'!$B$4</f>
        <v>9.8507997899999999</v>
      </c>
      <c r="R354">
        <f t="shared" si="35"/>
        <v>0</v>
      </c>
      <c r="S354">
        <f t="shared" si="36"/>
        <v>0</v>
      </c>
      <c r="T354">
        <f t="shared" si="37"/>
        <v>0</v>
      </c>
      <c r="U354">
        <f t="shared" si="38"/>
        <v>0</v>
      </c>
    </row>
    <row r="355" spans="1:21" x14ac:dyDescent="0.3">
      <c r="A355" s="4">
        <v>353</v>
      </c>
      <c r="B355" s="4">
        <v>-96584889215</v>
      </c>
      <c r="C355" s="5">
        <v>2</v>
      </c>
      <c r="D355" s="5">
        <v>-1.2871E-2</v>
      </c>
      <c r="E355" s="5">
        <v>6.1190000000000003E-3</v>
      </c>
      <c r="F355" s="5">
        <v>1004172</v>
      </c>
      <c r="G355" s="5">
        <v>0</v>
      </c>
      <c r="H355" s="5">
        <v>0</v>
      </c>
      <c r="I355" s="5">
        <v>0</v>
      </c>
      <c r="J355" s="5">
        <v>0</v>
      </c>
      <c r="L355">
        <f t="shared" si="33"/>
        <v>353</v>
      </c>
      <c r="M355">
        <f>'Real Analysis'!$B$3+B355/1000000</f>
        <v>7.1107849999971222</v>
      </c>
      <c r="N355">
        <f t="shared" si="34"/>
        <v>2</v>
      </c>
      <c r="O355">
        <f>IF(ABS(D355)&gt;1,D355/1000000,D355)*'Real Analysis'!$B$4</f>
        <v>-0.12626451000000002</v>
      </c>
      <c r="P355">
        <f>IF(ABS(E355)&gt;1,E355/1000000,E355)*'Real Analysis'!$B$4</f>
        <v>6.0027390000000007E-2</v>
      </c>
      <c r="Q355">
        <f>IF(ABS(F355)&gt;1,F355/1000000,F355)*'Real Analysis'!$B$4</f>
        <v>9.8509273200000003</v>
      </c>
      <c r="R355">
        <f t="shared" si="35"/>
        <v>0</v>
      </c>
      <c r="S355">
        <f t="shared" si="36"/>
        <v>0</v>
      </c>
      <c r="T355">
        <f t="shared" si="37"/>
        <v>0</v>
      </c>
      <c r="U355">
        <f t="shared" si="38"/>
        <v>0</v>
      </c>
    </row>
    <row r="356" spans="1:21" x14ac:dyDescent="0.3">
      <c r="A356" s="4">
        <v>354</v>
      </c>
      <c r="B356" s="4">
        <v>-96584870587</v>
      </c>
      <c r="C356" s="5">
        <v>2</v>
      </c>
      <c r="D356" s="5">
        <v>-1.2876E-2</v>
      </c>
      <c r="E356" s="5">
        <v>1.2911000000000001E-2</v>
      </c>
      <c r="F356" s="5">
        <v>1004107</v>
      </c>
      <c r="G356" s="5">
        <v>0</v>
      </c>
      <c r="H356" s="5">
        <v>0</v>
      </c>
      <c r="I356" s="5">
        <v>0</v>
      </c>
      <c r="J356" s="5">
        <v>0</v>
      </c>
      <c r="L356">
        <f t="shared" si="33"/>
        <v>354</v>
      </c>
      <c r="M356">
        <f>'Real Analysis'!$B$3+B356/1000000</f>
        <v>7.129413000002387</v>
      </c>
      <c r="N356">
        <f t="shared" si="34"/>
        <v>2</v>
      </c>
      <c r="O356">
        <f>IF(ABS(D356)&gt;1,D356/1000000,D356)*'Real Analysis'!$B$4</f>
        <v>-0.12631356000000002</v>
      </c>
      <c r="P356">
        <f>IF(ABS(E356)&gt;1,E356/1000000,E356)*'Real Analysis'!$B$4</f>
        <v>0.12665691000000001</v>
      </c>
      <c r="Q356">
        <f>IF(ABS(F356)&gt;1,F356/1000000,F356)*'Real Analysis'!$B$4</f>
        <v>9.8502896700000004</v>
      </c>
      <c r="R356">
        <f t="shared" si="35"/>
        <v>0</v>
      </c>
      <c r="S356">
        <f t="shared" si="36"/>
        <v>0</v>
      </c>
      <c r="T356">
        <f t="shared" si="37"/>
        <v>0</v>
      </c>
      <c r="U356">
        <f t="shared" si="38"/>
        <v>0</v>
      </c>
    </row>
    <row r="357" spans="1:21" x14ac:dyDescent="0.3">
      <c r="A357" s="4">
        <v>355</v>
      </c>
      <c r="B357" s="4">
        <v>-96584848697</v>
      </c>
      <c r="C357" s="5">
        <v>2</v>
      </c>
      <c r="D357" s="5">
        <v>-1.2838E-2</v>
      </c>
      <c r="E357" s="5">
        <v>1.1904E-2</v>
      </c>
      <c r="F357" s="5">
        <v>1004129</v>
      </c>
      <c r="G357" s="5">
        <v>0</v>
      </c>
      <c r="H357" s="5">
        <v>0</v>
      </c>
      <c r="I357" s="5">
        <v>0</v>
      </c>
      <c r="J357" s="5">
        <v>0</v>
      </c>
      <c r="L357">
        <f t="shared" si="33"/>
        <v>355</v>
      </c>
      <c r="M357">
        <f>'Real Analysis'!$B$3+B357/1000000</f>
        <v>7.1513030000060098</v>
      </c>
      <c r="N357">
        <f t="shared" si="34"/>
        <v>2</v>
      </c>
      <c r="O357">
        <f>IF(ABS(D357)&gt;1,D357/1000000,D357)*'Real Analysis'!$B$4</f>
        <v>-0.12594078</v>
      </c>
      <c r="P357">
        <f>IF(ABS(E357)&gt;1,E357/1000000,E357)*'Real Analysis'!$B$4</f>
        <v>0.11677824000000001</v>
      </c>
      <c r="Q357">
        <f>IF(ABS(F357)&gt;1,F357/1000000,F357)*'Real Analysis'!$B$4</f>
        <v>9.8505054900000015</v>
      </c>
      <c r="R357">
        <f t="shared" si="35"/>
        <v>0</v>
      </c>
      <c r="S357">
        <f t="shared" si="36"/>
        <v>0</v>
      </c>
      <c r="T357">
        <f t="shared" si="37"/>
        <v>0</v>
      </c>
      <c r="U357">
        <f t="shared" si="38"/>
        <v>0</v>
      </c>
    </row>
    <row r="358" spans="1:21" x14ac:dyDescent="0.3">
      <c r="A358" s="4">
        <v>356</v>
      </c>
      <c r="B358" s="4">
        <v>-96584828866</v>
      </c>
      <c r="C358" s="5">
        <v>2</v>
      </c>
      <c r="D358" s="5">
        <v>-1.286E-2</v>
      </c>
      <c r="E358" s="5">
        <v>1.2203E-2</v>
      </c>
      <c r="F358" s="5">
        <v>1004144</v>
      </c>
      <c r="G358" s="5">
        <v>0</v>
      </c>
      <c r="H358" s="5">
        <v>0</v>
      </c>
      <c r="I358" s="5">
        <v>0</v>
      </c>
      <c r="J358" s="5">
        <v>0</v>
      </c>
      <c r="L358">
        <f t="shared" si="33"/>
        <v>356</v>
      </c>
      <c r="M358">
        <f>'Real Analysis'!$B$3+B358/1000000</f>
        <v>7.1711340000038035</v>
      </c>
      <c r="N358">
        <f t="shared" si="34"/>
        <v>2</v>
      </c>
      <c r="O358">
        <f>IF(ABS(D358)&gt;1,D358/1000000,D358)*'Real Analysis'!$B$4</f>
        <v>-0.12615660000000001</v>
      </c>
      <c r="P358">
        <f>IF(ABS(E358)&gt;1,E358/1000000,E358)*'Real Analysis'!$B$4</f>
        <v>0.11971143000000001</v>
      </c>
      <c r="Q358">
        <f>IF(ABS(F358)&gt;1,F358/1000000,F358)*'Real Analysis'!$B$4</f>
        <v>9.8506526399999998</v>
      </c>
      <c r="R358">
        <f t="shared" si="35"/>
        <v>0</v>
      </c>
      <c r="S358">
        <f t="shared" si="36"/>
        <v>0</v>
      </c>
      <c r="T358">
        <f t="shared" si="37"/>
        <v>0</v>
      </c>
      <c r="U358">
        <f t="shared" si="38"/>
        <v>0</v>
      </c>
    </row>
    <row r="359" spans="1:21" x14ac:dyDescent="0.3">
      <c r="A359" s="4">
        <v>357</v>
      </c>
      <c r="B359" s="4">
        <v>-96584818049</v>
      </c>
      <c r="C359" s="5">
        <v>2</v>
      </c>
      <c r="D359" s="5">
        <v>-1.2829E-2</v>
      </c>
      <c r="E359" s="5">
        <v>1.2345E-2</v>
      </c>
      <c r="F359" s="5">
        <v>1004136</v>
      </c>
      <c r="G359" s="5">
        <v>0</v>
      </c>
      <c r="H359" s="5">
        <v>0</v>
      </c>
      <c r="I359" s="5">
        <v>0</v>
      </c>
      <c r="J359" s="5">
        <v>0</v>
      </c>
      <c r="L359">
        <f t="shared" si="33"/>
        <v>357</v>
      </c>
      <c r="M359">
        <f>'Real Analysis'!$B$3+B359/1000000</f>
        <v>7.1819510000059381</v>
      </c>
      <c r="N359">
        <f t="shared" si="34"/>
        <v>2</v>
      </c>
      <c r="O359">
        <f>IF(ABS(D359)&gt;1,D359/1000000,D359)*'Real Analysis'!$B$4</f>
        <v>-0.12585249000000001</v>
      </c>
      <c r="P359">
        <f>IF(ABS(E359)&gt;1,E359/1000000,E359)*'Real Analysis'!$B$4</f>
        <v>0.12110445</v>
      </c>
      <c r="Q359">
        <f>IF(ABS(F359)&gt;1,F359/1000000,F359)*'Real Analysis'!$B$4</f>
        <v>9.850574159999999</v>
      </c>
      <c r="R359">
        <f t="shared" si="35"/>
        <v>0</v>
      </c>
      <c r="S359">
        <f t="shared" si="36"/>
        <v>0</v>
      </c>
      <c r="T359">
        <f t="shared" si="37"/>
        <v>0</v>
      </c>
      <c r="U359">
        <f t="shared" si="38"/>
        <v>0</v>
      </c>
    </row>
    <row r="360" spans="1:21" x14ac:dyDescent="0.3">
      <c r="A360" s="4">
        <v>358</v>
      </c>
      <c r="B360" s="4">
        <v>-96584788718</v>
      </c>
      <c r="C360" s="5">
        <v>2</v>
      </c>
      <c r="D360" s="5">
        <v>-4.2690000000000002E-3</v>
      </c>
      <c r="E360" s="5">
        <v>1.2356000000000001E-2</v>
      </c>
      <c r="F360" s="5">
        <v>1004461</v>
      </c>
      <c r="G360" s="5">
        <v>0</v>
      </c>
      <c r="H360" s="5">
        <v>0</v>
      </c>
      <c r="I360" s="5">
        <v>0</v>
      </c>
      <c r="J360" s="5">
        <v>0</v>
      </c>
      <c r="L360">
        <f t="shared" si="33"/>
        <v>358</v>
      </c>
      <c r="M360">
        <f>'Real Analysis'!$B$3+B360/1000000</f>
        <v>7.2112820000038482</v>
      </c>
      <c r="N360">
        <f t="shared" si="34"/>
        <v>2</v>
      </c>
      <c r="O360">
        <f>IF(ABS(D360)&gt;1,D360/1000000,D360)*'Real Analysis'!$B$4</f>
        <v>-4.1878890000000002E-2</v>
      </c>
      <c r="P360">
        <f>IF(ABS(E360)&gt;1,E360/1000000,E360)*'Real Analysis'!$B$4</f>
        <v>0.12121236000000002</v>
      </c>
      <c r="Q360">
        <f>IF(ABS(F360)&gt;1,F360/1000000,F360)*'Real Analysis'!$B$4</f>
        <v>9.8537624100000016</v>
      </c>
      <c r="R360">
        <f t="shared" si="35"/>
        <v>0</v>
      </c>
      <c r="S360">
        <f t="shared" si="36"/>
        <v>0</v>
      </c>
      <c r="T360">
        <f t="shared" si="37"/>
        <v>0</v>
      </c>
      <c r="U360">
        <f t="shared" si="38"/>
        <v>0</v>
      </c>
    </row>
    <row r="361" spans="1:21" x14ac:dyDescent="0.3">
      <c r="A361" s="4">
        <v>359</v>
      </c>
      <c r="B361" s="4">
        <v>-96584768346</v>
      </c>
      <c r="C361" s="5">
        <v>2</v>
      </c>
      <c r="D361" s="5">
        <v>-5.1050000000000002E-3</v>
      </c>
      <c r="E361" s="5">
        <v>1.2304000000000001E-2</v>
      </c>
      <c r="F361" s="5">
        <v>1005998</v>
      </c>
      <c r="G361" s="5">
        <v>0</v>
      </c>
      <c r="H361" s="5">
        <v>0</v>
      </c>
      <c r="I361" s="5">
        <v>0</v>
      </c>
      <c r="J361" s="5">
        <v>0</v>
      </c>
      <c r="L361">
        <f t="shared" si="33"/>
        <v>359</v>
      </c>
      <c r="M361">
        <f>'Real Analysis'!$B$3+B361/1000000</f>
        <v>7.2316540000028908</v>
      </c>
      <c r="N361">
        <f t="shared" si="34"/>
        <v>2</v>
      </c>
      <c r="O361">
        <f>IF(ABS(D361)&gt;1,D361/1000000,D361)*'Real Analysis'!$B$4</f>
        <v>-5.0080050000000001E-2</v>
      </c>
      <c r="P361">
        <f>IF(ABS(E361)&gt;1,E361/1000000,E361)*'Real Analysis'!$B$4</f>
        <v>0.12070224000000002</v>
      </c>
      <c r="Q361">
        <f>IF(ABS(F361)&gt;1,F361/1000000,F361)*'Real Analysis'!$B$4</f>
        <v>9.86884038</v>
      </c>
      <c r="R361">
        <f t="shared" si="35"/>
        <v>0</v>
      </c>
      <c r="S361">
        <f t="shared" si="36"/>
        <v>0</v>
      </c>
      <c r="T361">
        <f t="shared" si="37"/>
        <v>0</v>
      </c>
      <c r="U361">
        <f t="shared" si="38"/>
        <v>0</v>
      </c>
    </row>
    <row r="362" spans="1:21" x14ac:dyDescent="0.3">
      <c r="A362" s="4">
        <v>360</v>
      </c>
      <c r="B362" s="4">
        <v>-96584750502</v>
      </c>
      <c r="C362" s="5">
        <v>2</v>
      </c>
      <c r="D362" s="5">
        <v>-6.8950000000000001E-3</v>
      </c>
      <c r="E362" s="5">
        <v>1.2397999999999999E-2</v>
      </c>
      <c r="F362" s="5">
        <v>1013095</v>
      </c>
      <c r="G362" s="5">
        <v>0</v>
      </c>
      <c r="H362" s="5">
        <v>0</v>
      </c>
      <c r="I362" s="5">
        <v>0</v>
      </c>
      <c r="J362" s="5">
        <v>0</v>
      </c>
      <c r="L362">
        <f t="shared" si="33"/>
        <v>360</v>
      </c>
      <c r="M362">
        <f>'Real Analysis'!$B$3+B362/1000000</f>
        <v>7.249498000004678</v>
      </c>
      <c r="N362">
        <f t="shared" si="34"/>
        <v>2</v>
      </c>
      <c r="O362">
        <f>IF(ABS(D362)&gt;1,D362/1000000,D362)*'Real Analysis'!$B$4</f>
        <v>-6.7639950000000004E-2</v>
      </c>
      <c r="P362">
        <f>IF(ABS(E362)&gt;1,E362/1000000,E362)*'Real Analysis'!$B$4</f>
        <v>0.12162438</v>
      </c>
      <c r="Q362">
        <f>IF(ABS(F362)&gt;1,F362/1000000,F362)*'Real Analysis'!$B$4</f>
        <v>9.9384619500000007</v>
      </c>
      <c r="R362">
        <f t="shared" si="35"/>
        <v>0</v>
      </c>
      <c r="S362">
        <f t="shared" si="36"/>
        <v>0</v>
      </c>
      <c r="T362">
        <f t="shared" si="37"/>
        <v>0</v>
      </c>
      <c r="U362">
        <f t="shared" si="38"/>
        <v>0</v>
      </c>
    </row>
    <row r="363" spans="1:21" x14ac:dyDescent="0.3">
      <c r="A363" s="4">
        <v>361</v>
      </c>
      <c r="B363" s="4">
        <v>-96584727689</v>
      </c>
      <c r="C363" s="5">
        <v>2</v>
      </c>
      <c r="D363" s="5">
        <v>-8.9750000000000003E-3</v>
      </c>
      <c r="E363" s="5">
        <v>1.2449E-2</v>
      </c>
      <c r="F363" s="5">
        <v>1011977</v>
      </c>
      <c r="G363" s="5">
        <v>0</v>
      </c>
      <c r="H363" s="5">
        <v>0</v>
      </c>
      <c r="I363" s="5">
        <v>0</v>
      </c>
      <c r="J363" s="5">
        <v>0</v>
      </c>
      <c r="L363">
        <f t="shared" si="33"/>
        <v>361</v>
      </c>
      <c r="M363">
        <f>'Real Analysis'!$B$3+B363/1000000</f>
        <v>7.2723109999933513</v>
      </c>
      <c r="N363">
        <f t="shared" si="34"/>
        <v>2</v>
      </c>
      <c r="O363">
        <f>IF(ABS(D363)&gt;1,D363/1000000,D363)*'Real Analysis'!$B$4</f>
        <v>-8.8044750000000005E-2</v>
      </c>
      <c r="P363">
        <f>IF(ABS(E363)&gt;1,E363/1000000,E363)*'Real Analysis'!$B$4</f>
        <v>0.12212469000000001</v>
      </c>
      <c r="Q363">
        <f>IF(ABS(F363)&gt;1,F363/1000000,F363)*'Real Analysis'!$B$4</f>
        <v>9.9274943699999998</v>
      </c>
      <c r="R363">
        <f t="shared" si="35"/>
        <v>0</v>
      </c>
      <c r="S363">
        <f t="shared" si="36"/>
        <v>0</v>
      </c>
      <c r="T363">
        <f t="shared" si="37"/>
        <v>0</v>
      </c>
      <c r="U363">
        <f t="shared" si="38"/>
        <v>0</v>
      </c>
    </row>
    <row r="364" spans="1:21" x14ac:dyDescent="0.3">
      <c r="A364" s="4">
        <v>362</v>
      </c>
      <c r="B364" s="4">
        <v>-96584712231</v>
      </c>
      <c r="C364" s="5">
        <v>2</v>
      </c>
      <c r="D364" s="5">
        <v>-3.9160000000000002E-3</v>
      </c>
      <c r="E364" s="5">
        <v>1.2342000000000001E-2</v>
      </c>
      <c r="F364" s="5">
        <v>1005355</v>
      </c>
      <c r="G364" s="5">
        <v>0</v>
      </c>
      <c r="H364" s="5">
        <v>0</v>
      </c>
      <c r="I364" s="5">
        <v>0</v>
      </c>
      <c r="J364" s="5">
        <v>0</v>
      </c>
      <c r="L364">
        <f t="shared" si="33"/>
        <v>362</v>
      </c>
      <c r="M364">
        <f>'Real Analysis'!$B$3+B364/1000000</f>
        <v>7.2877690000022994</v>
      </c>
      <c r="N364">
        <f t="shared" si="34"/>
        <v>2</v>
      </c>
      <c r="O364">
        <f>IF(ABS(D364)&gt;1,D364/1000000,D364)*'Real Analysis'!$B$4</f>
        <v>-3.8415960000000006E-2</v>
      </c>
      <c r="P364">
        <f>IF(ABS(E364)&gt;1,E364/1000000,E364)*'Real Analysis'!$B$4</f>
        <v>0.12107502000000001</v>
      </c>
      <c r="Q364">
        <f>IF(ABS(F364)&gt;1,F364/1000000,F364)*'Real Analysis'!$B$4</f>
        <v>9.862532550000001</v>
      </c>
      <c r="R364">
        <f t="shared" si="35"/>
        <v>0</v>
      </c>
      <c r="S364">
        <f t="shared" si="36"/>
        <v>0</v>
      </c>
      <c r="T364">
        <f t="shared" si="37"/>
        <v>0</v>
      </c>
      <c r="U364">
        <f t="shared" si="38"/>
        <v>0</v>
      </c>
    </row>
    <row r="365" spans="1:21" x14ac:dyDescent="0.3">
      <c r="A365" s="4">
        <v>363</v>
      </c>
      <c r="B365" s="4">
        <v>-96584692330</v>
      </c>
      <c r="C365" s="5">
        <v>2</v>
      </c>
      <c r="D365" s="5">
        <v>-5.267E-3</v>
      </c>
      <c r="E365" s="5">
        <v>1.2341E-2</v>
      </c>
      <c r="F365" s="5">
        <v>1005250</v>
      </c>
      <c r="G365" s="5">
        <v>0</v>
      </c>
      <c r="H365" s="5">
        <v>0</v>
      </c>
      <c r="I365" s="5">
        <v>0</v>
      </c>
      <c r="J365" s="5">
        <v>0</v>
      </c>
      <c r="L365">
        <f t="shared" si="33"/>
        <v>363</v>
      </c>
      <c r="M365">
        <f>'Real Analysis'!$B$3+B365/1000000</f>
        <v>7.3076699999946868</v>
      </c>
      <c r="N365">
        <f t="shared" si="34"/>
        <v>2</v>
      </c>
      <c r="O365">
        <f>IF(ABS(D365)&gt;1,D365/1000000,D365)*'Real Analysis'!$B$4</f>
        <v>-5.1669270000000003E-2</v>
      </c>
      <c r="P365">
        <f>IF(ABS(E365)&gt;1,E365/1000000,E365)*'Real Analysis'!$B$4</f>
        <v>0.12106521000000001</v>
      </c>
      <c r="Q365">
        <f>IF(ABS(F365)&gt;1,F365/1000000,F365)*'Real Analysis'!$B$4</f>
        <v>9.8615025000000003</v>
      </c>
      <c r="R365">
        <f t="shared" si="35"/>
        <v>0</v>
      </c>
      <c r="S365">
        <f t="shared" si="36"/>
        <v>0</v>
      </c>
      <c r="T365">
        <f t="shared" si="37"/>
        <v>0</v>
      </c>
      <c r="U365">
        <f t="shared" si="38"/>
        <v>0</v>
      </c>
    </row>
    <row r="366" spans="1:21" x14ac:dyDescent="0.3">
      <c r="A366" s="4">
        <v>364</v>
      </c>
      <c r="B366" s="4">
        <v>-96584669042</v>
      </c>
      <c r="C366" s="5">
        <v>2</v>
      </c>
      <c r="D366" s="5">
        <v>-5.0939999999999996E-3</v>
      </c>
      <c r="E366" s="5">
        <v>1.2266000000000001E-2</v>
      </c>
      <c r="F366" s="5">
        <v>1005914</v>
      </c>
      <c r="G366" s="5">
        <v>0</v>
      </c>
      <c r="H366" s="5">
        <v>0</v>
      </c>
      <c r="I366" s="5">
        <v>0</v>
      </c>
      <c r="J366" s="5">
        <v>0</v>
      </c>
      <c r="L366">
        <f t="shared" si="33"/>
        <v>364</v>
      </c>
      <c r="M366">
        <f>'Real Analysis'!$B$3+B366/1000000</f>
        <v>7.3309580000059213</v>
      </c>
      <c r="N366">
        <f t="shared" si="34"/>
        <v>2</v>
      </c>
      <c r="O366">
        <f>IF(ABS(D366)&gt;1,D366/1000000,D366)*'Real Analysis'!$B$4</f>
        <v>-4.9972139999999998E-2</v>
      </c>
      <c r="P366">
        <f>IF(ABS(E366)&gt;1,E366/1000000,E366)*'Real Analysis'!$B$4</f>
        <v>0.12032946000000001</v>
      </c>
      <c r="Q366">
        <f>IF(ABS(F366)&gt;1,F366/1000000,F366)*'Real Analysis'!$B$4</f>
        <v>9.8680163400000005</v>
      </c>
      <c r="R366">
        <f t="shared" si="35"/>
        <v>0</v>
      </c>
      <c r="S366">
        <f t="shared" si="36"/>
        <v>0</v>
      </c>
      <c r="T366">
        <f t="shared" si="37"/>
        <v>0</v>
      </c>
      <c r="U366">
        <f t="shared" si="38"/>
        <v>0</v>
      </c>
    </row>
    <row r="367" spans="1:21" x14ac:dyDescent="0.3">
      <c r="A367" s="4">
        <v>365</v>
      </c>
      <c r="B367" s="4">
        <v>-96584652917</v>
      </c>
      <c r="C367" s="5">
        <v>2</v>
      </c>
      <c r="D367" s="5">
        <v>-4.8440000000000002E-3</v>
      </c>
      <c r="E367" s="5">
        <v>1.2349000000000001E-2</v>
      </c>
      <c r="F367" s="5">
        <v>1006555</v>
      </c>
      <c r="G367" s="5">
        <v>0</v>
      </c>
      <c r="H367" s="5">
        <v>0</v>
      </c>
      <c r="I367" s="5">
        <v>0</v>
      </c>
      <c r="J367" s="5">
        <v>0</v>
      </c>
      <c r="L367">
        <f t="shared" si="33"/>
        <v>365</v>
      </c>
      <c r="M367">
        <f>'Real Analysis'!$B$3+B367/1000000</f>
        <v>7.3470830000005662</v>
      </c>
      <c r="N367">
        <f t="shared" si="34"/>
        <v>2</v>
      </c>
      <c r="O367">
        <f>IF(ABS(D367)&gt;1,D367/1000000,D367)*'Real Analysis'!$B$4</f>
        <v>-4.7519640000000002E-2</v>
      </c>
      <c r="P367">
        <f>IF(ABS(E367)&gt;1,E367/1000000,E367)*'Real Analysis'!$B$4</f>
        <v>0.12114369000000001</v>
      </c>
      <c r="Q367">
        <f>IF(ABS(F367)&gt;1,F367/1000000,F367)*'Real Analysis'!$B$4</f>
        <v>9.8743045500000015</v>
      </c>
      <c r="R367">
        <f t="shared" si="35"/>
        <v>0</v>
      </c>
      <c r="S367">
        <f t="shared" si="36"/>
        <v>0</v>
      </c>
      <c r="T367">
        <f t="shared" si="37"/>
        <v>0</v>
      </c>
      <c r="U367">
        <f t="shared" si="38"/>
        <v>0</v>
      </c>
    </row>
    <row r="368" spans="1:21" x14ac:dyDescent="0.3">
      <c r="A368" s="4">
        <v>366</v>
      </c>
      <c r="B368" s="4">
        <v>-96584627676</v>
      </c>
      <c r="C368" s="5">
        <v>2</v>
      </c>
      <c r="D368" s="5">
        <v>-5.0159999999999996E-3</v>
      </c>
      <c r="E368" s="5">
        <v>1.2258E-2</v>
      </c>
      <c r="F368" s="5">
        <v>1005039</v>
      </c>
      <c r="G368" s="5">
        <v>0</v>
      </c>
      <c r="H368" s="5">
        <v>0</v>
      </c>
      <c r="I368" s="5">
        <v>0</v>
      </c>
      <c r="J368" s="5">
        <v>0</v>
      </c>
      <c r="L368">
        <f t="shared" si="33"/>
        <v>366</v>
      </c>
      <c r="M368">
        <f>'Real Analysis'!$B$3+B368/1000000</f>
        <v>7.3723239999962971</v>
      </c>
      <c r="N368">
        <f t="shared" si="34"/>
        <v>2</v>
      </c>
      <c r="O368">
        <f>IF(ABS(D368)&gt;1,D368/1000000,D368)*'Real Analysis'!$B$4</f>
        <v>-4.9206960000000001E-2</v>
      </c>
      <c r="P368">
        <f>IF(ABS(E368)&gt;1,E368/1000000,E368)*'Real Analysis'!$B$4</f>
        <v>0.12025098000000001</v>
      </c>
      <c r="Q368">
        <f>IF(ABS(F368)&gt;1,F368/1000000,F368)*'Real Analysis'!$B$4</f>
        <v>9.8594325900000008</v>
      </c>
      <c r="R368">
        <f t="shared" si="35"/>
        <v>0</v>
      </c>
      <c r="S368">
        <f t="shared" si="36"/>
        <v>0</v>
      </c>
      <c r="T368">
        <f t="shared" si="37"/>
        <v>0</v>
      </c>
      <c r="U368">
        <f t="shared" si="38"/>
        <v>0</v>
      </c>
    </row>
    <row r="369" spans="1:21" x14ac:dyDescent="0.3">
      <c r="A369" s="4">
        <v>367</v>
      </c>
      <c r="B369" s="4">
        <v>-96584611508</v>
      </c>
      <c r="C369" s="5">
        <v>2</v>
      </c>
      <c r="D369" s="5">
        <v>-1.1880999999999999E-2</v>
      </c>
      <c r="E369" s="5">
        <v>1.2260999999999999E-2</v>
      </c>
      <c r="F369" s="5">
        <v>1004050</v>
      </c>
      <c r="G369" s="5">
        <v>0</v>
      </c>
      <c r="H369" s="5">
        <v>0</v>
      </c>
      <c r="I369" s="5">
        <v>0</v>
      </c>
      <c r="J369" s="5">
        <v>0</v>
      </c>
      <c r="L369">
        <f t="shared" si="33"/>
        <v>367</v>
      </c>
      <c r="M369">
        <f>'Real Analysis'!$B$3+B369/1000000</f>
        <v>7.388491999998223</v>
      </c>
      <c r="N369">
        <f t="shared" si="34"/>
        <v>2</v>
      </c>
      <c r="O369">
        <f>IF(ABS(D369)&gt;1,D369/1000000,D369)*'Real Analysis'!$B$4</f>
        <v>-0.11655261</v>
      </c>
      <c r="P369">
        <f>IF(ABS(E369)&gt;1,E369/1000000,E369)*'Real Analysis'!$B$4</f>
        <v>0.12028041</v>
      </c>
      <c r="Q369">
        <f>IF(ABS(F369)&gt;1,F369/1000000,F369)*'Real Analysis'!$B$4</f>
        <v>9.8497305000000015</v>
      </c>
      <c r="R369">
        <f t="shared" si="35"/>
        <v>0</v>
      </c>
      <c r="S369">
        <f t="shared" si="36"/>
        <v>0</v>
      </c>
      <c r="T369">
        <f t="shared" si="37"/>
        <v>0</v>
      </c>
      <c r="U369">
        <f t="shared" si="38"/>
        <v>0</v>
      </c>
    </row>
    <row r="370" spans="1:21" x14ac:dyDescent="0.3">
      <c r="A370" s="4">
        <v>368</v>
      </c>
      <c r="B370" s="4">
        <v>-96584585834</v>
      </c>
      <c r="C370" s="5">
        <v>2</v>
      </c>
      <c r="D370" s="5">
        <v>-1.6166E-2</v>
      </c>
      <c r="E370" s="5">
        <v>3.1489999999999999E-3</v>
      </c>
      <c r="F370" s="5">
        <v>1004009</v>
      </c>
      <c r="G370" s="5">
        <v>0</v>
      </c>
      <c r="H370" s="5">
        <v>0</v>
      </c>
      <c r="I370" s="5">
        <v>0</v>
      </c>
      <c r="J370" s="5">
        <v>0</v>
      </c>
      <c r="L370">
        <f t="shared" si="33"/>
        <v>368</v>
      </c>
      <c r="M370">
        <f>'Real Analysis'!$B$3+B370/1000000</f>
        <v>7.4141660000022966</v>
      </c>
      <c r="N370">
        <f t="shared" si="34"/>
        <v>2</v>
      </c>
      <c r="O370">
        <f>IF(ABS(D370)&gt;1,D370/1000000,D370)*'Real Analysis'!$B$4</f>
        <v>-0.15858846000000001</v>
      </c>
      <c r="P370">
        <f>IF(ABS(E370)&gt;1,E370/1000000,E370)*'Real Analysis'!$B$4</f>
        <v>3.0891689999999999E-2</v>
      </c>
      <c r="Q370">
        <f>IF(ABS(F370)&gt;1,F370/1000000,F370)*'Real Analysis'!$B$4</f>
        <v>9.849328289999999</v>
      </c>
      <c r="R370">
        <f t="shared" si="35"/>
        <v>0</v>
      </c>
      <c r="S370">
        <f t="shared" si="36"/>
        <v>0</v>
      </c>
      <c r="T370">
        <f t="shared" si="37"/>
        <v>0</v>
      </c>
      <c r="U370">
        <f t="shared" si="38"/>
        <v>0</v>
      </c>
    </row>
    <row r="371" spans="1:21" x14ac:dyDescent="0.3">
      <c r="A371" s="4">
        <v>369</v>
      </c>
      <c r="B371" s="4">
        <v>-96584571743</v>
      </c>
      <c r="C371" s="5">
        <v>2</v>
      </c>
      <c r="D371" s="5">
        <v>-2.2127000000000001E-2</v>
      </c>
      <c r="E371" s="5">
        <v>5.9919999999999999E-3</v>
      </c>
      <c r="F371" s="5">
        <v>1003866</v>
      </c>
      <c r="G371" s="5">
        <v>0</v>
      </c>
      <c r="H371" s="5">
        <v>0</v>
      </c>
      <c r="I371" s="5">
        <v>0</v>
      </c>
      <c r="J371" s="5">
        <v>0</v>
      </c>
      <c r="L371">
        <f t="shared" si="33"/>
        <v>369</v>
      </c>
      <c r="M371">
        <f>'Real Analysis'!$B$3+B371/1000000</f>
        <v>7.4282570000068517</v>
      </c>
      <c r="N371">
        <f t="shared" si="34"/>
        <v>2</v>
      </c>
      <c r="O371">
        <f>IF(ABS(D371)&gt;1,D371/1000000,D371)*'Real Analysis'!$B$4</f>
        <v>-0.21706587000000002</v>
      </c>
      <c r="P371">
        <f>IF(ABS(E371)&gt;1,E371/1000000,E371)*'Real Analysis'!$B$4</f>
        <v>5.8781520000000004E-2</v>
      </c>
      <c r="Q371">
        <f>IF(ABS(F371)&gt;1,F371/1000000,F371)*'Real Analysis'!$B$4</f>
        <v>9.847925459999999</v>
      </c>
      <c r="R371">
        <f t="shared" si="35"/>
        <v>0</v>
      </c>
      <c r="S371">
        <f t="shared" si="36"/>
        <v>0</v>
      </c>
      <c r="T371">
        <f t="shared" si="37"/>
        <v>0</v>
      </c>
      <c r="U371">
        <f t="shared" si="38"/>
        <v>0</v>
      </c>
    </row>
    <row r="372" spans="1:21" x14ac:dyDescent="0.3">
      <c r="A372" s="4">
        <v>370</v>
      </c>
      <c r="B372" s="4">
        <v>-96584547367</v>
      </c>
      <c r="C372" s="5">
        <v>2</v>
      </c>
      <c r="D372" s="5">
        <v>-1.2714E-2</v>
      </c>
      <c r="E372" s="5">
        <v>1.2822E-2</v>
      </c>
      <c r="F372" s="5">
        <v>1004166</v>
      </c>
      <c r="G372" s="5">
        <v>0</v>
      </c>
      <c r="H372" s="5">
        <v>0</v>
      </c>
      <c r="I372" s="5">
        <v>0</v>
      </c>
      <c r="J372" s="5">
        <v>0</v>
      </c>
      <c r="L372">
        <f t="shared" si="33"/>
        <v>370</v>
      </c>
      <c r="M372">
        <f>'Real Analysis'!$B$3+B372/1000000</f>
        <v>7.4526329999935115</v>
      </c>
      <c r="N372">
        <f t="shared" si="34"/>
        <v>2</v>
      </c>
      <c r="O372">
        <f>IF(ABS(D372)&gt;1,D372/1000000,D372)*'Real Analysis'!$B$4</f>
        <v>-0.12472434</v>
      </c>
      <c r="P372">
        <f>IF(ABS(E372)&gt;1,E372/1000000,E372)*'Real Analysis'!$B$4</f>
        <v>0.12578382000000002</v>
      </c>
      <c r="Q372">
        <f>IF(ABS(F372)&gt;1,F372/1000000,F372)*'Real Analysis'!$B$4</f>
        <v>9.8508684599999992</v>
      </c>
      <c r="R372">
        <f t="shared" si="35"/>
        <v>0</v>
      </c>
      <c r="S372">
        <f t="shared" si="36"/>
        <v>0</v>
      </c>
      <c r="T372">
        <f t="shared" si="37"/>
        <v>0</v>
      </c>
      <c r="U372">
        <f t="shared" si="38"/>
        <v>0</v>
      </c>
    </row>
    <row r="373" spans="1:21" x14ac:dyDescent="0.3">
      <c r="A373" s="4">
        <v>371</v>
      </c>
      <c r="B373" s="4">
        <v>-96584532487</v>
      </c>
      <c r="C373" s="5">
        <v>2</v>
      </c>
      <c r="D373" s="5">
        <v>-1.3584000000000001E-2</v>
      </c>
      <c r="E373" s="5">
        <v>1.1868E-2</v>
      </c>
      <c r="F373" s="5">
        <v>1004107</v>
      </c>
      <c r="G373" s="5">
        <v>0</v>
      </c>
      <c r="H373" s="5">
        <v>0</v>
      </c>
      <c r="I373" s="5">
        <v>0</v>
      </c>
      <c r="J373" s="5">
        <v>0</v>
      </c>
      <c r="L373">
        <f t="shared" si="33"/>
        <v>371</v>
      </c>
      <c r="M373">
        <f>'Real Analysis'!$B$3+B373/1000000</f>
        <v>7.4675129999959609</v>
      </c>
      <c r="N373">
        <f t="shared" si="34"/>
        <v>2</v>
      </c>
      <c r="O373">
        <f>IF(ABS(D373)&gt;1,D373/1000000,D373)*'Real Analysis'!$B$4</f>
        <v>-0.13325904000000002</v>
      </c>
      <c r="P373">
        <f>IF(ABS(E373)&gt;1,E373/1000000,E373)*'Real Analysis'!$B$4</f>
        <v>0.11642508</v>
      </c>
      <c r="Q373">
        <f>IF(ABS(F373)&gt;1,F373/1000000,F373)*'Real Analysis'!$B$4</f>
        <v>9.8502896700000004</v>
      </c>
      <c r="R373">
        <f t="shared" si="35"/>
        <v>0</v>
      </c>
      <c r="S373">
        <f t="shared" si="36"/>
        <v>0</v>
      </c>
      <c r="T373">
        <f t="shared" si="37"/>
        <v>0</v>
      </c>
      <c r="U373">
        <f t="shared" si="38"/>
        <v>0</v>
      </c>
    </row>
    <row r="374" spans="1:21" x14ac:dyDescent="0.3">
      <c r="A374" s="4">
        <v>372</v>
      </c>
      <c r="B374" s="4">
        <v>-96584516130</v>
      </c>
      <c r="C374" s="5">
        <v>2</v>
      </c>
      <c r="D374" s="5">
        <v>-5.4780000000000002E-3</v>
      </c>
      <c r="E374" s="5">
        <v>1.2213999999999999E-2</v>
      </c>
      <c r="F374" s="5">
        <v>1004413</v>
      </c>
      <c r="G374" s="5">
        <v>0</v>
      </c>
      <c r="H374" s="5">
        <v>0</v>
      </c>
      <c r="I374" s="5">
        <v>0</v>
      </c>
      <c r="J374" s="5">
        <v>0</v>
      </c>
      <c r="L374">
        <f t="shared" si="33"/>
        <v>372</v>
      </c>
      <c r="M374">
        <f>'Real Analysis'!$B$3+B374/1000000</f>
        <v>7.4838699999963865</v>
      </c>
      <c r="N374">
        <f t="shared" si="34"/>
        <v>2</v>
      </c>
      <c r="O374">
        <f>IF(ABS(D374)&gt;1,D374/1000000,D374)*'Real Analysis'!$B$4</f>
        <v>-5.3739180000000004E-2</v>
      </c>
      <c r="P374">
        <f>IF(ABS(E374)&gt;1,E374/1000000,E374)*'Real Analysis'!$B$4</f>
        <v>0.11981934</v>
      </c>
      <c r="Q374">
        <f>IF(ABS(F374)&gt;1,F374/1000000,F374)*'Real Analysis'!$B$4</f>
        <v>9.8532915299999999</v>
      </c>
      <c r="R374">
        <f t="shared" si="35"/>
        <v>0</v>
      </c>
      <c r="S374">
        <f t="shared" si="36"/>
        <v>0</v>
      </c>
      <c r="T374">
        <f t="shared" si="37"/>
        <v>0</v>
      </c>
      <c r="U374">
        <f t="shared" si="38"/>
        <v>0</v>
      </c>
    </row>
    <row r="375" spans="1:21" x14ac:dyDescent="0.3">
      <c r="A375" s="4">
        <v>373</v>
      </c>
      <c r="B375" s="4">
        <v>-96584489925</v>
      </c>
      <c r="C375" s="5">
        <v>2</v>
      </c>
      <c r="D375" s="5">
        <v>-4.3470000000000002E-3</v>
      </c>
      <c r="E375" s="5">
        <v>1.2453000000000001E-2</v>
      </c>
      <c r="F375" s="5">
        <v>1004459</v>
      </c>
      <c r="G375" s="5">
        <v>0</v>
      </c>
      <c r="H375" s="5">
        <v>0</v>
      </c>
      <c r="I375" s="5">
        <v>0</v>
      </c>
      <c r="J375" s="5">
        <v>0</v>
      </c>
      <c r="L375">
        <f t="shared" si="33"/>
        <v>373</v>
      </c>
      <c r="M375">
        <f>'Real Analysis'!$B$3+B375/1000000</f>
        <v>7.5100749999983236</v>
      </c>
      <c r="N375">
        <f t="shared" si="34"/>
        <v>2</v>
      </c>
      <c r="O375">
        <f>IF(ABS(D375)&gt;1,D375/1000000,D375)*'Real Analysis'!$B$4</f>
        <v>-4.2644070000000006E-2</v>
      </c>
      <c r="P375">
        <f>IF(ABS(E375)&gt;1,E375/1000000,E375)*'Real Analysis'!$B$4</f>
        <v>0.12216393000000002</v>
      </c>
      <c r="Q375">
        <f>IF(ABS(F375)&gt;1,F375/1000000,F375)*'Real Analysis'!$B$4</f>
        <v>9.8537427900000001</v>
      </c>
      <c r="R375">
        <f t="shared" si="35"/>
        <v>0</v>
      </c>
      <c r="S375">
        <f t="shared" si="36"/>
        <v>0</v>
      </c>
      <c r="T375">
        <f t="shared" si="37"/>
        <v>0</v>
      </c>
      <c r="U375">
        <f t="shared" si="38"/>
        <v>0</v>
      </c>
    </row>
    <row r="376" spans="1:21" x14ac:dyDescent="0.3">
      <c r="A376" s="4">
        <v>374</v>
      </c>
      <c r="B376" s="4">
        <v>-96584471387</v>
      </c>
      <c r="C376" s="5">
        <v>2</v>
      </c>
      <c r="D376" s="5">
        <v>-8.6300000000000005E-3</v>
      </c>
      <c r="E376" s="5">
        <v>1.2292000000000001E-2</v>
      </c>
      <c r="F376" s="5">
        <v>1004302</v>
      </c>
      <c r="G376" s="5">
        <v>0</v>
      </c>
      <c r="H376" s="5">
        <v>0</v>
      </c>
      <c r="I376" s="5">
        <v>0</v>
      </c>
      <c r="J376" s="5">
        <v>0</v>
      </c>
      <c r="L376">
        <f t="shared" si="33"/>
        <v>374</v>
      </c>
      <c r="M376">
        <f>'Real Analysis'!$B$3+B376/1000000</f>
        <v>7.528613000002224</v>
      </c>
      <c r="N376">
        <f t="shared" si="34"/>
        <v>2</v>
      </c>
      <c r="O376">
        <f>IF(ABS(D376)&gt;1,D376/1000000,D376)*'Real Analysis'!$B$4</f>
        <v>-8.4660300000000008E-2</v>
      </c>
      <c r="P376">
        <f>IF(ABS(E376)&gt;1,E376/1000000,E376)*'Real Analysis'!$B$4</f>
        <v>0.12058452000000001</v>
      </c>
      <c r="Q376">
        <f>IF(ABS(F376)&gt;1,F376/1000000,F376)*'Real Analysis'!$B$4</f>
        <v>9.8522026199999999</v>
      </c>
      <c r="R376">
        <f t="shared" si="35"/>
        <v>0</v>
      </c>
      <c r="S376">
        <f t="shared" si="36"/>
        <v>0</v>
      </c>
      <c r="T376">
        <f t="shared" si="37"/>
        <v>0</v>
      </c>
      <c r="U376">
        <f t="shared" si="38"/>
        <v>0</v>
      </c>
    </row>
    <row r="377" spans="1:21" x14ac:dyDescent="0.3">
      <c r="A377" s="4">
        <v>375</v>
      </c>
      <c r="B377" s="4">
        <v>-96584447789</v>
      </c>
      <c r="C377" s="5">
        <v>2</v>
      </c>
      <c r="D377" s="5">
        <v>-1.3269E-2</v>
      </c>
      <c r="E377" s="5">
        <v>1.2304000000000001E-2</v>
      </c>
      <c r="F377" s="5">
        <v>1004118</v>
      </c>
      <c r="G377" s="5">
        <v>0</v>
      </c>
      <c r="H377" s="5">
        <v>0</v>
      </c>
      <c r="I377" s="5">
        <v>0</v>
      </c>
      <c r="J377" s="5">
        <v>0</v>
      </c>
      <c r="L377">
        <f t="shared" si="33"/>
        <v>375</v>
      </c>
      <c r="M377">
        <f>'Real Analysis'!$B$3+B377/1000000</f>
        <v>7.5522110000019893</v>
      </c>
      <c r="N377">
        <f t="shared" si="34"/>
        <v>2</v>
      </c>
      <c r="O377">
        <f>IF(ABS(D377)&gt;1,D377/1000000,D377)*'Real Analysis'!$B$4</f>
        <v>-0.13016889000000001</v>
      </c>
      <c r="P377">
        <f>IF(ABS(E377)&gt;1,E377/1000000,E377)*'Real Analysis'!$B$4</f>
        <v>0.12070224000000002</v>
      </c>
      <c r="Q377">
        <f>IF(ABS(F377)&gt;1,F377/1000000,F377)*'Real Analysis'!$B$4</f>
        <v>9.850397580000001</v>
      </c>
      <c r="R377">
        <f t="shared" si="35"/>
        <v>0</v>
      </c>
      <c r="S377">
        <f t="shared" si="36"/>
        <v>0</v>
      </c>
      <c r="T377">
        <f t="shared" si="37"/>
        <v>0</v>
      </c>
      <c r="U377">
        <f t="shared" si="38"/>
        <v>0</v>
      </c>
    </row>
    <row r="378" spans="1:21" x14ac:dyDescent="0.3">
      <c r="A378" s="4">
        <v>376</v>
      </c>
      <c r="B378" s="4">
        <v>-96584431682</v>
      </c>
      <c r="C378" s="5">
        <v>2</v>
      </c>
      <c r="D378" s="5">
        <v>-1.3204E-2</v>
      </c>
      <c r="E378" s="5">
        <v>1.2215999999999999E-2</v>
      </c>
      <c r="F378" s="5">
        <v>1004119</v>
      </c>
      <c r="G378" s="5">
        <v>0</v>
      </c>
      <c r="H378" s="5">
        <v>0</v>
      </c>
      <c r="I378" s="5">
        <v>0</v>
      </c>
      <c r="J378" s="5">
        <v>0</v>
      </c>
      <c r="L378">
        <f t="shared" si="33"/>
        <v>376</v>
      </c>
      <c r="M378">
        <f>'Real Analysis'!$B$3+B378/1000000</f>
        <v>7.5683180000050925</v>
      </c>
      <c r="N378">
        <f t="shared" si="34"/>
        <v>2</v>
      </c>
      <c r="O378">
        <f>IF(ABS(D378)&gt;1,D378/1000000,D378)*'Real Analysis'!$B$4</f>
        <v>-0.12953124000000002</v>
      </c>
      <c r="P378">
        <f>IF(ABS(E378)&gt;1,E378/1000000,E378)*'Real Analysis'!$B$4</f>
        <v>0.11983895999999999</v>
      </c>
      <c r="Q378">
        <f>IF(ABS(F378)&gt;1,F378/1000000,F378)*'Real Analysis'!$B$4</f>
        <v>9.8504073900000009</v>
      </c>
      <c r="R378">
        <f t="shared" si="35"/>
        <v>0</v>
      </c>
      <c r="S378">
        <f t="shared" si="36"/>
        <v>0</v>
      </c>
      <c r="T378">
        <f t="shared" si="37"/>
        <v>0</v>
      </c>
      <c r="U378">
        <f t="shared" si="38"/>
        <v>0</v>
      </c>
    </row>
    <row r="379" spans="1:21" x14ac:dyDescent="0.3">
      <c r="A379" s="4">
        <v>377</v>
      </c>
      <c r="B379" s="4">
        <v>-96584411311</v>
      </c>
      <c r="C379" s="5">
        <v>2</v>
      </c>
      <c r="D379" s="5">
        <v>-1.2926999999999999E-2</v>
      </c>
      <c r="E379" s="5">
        <v>5.4799999999999996E-3</v>
      </c>
      <c r="F379" s="5">
        <v>1007636</v>
      </c>
      <c r="G379" s="5">
        <v>0</v>
      </c>
      <c r="H379" s="5">
        <v>0</v>
      </c>
      <c r="I379" s="5">
        <v>0</v>
      </c>
      <c r="J379" s="5">
        <v>0</v>
      </c>
      <c r="L379">
        <f t="shared" si="33"/>
        <v>377</v>
      </c>
      <c r="M379">
        <f>'Real Analysis'!$B$3+B379/1000000</f>
        <v>7.5886889999965206</v>
      </c>
      <c r="N379">
        <f t="shared" si="34"/>
        <v>2</v>
      </c>
      <c r="O379">
        <f>IF(ABS(D379)&gt;1,D379/1000000,D379)*'Real Analysis'!$B$4</f>
        <v>-0.12681387</v>
      </c>
      <c r="P379">
        <f>IF(ABS(E379)&gt;1,E379/1000000,E379)*'Real Analysis'!$B$4</f>
        <v>5.3758800000000002E-2</v>
      </c>
      <c r="Q379">
        <f>IF(ABS(F379)&gt;1,F379/1000000,F379)*'Real Analysis'!$B$4</f>
        <v>9.8849091599999994</v>
      </c>
      <c r="R379">
        <f t="shared" si="35"/>
        <v>0</v>
      </c>
      <c r="S379">
        <f t="shared" si="36"/>
        <v>0</v>
      </c>
      <c r="T379">
        <f t="shared" si="37"/>
        <v>0</v>
      </c>
      <c r="U379">
        <f t="shared" si="38"/>
        <v>0</v>
      </c>
    </row>
    <row r="380" spans="1:21" x14ac:dyDescent="0.3">
      <c r="A380" s="4">
        <v>378</v>
      </c>
      <c r="B380" s="4">
        <v>-96584387262</v>
      </c>
      <c r="C380" s="5">
        <v>2</v>
      </c>
      <c r="D380" s="5">
        <v>-1.1287E-2</v>
      </c>
      <c r="E380" s="5">
        <v>5.202E-3</v>
      </c>
      <c r="F380" s="5">
        <v>1004083</v>
      </c>
      <c r="G380" s="5">
        <v>0</v>
      </c>
      <c r="H380" s="5">
        <v>0</v>
      </c>
      <c r="I380" s="5">
        <v>0</v>
      </c>
      <c r="J380" s="5">
        <v>0</v>
      </c>
      <c r="L380">
        <f t="shared" si="33"/>
        <v>378</v>
      </c>
      <c r="M380">
        <f>'Real Analysis'!$B$3+B380/1000000</f>
        <v>7.6127379999961704</v>
      </c>
      <c r="N380">
        <f t="shared" si="34"/>
        <v>2</v>
      </c>
      <c r="O380">
        <f>IF(ABS(D380)&gt;1,D380/1000000,D380)*'Real Analysis'!$B$4</f>
        <v>-0.11072547000000001</v>
      </c>
      <c r="P380">
        <f>IF(ABS(E380)&gt;1,E380/1000000,E380)*'Real Analysis'!$B$4</f>
        <v>5.103162E-2</v>
      </c>
      <c r="Q380">
        <f>IF(ABS(F380)&gt;1,F380/1000000,F380)*'Real Analysis'!$B$4</f>
        <v>9.8500542300000014</v>
      </c>
      <c r="R380">
        <f t="shared" si="35"/>
        <v>0</v>
      </c>
      <c r="S380">
        <f t="shared" si="36"/>
        <v>0</v>
      </c>
      <c r="T380">
        <f t="shared" si="37"/>
        <v>0</v>
      </c>
      <c r="U380">
        <f t="shared" si="38"/>
        <v>0</v>
      </c>
    </row>
    <row r="381" spans="1:21" x14ac:dyDescent="0.3">
      <c r="A381" s="4">
        <v>379</v>
      </c>
      <c r="B381" s="4">
        <v>-96584370130</v>
      </c>
      <c r="C381" s="5">
        <v>2</v>
      </c>
      <c r="D381" s="5">
        <v>-8.7150000000000005E-3</v>
      </c>
      <c r="E381" s="5">
        <v>5.9030000000000003E-3</v>
      </c>
      <c r="F381" s="5">
        <v>1003377</v>
      </c>
      <c r="G381" s="5">
        <v>0</v>
      </c>
      <c r="H381" s="5">
        <v>0</v>
      </c>
      <c r="I381" s="5">
        <v>0</v>
      </c>
      <c r="J381" s="5">
        <v>0</v>
      </c>
      <c r="L381">
        <f t="shared" si="33"/>
        <v>379</v>
      </c>
      <c r="M381">
        <f>'Real Analysis'!$B$3+B381/1000000</f>
        <v>7.6298700000043027</v>
      </c>
      <c r="N381">
        <f t="shared" si="34"/>
        <v>2</v>
      </c>
      <c r="O381">
        <f>IF(ABS(D381)&gt;1,D381/1000000,D381)*'Real Analysis'!$B$4</f>
        <v>-8.5494150000000005E-2</v>
      </c>
      <c r="P381">
        <f>IF(ABS(E381)&gt;1,E381/1000000,E381)*'Real Analysis'!$B$4</f>
        <v>5.7908430000000004E-2</v>
      </c>
      <c r="Q381">
        <f>IF(ABS(F381)&gt;1,F381/1000000,F381)*'Real Analysis'!$B$4</f>
        <v>9.8431283700000005</v>
      </c>
      <c r="R381">
        <f t="shared" si="35"/>
        <v>0</v>
      </c>
      <c r="S381">
        <f t="shared" si="36"/>
        <v>0</v>
      </c>
      <c r="T381">
        <f t="shared" si="37"/>
        <v>0</v>
      </c>
      <c r="U381">
        <f t="shared" si="38"/>
        <v>0</v>
      </c>
    </row>
    <row r="382" spans="1:21" x14ac:dyDescent="0.3">
      <c r="A382" s="4">
        <v>380</v>
      </c>
      <c r="B382" s="4">
        <v>-96584351577</v>
      </c>
      <c r="C382" s="5">
        <v>2</v>
      </c>
      <c r="D382" s="5">
        <v>-1.4331E-2</v>
      </c>
      <c r="E382" s="5">
        <v>1.3299999999999999E-2</v>
      </c>
      <c r="F382" s="5">
        <v>1001791</v>
      </c>
      <c r="G382" s="5">
        <v>0</v>
      </c>
      <c r="H382" s="5">
        <v>0</v>
      </c>
      <c r="I382" s="5">
        <v>0</v>
      </c>
      <c r="J382" s="5">
        <v>0</v>
      </c>
      <c r="L382">
        <f t="shared" si="33"/>
        <v>380</v>
      </c>
      <c r="M382">
        <f>'Real Analysis'!$B$3+B382/1000000</f>
        <v>7.6484230000060052</v>
      </c>
      <c r="N382">
        <f t="shared" si="34"/>
        <v>2</v>
      </c>
      <c r="O382">
        <f>IF(ABS(D382)&gt;1,D382/1000000,D382)*'Real Analysis'!$B$4</f>
        <v>-0.14058711000000002</v>
      </c>
      <c r="P382">
        <f>IF(ABS(E382)&gt;1,E382/1000000,E382)*'Real Analysis'!$B$4</f>
        <v>0.13047300000000001</v>
      </c>
      <c r="Q382">
        <f>IF(ABS(F382)&gt;1,F382/1000000,F382)*'Real Analysis'!$B$4</f>
        <v>9.8275697100000023</v>
      </c>
      <c r="R382">
        <f t="shared" si="35"/>
        <v>0</v>
      </c>
      <c r="S382">
        <f t="shared" si="36"/>
        <v>0</v>
      </c>
      <c r="T382">
        <f t="shared" si="37"/>
        <v>0</v>
      </c>
      <c r="U382">
        <f t="shared" si="38"/>
        <v>0</v>
      </c>
    </row>
    <row r="383" spans="1:21" x14ac:dyDescent="0.3">
      <c r="A383" s="4">
        <v>381</v>
      </c>
      <c r="B383" s="4">
        <v>-96584330176</v>
      </c>
      <c r="C383" s="5">
        <v>2</v>
      </c>
      <c r="D383" s="5">
        <v>-1.3251000000000001E-2</v>
      </c>
      <c r="E383" s="5">
        <v>1.1927E-2</v>
      </c>
      <c r="F383" s="5">
        <v>1003686</v>
      </c>
      <c r="G383" s="5">
        <v>0</v>
      </c>
      <c r="H383" s="5">
        <v>0</v>
      </c>
      <c r="I383" s="5">
        <v>0</v>
      </c>
      <c r="J383" s="5">
        <v>0</v>
      </c>
      <c r="L383">
        <f t="shared" si="33"/>
        <v>381</v>
      </c>
      <c r="M383">
        <f>'Real Analysis'!$B$3+B383/1000000</f>
        <v>7.6698239999968791</v>
      </c>
      <c r="N383">
        <f t="shared" si="34"/>
        <v>2</v>
      </c>
      <c r="O383">
        <f>IF(ABS(D383)&gt;1,D383/1000000,D383)*'Real Analysis'!$B$4</f>
        <v>-0.12999231</v>
      </c>
      <c r="P383">
        <f>IF(ABS(E383)&gt;1,E383/1000000,E383)*'Real Analysis'!$B$4</f>
        <v>0.11700387000000001</v>
      </c>
      <c r="Q383">
        <f>IF(ABS(F383)&gt;1,F383/1000000,F383)*'Real Analysis'!$B$4</f>
        <v>9.8461596600000014</v>
      </c>
      <c r="R383">
        <f t="shared" si="35"/>
        <v>0</v>
      </c>
      <c r="S383">
        <f t="shared" si="36"/>
        <v>0</v>
      </c>
      <c r="T383">
        <f t="shared" si="37"/>
        <v>0</v>
      </c>
      <c r="U383">
        <f t="shared" si="38"/>
        <v>0</v>
      </c>
    </row>
    <row r="384" spans="1:21" x14ac:dyDescent="0.3">
      <c r="A384" s="4">
        <v>382</v>
      </c>
      <c r="B384" s="4">
        <v>-96584307814</v>
      </c>
      <c r="C384" s="5">
        <v>2</v>
      </c>
      <c r="D384" s="5">
        <v>-1.2543E-2</v>
      </c>
      <c r="E384" s="5">
        <v>1.2255E-2</v>
      </c>
      <c r="F384" s="5">
        <v>1002654</v>
      </c>
      <c r="G384" s="5">
        <v>0</v>
      </c>
      <c r="H384" s="5">
        <v>0</v>
      </c>
      <c r="I384" s="5">
        <v>0</v>
      </c>
      <c r="J384" s="5">
        <v>0</v>
      </c>
      <c r="L384">
        <f t="shared" si="33"/>
        <v>382</v>
      </c>
      <c r="M384">
        <f>'Real Analysis'!$B$3+B384/1000000</f>
        <v>7.6921860000002198</v>
      </c>
      <c r="N384">
        <f t="shared" si="34"/>
        <v>2</v>
      </c>
      <c r="O384">
        <f>IF(ABS(D384)&gt;1,D384/1000000,D384)*'Real Analysis'!$B$4</f>
        <v>-0.12304683000000001</v>
      </c>
      <c r="P384">
        <f>IF(ABS(E384)&gt;1,E384/1000000,E384)*'Real Analysis'!$B$4</f>
        <v>0.12022155000000001</v>
      </c>
      <c r="Q384">
        <f>IF(ABS(F384)&gt;1,F384/1000000,F384)*'Real Analysis'!$B$4</f>
        <v>9.8360357399999998</v>
      </c>
      <c r="R384">
        <f t="shared" si="35"/>
        <v>0</v>
      </c>
      <c r="S384">
        <f t="shared" si="36"/>
        <v>0</v>
      </c>
      <c r="T384">
        <f t="shared" si="37"/>
        <v>0</v>
      </c>
      <c r="U384">
        <f t="shared" si="38"/>
        <v>0</v>
      </c>
    </row>
    <row r="385" spans="1:21" x14ac:dyDescent="0.3">
      <c r="A385" s="4">
        <v>383</v>
      </c>
      <c r="B385" s="4">
        <v>-96584290834</v>
      </c>
      <c r="C385" s="5">
        <v>2</v>
      </c>
      <c r="D385" s="5">
        <v>-1.4880000000000001E-2</v>
      </c>
      <c r="E385" s="5">
        <v>8.7309999999999992E-3</v>
      </c>
      <c r="F385" s="5">
        <v>0.99842799999999998</v>
      </c>
      <c r="G385" s="5">
        <v>0</v>
      </c>
      <c r="H385" s="5">
        <v>0</v>
      </c>
      <c r="I385" s="5">
        <v>0</v>
      </c>
      <c r="J385" s="5">
        <v>0</v>
      </c>
      <c r="L385">
        <f t="shared" si="33"/>
        <v>383</v>
      </c>
      <c r="M385">
        <f>'Real Analysis'!$B$3+B385/1000000</f>
        <v>7.7091660000005504</v>
      </c>
      <c r="N385">
        <f t="shared" si="34"/>
        <v>2</v>
      </c>
      <c r="O385">
        <f>IF(ABS(D385)&gt;1,D385/1000000,D385)*'Real Analysis'!$B$4</f>
        <v>-0.14597280000000001</v>
      </c>
      <c r="P385">
        <f>IF(ABS(E385)&gt;1,E385/1000000,E385)*'Real Analysis'!$B$4</f>
        <v>8.5651110000000003E-2</v>
      </c>
      <c r="Q385">
        <f>IF(ABS(F385)&gt;1,F385/1000000,F385)*'Real Analysis'!$B$4</f>
        <v>9.7945786800000008</v>
      </c>
      <c r="R385">
        <f t="shared" si="35"/>
        <v>0</v>
      </c>
      <c r="S385">
        <f t="shared" si="36"/>
        <v>0</v>
      </c>
      <c r="T385">
        <f t="shared" si="37"/>
        <v>0</v>
      </c>
      <c r="U385">
        <f t="shared" si="38"/>
        <v>0</v>
      </c>
    </row>
    <row r="386" spans="1:21" x14ac:dyDescent="0.3">
      <c r="A386" s="4">
        <v>384</v>
      </c>
      <c r="B386" s="4">
        <v>-96584270855</v>
      </c>
      <c r="C386" s="5">
        <v>2</v>
      </c>
      <c r="D386" s="5">
        <v>-1.2200000000000001E-2</v>
      </c>
      <c r="E386" s="5">
        <v>3.9189999999999997E-3</v>
      </c>
      <c r="F386" s="5">
        <v>1005018</v>
      </c>
      <c r="G386" s="5">
        <v>0</v>
      </c>
      <c r="H386" s="5">
        <v>0</v>
      </c>
      <c r="I386" s="5">
        <v>0</v>
      </c>
      <c r="J386" s="5">
        <v>0</v>
      </c>
      <c r="L386">
        <f t="shared" si="33"/>
        <v>384</v>
      </c>
      <c r="M386">
        <f>'Real Analysis'!$B$3+B386/1000000</f>
        <v>7.7291450000047917</v>
      </c>
      <c r="N386">
        <f t="shared" si="34"/>
        <v>2</v>
      </c>
      <c r="O386">
        <f>IF(ABS(D386)&gt;1,D386/1000000,D386)*'Real Analysis'!$B$4</f>
        <v>-0.11968200000000001</v>
      </c>
      <c r="P386">
        <f>IF(ABS(E386)&gt;1,E386/1000000,E386)*'Real Analysis'!$B$4</f>
        <v>3.8445389999999996E-2</v>
      </c>
      <c r="Q386">
        <f>IF(ABS(F386)&gt;1,F386/1000000,F386)*'Real Analysis'!$B$4</f>
        <v>9.8592265799999996</v>
      </c>
      <c r="R386">
        <f t="shared" si="35"/>
        <v>0</v>
      </c>
      <c r="S386">
        <f t="shared" si="36"/>
        <v>0</v>
      </c>
      <c r="T386">
        <f t="shared" si="37"/>
        <v>0</v>
      </c>
      <c r="U386">
        <f t="shared" si="38"/>
        <v>0</v>
      </c>
    </row>
    <row r="387" spans="1:21" x14ac:dyDescent="0.3">
      <c r="A387" s="4">
        <v>385</v>
      </c>
      <c r="B387" s="4">
        <v>-96584250228</v>
      </c>
      <c r="C387" s="5">
        <v>2</v>
      </c>
      <c r="D387" s="5">
        <v>-1.371E-2</v>
      </c>
      <c r="E387" s="5">
        <v>1.0788000000000001E-2</v>
      </c>
      <c r="F387" s="5">
        <v>1004603</v>
      </c>
      <c r="G387" s="5">
        <v>0</v>
      </c>
      <c r="H387" s="5">
        <v>0</v>
      </c>
      <c r="I387" s="5">
        <v>0</v>
      </c>
      <c r="J387" s="5">
        <v>0</v>
      </c>
      <c r="L387">
        <f t="shared" ref="L387:L450" si="39">A387</f>
        <v>385</v>
      </c>
      <c r="M387">
        <f>'Real Analysis'!$B$3+B387/1000000</f>
        <v>7.7497719999955734</v>
      </c>
      <c r="N387">
        <f t="shared" ref="N387:N450" si="40">C387</f>
        <v>2</v>
      </c>
      <c r="O387">
        <f>IF(ABS(D387)&gt;1,D387/1000000,D387)*'Real Analysis'!$B$4</f>
        <v>-0.13449510000000001</v>
      </c>
      <c r="P387">
        <f>IF(ABS(E387)&gt;1,E387/1000000,E387)*'Real Analysis'!$B$4</f>
        <v>0.10583028000000001</v>
      </c>
      <c r="Q387">
        <f>IF(ABS(F387)&gt;1,F387/1000000,F387)*'Real Analysis'!$B$4</f>
        <v>9.8551554299999999</v>
      </c>
      <c r="R387">
        <f t="shared" ref="R387:R450" si="41">IF(ABS(G387)&gt;1,G387/1000000,G387)</f>
        <v>0</v>
      </c>
      <c r="S387">
        <f t="shared" ref="S387:S450" si="42">IF(ABS(H387)&gt;1,H387/1000000,H387)</f>
        <v>0</v>
      </c>
      <c r="T387">
        <f t="shared" ref="T387:T450" si="43">IF(ABS(I387)&gt;1,I387/1000000,I387)</f>
        <v>0</v>
      </c>
      <c r="U387">
        <f t="shared" si="38"/>
        <v>0</v>
      </c>
    </row>
    <row r="388" spans="1:21" x14ac:dyDescent="0.3">
      <c r="A388" s="4">
        <v>386</v>
      </c>
      <c r="B388" s="4">
        <v>-96584228436</v>
      </c>
      <c r="C388" s="5">
        <v>2</v>
      </c>
      <c r="D388" s="5">
        <v>-1.2678999999999999E-2</v>
      </c>
      <c r="E388" s="5">
        <v>1.1631000000000001E-2</v>
      </c>
      <c r="F388" s="5">
        <v>1004019</v>
      </c>
      <c r="G388" s="5">
        <v>0</v>
      </c>
      <c r="H388" s="5">
        <v>0</v>
      </c>
      <c r="I388" s="5">
        <v>0</v>
      </c>
      <c r="J388" s="5">
        <v>0</v>
      </c>
      <c r="L388">
        <f t="shared" si="39"/>
        <v>386</v>
      </c>
      <c r="M388">
        <f>'Real Analysis'!$B$3+B388/1000000</f>
        <v>7.7715639999951236</v>
      </c>
      <c r="N388">
        <f t="shared" si="40"/>
        <v>2</v>
      </c>
      <c r="O388">
        <f>IF(ABS(D388)&gt;1,D388/1000000,D388)*'Real Analysis'!$B$4</f>
        <v>-0.12438099</v>
      </c>
      <c r="P388">
        <f>IF(ABS(E388)&gt;1,E388/1000000,E388)*'Real Analysis'!$B$4</f>
        <v>0.11410011000000002</v>
      </c>
      <c r="Q388">
        <f>IF(ABS(F388)&gt;1,F388/1000000,F388)*'Real Analysis'!$B$4</f>
        <v>9.8494263899999996</v>
      </c>
      <c r="R388">
        <f t="shared" si="41"/>
        <v>0</v>
      </c>
      <c r="S388">
        <f t="shared" si="42"/>
        <v>0</v>
      </c>
      <c r="T388">
        <f t="shared" si="43"/>
        <v>0</v>
      </c>
      <c r="U388">
        <f t="shared" si="38"/>
        <v>0</v>
      </c>
    </row>
    <row r="389" spans="1:21" x14ac:dyDescent="0.3">
      <c r="A389" s="4">
        <v>387</v>
      </c>
      <c r="B389" s="4">
        <v>-96584208886</v>
      </c>
      <c r="C389" s="5">
        <v>2</v>
      </c>
      <c r="D389" s="5">
        <v>-1.2881999999999999E-2</v>
      </c>
      <c r="E389" s="5">
        <v>1.2322E-2</v>
      </c>
      <c r="F389" s="5">
        <v>1004149</v>
      </c>
      <c r="G389" s="5">
        <v>0</v>
      </c>
      <c r="H389" s="5">
        <v>0</v>
      </c>
      <c r="I389" s="5">
        <v>0</v>
      </c>
      <c r="J389" s="5">
        <v>0</v>
      </c>
      <c r="L389">
        <f t="shared" si="39"/>
        <v>387</v>
      </c>
      <c r="M389">
        <f>'Real Analysis'!$B$3+B389/1000000</f>
        <v>7.7911140000069281</v>
      </c>
      <c r="N389">
        <f t="shared" si="40"/>
        <v>2</v>
      </c>
      <c r="O389">
        <f>IF(ABS(D389)&gt;1,D389/1000000,D389)*'Real Analysis'!$B$4</f>
        <v>-0.12637242000000001</v>
      </c>
      <c r="P389">
        <f>IF(ABS(E389)&gt;1,E389/1000000,E389)*'Real Analysis'!$B$4</f>
        <v>0.12087882</v>
      </c>
      <c r="Q389">
        <f>IF(ABS(F389)&gt;1,F389/1000000,F389)*'Real Analysis'!$B$4</f>
        <v>9.8507016899999993</v>
      </c>
      <c r="R389">
        <f t="shared" si="41"/>
        <v>0</v>
      </c>
      <c r="S389">
        <f t="shared" si="42"/>
        <v>0</v>
      </c>
      <c r="T389">
        <f t="shared" si="43"/>
        <v>0</v>
      </c>
      <c r="U389">
        <f t="shared" si="38"/>
        <v>0</v>
      </c>
    </row>
    <row r="390" spans="1:21" x14ac:dyDescent="0.3">
      <c r="A390" s="4">
        <v>388</v>
      </c>
      <c r="B390" s="4">
        <v>-96584188010</v>
      </c>
      <c r="C390" s="5">
        <v>2</v>
      </c>
      <c r="D390" s="5">
        <v>-1.2881E-2</v>
      </c>
      <c r="E390" s="5">
        <v>1.239E-2</v>
      </c>
      <c r="F390" s="5">
        <v>1004122</v>
      </c>
      <c r="G390" s="5">
        <v>0</v>
      </c>
      <c r="H390" s="5">
        <v>0</v>
      </c>
      <c r="I390" s="5">
        <v>0</v>
      </c>
      <c r="J390" s="5">
        <v>0</v>
      </c>
      <c r="L390">
        <f t="shared" si="39"/>
        <v>388</v>
      </c>
      <c r="M390">
        <f>'Real Analysis'!$B$3+B390/1000000</f>
        <v>7.8119900000019697</v>
      </c>
      <c r="N390">
        <f t="shared" si="40"/>
        <v>2</v>
      </c>
      <c r="O390">
        <f>IF(ABS(D390)&gt;1,D390/1000000,D390)*'Real Analysis'!$B$4</f>
        <v>-0.12636261000000001</v>
      </c>
      <c r="P390">
        <f>IF(ABS(E390)&gt;1,E390/1000000,E390)*'Real Analysis'!$B$4</f>
        <v>0.12154590000000001</v>
      </c>
      <c r="Q390">
        <f>IF(ABS(F390)&gt;1,F390/1000000,F390)*'Real Analysis'!$B$4</f>
        <v>9.8504368200000005</v>
      </c>
      <c r="R390">
        <f t="shared" si="41"/>
        <v>0</v>
      </c>
      <c r="S390">
        <f t="shared" si="42"/>
        <v>0</v>
      </c>
      <c r="T390">
        <f t="shared" si="43"/>
        <v>0</v>
      </c>
      <c r="U390">
        <f t="shared" si="38"/>
        <v>0</v>
      </c>
    </row>
    <row r="391" spans="1:21" x14ac:dyDescent="0.3">
      <c r="A391" s="4">
        <v>389</v>
      </c>
      <c r="B391" s="4">
        <v>-96584169731</v>
      </c>
      <c r="C391" s="5">
        <v>2</v>
      </c>
      <c r="D391" s="5">
        <v>-1.2846E-2</v>
      </c>
      <c r="E391" s="5">
        <v>1.2172000000000001E-2</v>
      </c>
      <c r="F391" s="5">
        <v>1004145</v>
      </c>
      <c r="G391" s="5">
        <v>0</v>
      </c>
      <c r="H391" s="5">
        <v>0</v>
      </c>
      <c r="I391" s="5">
        <v>0</v>
      </c>
      <c r="J391" s="5">
        <v>0</v>
      </c>
      <c r="L391">
        <f t="shared" si="39"/>
        <v>389</v>
      </c>
      <c r="M391">
        <f>'Real Analysis'!$B$3+B391/1000000</f>
        <v>7.8302689999982249</v>
      </c>
      <c r="N391">
        <f t="shared" si="40"/>
        <v>2</v>
      </c>
      <c r="O391">
        <f>IF(ABS(D391)&gt;1,D391/1000000,D391)*'Real Analysis'!$B$4</f>
        <v>-0.12601925999999999</v>
      </c>
      <c r="P391">
        <f>IF(ABS(E391)&gt;1,E391/1000000,E391)*'Real Analysis'!$B$4</f>
        <v>0.11940732000000001</v>
      </c>
      <c r="Q391">
        <f>IF(ABS(F391)&gt;1,F391/1000000,F391)*'Real Analysis'!$B$4</f>
        <v>9.8506624500000015</v>
      </c>
      <c r="R391">
        <f t="shared" si="41"/>
        <v>0</v>
      </c>
      <c r="S391">
        <f t="shared" si="42"/>
        <v>0</v>
      </c>
      <c r="T391">
        <f t="shared" si="43"/>
        <v>0</v>
      </c>
      <c r="U391">
        <f t="shared" si="38"/>
        <v>0</v>
      </c>
    </row>
    <row r="392" spans="1:21" x14ac:dyDescent="0.3">
      <c r="A392" s="4">
        <v>390</v>
      </c>
      <c r="B392" s="4">
        <v>-96584148046</v>
      </c>
      <c r="C392" s="5">
        <v>2</v>
      </c>
      <c r="D392" s="5">
        <v>-1.2749E-2</v>
      </c>
      <c r="E392" s="5">
        <v>1.0658000000000001E-2</v>
      </c>
      <c r="F392" s="5">
        <v>1004140</v>
      </c>
      <c r="G392" s="5">
        <v>0</v>
      </c>
      <c r="H392" s="5">
        <v>0</v>
      </c>
      <c r="I392" s="5">
        <v>0</v>
      </c>
      <c r="J392" s="5">
        <v>0</v>
      </c>
      <c r="L392">
        <f t="shared" si="39"/>
        <v>390</v>
      </c>
      <c r="M392">
        <f>'Real Analysis'!$B$3+B392/1000000</f>
        <v>7.8519539999979315</v>
      </c>
      <c r="N392">
        <f t="shared" si="40"/>
        <v>2</v>
      </c>
      <c r="O392">
        <f>IF(ABS(D392)&gt;1,D392/1000000,D392)*'Real Analysis'!$B$4</f>
        <v>-0.12506769000000001</v>
      </c>
      <c r="P392">
        <f>IF(ABS(E392)&gt;1,E392/1000000,E392)*'Real Analysis'!$B$4</f>
        <v>0.10455498000000002</v>
      </c>
      <c r="Q392">
        <f>IF(ABS(F392)&gt;1,F392/1000000,F392)*'Real Analysis'!$B$4</f>
        <v>9.8506134000000003</v>
      </c>
      <c r="R392">
        <f t="shared" si="41"/>
        <v>0</v>
      </c>
      <c r="S392">
        <f t="shared" si="42"/>
        <v>0</v>
      </c>
      <c r="T392">
        <f t="shared" si="43"/>
        <v>0</v>
      </c>
      <c r="U392">
        <f t="shared" si="38"/>
        <v>0</v>
      </c>
    </row>
    <row r="393" spans="1:21" x14ac:dyDescent="0.3">
      <c r="A393" s="4">
        <v>391</v>
      </c>
      <c r="B393" s="4">
        <v>-96584131609</v>
      </c>
      <c r="C393" s="5">
        <v>2</v>
      </c>
      <c r="D393" s="5">
        <v>-1.2846E-2</v>
      </c>
      <c r="E393" s="5">
        <v>1.0160000000000001E-2</v>
      </c>
      <c r="F393" s="5">
        <v>1004144</v>
      </c>
      <c r="G393" s="5">
        <v>0</v>
      </c>
      <c r="H393" s="5">
        <v>0</v>
      </c>
      <c r="I393" s="5">
        <v>0</v>
      </c>
      <c r="J393" s="5">
        <v>0</v>
      </c>
      <c r="L393">
        <f t="shared" si="39"/>
        <v>391</v>
      </c>
      <c r="M393">
        <f>'Real Analysis'!$B$3+B393/1000000</f>
        <v>7.8683909999963362</v>
      </c>
      <c r="N393">
        <f t="shared" si="40"/>
        <v>2</v>
      </c>
      <c r="O393">
        <f>IF(ABS(D393)&gt;1,D393/1000000,D393)*'Real Analysis'!$B$4</f>
        <v>-0.12601925999999999</v>
      </c>
      <c r="P393">
        <f>IF(ABS(E393)&gt;1,E393/1000000,E393)*'Real Analysis'!$B$4</f>
        <v>9.9669600000000011E-2</v>
      </c>
      <c r="Q393">
        <f>IF(ABS(F393)&gt;1,F393/1000000,F393)*'Real Analysis'!$B$4</f>
        <v>9.8506526399999998</v>
      </c>
      <c r="R393">
        <f t="shared" si="41"/>
        <v>0</v>
      </c>
      <c r="S393">
        <f t="shared" si="42"/>
        <v>0</v>
      </c>
      <c r="T393">
        <f t="shared" si="43"/>
        <v>0</v>
      </c>
      <c r="U393">
        <f t="shared" si="38"/>
        <v>0</v>
      </c>
    </row>
    <row r="394" spans="1:21" x14ac:dyDescent="0.3">
      <c r="A394" s="4">
        <v>392</v>
      </c>
      <c r="B394" s="4">
        <v>-96584114659</v>
      </c>
      <c r="C394" s="5">
        <v>2</v>
      </c>
      <c r="D394" s="5">
        <v>-1.2944000000000001E-2</v>
      </c>
      <c r="E394" s="5">
        <v>1.2714E-2</v>
      </c>
      <c r="F394" s="5">
        <v>1004134</v>
      </c>
      <c r="G394" s="5">
        <v>0</v>
      </c>
      <c r="H394" s="5">
        <v>0</v>
      </c>
      <c r="I394" s="5">
        <v>0</v>
      </c>
      <c r="J394" s="5">
        <v>0</v>
      </c>
      <c r="L394">
        <f t="shared" si="39"/>
        <v>392</v>
      </c>
      <c r="M394">
        <f>'Real Analysis'!$B$3+B394/1000000</f>
        <v>7.8853410000010626</v>
      </c>
      <c r="N394">
        <f t="shared" si="40"/>
        <v>2</v>
      </c>
      <c r="O394">
        <f>IF(ABS(D394)&gt;1,D394/1000000,D394)*'Real Analysis'!$B$4</f>
        <v>-0.12698064000000001</v>
      </c>
      <c r="P394">
        <f>IF(ABS(E394)&gt;1,E394/1000000,E394)*'Real Analysis'!$B$4</f>
        <v>0.12472434</v>
      </c>
      <c r="Q394">
        <f>IF(ABS(F394)&gt;1,F394/1000000,F394)*'Real Analysis'!$B$4</f>
        <v>9.850554540000001</v>
      </c>
      <c r="R394">
        <f t="shared" si="41"/>
        <v>0</v>
      </c>
      <c r="S394">
        <f t="shared" si="42"/>
        <v>0</v>
      </c>
      <c r="T394">
        <f t="shared" si="43"/>
        <v>0</v>
      </c>
      <c r="U394">
        <f t="shared" si="38"/>
        <v>0</v>
      </c>
    </row>
    <row r="395" spans="1:21" x14ac:dyDescent="0.3">
      <c r="A395" s="4">
        <v>393</v>
      </c>
      <c r="B395" s="4">
        <v>-96584087044</v>
      </c>
      <c r="C395" s="5">
        <v>2</v>
      </c>
      <c r="D395" s="5">
        <v>-9.4009999999999996E-3</v>
      </c>
      <c r="E395" s="5">
        <v>1.1957000000000001E-2</v>
      </c>
      <c r="F395" s="5">
        <v>1004266</v>
      </c>
      <c r="G395" s="5">
        <v>0</v>
      </c>
      <c r="H395" s="5">
        <v>0</v>
      </c>
      <c r="I395" s="5">
        <v>0</v>
      </c>
      <c r="J395" s="5">
        <v>0</v>
      </c>
      <c r="L395">
        <f t="shared" si="39"/>
        <v>393</v>
      </c>
      <c r="M395">
        <f>'Real Analysis'!$B$3+B395/1000000</f>
        <v>7.912956000000122</v>
      </c>
      <c r="N395">
        <f t="shared" si="40"/>
        <v>2</v>
      </c>
      <c r="O395">
        <f>IF(ABS(D395)&gt;1,D395/1000000,D395)*'Real Analysis'!$B$4</f>
        <v>-9.2223810000000003E-2</v>
      </c>
      <c r="P395">
        <f>IF(ABS(E395)&gt;1,E395/1000000,E395)*'Real Analysis'!$B$4</f>
        <v>0.11729817000000001</v>
      </c>
      <c r="Q395">
        <f>IF(ABS(F395)&gt;1,F395/1000000,F395)*'Real Analysis'!$B$4</f>
        <v>9.8518494600000022</v>
      </c>
      <c r="R395">
        <f t="shared" si="41"/>
        <v>0</v>
      </c>
      <c r="S395">
        <f t="shared" si="42"/>
        <v>0</v>
      </c>
      <c r="T395">
        <f t="shared" si="43"/>
        <v>0</v>
      </c>
      <c r="U395">
        <f t="shared" ref="U395:U458" si="44">J395/1000</f>
        <v>0</v>
      </c>
    </row>
    <row r="396" spans="1:21" x14ac:dyDescent="0.3">
      <c r="A396" s="4">
        <v>394</v>
      </c>
      <c r="B396" s="4">
        <v>-96584068655</v>
      </c>
      <c r="C396" s="5">
        <v>2</v>
      </c>
      <c r="D396" s="5">
        <v>-6.3160000000000004E-3</v>
      </c>
      <c r="E396" s="5">
        <v>1.2182E-2</v>
      </c>
      <c r="F396" s="5">
        <v>1004388</v>
      </c>
      <c r="G396" s="5">
        <v>0</v>
      </c>
      <c r="H396" s="5">
        <v>0</v>
      </c>
      <c r="I396" s="5">
        <v>0</v>
      </c>
      <c r="J396" s="5">
        <v>0</v>
      </c>
      <c r="L396">
        <f t="shared" si="39"/>
        <v>394</v>
      </c>
      <c r="M396">
        <f>'Real Analysis'!$B$3+B396/1000000</f>
        <v>7.9313450000045123</v>
      </c>
      <c r="N396">
        <f t="shared" si="40"/>
        <v>2</v>
      </c>
      <c r="O396">
        <f>IF(ABS(D396)&gt;1,D396/1000000,D396)*'Real Analysis'!$B$4</f>
        <v>-6.1959960000000008E-2</v>
      </c>
      <c r="P396">
        <f>IF(ABS(E396)&gt;1,E396/1000000,E396)*'Real Analysis'!$B$4</f>
        <v>0.11950542</v>
      </c>
      <c r="Q396">
        <f>IF(ABS(F396)&gt;1,F396/1000000,F396)*'Real Analysis'!$B$4</f>
        <v>9.8530462800000009</v>
      </c>
      <c r="R396">
        <f t="shared" si="41"/>
        <v>0</v>
      </c>
      <c r="S396">
        <f t="shared" si="42"/>
        <v>0</v>
      </c>
      <c r="T396">
        <f t="shared" si="43"/>
        <v>0</v>
      </c>
      <c r="U396">
        <f t="shared" si="44"/>
        <v>0</v>
      </c>
    </row>
    <row r="397" spans="1:21" x14ac:dyDescent="0.3">
      <c r="A397" s="4">
        <v>395</v>
      </c>
      <c r="B397" s="4">
        <v>-96584048379</v>
      </c>
      <c r="C397" s="5">
        <v>2</v>
      </c>
      <c r="D397" s="5">
        <v>-3.862E-3</v>
      </c>
      <c r="E397" s="5">
        <v>1.2333999999999999E-2</v>
      </c>
      <c r="F397" s="5">
        <v>1004481</v>
      </c>
      <c r="G397" s="5">
        <v>0</v>
      </c>
      <c r="H397" s="5">
        <v>0</v>
      </c>
      <c r="I397" s="5">
        <v>0</v>
      </c>
      <c r="J397" s="5">
        <v>0</v>
      </c>
      <c r="L397">
        <f t="shared" si="39"/>
        <v>395</v>
      </c>
      <c r="M397">
        <f>'Real Analysis'!$B$3+B397/1000000</f>
        <v>7.9516210000001593</v>
      </c>
      <c r="N397">
        <f t="shared" si="40"/>
        <v>2</v>
      </c>
      <c r="O397">
        <f>IF(ABS(D397)&gt;1,D397/1000000,D397)*'Real Analysis'!$B$4</f>
        <v>-3.7886220000000005E-2</v>
      </c>
      <c r="P397">
        <f>IF(ABS(E397)&gt;1,E397/1000000,E397)*'Real Analysis'!$B$4</f>
        <v>0.12099654</v>
      </c>
      <c r="Q397">
        <f>IF(ABS(F397)&gt;1,F397/1000000,F397)*'Real Analysis'!$B$4</f>
        <v>9.8539586099999994</v>
      </c>
      <c r="R397">
        <f t="shared" si="41"/>
        <v>0</v>
      </c>
      <c r="S397">
        <f t="shared" si="42"/>
        <v>0</v>
      </c>
      <c r="T397">
        <f t="shared" si="43"/>
        <v>0</v>
      </c>
      <c r="U397">
        <f t="shared" si="44"/>
        <v>0</v>
      </c>
    </row>
    <row r="398" spans="1:21" x14ac:dyDescent="0.3">
      <c r="A398" s="4">
        <v>396</v>
      </c>
      <c r="B398" s="4">
        <v>-96584034074</v>
      </c>
      <c r="C398" s="5">
        <v>2</v>
      </c>
      <c r="D398" s="5">
        <v>-4.7670000000000004E-3</v>
      </c>
      <c r="E398" s="5">
        <v>1.2316000000000001E-2</v>
      </c>
      <c r="F398" s="5">
        <v>1004446</v>
      </c>
      <c r="G398" s="5">
        <v>0</v>
      </c>
      <c r="H398" s="5">
        <v>0</v>
      </c>
      <c r="I398" s="5">
        <v>0</v>
      </c>
      <c r="J398" s="5">
        <v>0</v>
      </c>
      <c r="L398">
        <f t="shared" si="39"/>
        <v>396</v>
      </c>
      <c r="M398">
        <f>'Real Analysis'!$B$3+B398/1000000</f>
        <v>7.9659260000044014</v>
      </c>
      <c r="N398">
        <f t="shared" si="40"/>
        <v>2</v>
      </c>
      <c r="O398">
        <f>IF(ABS(D398)&gt;1,D398/1000000,D398)*'Real Analysis'!$B$4</f>
        <v>-4.6764270000000004E-2</v>
      </c>
      <c r="P398">
        <f>IF(ABS(E398)&gt;1,E398/1000000,E398)*'Real Analysis'!$B$4</f>
        <v>0.12081996000000002</v>
      </c>
      <c r="Q398">
        <f>IF(ABS(F398)&gt;1,F398/1000000,F398)*'Real Analysis'!$B$4</f>
        <v>9.8536152599999998</v>
      </c>
      <c r="R398">
        <f t="shared" si="41"/>
        <v>0</v>
      </c>
      <c r="S398">
        <f t="shared" si="42"/>
        <v>0</v>
      </c>
      <c r="T398">
        <f t="shared" si="43"/>
        <v>0</v>
      </c>
      <c r="U398">
        <f t="shared" si="44"/>
        <v>0</v>
      </c>
    </row>
    <row r="399" spans="1:21" x14ac:dyDescent="0.3">
      <c r="A399" s="4">
        <v>397</v>
      </c>
      <c r="B399" s="4">
        <v>-96584009024</v>
      </c>
      <c r="C399" s="5">
        <v>2</v>
      </c>
      <c r="D399" s="5">
        <v>-1.3287E-2</v>
      </c>
      <c r="E399" s="5">
        <v>1.2292000000000001E-2</v>
      </c>
      <c r="F399" s="5">
        <v>1004119</v>
      </c>
      <c r="G399" s="5">
        <v>0</v>
      </c>
      <c r="H399" s="5">
        <v>0</v>
      </c>
      <c r="I399" s="5">
        <v>0</v>
      </c>
      <c r="J399" s="5">
        <v>0</v>
      </c>
      <c r="L399">
        <f t="shared" si="39"/>
        <v>397</v>
      </c>
      <c r="M399">
        <f>'Real Analysis'!$B$3+B399/1000000</f>
        <v>7.9909760000009555</v>
      </c>
      <c r="N399">
        <f t="shared" si="40"/>
        <v>2</v>
      </c>
      <c r="O399">
        <f>IF(ABS(D399)&gt;1,D399/1000000,D399)*'Real Analysis'!$B$4</f>
        <v>-0.13034547000000002</v>
      </c>
      <c r="P399">
        <f>IF(ABS(E399)&gt;1,E399/1000000,E399)*'Real Analysis'!$B$4</f>
        <v>0.12058452000000001</v>
      </c>
      <c r="Q399">
        <f>IF(ABS(F399)&gt;1,F399/1000000,F399)*'Real Analysis'!$B$4</f>
        <v>9.8504073900000009</v>
      </c>
      <c r="R399">
        <f t="shared" si="41"/>
        <v>0</v>
      </c>
      <c r="S399">
        <f t="shared" si="42"/>
        <v>0</v>
      </c>
      <c r="T399">
        <f t="shared" si="43"/>
        <v>0</v>
      </c>
      <c r="U399">
        <f t="shared" si="44"/>
        <v>0</v>
      </c>
    </row>
    <row r="400" spans="1:21" x14ac:dyDescent="0.3">
      <c r="A400" s="4">
        <v>398</v>
      </c>
      <c r="B400" s="4">
        <v>-96583987689</v>
      </c>
      <c r="C400" s="5">
        <v>2</v>
      </c>
      <c r="D400" s="5">
        <v>-1.1233E-2</v>
      </c>
      <c r="E400" s="5">
        <v>3.7810000000000001E-3</v>
      </c>
      <c r="F400" s="5">
        <v>1004210</v>
      </c>
      <c r="G400" s="5">
        <v>0</v>
      </c>
      <c r="H400" s="5">
        <v>0</v>
      </c>
      <c r="I400" s="5">
        <v>0</v>
      </c>
      <c r="J400" s="5">
        <v>0</v>
      </c>
      <c r="L400">
        <f t="shared" si="39"/>
        <v>398</v>
      </c>
      <c r="M400">
        <f>'Real Analysis'!$B$3+B400/1000000</f>
        <v>8.01231099999859</v>
      </c>
      <c r="N400">
        <f t="shared" si="40"/>
        <v>2</v>
      </c>
      <c r="O400">
        <f>IF(ABS(D400)&gt;1,D400/1000000,D400)*'Real Analysis'!$B$4</f>
        <v>-0.11019573000000001</v>
      </c>
      <c r="P400">
        <f>IF(ABS(E400)&gt;1,E400/1000000,E400)*'Real Analysis'!$B$4</f>
        <v>3.7091610000000004E-2</v>
      </c>
      <c r="Q400">
        <f>IF(ABS(F400)&gt;1,F400/1000000,F400)*'Real Analysis'!$B$4</f>
        <v>9.8513001000000013</v>
      </c>
      <c r="R400">
        <f t="shared" si="41"/>
        <v>0</v>
      </c>
      <c r="S400">
        <f t="shared" si="42"/>
        <v>0</v>
      </c>
      <c r="T400">
        <f t="shared" si="43"/>
        <v>0</v>
      </c>
      <c r="U400">
        <f t="shared" si="44"/>
        <v>0</v>
      </c>
    </row>
    <row r="401" spans="1:21" x14ac:dyDescent="0.3">
      <c r="A401" s="4">
        <v>399</v>
      </c>
      <c r="B401" s="4">
        <v>-96583967774</v>
      </c>
      <c r="C401" s="5">
        <v>2</v>
      </c>
      <c r="D401" s="5">
        <v>-3.6319999999999998E-3</v>
      </c>
      <c r="E401" s="5">
        <v>9.5980000000000006E-3</v>
      </c>
      <c r="F401" s="5">
        <v>1004495</v>
      </c>
      <c r="G401" s="5">
        <v>0</v>
      </c>
      <c r="H401" s="5">
        <v>0</v>
      </c>
      <c r="I401" s="5">
        <v>0</v>
      </c>
      <c r="J401" s="5">
        <v>0</v>
      </c>
      <c r="L401">
        <f t="shared" si="39"/>
        <v>399</v>
      </c>
      <c r="M401">
        <f>'Real Analysis'!$B$3+B401/1000000</f>
        <v>8.0322259999957168</v>
      </c>
      <c r="N401">
        <f t="shared" si="40"/>
        <v>2</v>
      </c>
      <c r="O401">
        <f>IF(ABS(D401)&gt;1,D401/1000000,D401)*'Real Analysis'!$B$4</f>
        <v>-3.5629920000000002E-2</v>
      </c>
      <c r="P401">
        <f>IF(ABS(E401)&gt;1,E401/1000000,E401)*'Real Analysis'!$B$4</f>
        <v>9.4156380000000012E-2</v>
      </c>
      <c r="Q401">
        <f>IF(ABS(F401)&gt;1,F401/1000000,F401)*'Real Analysis'!$B$4</f>
        <v>9.8540959499999996</v>
      </c>
      <c r="R401">
        <f t="shared" si="41"/>
        <v>0</v>
      </c>
      <c r="S401">
        <f t="shared" si="42"/>
        <v>0</v>
      </c>
      <c r="T401">
        <f t="shared" si="43"/>
        <v>0</v>
      </c>
      <c r="U401">
        <f t="shared" si="44"/>
        <v>0</v>
      </c>
    </row>
    <row r="402" spans="1:21" x14ac:dyDescent="0.3">
      <c r="A402" s="4">
        <v>400</v>
      </c>
      <c r="B402" s="4">
        <v>-96583948881</v>
      </c>
      <c r="C402" s="5">
        <v>2</v>
      </c>
      <c r="D402" s="5">
        <v>-1.3738999999999999E-2</v>
      </c>
      <c r="E402" s="5">
        <v>8.8979999999999997E-3</v>
      </c>
      <c r="F402" s="5">
        <v>1004108</v>
      </c>
      <c r="G402" s="5">
        <v>0</v>
      </c>
      <c r="H402" s="5">
        <v>0</v>
      </c>
      <c r="I402" s="5">
        <v>0</v>
      </c>
      <c r="J402" s="5">
        <v>0</v>
      </c>
      <c r="L402">
        <f t="shared" si="39"/>
        <v>400</v>
      </c>
      <c r="M402">
        <f>'Real Analysis'!$B$3+B402/1000000</f>
        <v>8.0511189999961061</v>
      </c>
      <c r="N402">
        <f t="shared" si="40"/>
        <v>2</v>
      </c>
      <c r="O402">
        <f>IF(ABS(D402)&gt;1,D402/1000000,D402)*'Real Analysis'!$B$4</f>
        <v>-0.13477959</v>
      </c>
      <c r="P402">
        <f>IF(ABS(E402)&gt;1,E402/1000000,E402)*'Real Analysis'!$B$4</f>
        <v>8.728938E-2</v>
      </c>
      <c r="Q402">
        <f>IF(ABS(F402)&gt;1,F402/1000000,F402)*'Real Analysis'!$B$4</f>
        <v>9.8502994800000003</v>
      </c>
      <c r="R402">
        <f t="shared" si="41"/>
        <v>0</v>
      </c>
      <c r="S402">
        <f t="shared" si="42"/>
        <v>0</v>
      </c>
      <c r="T402">
        <f t="shared" si="43"/>
        <v>0</v>
      </c>
      <c r="U402">
        <f t="shared" si="44"/>
        <v>0</v>
      </c>
    </row>
    <row r="403" spans="1:21" x14ac:dyDescent="0.3">
      <c r="A403" s="4">
        <v>401</v>
      </c>
      <c r="B403" s="4">
        <v>-96583928506</v>
      </c>
      <c r="C403" s="5">
        <v>2</v>
      </c>
      <c r="D403" s="5">
        <v>-1.6258999999999999E-2</v>
      </c>
      <c r="E403" s="5">
        <v>4.5970000000000004E-3</v>
      </c>
      <c r="F403" s="5">
        <v>1004022</v>
      </c>
      <c r="G403" s="5">
        <v>0</v>
      </c>
      <c r="H403" s="5">
        <v>0</v>
      </c>
      <c r="I403" s="5">
        <v>0</v>
      </c>
      <c r="J403" s="5">
        <v>0</v>
      </c>
      <c r="L403">
        <f t="shared" si="39"/>
        <v>401</v>
      </c>
      <c r="M403">
        <f>'Real Analysis'!$B$3+B403/1000000</f>
        <v>8.0714940000034403</v>
      </c>
      <c r="N403">
        <f t="shared" si="40"/>
        <v>2</v>
      </c>
      <c r="O403">
        <f>IF(ABS(D403)&gt;1,D403/1000000,D403)*'Real Analysis'!$B$4</f>
        <v>-0.15950079</v>
      </c>
      <c r="P403">
        <f>IF(ABS(E403)&gt;1,E403/1000000,E403)*'Real Analysis'!$B$4</f>
        <v>4.5096570000000009E-2</v>
      </c>
      <c r="Q403">
        <f>IF(ABS(F403)&gt;1,F403/1000000,F403)*'Real Analysis'!$B$4</f>
        <v>9.8494558200000011</v>
      </c>
      <c r="R403">
        <f t="shared" si="41"/>
        <v>0</v>
      </c>
      <c r="S403">
        <f t="shared" si="42"/>
        <v>0</v>
      </c>
      <c r="T403">
        <f t="shared" si="43"/>
        <v>0</v>
      </c>
      <c r="U403">
        <f t="shared" si="44"/>
        <v>0</v>
      </c>
    </row>
    <row r="404" spans="1:21" x14ac:dyDescent="0.3">
      <c r="A404" s="4">
        <v>402</v>
      </c>
      <c r="B404" s="4">
        <v>-96583910193</v>
      </c>
      <c r="C404" s="5">
        <v>2</v>
      </c>
      <c r="D404" s="5">
        <v>-1.3318999999999999E-2</v>
      </c>
      <c r="E404" s="5">
        <v>1.3032999999999999E-2</v>
      </c>
      <c r="F404" s="5">
        <v>1004120</v>
      </c>
      <c r="G404" s="5">
        <v>0</v>
      </c>
      <c r="H404" s="5">
        <v>0</v>
      </c>
      <c r="I404" s="5">
        <v>0</v>
      </c>
      <c r="J404" s="5">
        <v>0</v>
      </c>
      <c r="L404">
        <f t="shared" si="39"/>
        <v>402</v>
      </c>
      <c r="M404">
        <f>'Real Analysis'!$B$3+B404/1000000</f>
        <v>8.0898069999966538</v>
      </c>
      <c r="N404">
        <f t="shared" si="40"/>
        <v>2</v>
      </c>
      <c r="O404">
        <f>IF(ABS(D404)&gt;1,D404/1000000,D404)*'Real Analysis'!$B$4</f>
        <v>-0.13065938999999999</v>
      </c>
      <c r="P404">
        <f>IF(ABS(E404)&gt;1,E404/1000000,E404)*'Real Analysis'!$B$4</f>
        <v>0.12785373</v>
      </c>
      <c r="Q404">
        <f>IF(ABS(F404)&gt;1,F404/1000000,F404)*'Real Analysis'!$B$4</f>
        <v>9.850417199999999</v>
      </c>
      <c r="R404">
        <f t="shared" si="41"/>
        <v>0</v>
      </c>
      <c r="S404">
        <f t="shared" si="42"/>
        <v>0</v>
      </c>
      <c r="T404">
        <f t="shared" si="43"/>
        <v>0</v>
      </c>
      <c r="U404">
        <f t="shared" si="44"/>
        <v>0</v>
      </c>
    </row>
    <row r="405" spans="1:21" x14ac:dyDescent="0.3">
      <c r="A405" s="4">
        <v>403</v>
      </c>
      <c r="B405" s="4">
        <v>-96583893121</v>
      </c>
      <c r="C405" s="5">
        <v>2</v>
      </c>
      <c r="D405" s="5">
        <v>-2.0222E-2</v>
      </c>
      <c r="E405" s="5">
        <v>1.2243E-2</v>
      </c>
      <c r="F405" s="5">
        <v>1003855</v>
      </c>
      <c r="G405" s="5">
        <v>0</v>
      </c>
      <c r="H405" s="5">
        <v>0</v>
      </c>
      <c r="I405" s="5">
        <v>0</v>
      </c>
      <c r="J405" s="5">
        <v>0</v>
      </c>
      <c r="L405">
        <f t="shared" si="39"/>
        <v>403</v>
      </c>
      <c r="M405">
        <f>'Real Analysis'!$B$3+B405/1000000</f>
        <v>8.1068789999990258</v>
      </c>
      <c r="N405">
        <f t="shared" si="40"/>
        <v>2</v>
      </c>
      <c r="O405">
        <f>IF(ABS(D405)&gt;1,D405/1000000,D405)*'Real Analysis'!$B$4</f>
        <v>-0.19837782000000001</v>
      </c>
      <c r="P405">
        <f>IF(ABS(E405)&gt;1,E405/1000000,E405)*'Real Analysis'!$B$4</f>
        <v>0.12010383000000001</v>
      </c>
      <c r="Q405">
        <f>IF(ABS(F405)&gt;1,F405/1000000,F405)*'Real Analysis'!$B$4</f>
        <v>9.8478175500000003</v>
      </c>
      <c r="R405">
        <f t="shared" si="41"/>
        <v>0</v>
      </c>
      <c r="S405">
        <f t="shared" si="42"/>
        <v>0</v>
      </c>
      <c r="T405">
        <f t="shared" si="43"/>
        <v>0</v>
      </c>
      <c r="U405">
        <f t="shared" si="44"/>
        <v>0</v>
      </c>
    </row>
    <row r="406" spans="1:21" x14ac:dyDescent="0.3">
      <c r="A406" s="4">
        <v>404</v>
      </c>
      <c r="B406" s="4">
        <v>-96583868797</v>
      </c>
      <c r="C406" s="5">
        <v>2</v>
      </c>
      <c r="D406" s="5">
        <v>-2.0745E-2</v>
      </c>
      <c r="E406" s="5">
        <v>1.2187999999999999E-2</v>
      </c>
      <c r="F406" s="5">
        <v>1003835</v>
      </c>
      <c r="G406" s="5">
        <v>0</v>
      </c>
      <c r="H406" s="5">
        <v>0</v>
      </c>
      <c r="I406" s="5">
        <v>0</v>
      </c>
      <c r="J406" s="5">
        <v>0</v>
      </c>
      <c r="L406">
        <f t="shared" si="39"/>
        <v>404</v>
      </c>
      <c r="M406">
        <f>'Real Analysis'!$B$3+B406/1000000</f>
        <v>8.1312029999971855</v>
      </c>
      <c r="N406">
        <f t="shared" si="40"/>
        <v>2</v>
      </c>
      <c r="O406">
        <f>IF(ABS(D406)&gt;1,D406/1000000,D406)*'Real Analysis'!$B$4</f>
        <v>-0.20350845000000001</v>
      </c>
      <c r="P406">
        <f>IF(ABS(E406)&gt;1,E406/1000000,E406)*'Real Analysis'!$B$4</f>
        <v>0.11956428</v>
      </c>
      <c r="Q406">
        <f>IF(ABS(F406)&gt;1,F406/1000000,F406)*'Real Analysis'!$B$4</f>
        <v>9.8476213500000007</v>
      </c>
      <c r="R406">
        <f t="shared" si="41"/>
        <v>0</v>
      </c>
      <c r="S406">
        <f t="shared" si="42"/>
        <v>0</v>
      </c>
      <c r="T406">
        <f t="shared" si="43"/>
        <v>0</v>
      </c>
      <c r="U406">
        <f t="shared" si="44"/>
        <v>0</v>
      </c>
    </row>
    <row r="407" spans="1:21" x14ac:dyDescent="0.3">
      <c r="A407" s="4">
        <v>405</v>
      </c>
      <c r="B407" s="4">
        <v>-96583848349</v>
      </c>
      <c r="C407" s="5">
        <v>2</v>
      </c>
      <c r="D407" s="5">
        <v>-1.7141E-2</v>
      </c>
      <c r="E407" s="5">
        <v>5.254E-3</v>
      </c>
      <c r="F407" s="5">
        <v>1003985</v>
      </c>
      <c r="G407" s="5">
        <v>0</v>
      </c>
      <c r="H407" s="5">
        <v>0</v>
      </c>
      <c r="I407" s="5">
        <v>0</v>
      </c>
      <c r="J407" s="5">
        <v>0</v>
      </c>
      <c r="L407">
        <f t="shared" si="39"/>
        <v>405</v>
      </c>
      <c r="M407">
        <f>'Real Analysis'!$B$3+B407/1000000</f>
        <v>8.151650999992853</v>
      </c>
      <c r="N407">
        <f t="shared" si="40"/>
        <v>2</v>
      </c>
      <c r="O407">
        <f>IF(ABS(D407)&gt;1,D407/1000000,D407)*'Real Analysis'!$B$4</f>
        <v>-0.16815321</v>
      </c>
      <c r="P407">
        <f>IF(ABS(E407)&gt;1,E407/1000000,E407)*'Real Analysis'!$B$4</f>
        <v>5.1541740000000003E-2</v>
      </c>
      <c r="Q407">
        <f>IF(ABS(F407)&gt;1,F407/1000000,F407)*'Real Analysis'!$B$4</f>
        <v>9.8490928499999999</v>
      </c>
      <c r="R407">
        <f t="shared" si="41"/>
        <v>0</v>
      </c>
      <c r="S407">
        <f t="shared" si="42"/>
        <v>0</v>
      </c>
      <c r="T407">
        <f t="shared" si="43"/>
        <v>0</v>
      </c>
      <c r="U407">
        <f t="shared" si="44"/>
        <v>0</v>
      </c>
    </row>
    <row r="408" spans="1:21" x14ac:dyDescent="0.3">
      <c r="A408" s="4">
        <v>406</v>
      </c>
      <c r="B408" s="4">
        <v>-96583827651</v>
      </c>
      <c r="C408" s="5">
        <v>2</v>
      </c>
      <c r="D408" s="5">
        <v>-1.179E-2</v>
      </c>
      <c r="E408" s="5">
        <v>3.8630000000000001E-3</v>
      </c>
      <c r="F408" s="5">
        <v>1004196</v>
      </c>
      <c r="G408" s="5">
        <v>0</v>
      </c>
      <c r="H408" s="5">
        <v>0</v>
      </c>
      <c r="I408" s="5">
        <v>0</v>
      </c>
      <c r="J408" s="5">
        <v>0</v>
      </c>
      <c r="L408">
        <f t="shared" si="39"/>
        <v>406</v>
      </c>
      <c r="M408">
        <f>'Real Analysis'!$B$3+B408/1000000</f>
        <v>8.1723490000003949</v>
      </c>
      <c r="N408">
        <f t="shared" si="40"/>
        <v>2</v>
      </c>
      <c r="O408">
        <f>IF(ABS(D408)&gt;1,D408/1000000,D408)*'Real Analysis'!$B$4</f>
        <v>-0.11565990000000001</v>
      </c>
      <c r="P408">
        <f>IF(ABS(E408)&gt;1,E408/1000000,E408)*'Real Analysis'!$B$4</f>
        <v>3.7896030000000004E-2</v>
      </c>
      <c r="Q408">
        <f>IF(ABS(F408)&gt;1,F408/1000000,F408)*'Real Analysis'!$B$4</f>
        <v>9.8511627600000011</v>
      </c>
      <c r="R408">
        <f t="shared" si="41"/>
        <v>0</v>
      </c>
      <c r="S408">
        <f t="shared" si="42"/>
        <v>0</v>
      </c>
      <c r="T408">
        <f t="shared" si="43"/>
        <v>0</v>
      </c>
      <c r="U408">
        <f t="shared" si="44"/>
        <v>0</v>
      </c>
    </row>
    <row r="409" spans="1:21" x14ac:dyDescent="0.3">
      <c r="A409" s="4">
        <v>407</v>
      </c>
      <c r="B409" s="4">
        <v>-96583806728</v>
      </c>
      <c r="C409" s="5">
        <v>2</v>
      </c>
      <c r="D409" s="5">
        <v>-1.9304999999999999E-2</v>
      </c>
      <c r="E409" s="5">
        <v>1.3310000000000001E-2</v>
      </c>
      <c r="F409" s="5">
        <v>1002325</v>
      </c>
      <c r="G409" s="5">
        <v>0</v>
      </c>
      <c r="H409" s="5">
        <v>0</v>
      </c>
      <c r="I409" s="5">
        <v>0</v>
      </c>
      <c r="J409" s="5">
        <v>0</v>
      </c>
      <c r="L409">
        <f t="shared" si="39"/>
        <v>407</v>
      </c>
      <c r="M409">
        <f>'Real Analysis'!$B$3+B409/1000000</f>
        <v>8.1932720000040717</v>
      </c>
      <c r="N409">
        <f t="shared" si="40"/>
        <v>2</v>
      </c>
      <c r="O409">
        <f>IF(ABS(D409)&gt;1,D409/1000000,D409)*'Real Analysis'!$B$4</f>
        <v>-0.18938205</v>
      </c>
      <c r="P409">
        <f>IF(ABS(E409)&gt;1,E409/1000000,E409)*'Real Analysis'!$B$4</f>
        <v>0.13057110000000002</v>
      </c>
      <c r="Q409">
        <f>IF(ABS(F409)&gt;1,F409/1000000,F409)*'Real Analysis'!$B$4</f>
        <v>9.8328082499999994</v>
      </c>
      <c r="R409">
        <f t="shared" si="41"/>
        <v>0</v>
      </c>
      <c r="S409">
        <f t="shared" si="42"/>
        <v>0</v>
      </c>
      <c r="T409">
        <f t="shared" si="43"/>
        <v>0</v>
      </c>
      <c r="U409">
        <f t="shared" si="44"/>
        <v>0</v>
      </c>
    </row>
    <row r="410" spans="1:21" x14ac:dyDescent="0.3">
      <c r="A410" s="4">
        <v>408</v>
      </c>
      <c r="B410" s="4">
        <v>-96583790474</v>
      </c>
      <c r="C410" s="5">
        <v>2</v>
      </c>
      <c r="D410" s="5">
        <v>-1.9630999999999999E-2</v>
      </c>
      <c r="E410" s="5">
        <v>1.2227999999999999E-2</v>
      </c>
      <c r="F410" s="5">
        <v>0.99863299999999999</v>
      </c>
      <c r="G410" s="5">
        <v>0</v>
      </c>
      <c r="H410" s="5">
        <v>0</v>
      </c>
      <c r="I410" s="5">
        <v>0</v>
      </c>
      <c r="J410" s="5">
        <v>0</v>
      </c>
      <c r="L410">
        <f t="shared" si="39"/>
        <v>408</v>
      </c>
      <c r="M410">
        <f>'Real Analysis'!$B$3+B410/1000000</f>
        <v>8.209526000006008</v>
      </c>
      <c r="N410">
        <f t="shared" si="40"/>
        <v>2</v>
      </c>
      <c r="O410">
        <f>IF(ABS(D410)&gt;1,D410/1000000,D410)*'Real Analysis'!$B$4</f>
        <v>-0.19258011</v>
      </c>
      <c r="P410">
        <f>IF(ABS(E410)&gt;1,E410/1000000,E410)*'Real Analysis'!$B$4</f>
        <v>0.11995668</v>
      </c>
      <c r="Q410">
        <f>IF(ABS(F410)&gt;1,F410/1000000,F410)*'Real Analysis'!$B$4</f>
        <v>9.7965897300000009</v>
      </c>
      <c r="R410">
        <f t="shared" si="41"/>
        <v>0</v>
      </c>
      <c r="S410">
        <f t="shared" si="42"/>
        <v>0</v>
      </c>
      <c r="T410">
        <f t="shared" si="43"/>
        <v>0</v>
      </c>
      <c r="U410">
        <f t="shared" si="44"/>
        <v>0</v>
      </c>
    </row>
    <row r="411" spans="1:21" x14ac:dyDescent="0.3">
      <c r="A411" s="4">
        <v>409</v>
      </c>
      <c r="B411" s="4">
        <v>-96583770032</v>
      </c>
      <c r="C411" s="5">
        <v>2</v>
      </c>
      <c r="D411" s="5">
        <v>-1.2160000000000001E-2</v>
      </c>
      <c r="E411" s="5">
        <v>1.2148000000000001E-2</v>
      </c>
      <c r="F411" s="5">
        <v>1004860</v>
      </c>
      <c r="G411" s="5">
        <v>0</v>
      </c>
      <c r="H411" s="5">
        <v>0</v>
      </c>
      <c r="I411" s="5">
        <v>0</v>
      </c>
      <c r="J411" s="5">
        <v>0</v>
      </c>
      <c r="L411">
        <f t="shared" si="39"/>
        <v>409</v>
      </c>
      <c r="M411">
        <f>'Real Analysis'!$B$3+B411/1000000</f>
        <v>8.2299679999996442</v>
      </c>
      <c r="N411">
        <f t="shared" si="40"/>
        <v>2</v>
      </c>
      <c r="O411">
        <f>IF(ABS(D411)&gt;1,D411/1000000,D411)*'Real Analysis'!$B$4</f>
        <v>-0.11928960000000001</v>
      </c>
      <c r="P411">
        <f>IF(ABS(E411)&gt;1,E411/1000000,E411)*'Real Analysis'!$B$4</f>
        <v>0.11917188000000001</v>
      </c>
      <c r="Q411">
        <f>IF(ABS(F411)&gt;1,F411/1000000,F411)*'Real Analysis'!$B$4</f>
        <v>9.8576766000000013</v>
      </c>
      <c r="R411">
        <f t="shared" si="41"/>
        <v>0</v>
      </c>
      <c r="S411">
        <f t="shared" si="42"/>
        <v>0</v>
      </c>
      <c r="T411">
        <f t="shared" si="43"/>
        <v>0</v>
      </c>
      <c r="U411">
        <f t="shared" si="44"/>
        <v>0</v>
      </c>
    </row>
    <row r="412" spans="1:21" x14ac:dyDescent="0.3">
      <c r="A412" s="4">
        <v>410</v>
      </c>
      <c r="B412" s="4">
        <v>-96583752742</v>
      </c>
      <c r="C412" s="5">
        <v>2</v>
      </c>
      <c r="D412" s="5">
        <v>-1.307E-2</v>
      </c>
      <c r="E412" s="5">
        <v>1.2333E-2</v>
      </c>
      <c r="F412" s="5">
        <v>1004752</v>
      </c>
      <c r="G412" s="5">
        <v>0</v>
      </c>
      <c r="H412" s="5">
        <v>0</v>
      </c>
      <c r="I412" s="5">
        <v>0</v>
      </c>
      <c r="J412" s="5">
        <v>0</v>
      </c>
      <c r="L412">
        <f t="shared" si="39"/>
        <v>410</v>
      </c>
      <c r="M412">
        <f>'Real Analysis'!$B$3+B412/1000000</f>
        <v>8.2472580000030575</v>
      </c>
      <c r="N412">
        <f t="shared" si="40"/>
        <v>2</v>
      </c>
      <c r="O412">
        <f>IF(ABS(D412)&gt;1,D412/1000000,D412)*'Real Analysis'!$B$4</f>
        <v>-0.12821670000000002</v>
      </c>
      <c r="P412">
        <f>IF(ABS(E412)&gt;1,E412/1000000,E412)*'Real Analysis'!$B$4</f>
        <v>0.12098673000000001</v>
      </c>
      <c r="Q412">
        <f>IF(ABS(F412)&gt;1,F412/1000000,F412)*'Real Analysis'!$B$4</f>
        <v>9.856617120000001</v>
      </c>
      <c r="R412">
        <f t="shared" si="41"/>
        <v>0</v>
      </c>
      <c r="S412">
        <f t="shared" si="42"/>
        <v>0</v>
      </c>
      <c r="T412">
        <f t="shared" si="43"/>
        <v>0</v>
      </c>
      <c r="U412">
        <f t="shared" si="44"/>
        <v>0</v>
      </c>
    </row>
    <row r="413" spans="1:21" x14ac:dyDescent="0.3">
      <c r="A413" s="4">
        <v>411</v>
      </c>
      <c r="B413" s="4">
        <v>-96583727290</v>
      </c>
      <c r="C413" s="5">
        <v>2</v>
      </c>
      <c r="D413" s="5">
        <v>-1.1452E-2</v>
      </c>
      <c r="E413" s="5">
        <v>1.2234999999999999E-2</v>
      </c>
      <c r="F413" s="5">
        <v>1004339</v>
      </c>
      <c r="G413" s="5">
        <v>0</v>
      </c>
      <c r="H413" s="5">
        <v>0</v>
      </c>
      <c r="I413" s="5">
        <v>0</v>
      </c>
      <c r="J413" s="5">
        <v>0</v>
      </c>
      <c r="L413">
        <f t="shared" si="39"/>
        <v>411</v>
      </c>
      <c r="M413">
        <f>'Real Analysis'!$B$3+B413/1000000</f>
        <v>8.2727100000047358</v>
      </c>
      <c r="N413">
        <f t="shared" si="40"/>
        <v>2</v>
      </c>
      <c r="O413">
        <f>IF(ABS(D413)&gt;1,D413/1000000,D413)*'Real Analysis'!$B$4</f>
        <v>-0.11234412000000001</v>
      </c>
      <c r="P413">
        <f>IF(ABS(E413)&gt;1,E413/1000000,E413)*'Real Analysis'!$B$4</f>
        <v>0.12002535</v>
      </c>
      <c r="Q413">
        <f>IF(ABS(F413)&gt;1,F413/1000000,F413)*'Real Analysis'!$B$4</f>
        <v>9.8525655900000011</v>
      </c>
      <c r="R413">
        <f t="shared" si="41"/>
        <v>0</v>
      </c>
      <c r="S413">
        <f t="shared" si="42"/>
        <v>0</v>
      </c>
      <c r="T413">
        <f t="shared" si="43"/>
        <v>0</v>
      </c>
      <c r="U413">
        <f t="shared" si="44"/>
        <v>0</v>
      </c>
    </row>
    <row r="414" spans="1:21" x14ac:dyDescent="0.3">
      <c r="A414" s="4">
        <v>412</v>
      </c>
      <c r="B414" s="4">
        <v>-96583709760</v>
      </c>
      <c r="C414" s="5">
        <v>2</v>
      </c>
      <c r="D414" s="5">
        <v>-9.6849999999999992E-3</v>
      </c>
      <c r="E414" s="5">
        <v>1.2213999999999999E-2</v>
      </c>
      <c r="F414" s="5">
        <v>1004253</v>
      </c>
      <c r="G414" s="5">
        <v>0</v>
      </c>
      <c r="H414" s="5">
        <v>0</v>
      </c>
      <c r="I414" s="5">
        <v>0</v>
      </c>
      <c r="J414" s="5">
        <v>0</v>
      </c>
      <c r="L414">
        <f t="shared" si="39"/>
        <v>412</v>
      </c>
      <c r="M414">
        <f>'Real Analysis'!$B$3+B414/1000000</f>
        <v>8.2902400000020862</v>
      </c>
      <c r="N414">
        <f t="shared" si="40"/>
        <v>2</v>
      </c>
      <c r="O414">
        <f>IF(ABS(D414)&gt;1,D414/1000000,D414)*'Real Analysis'!$B$4</f>
        <v>-9.5009849999999993E-2</v>
      </c>
      <c r="P414">
        <f>IF(ABS(E414)&gt;1,E414/1000000,E414)*'Real Analysis'!$B$4</f>
        <v>0.11981934</v>
      </c>
      <c r="Q414">
        <f>IF(ABS(F414)&gt;1,F414/1000000,F414)*'Real Analysis'!$B$4</f>
        <v>9.8517219300000018</v>
      </c>
      <c r="R414">
        <f t="shared" si="41"/>
        <v>0</v>
      </c>
      <c r="S414">
        <f t="shared" si="42"/>
        <v>0</v>
      </c>
      <c r="T414">
        <f t="shared" si="43"/>
        <v>0</v>
      </c>
      <c r="U414">
        <f t="shared" si="44"/>
        <v>0</v>
      </c>
    </row>
    <row r="415" spans="1:21" x14ac:dyDescent="0.3">
      <c r="A415" s="4">
        <v>413</v>
      </c>
      <c r="B415" s="4">
        <v>-96583687440</v>
      </c>
      <c r="C415" s="5">
        <v>2</v>
      </c>
      <c r="D415" s="5">
        <v>-4.6439999999999997E-3</v>
      </c>
      <c r="E415" s="5">
        <v>1.2418E-2</v>
      </c>
      <c r="F415" s="5">
        <v>1004456</v>
      </c>
      <c r="G415" s="5">
        <v>0</v>
      </c>
      <c r="H415" s="5">
        <v>0</v>
      </c>
      <c r="I415" s="5">
        <v>0</v>
      </c>
      <c r="J415" s="5">
        <v>0</v>
      </c>
      <c r="L415">
        <f t="shared" si="39"/>
        <v>413</v>
      </c>
      <c r="M415">
        <f>'Real Analysis'!$B$3+B415/1000000</f>
        <v>8.3125600000057602</v>
      </c>
      <c r="N415">
        <f t="shared" si="40"/>
        <v>2</v>
      </c>
      <c r="O415">
        <f>IF(ABS(D415)&gt;1,D415/1000000,D415)*'Real Analysis'!$B$4</f>
        <v>-4.5557639999999996E-2</v>
      </c>
      <c r="P415">
        <f>IF(ABS(E415)&gt;1,E415/1000000,E415)*'Real Analysis'!$B$4</f>
        <v>0.12182058000000001</v>
      </c>
      <c r="Q415">
        <f>IF(ABS(F415)&gt;1,F415/1000000,F415)*'Real Analysis'!$B$4</f>
        <v>9.8537133600000004</v>
      </c>
      <c r="R415">
        <f t="shared" si="41"/>
        <v>0</v>
      </c>
      <c r="S415">
        <f t="shared" si="42"/>
        <v>0</v>
      </c>
      <c r="T415">
        <f t="shared" si="43"/>
        <v>0</v>
      </c>
      <c r="U415">
        <f t="shared" si="44"/>
        <v>0</v>
      </c>
    </row>
    <row r="416" spans="1:21" x14ac:dyDescent="0.3">
      <c r="A416" s="4">
        <v>414</v>
      </c>
      <c r="B416" s="4">
        <v>-96583671637</v>
      </c>
      <c r="C416" s="5">
        <v>2</v>
      </c>
      <c r="D416" s="5">
        <v>-5.5120000000000004E-3</v>
      </c>
      <c r="E416" s="5">
        <v>1.2381E-2</v>
      </c>
      <c r="F416" s="5">
        <v>1004411</v>
      </c>
      <c r="G416" s="5">
        <v>0</v>
      </c>
      <c r="H416" s="5">
        <v>0</v>
      </c>
      <c r="I416" s="5">
        <v>0</v>
      </c>
      <c r="J416" s="5">
        <v>0</v>
      </c>
      <c r="L416">
        <f t="shared" si="39"/>
        <v>414</v>
      </c>
      <c r="M416">
        <f>'Real Analysis'!$B$3+B416/1000000</f>
        <v>8.32836299999326</v>
      </c>
      <c r="N416">
        <f t="shared" si="40"/>
        <v>2</v>
      </c>
      <c r="O416">
        <f>IF(ABS(D416)&gt;1,D416/1000000,D416)*'Real Analysis'!$B$4</f>
        <v>-5.4072720000000005E-2</v>
      </c>
      <c r="P416">
        <f>IF(ABS(E416)&gt;1,E416/1000000,E416)*'Real Analysis'!$B$4</f>
        <v>0.12145761000000001</v>
      </c>
      <c r="Q416">
        <f>IF(ABS(F416)&gt;1,F416/1000000,F416)*'Real Analysis'!$B$4</f>
        <v>9.8532719100000001</v>
      </c>
      <c r="R416">
        <f t="shared" si="41"/>
        <v>0</v>
      </c>
      <c r="S416">
        <f t="shared" si="42"/>
        <v>0</v>
      </c>
      <c r="T416">
        <f t="shared" si="43"/>
        <v>0</v>
      </c>
      <c r="U416">
        <f t="shared" si="44"/>
        <v>0</v>
      </c>
    </row>
    <row r="417" spans="1:21" x14ac:dyDescent="0.3">
      <c r="A417" s="4">
        <v>415</v>
      </c>
      <c r="B417" s="4">
        <v>-96583652159</v>
      </c>
      <c r="C417" s="5">
        <v>2</v>
      </c>
      <c r="D417" s="5">
        <v>-1.0047E-2</v>
      </c>
      <c r="E417" s="5">
        <v>1.2126E-2</v>
      </c>
      <c r="F417" s="5">
        <v>1004248</v>
      </c>
      <c r="G417" s="5">
        <v>0</v>
      </c>
      <c r="H417" s="5">
        <v>0</v>
      </c>
      <c r="I417" s="5">
        <v>0</v>
      </c>
      <c r="J417" s="5">
        <v>0</v>
      </c>
      <c r="L417">
        <f t="shared" si="39"/>
        <v>415</v>
      </c>
      <c r="M417">
        <f>'Real Analysis'!$B$3+B417/1000000</f>
        <v>8.3478409999952419</v>
      </c>
      <c r="N417">
        <f t="shared" si="40"/>
        <v>2</v>
      </c>
      <c r="O417">
        <f>IF(ABS(D417)&gt;1,D417/1000000,D417)*'Real Analysis'!$B$4</f>
        <v>-9.8561070000000015E-2</v>
      </c>
      <c r="P417">
        <f>IF(ABS(E417)&gt;1,E417/1000000,E417)*'Real Analysis'!$B$4</f>
        <v>0.11895606</v>
      </c>
      <c r="Q417">
        <f>IF(ABS(F417)&gt;1,F417/1000000,F417)*'Real Analysis'!$B$4</f>
        <v>9.8516728800000006</v>
      </c>
      <c r="R417">
        <f t="shared" si="41"/>
        <v>0</v>
      </c>
      <c r="S417">
        <f t="shared" si="42"/>
        <v>0</v>
      </c>
      <c r="T417">
        <f t="shared" si="43"/>
        <v>0</v>
      </c>
      <c r="U417">
        <f t="shared" si="44"/>
        <v>0</v>
      </c>
    </row>
    <row r="418" spans="1:21" x14ac:dyDescent="0.3">
      <c r="A418" s="4">
        <v>416</v>
      </c>
      <c r="B418" s="4">
        <v>-96583629403</v>
      </c>
      <c r="C418" s="5">
        <v>2</v>
      </c>
      <c r="D418" s="5">
        <v>-9.3019999999999995E-3</v>
      </c>
      <c r="E418" s="5">
        <v>1.2303E-2</v>
      </c>
      <c r="F418" s="5">
        <v>1004270</v>
      </c>
      <c r="G418" s="5">
        <v>0</v>
      </c>
      <c r="H418" s="5">
        <v>0</v>
      </c>
      <c r="I418" s="5">
        <v>0</v>
      </c>
      <c r="J418" s="5">
        <v>0</v>
      </c>
      <c r="L418">
        <f t="shared" si="39"/>
        <v>416</v>
      </c>
      <c r="M418">
        <f>'Real Analysis'!$B$3+B418/1000000</f>
        <v>8.3705970000009984</v>
      </c>
      <c r="N418">
        <f t="shared" si="40"/>
        <v>2</v>
      </c>
      <c r="O418">
        <f>IF(ABS(D418)&gt;1,D418/1000000,D418)*'Real Analysis'!$B$4</f>
        <v>-9.1252620000000007E-2</v>
      </c>
      <c r="P418">
        <f>IF(ABS(E418)&gt;1,E418/1000000,E418)*'Real Analysis'!$B$4</f>
        <v>0.12069243</v>
      </c>
      <c r="Q418">
        <f>IF(ABS(F418)&gt;1,F418/1000000,F418)*'Real Analysis'!$B$4</f>
        <v>9.8518886999999999</v>
      </c>
      <c r="R418">
        <f t="shared" si="41"/>
        <v>0</v>
      </c>
      <c r="S418">
        <f t="shared" si="42"/>
        <v>0</v>
      </c>
      <c r="T418">
        <f t="shared" si="43"/>
        <v>0</v>
      </c>
      <c r="U418">
        <f t="shared" si="44"/>
        <v>0</v>
      </c>
    </row>
    <row r="419" spans="1:21" x14ac:dyDescent="0.3">
      <c r="A419" s="4">
        <v>417</v>
      </c>
      <c r="B419" s="4">
        <v>-96583610772</v>
      </c>
      <c r="C419" s="5">
        <v>2</v>
      </c>
      <c r="D419" s="5">
        <v>-3.6870000000000002E-3</v>
      </c>
      <c r="E419" s="5">
        <v>1.2444E-2</v>
      </c>
      <c r="F419" s="5">
        <v>1002921</v>
      </c>
      <c r="G419" s="5">
        <v>0</v>
      </c>
      <c r="H419" s="5">
        <v>0</v>
      </c>
      <c r="I419" s="5">
        <v>0</v>
      </c>
      <c r="J419" s="5">
        <v>0</v>
      </c>
      <c r="L419">
        <f t="shared" si="39"/>
        <v>417</v>
      </c>
      <c r="M419">
        <f>'Real Analysis'!$B$3+B419/1000000</f>
        <v>8.3892280000000028</v>
      </c>
      <c r="N419">
        <f t="shared" si="40"/>
        <v>2</v>
      </c>
      <c r="O419">
        <f>IF(ABS(D419)&gt;1,D419/1000000,D419)*'Real Analysis'!$B$4</f>
        <v>-3.6169470000000002E-2</v>
      </c>
      <c r="P419">
        <f>IF(ABS(E419)&gt;1,E419/1000000,E419)*'Real Analysis'!$B$4</f>
        <v>0.12207564000000001</v>
      </c>
      <c r="Q419">
        <f>IF(ABS(F419)&gt;1,F419/1000000,F419)*'Real Analysis'!$B$4</f>
        <v>9.8386550100000001</v>
      </c>
      <c r="R419">
        <f t="shared" si="41"/>
        <v>0</v>
      </c>
      <c r="S419">
        <f t="shared" si="42"/>
        <v>0</v>
      </c>
      <c r="T419">
        <f t="shared" si="43"/>
        <v>0</v>
      </c>
      <c r="U419">
        <f t="shared" si="44"/>
        <v>0</v>
      </c>
    </row>
    <row r="420" spans="1:21" x14ac:dyDescent="0.3">
      <c r="A420" s="4">
        <v>418</v>
      </c>
      <c r="B420" s="4">
        <v>-96583590754</v>
      </c>
      <c r="C420" s="5">
        <v>2</v>
      </c>
      <c r="D420" s="5">
        <v>-4.6239999999999996E-3</v>
      </c>
      <c r="E420" s="5">
        <v>6.8450000000000004E-3</v>
      </c>
      <c r="F420" s="5">
        <v>0.99684899999999999</v>
      </c>
      <c r="G420" s="5">
        <v>0</v>
      </c>
      <c r="H420" s="5">
        <v>0</v>
      </c>
      <c r="I420" s="5">
        <v>0</v>
      </c>
      <c r="J420" s="5">
        <v>0</v>
      </c>
      <c r="L420">
        <f t="shared" si="39"/>
        <v>418</v>
      </c>
      <c r="M420">
        <f>'Real Analysis'!$B$3+B420/1000000</f>
        <v>8.4092459999956191</v>
      </c>
      <c r="N420">
        <f t="shared" si="40"/>
        <v>2</v>
      </c>
      <c r="O420">
        <f>IF(ABS(D420)&gt;1,D420/1000000,D420)*'Real Analysis'!$B$4</f>
        <v>-4.5361439999999996E-2</v>
      </c>
      <c r="P420">
        <f>IF(ABS(E420)&gt;1,E420/1000000,E420)*'Real Analysis'!$B$4</f>
        <v>6.7149450000000013E-2</v>
      </c>
      <c r="Q420">
        <f>IF(ABS(F420)&gt;1,F420/1000000,F420)*'Real Analysis'!$B$4</f>
        <v>9.77908869</v>
      </c>
      <c r="R420">
        <f t="shared" si="41"/>
        <v>0</v>
      </c>
      <c r="S420">
        <f t="shared" si="42"/>
        <v>0</v>
      </c>
      <c r="T420">
        <f t="shared" si="43"/>
        <v>0</v>
      </c>
      <c r="U420">
        <f t="shared" si="44"/>
        <v>0</v>
      </c>
    </row>
    <row r="421" spans="1:21" x14ac:dyDescent="0.3">
      <c r="A421" s="4">
        <v>419</v>
      </c>
      <c r="B421" s="4">
        <v>-96583570218</v>
      </c>
      <c r="C421" s="5">
        <v>2</v>
      </c>
      <c r="D421" s="5">
        <v>-4.9069999999999999E-3</v>
      </c>
      <c r="E421" s="5">
        <v>1.0845E-2</v>
      </c>
      <c r="F421" s="5">
        <v>1004436</v>
      </c>
      <c r="G421" s="5">
        <v>0</v>
      </c>
      <c r="H421" s="5">
        <v>0</v>
      </c>
      <c r="I421" s="5">
        <v>0</v>
      </c>
      <c r="J421" s="5">
        <v>0</v>
      </c>
      <c r="L421">
        <f t="shared" si="39"/>
        <v>419</v>
      </c>
      <c r="M421">
        <f>'Real Analysis'!$B$3+B421/1000000</f>
        <v>8.4297820000065258</v>
      </c>
      <c r="N421">
        <f t="shared" si="40"/>
        <v>2</v>
      </c>
      <c r="O421">
        <f>IF(ABS(D421)&gt;1,D421/1000000,D421)*'Real Analysis'!$B$4</f>
        <v>-4.813767E-2</v>
      </c>
      <c r="P421">
        <f>IF(ABS(E421)&gt;1,E421/1000000,E421)*'Real Analysis'!$B$4</f>
        <v>0.10638945000000001</v>
      </c>
      <c r="Q421">
        <f>IF(ABS(F421)&gt;1,F421/1000000,F421)*'Real Analysis'!$B$4</f>
        <v>9.8535171600000009</v>
      </c>
      <c r="R421">
        <f t="shared" si="41"/>
        <v>0</v>
      </c>
      <c r="S421">
        <f t="shared" si="42"/>
        <v>0</v>
      </c>
      <c r="T421">
        <f t="shared" si="43"/>
        <v>0</v>
      </c>
      <c r="U421">
        <f t="shared" si="44"/>
        <v>0</v>
      </c>
    </row>
    <row r="422" spans="1:21" x14ac:dyDescent="0.3">
      <c r="A422" s="4">
        <v>420</v>
      </c>
      <c r="B422" s="4">
        <v>-96583551047</v>
      </c>
      <c r="C422" s="5">
        <v>2</v>
      </c>
      <c r="D422" s="5">
        <v>-8.3809999999999996E-3</v>
      </c>
      <c r="E422" s="5">
        <v>1.1908999999999999E-2</v>
      </c>
      <c r="F422" s="5">
        <v>1004840</v>
      </c>
      <c r="G422" s="5">
        <v>0</v>
      </c>
      <c r="H422" s="5">
        <v>0</v>
      </c>
      <c r="I422" s="5">
        <v>0</v>
      </c>
      <c r="J422" s="5">
        <v>0</v>
      </c>
      <c r="L422">
        <f t="shared" si="39"/>
        <v>420</v>
      </c>
      <c r="M422">
        <f>'Real Analysis'!$B$3+B422/1000000</f>
        <v>8.4489529999991646</v>
      </c>
      <c r="N422">
        <f t="shared" si="40"/>
        <v>2</v>
      </c>
      <c r="O422">
        <f>IF(ABS(D422)&gt;1,D422/1000000,D422)*'Real Analysis'!$B$4</f>
        <v>-8.2217609999999997E-2</v>
      </c>
      <c r="P422">
        <f>IF(ABS(E422)&gt;1,E422/1000000,E422)*'Real Analysis'!$B$4</f>
        <v>0.11682729</v>
      </c>
      <c r="Q422">
        <f>IF(ABS(F422)&gt;1,F422/1000000,F422)*'Real Analysis'!$B$4</f>
        <v>9.8574804</v>
      </c>
      <c r="R422">
        <f t="shared" si="41"/>
        <v>0</v>
      </c>
      <c r="S422">
        <f t="shared" si="42"/>
        <v>0</v>
      </c>
      <c r="T422">
        <f t="shared" si="43"/>
        <v>0</v>
      </c>
      <c r="U422">
        <f t="shared" si="44"/>
        <v>0</v>
      </c>
    </row>
    <row r="423" spans="1:21" x14ac:dyDescent="0.3">
      <c r="A423" s="4">
        <v>421</v>
      </c>
      <c r="B423" s="4">
        <v>-96583528198</v>
      </c>
      <c r="C423" s="5">
        <v>2</v>
      </c>
      <c r="D423" s="5">
        <v>-5.3829999999999998E-3</v>
      </c>
      <c r="E423" s="5">
        <v>1.1629E-2</v>
      </c>
      <c r="F423" s="5">
        <v>1010300</v>
      </c>
      <c r="G423" s="5">
        <v>0</v>
      </c>
      <c r="H423" s="5">
        <v>0</v>
      </c>
      <c r="I423" s="5">
        <v>0</v>
      </c>
      <c r="J423" s="5">
        <v>0</v>
      </c>
      <c r="L423">
        <f t="shared" si="39"/>
        <v>421</v>
      </c>
      <c r="M423">
        <f>'Real Analysis'!$B$3+B423/1000000</f>
        <v>8.4718020000000251</v>
      </c>
      <c r="N423">
        <f t="shared" si="40"/>
        <v>2</v>
      </c>
      <c r="O423">
        <f>IF(ABS(D423)&gt;1,D423/1000000,D423)*'Real Analysis'!$B$4</f>
        <v>-5.2807230000000004E-2</v>
      </c>
      <c r="P423">
        <f>IF(ABS(E423)&gt;1,E423/1000000,E423)*'Real Analysis'!$B$4</f>
        <v>0.11408049000000001</v>
      </c>
      <c r="Q423">
        <f>IF(ABS(F423)&gt;1,F423/1000000,F423)*'Real Analysis'!$B$4</f>
        <v>9.9110429999999994</v>
      </c>
      <c r="R423">
        <f t="shared" si="41"/>
        <v>0</v>
      </c>
      <c r="S423">
        <f t="shared" si="42"/>
        <v>0</v>
      </c>
      <c r="T423">
        <f t="shared" si="43"/>
        <v>0</v>
      </c>
      <c r="U423">
        <f t="shared" si="44"/>
        <v>0</v>
      </c>
    </row>
    <row r="424" spans="1:21" x14ac:dyDescent="0.3">
      <c r="A424" s="4">
        <v>422</v>
      </c>
      <c r="B424" s="4">
        <v>-96583510808</v>
      </c>
      <c r="C424" s="5">
        <v>2</v>
      </c>
      <c r="D424" s="5">
        <v>-1.3746E-2</v>
      </c>
      <c r="E424" s="5">
        <v>1.2269E-2</v>
      </c>
      <c r="F424" s="5">
        <v>1003388</v>
      </c>
      <c r="G424" s="5">
        <v>0</v>
      </c>
      <c r="H424" s="5">
        <v>0</v>
      </c>
      <c r="I424" s="5">
        <v>0</v>
      </c>
      <c r="J424" s="5">
        <v>0</v>
      </c>
      <c r="L424">
        <f t="shared" si="39"/>
        <v>422</v>
      </c>
      <c r="M424">
        <f>'Real Analysis'!$B$3+B424/1000000</f>
        <v>8.4891919999936363</v>
      </c>
      <c r="N424">
        <f t="shared" si="40"/>
        <v>2</v>
      </c>
      <c r="O424">
        <f>IF(ABS(D424)&gt;1,D424/1000000,D424)*'Real Analysis'!$B$4</f>
        <v>-0.13484826</v>
      </c>
      <c r="P424">
        <f>IF(ABS(E424)&gt;1,E424/1000000,E424)*'Real Analysis'!$B$4</f>
        <v>0.12035889000000001</v>
      </c>
      <c r="Q424">
        <f>IF(ABS(F424)&gt;1,F424/1000000,F424)*'Real Analysis'!$B$4</f>
        <v>9.8432362799999993</v>
      </c>
      <c r="R424">
        <f t="shared" si="41"/>
        <v>0</v>
      </c>
      <c r="S424">
        <f t="shared" si="42"/>
        <v>0</v>
      </c>
      <c r="T424">
        <f t="shared" si="43"/>
        <v>0</v>
      </c>
      <c r="U424">
        <f t="shared" si="44"/>
        <v>0</v>
      </c>
    </row>
    <row r="425" spans="1:21" x14ac:dyDescent="0.3">
      <c r="A425" s="4">
        <v>423</v>
      </c>
      <c r="B425" s="4">
        <v>-96583492045</v>
      </c>
      <c r="C425" s="5">
        <v>2</v>
      </c>
      <c r="D425" s="5">
        <v>-1.1043000000000001E-2</v>
      </c>
      <c r="E425" s="5">
        <v>1.2470999999999999E-2</v>
      </c>
      <c r="F425" s="5">
        <v>1004512</v>
      </c>
      <c r="G425" s="5">
        <v>0</v>
      </c>
      <c r="H425" s="5">
        <v>0</v>
      </c>
      <c r="I425" s="5">
        <v>0</v>
      </c>
      <c r="J425" s="5">
        <v>0</v>
      </c>
      <c r="L425">
        <f t="shared" si="39"/>
        <v>423</v>
      </c>
      <c r="M425">
        <f>'Real Analysis'!$B$3+B425/1000000</f>
        <v>8.5079549999936717</v>
      </c>
      <c r="N425">
        <f t="shared" si="40"/>
        <v>2</v>
      </c>
      <c r="O425">
        <f>IF(ABS(D425)&gt;1,D425/1000000,D425)*'Real Analysis'!$B$4</f>
        <v>-0.10833183000000002</v>
      </c>
      <c r="P425">
        <f>IF(ABS(E425)&gt;1,E425/1000000,E425)*'Real Analysis'!$B$4</f>
        <v>0.12234051</v>
      </c>
      <c r="Q425">
        <f>IF(ABS(F425)&gt;1,F425/1000000,F425)*'Real Analysis'!$B$4</f>
        <v>9.8542627200000013</v>
      </c>
      <c r="R425">
        <f t="shared" si="41"/>
        <v>0</v>
      </c>
      <c r="S425">
        <f t="shared" si="42"/>
        <v>0</v>
      </c>
      <c r="T425">
        <f t="shared" si="43"/>
        <v>0</v>
      </c>
      <c r="U425">
        <f t="shared" si="44"/>
        <v>0</v>
      </c>
    </row>
    <row r="426" spans="1:21" x14ac:dyDescent="0.3">
      <c r="A426" s="4">
        <v>424</v>
      </c>
      <c r="B426" s="4">
        <v>-96583469203</v>
      </c>
      <c r="C426" s="5">
        <v>2</v>
      </c>
      <c r="D426" s="5">
        <v>-4.2170000000000003E-3</v>
      </c>
      <c r="E426" s="5">
        <v>1.2383E-2</v>
      </c>
      <c r="F426" s="5">
        <v>1001141</v>
      </c>
      <c r="G426" s="5">
        <v>0</v>
      </c>
      <c r="H426" s="5">
        <v>0</v>
      </c>
      <c r="I426" s="5">
        <v>0</v>
      </c>
      <c r="J426" s="5">
        <v>0</v>
      </c>
      <c r="L426">
        <f t="shared" si="39"/>
        <v>424</v>
      </c>
      <c r="M426">
        <f>'Real Analysis'!$B$3+B426/1000000</f>
        <v>8.5307969999994384</v>
      </c>
      <c r="N426">
        <f t="shared" si="40"/>
        <v>2</v>
      </c>
      <c r="O426">
        <f>IF(ABS(D426)&gt;1,D426/1000000,D426)*'Real Analysis'!$B$4</f>
        <v>-4.1368770000000006E-2</v>
      </c>
      <c r="P426">
        <f>IF(ABS(E426)&gt;1,E426/1000000,E426)*'Real Analysis'!$B$4</f>
        <v>0.12147723000000001</v>
      </c>
      <c r="Q426">
        <f>IF(ABS(F426)&gt;1,F426/1000000,F426)*'Real Analysis'!$B$4</f>
        <v>9.8211932100000006</v>
      </c>
      <c r="R426">
        <f t="shared" si="41"/>
        <v>0</v>
      </c>
      <c r="S426">
        <f t="shared" si="42"/>
        <v>0</v>
      </c>
      <c r="T426">
        <f t="shared" si="43"/>
        <v>0</v>
      </c>
      <c r="U426">
        <f t="shared" si="44"/>
        <v>0</v>
      </c>
    </row>
    <row r="427" spans="1:21" x14ac:dyDescent="0.3">
      <c r="A427" s="4">
        <v>425</v>
      </c>
      <c r="B427" s="4">
        <v>-96583450724</v>
      </c>
      <c r="C427" s="5">
        <v>2</v>
      </c>
      <c r="D427" s="5">
        <v>-5.927E-3</v>
      </c>
      <c r="E427" s="5">
        <v>1.2241E-2</v>
      </c>
      <c r="F427" s="5">
        <v>1002933</v>
      </c>
      <c r="G427" s="5">
        <v>0</v>
      </c>
      <c r="H427" s="5">
        <v>0</v>
      </c>
      <c r="I427" s="5">
        <v>0</v>
      </c>
      <c r="J427" s="5">
        <v>0</v>
      </c>
      <c r="L427">
        <f t="shared" si="39"/>
        <v>425</v>
      </c>
      <c r="M427">
        <f>'Real Analysis'!$B$3+B427/1000000</f>
        <v>8.5492760000051931</v>
      </c>
      <c r="N427">
        <f t="shared" si="40"/>
        <v>2</v>
      </c>
      <c r="O427">
        <f>IF(ABS(D427)&gt;1,D427/1000000,D427)*'Real Analysis'!$B$4</f>
        <v>-5.814387E-2</v>
      </c>
      <c r="P427">
        <f>IF(ABS(E427)&gt;1,E427/1000000,E427)*'Real Analysis'!$B$4</f>
        <v>0.12008421000000001</v>
      </c>
      <c r="Q427">
        <f>IF(ABS(F427)&gt;1,F427/1000000,F427)*'Real Analysis'!$B$4</f>
        <v>9.8387727300000005</v>
      </c>
      <c r="R427">
        <f t="shared" si="41"/>
        <v>0</v>
      </c>
      <c r="S427">
        <f t="shared" si="42"/>
        <v>0</v>
      </c>
      <c r="T427">
        <f t="shared" si="43"/>
        <v>0</v>
      </c>
      <c r="U427">
        <f t="shared" si="44"/>
        <v>0</v>
      </c>
    </row>
    <row r="428" spans="1:21" x14ac:dyDescent="0.3">
      <c r="A428" s="4">
        <v>426</v>
      </c>
      <c r="B428" s="4">
        <v>-96583430274</v>
      </c>
      <c r="C428" s="5">
        <v>2</v>
      </c>
      <c r="D428" s="5">
        <v>-1.3552E-2</v>
      </c>
      <c r="E428" s="5">
        <v>1.2241E-2</v>
      </c>
      <c r="F428" s="5">
        <v>1001978</v>
      </c>
      <c r="G428" s="5">
        <v>0</v>
      </c>
      <c r="H428" s="5">
        <v>0</v>
      </c>
      <c r="I428" s="5">
        <v>0</v>
      </c>
      <c r="J428" s="5">
        <v>0</v>
      </c>
      <c r="L428">
        <f t="shared" si="39"/>
        <v>426</v>
      </c>
      <c r="M428">
        <f>'Real Analysis'!$B$3+B428/1000000</f>
        <v>8.5697260000015376</v>
      </c>
      <c r="N428">
        <f t="shared" si="40"/>
        <v>2</v>
      </c>
      <c r="O428">
        <f>IF(ABS(D428)&gt;1,D428/1000000,D428)*'Real Analysis'!$B$4</f>
        <v>-0.13294512</v>
      </c>
      <c r="P428">
        <f>IF(ABS(E428)&gt;1,E428/1000000,E428)*'Real Analysis'!$B$4</f>
        <v>0.12008421000000001</v>
      </c>
      <c r="Q428">
        <f>IF(ABS(F428)&gt;1,F428/1000000,F428)*'Real Analysis'!$B$4</f>
        <v>9.8294041800000009</v>
      </c>
      <c r="R428">
        <f t="shared" si="41"/>
        <v>0</v>
      </c>
      <c r="S428">
        <f t="shared" si="42"/>
        <v>0</v>
      </c>
      <c r="T428">
        <f t="shared" si="43"/>
        <v>0</v>
      </c>
      <c r="U428">
        <f t="shared" si="44"/>
        <v>0</v>
      </c>
    </row>
    <row r="429" spans="1:21" x14ac:dyDescent="0.3">
      <c r="A429" s="4">
        <v>427</v>
      </c>
      <c r="B429" s="4">
        <v>-96583407890</v>
      </c>
      <c r="C429" s="5">
        <v>2</v>
      </c>
      <c r="D429" s="5">
        <v>-1.2500000000000001E-2</v>
      </c>
      <c r="E429" s="5">
        <v>1.2186000000000001E-2</v>
      </c>
      <c r="F429" s="5">
        <v>1004391</v>
      </c>
      <c r="G429" s="5">
        <v>0</v>
      </c>
      <c r="H429" s="5">
        <v>0</v>
      </c>
      <c r="I429" s="5">
        <v>0</v>
      </c>
      <c r="J429" s="5">
        <v>0</v>
      </c>
      <c r="L429">
        <f t="shared" si="39"/>
        <v>427</v>
      </c>
      <c r="M429">
        <f>'Real Analysis'!$B$3+B429/1000000</f>
        <v>8.5921099999977741</v>
      </c>
      <c r="N429">
        <f t="shared" si="40"/>
        <v>2</v>
      </c>
      <c r="O429">
        <f>IF(ABS(D429)&gt;1,D429/1000000,D429)*'Real Analysis'!$B$4</f>
        <v>-0.12262500000000001</v>
      </c>
      <c r="P429">
        <f>IF(ABS(E429)&gt;1,E429/1000000,E429)*'Real Analysis'!$B$4</f>
        <v>0.11954466000000001</v>
      </c>
      <c r="Q429">
        <f>IF(ABS(F429)&gt;1,F429/1000000,F429)*'Real Analysis'!$B$4</f>
        <v>9.8530757100000006</v>
      </c>
      <c r="R429">
        <f t="shared" si="41"/>
        <v>0</v>
      </c>
      <c r="S429">
        <f t="shared" si="42"/>
        <v>0</v>
      </c>
      <c r="T429">
        <f t="shared" si="43"/>
        <v>0</v>
      </c>
      <c r="U429">
        <f t="shared" si="44"/>
        <v>0</v>
      </c>
    </row>
    <row r="430" spans="1:21" x14ac:dyDescent="0.3">
      <c r="A430" s="4">
        <v>428</v>
      </c>
      <c r="B430" s="4">
        <v>-96583388539</v>
      </c>
      <c r="C430" s="5">
        <v>2</v>
      </c>
      <c r="D430" s="5">
        <v>-1.2822E-2</v>
      </c>
      <c r="E430" s="5">
        <v>1.2215999999999999E-2</v>
      </c>
      <c r="F430" s="5">
        <v>1002451</v>
      </c>
      <c r="G430" s="5">
        <v>0</v>
      </c>
      <c r="H430" s="5">
        <v>0</v>
      </c>
      <c r="I430" s="5">
        <v>0</v>
      </c>
      <c r="J430" s="5">
        <v>0</v>
      </c>
      <c r="L430">
        <f t="shared" si="39"/>
        <v>428</v>
      </c>
      <c r="M430">
        <f>'Real Analysis'!$B$3+B430/1000000</f>
        <v>8.6114609999931417</v>
      </c>
      <c r="N430">
        <f t="shared" si="40"/>
        <v>2</v>
      </c>
      <c r="O430">
        <f>IF(ABS(D430)&gt;1,D430/1000000,D430)*'Real Analysis'!$B$4</f>
        <v>-0.12578382000000002</v>
      </c>
      <c r="P430">
        <f>IF(ABS(E430)&gt;1,E430/1000000,E430)*'Real Analysis'!$B$4</f>
        <v>0.11983895999999999</v>
      </c>
      <c r="Q430">
        <f>IF(ABS(F430)&gt;1,F430/1000000,F430)*'Real Analysis'!$B$4</f>
        <v>9.8340443099999995</v>
      </c>
      <c r="R430">
        <f t="shared" si="41"/>
        <v>0</v>
      </c>
      <c r="S430">
        <f t="shared" si="42"/>
        <v>0</v>
      </c>
      <c r="T430">
        <f t="shared" si="43"/>
        <v>0</v>
      </c>
      <c r="U430">
        <f t="shared" si="44"/>
        <v>0</v>
      </c>
    </row>
    <row r="431" spans="1:21" x14ac:dyDescent="0.3">
      <c r="A431" s="4">
        <v>429</v>
      </c>
      <c r="B431" s="4">
        <v>-96583367776</v>
      </c>
      <c r="C431" s="5">
        <v>2</v>
      </c>
      <c r="D431" s="5">
        <v>-1.2749E-2</v>
      </c>
      <c r="E431" s="5">
        <v>8.8070000000000006E-3</v>
      </c>
      <c r="F431" s="5">
        <v>0.99844200000000005</v>
      </c>
      <c r="G431" s="5">
        <v>0</v>
      </c>
      <c r="H431" s="5">
        <v>0</v>
      </c>
      <c r="I431" s="5">
        <v>0</v>
      </c>
      <c r="J431" s="5">
        <v>0</v>
      </c>
      <c r="L431">
        <f t="shared" si="39"/>
        <v>429</v>
      </c>
      <c r="M431">
        <f>'Real Analysis'!$B$3+B431/1000000</f>
        <v>8.6322240000008605</v>
      </c>
      <c r="N431">
        <f t="shared" si="40"/>
        <v>2</v>
      </c>
      <c r="O431">
        <f>IF(ABS(D431)&gt;1,D431/1000000,D431)*'Real Analysis'!$B$4</f>
        <v>-0.12506769000000001</v>
      </c>
      <c r="P431">
        <f>IF(ABS(E431)&gt;1,E431/1000000,E431)*'Real Analysis'!$B$4</f>
        <v>8.6396670000000009E-2</v>
      </c>
      <c r="Q431">
        <f>IF(ABS(F431)&gt;1,F431/1000000,F431)*'Real Analysis'!$B$4</f>
        <v>9.794716020000001</v>
      </c>
      <c r="R431">
        <f t="shared" si="41"/>
        <v>0</v>
      </c>
      <c r="S431">
        <f t="shared" si="42"/>
        <v>0</v>
      </c>
      <c r="T431">
        <f t="shared" si="43"/>
        <v>0</v>
      </c>
      <c r="U431">
        <f t="shared" si="44"/>
        <v>0</v>
      </c>
    </row>
    <row r="432" spans="1:21" x14ac:dyDescent="0.3">
      <c r="A432" s="4">
        <v>430</v>
      </c>
      <c r="B432" s="4">
        <v>-96583348627</v>
      </c>
      <c r="C432" s="5">
        <v>2</v>
      </c>
      <c r="D432" s="5">
        <v>-9.4459999999999995E-3</v>
      </c>
      <c r="E432" s="5">
        <v>7.4339999999999996E-3</v>
      </c>
      <c r="F432" s="5">
        <v>1005184</v>
      </c>
      <c r="G432" s="5">
        <v>0</v>
      </c>
      <c r="H432" s="5">
        <v>0</v>
      </c>
      <c r="I432" s="5">
        <v>0</v>
      </c>
      <c r="J432" s="5">
        <v>0</v>
      </c>
      <c r="L432">
        <f t="shared" si="39"/>
        <v>430</v>
      </c>
      <c r="M432">
        <f>'Real Analysis'!$B$3+B432/1000000</f>
        <v>8.6513730000006035</v>
      </c>
      <c r="N432">
        <f t="shared" si="40"/>
        <v>2</v>
      </c>
      <c r="O432">
        <f>IF(ABS(D432)&gt;1,D432/1000000,D432)*'Real Analysis'!$B$4</f>
        <v>-9.2665259999999999E-2</v>
      </c>
      <c r="P432">
        <f>IF(ABS(E432)&gt;1,E432/1000000,E432)*'Real Analysis'!$B$4</f>
        <v>7.2927539999999999E-2</v>
      </c>
      <c r="Q432">
        <f>IF(ABS(F432)&gt;1,F432/1000000,F432)*'Real Analysis'!$B$4</f>
        <v>9.8608550400000006</v>
      </c>
      <c r="R432">
        <f t="shared" si="41"/>
        <v>0</v>
      </c>
      <c r="S432">
        <f t="shared" si="42"/>
        <v>0</v>
      </c>
      <c r="T432">
        <f t="shared" si="43"/>
        <v>0</v>
      </c>
      <c r="U432">
        <f t="shared" si="44"/>
        <v>0</v>
      </c>
    </row>
    <row r="433" spans="1:21" x14ac:dyDescent="0.3">
      <c r="A433" s="4">
        <v>431</v>
      </c>
      <c r="B433" s="4">
        <v>-96583334315</v>
      </c>
      <c r="C433" s="5">
        <v>2</v>
      </c>
      <c r="D433" s="5">
        <v>-3.607E-3</v>
      </c>
      <c r="E433" s="5">
        <v>1.3897E-2</v>
      </c>
      <c r="F433" s="5">
        <v>1004289</v>
      </c>
      <c r="G433" s="5">
        <v>0</v>
      </c>
      <c r="H433" s="5">
        <v>0</v>
      </c>
      <c r="I433" s="5">
        <v>0</v>
      </c>
      <c r="J433" s="5">
        <v>0</v>
      </c>
      <c r="L433">
        <f t="shared" si="39"/>
        <v>431</v>
      </c>
      <c r="M433">
        <f>'Real Analysis'!$B$3+B433/1000000</f>
        <v>8.6656849999999395</v>
      </c>
      <c r="N433">
        <f t="shared" si="40"/>
        <v>2</v>
      </c>
      <c r="O433">
        <f>IF(ABS(D433)&gt;1,D433/1000000,D433)*'Real Analysis'!$B$4</f>
        <v>-3.538467E-2</v>
      </c>
      <c r="P433">
        <f>IF(ABS(E433)&gt;1,E433/1000000,E433)*'Real Analysis'!$B$4</f>
        <v>0.13632957000000001</v>
      </c>
      <c r="Q433">
        <f>IF(ABS(F433)&gt;1,F433/1000000,F433)*'Real Analysis'!$B$4</f>
        <v>9.8520750899999996</v>
      </c>
      <c r="R433">
        <f t="shared" si="41"/>
        <v>0</v>
      </c>
      <c r="S433">
        <f t="shared" si="42"/>
        <v>0</v>
      </c>
      <c r="T433">
        <f t="shared" si="43"/>
        <v>0</v>
      </c>
      <c r="U433">
        <f t="shared" si="44"/>
        <v>0</v>
      </c>
    </row>
    <row r="434" spans="1:21" x14ac:dyDescent="0.3">
      <c r="A434" s="4">
        <v>432</v>
      </c>
      <c r="B434" s="4">
        <v>-96583307880</v>
      </c>
      <c r="C434" s="5">
        <v>2</v>
      </c>
      <c r="D434" s="5">
        <v>-7.8130000000000005E-3</v>
      </c>
      <c r="E434" s="5">
        <v>1.2829E-2</v>
      </c>
      <c r="F434" s="5">
        <v>1004212</v>
      </c>
      <c r="G434" s="5">
        <v>0</v>
      </c>
      <c r="H434" s="5">
        <v>0</v>
      </c>
      <c r="I434" s="5">
        <v>0</v>
      </c>
      <c r="J434" s="5">
        <v>0</v>
      </c>
      <c r="L434">
        <f t="shared" si="39"/>
        <v>432</v>
      </c>
      <c r="M434">
        <f>'Real Analysis'!$B$3+B434/1000000</f>
        <v>8.6921200000069803</v>
      </c>
      <c r="N434">
        <f t="shared" si="40"/>
        <v>2</v>
      </c>
      <c r="O434">
        <f>IF(ABS(D434)&gt;1,D434/1000000,D434)*'Real Analysis'!$B$4</f>
        <v>-7.6645530000000003E-2</v>
      </c>
      <c r="P434">
        <f>IF(ABS(E434)&gt;1,E434/1000000,E434)*'Real Analysis'!$B$4</f>
        <v>0.12585249000000001</v>
      </c>
      <c r="Q434">
        <f>IF(ABS(F434)&gt;1,F434/1000000,F434)*'Real Analysis'!$B$4</f>
        <v>9.8513197200000011</v>
      </c>
      <c r="R434">
        <f t="shared" si="41"/>
        <v>0</v>
      </c>
      <c r="S434">
        <f t="shared" si="42"/>
        <v>0</v>
      </c>
      <c r="T434">
        <f t="shared" si="43"/>
        <v>0</v>
      </c>
      <c r="U434">
        <f t="shared" si="44"/>
        <v>0</v>
      </c>
    </row>
    <row r="435" spans="1:21" x14ac:dyDescent="0.3">
      <c r="A435" s="4">
        <v>433</v>
      </c>
      <c r="B435" s="4">
        <v>-96583290023</v>
      </c>
      <c r="C435" s="5">
        <v>2</v>
      </c>
      <c r="D435" s="5">
        <v>-8.2330000000000007E-3</v>
      </c>
      <c r="E435" s="5">
        <v>1.2137E-2</v>
      </c>
      <c r="F435" s="5">
        <v>1004327</v>
      </c>
      <c r="G435" s="5">
        <v>0</v>
      </c>
      <c r="H435" s="5">
        <v>0</v>
      </c>
      <c r="I435" s="5">
        <v>0</v>
      </c>
      <c r="J435" s="5">
        <v>0</v>
      </c>
      <c r="L435">
        <f t="shared" si="39"/>
        <v>433</v>
      </c>
      <c r="M435">
        <f>'Real Analysis'!$B$3+B435/1000000</f>
        <v>8.7099770000058925</v>
      </c>
      <c r="N435">
        <f t="shared" si="40"/>
        <v>2</v>
      </c>
      <c r="O435">
        <f>IF(ABS(D435)&gt;1,D435/1000000,D435)*'Real Analysis'!$B$4</f>
        <v>-8.0765730000000008E-2</v>
      </c>
      <c r="P435">
        <f>IF(ABS(E435)&gt;1,E435/1000000,E435)*'Real Analysis'!$B$4</f>
        <v>0.11906397000000001</v>
      </c>
      <c r="Q435">
        <f>IF(ABS(F435)&gt;1,F435/1000000,F435)*'Real Analysis'!$B$4</f>
        <v>9.8524478700000007</v>
      </c>
      <c r="R435">
        <f t="shared" si="41"/>
        <v>0</v>
      </c>
      <c r="S435">
        <f t="shared" si="42"/>
        <v>0</v>
      </c>
      <c r="T435">
        <f t="shared" si="43"/>
        <v>0</v>
      </c>
      <c r="U435">
        <f t="shared" si="44"/>
        <v>0</v>
      </c>
    </row>
    <row r="436" spans="1:21" x14ac:dyDescent="0.3">
      <c r="A436" s="4">
        <v>434</v>
      </c>
      <c r="B436" s="4">
        <v>-96583269169</v>
      </c>
      <c r="C436" s="5">
        <v>2</v>
      </c>
      <c r="D436" s="5">
        <v>-1.2737E-2</v>
      </c>
      <c r="E436" s="5">
        <v>1.2276E-2</v>
      </c>
      <c r="F436" s="5">
        <v>1004175</v>
      </c>
      <c r="G436" s="5">
        <v>0</v>
      </c>
      <c r="H436" s="5">
        <v>0</v>
      </c>
      <c r="I436" s="5">
        <v>0</v>
      </c>
      <c r="J436" s="5">
        <v>0</v>
      </c>
      <c r="L436">
        <f t="shared" si="39"/>
        <v>434</v>
      </c>
      <c r="M436">
        <f>'Real Analysis'!$B$3+B436/1000000</f>
        <v>8.7308309999934863</v>
      </c>
      <c r="N436">
        <f t="shared" si="40"/>
        <v>2</v>
      </c>
      <c r="O436">
        <f>IF(ABS(D436)&gt;1,D436/1000000,D436)*'Real Analysis'!$B$4</f>
        <v>-0.12494997000000001</v>
      </c>
      <c r="P436">
        <f>IF(ABS(E436)&gt;1,E436/1000000,E436)*'Real Analysis'!$B$4</f>
        <v>0.12042756000000002</v>
      </c>
      <c r="Q436">
        <f>IF(ABS(F436)&gt;1,F436/1000000,F436)*'Real Analysis'!$B$4</f>
        <v>9.8509567500000017</v>
      </c>
      <c r="R436">
        <f t="shared" si="41"/>
        <v>0</v>
      </c>
      <c r="S436">
        <f t="shared" si="42"/>
        <v>0</v>
      </c>
      <c r="T436">
        <f t="shared" si="43"/>
        <v>0</v>
      </c>
      <c r="U436">
        <f t="shared" si="44"/>
        <v>0</v>
      </c>
    </row>
    <row r="437" spans="1:21" x14ac:dyDescent="0.3">
      <c r="A437" s="4">
        <v>435</v>
      </c>
      <c r="B437" s="4">
        <v>-96583249774</v>
      </c>
      <c r="C437" s="5">
        <v>2</v>
      </c>
      <c r="D437" s="5">
        <v>-1.1738E-2</v>
      </c>
      <c r="E437" s="5">
        <v>1.2227999999999999E-2</v>
      </c>
      <c r="F437" s="5">
        <v>1004191</v>
      </c>
      <c r="G437" s="5">
        <v>0</v>
      </c>
      <c r="H437" s="5">
        <v>0</v>
      </c>
      <c r="I437" s="5">
        <v>0</v>
      </c>
      <c r="J437" s="5">
        <v>0</v>
      </c>
      <c r="L437">
        <f t="shared" si="39"/>
        <v>435</v>
      </c>
      <c r="M437">
        <f>'Real Analysis'!$B$3+B437/1000000</f>
        <v>8.7502260000037495</v>
      </c>
      <c r="N437">
        <f t="shared" si="40"/>
        <v>2</v>
      </c>
      <c r="O437">
        <f>IF(ABS(D437)&gt;1,D437/1000000,D437)*'Real Analysis'!$B$4</f>
        <v>-0.11514978000000001</v>
      </c>
      <c r="P437">
        <f>IF(ABS(E437)&gt;1,E437/1000000,E437)*'Real Analysis'!$B$4</f>
        <v>0.11995668</v>
      </c>
      <c r="Q437">
        <f>IF(ABS(F437)&gt;1,F437/1000000,F437)*'Real Analysis'!$B$4</f>
        <v>9.8511137100000017</v>
      </c>
      <c r="R437">
        <f t="shared" si="41"/>
        <v>0</v>
      </c>
      <c r="S437">
        <f t="shared" si="42"/>
        <v>0</v>
      </c>
      <c r="T437">
        <f t="shared" si="43"/>
        <v>0</v>
      </c>
      <c r="U437">
        <f t="shared" si="44"/>
        <v>0</v>
      </c>
    </row>
    <row r="438" spans="1:21" x14ac:dyDescent="0.3">
      <c r="A438" s="4">
        <v>436</v>
      </c>
      <c r="B438" s="4">
        <v>-96583229225</v>
      </c>
      <c r="C438" s="5">
        <v>2</v>
      </c>
      <c r="D438" s="5">
        <v>-1.3008E-2</v>
      </c>
      <c r="E438" s="5">
        <v>1.2290000000000001E-2</v>
      </c>
      <c r="F438" s="5">
        <v>1004131</v>
      </c>
      <c r="G438" s="5">
        <v>0</v>
      </c>
      <c r="H438" s="5">
        <v>0</v>
      </c>
      <c r="I438" s="5">
        <v>0</v>
      </c>
      <c r="J438" s="5">
        <v>0</v>
      </c>
      <c r="L438">
        <f t="shared" si="39"/>
        <v>436</v>
      </c>
      <c r="M438">
        <f>'Real Analysis'!$B$3+B438/1000000</f>
        <v>8.7707749999972293</v>
      </c>
      <c r="N438">
        <f t="shared" si="40"/>
        <v>2</v>
      </c>
      <c r="O438">
        <f>IF(ABS(D438)&gt;1,D438/1000000,D438)*'Real Analysis'!$B$4</f>
        <v>-0.12760848000000002</v>
      </c>
      <c r="P438">
        <f>IF(ABS(E438)&gt;1,E438/1000000,E438)*'Real Analysis'!$B$4</f>
        <v>0.12056490000000002</v>
      </c>
      <c r="Q438">
        <f>IF(ABS(F438)&gt;1,F438/1000000,F438)*'Real Analysis'!$B$4</f>
        <v>9.8505251100000013</v>
      </c>
      <c r="R438">
        <f t="shared" si="41"/>
        <v>0</v>
      </c>
      <c r="S438">
        <f t="shared" si="42"/>
        <v>0</v>
      </c>
      <c r="T438">
        <f t="shared" si="43"/>
        <v>0</v>
      </c>
      <c r="U438">
        <f t="shared" si="44"/>
        <v>0</v>
      </c>
    </row>
    <row r="439" spans="1:21" x14ac:dyDescent="0.3">
      <c r="A439" s="4">
        <v>437</v>
      </c>
      <c r="B439" s="4">
        <v>-96583208558</v>
      </c>
      <c r="C439" s="5">
        <v>2</v>
      </c>
      <c r="D439" s="5">
        <v>-1.2673E-2</v>
      </c>
      <c r="E439" s="5">
        <v>1.2285000000000001E-2</v>
      </c>
      <c r="F439" s="5">
        <v>1004140</v>
      </c>
      <c r="G439" s="5">
        <v>0</v>
      </c>
      <c r="H439" s="5">
        <v>0</v>
      </c>
      <c r="I439" s="5">
        <v>0</v>
      </c>
      <c r="J439" s="5">
        <v>0</v>
      </c>
      <c r="L439">
        <f t="shared" si="39"/>
        <v>437</v>
      </c>
      <c r="M439">
        <f>'Real Analysis'!$B$3+B439/1000000</f>
        <v>8.7914420000015525</v>
      </c>
      <c r="N439">
        <f t="shared" si="40"/>
        <v>2</v>
      </c>
      <c r="O439">
        <f>IF(ABS(D439)&gt;1,D439/1000000,D439)*'Real Analysis'!$B$4</f>
        <v>-0.12432213</v>
      </c>
      <c r="P439">
        <f>IF(ABS(E439)&gt;1,E439/1000000,E439)*'Real Analysis'!$B$4</f>
        <v>0.12051585000000001</v>
      </c>
      <c r="Q439">
        <f>IF(ABS(F439)&gt;1,F439/1000000,F439)*'Real Analysis'!$B$4</f>
        <v>9.8506134000000003</v>
      </c>
      <c r="R439">
        <f t="shared" si="41"/>
        <v>0</v>
      </c>
      <c r="S439">
        <f t="shared" si="42"/>
        <v>0</v>
      </c>
      <c r="T439">
        <f t="shared" si="43"/>
        <v>0</v>
      </c>
      <c r="U439">
        <f t="shared" si="44"/>
        <v>0</v>
      </c>
    </row>
    <row r="440" spans="1:21" x14ac:dyDescent="0.3">
      <c r="A440" s="4">
        <v>438</v>
      </c>
      <c r="B440" s="4">
        <v>-96583187711</v>
      </c>
      <c r="C440" s="5">
        <v>2</v>
      </c>
      <c r="D440" s="5">
        <v>-1.2921999999999999E-2</v>
      </c>
      <c r="E440" s="5">
        <v>1.2211E-2</v>
      </c>
      <c r="F440" s="5">
        <v>1004136</v>
      </c>
      <c r="G440" s="5">
        <v>0</v>
      </c>
      <c r="H440" s="5">
        <v>0</v>
      </c>
      <c r="I440" s="5">
        <v>0</v>
      </c>
      <c r="J440" s="5">
        <v>0</v>
      </c>
      <c r="L440">
        <f t="shared" si="39"/>
        <v>438</v>
      </c>
      <c r="M440">
        <f>'Real Analysis'!$B$3+B440/1000000</f>
        <v>8.8122889999940526</v>
      </c>
      <c r="N440">
        <f t="shared" si="40"/>
        <v>2</v>
      </c>
      <c r="O440">
        <f>IF(ABS(D440)&gt;1,D440/1000000,D440)*'Real Analysis'!$B$4</f>
        <v>-0.12676482</v>
      </c>
      <c r="P440">
        <f>IF(ABS(E440)&gt;1,E440/1000000,E440)*'Real Analysis'!$B$4</f>
        <v>0.11978991</v>
      </c>
      <c r="Q440">
        <f>IF(ABS(F440)&gt;1,F440/1000000,F440)*'Real Analysis'!$B$4</f>
        <v>9.850574159999999</v>
      </c>
      <c r="R440">
        <f t="shared" si="41"/>
        <v>0</v>
      </c>
      <c r="S440">
        <f t="shared" si="42"/>
        <v>0</v>
      </c>
      <c r="T440">
        <f t="shared" si="43"/>
        <v>0</v>
      </c>
      <c r="U440">
        <f t="shared" si="44"/>
        <v>0</v>
      </c>
    </row>
    <row r="441" spans="1:21" x14ac:dyDescent="0.3">
      <c r="A441" s="4">
        <v>439</v>
      </c>
      <c r="B441" s="4">
        <v>-96583169152</v>
      </c>
      <c r="C441" s="5">
        <v>2</v>
      </c>
      <c r="D441" s="5">
        <v>-1.1006E-2</v>
      </c>
      <c r="E441" s="5">
        <v>1.2220999999999999E-2</v>
      </c>
      <c r="F441" s="5">
        <v>1004206</v>
      </c>
      <c r="G441" s="5">
        <v>0</v>
      </c>
      <c r="H441" s="5">
        <v>0</v>
      </c>
      <c r="I441" s="5">
        <v>0</v>
      </c>
      <c r="J441" s="5">
        <v>0</v>
      </c>
      <c r="L441">
        <f t="shared" si="39"/>
        <v>439</v>
      </c>
      <c r="M441">
        <f>'Real Analysis'!$B$3+B441/1000000</f>
        <v>8.8308479999977862</v>
      </c>
      <c r="N441">
        <f t="shared" si="40"/>
        <v>2</v>
      </c>
      <c r="O441">
        <f>IF(ABS(D441)&gt;1,D441/1000000,D441)*'Real Analysis'!$B$4</f>
        <v>-0.10796886000000001</v>
      </c>
      <c r="P441">
        <f>IF(ABS(E441)&gt;1,E441/1000000,E441)*'Real Analysis'!$B$4</f>
        <v>0.11988801</v>
      </c>
      <c r="Q441">
        <f>IF(ABS(F441)&gt;1,F441/1000000,F441)*'Real Analysis'!$B$4</f>
        <v>9.85126086</v>
      </c>
      <c r="R441">
        <f t="shared" si="41"/>
        <v>0</v>
      </c>
      <c r="S441">
        <f t="shared" si="42"/>
        <v>0</v>
      </c>
      <c r="T441">
        <f t="shared" si="43"/>
        <v>0</v>
      </c>
      <c r="U441">
        <f t="shared" si="44"/>
        <v>0</v>
      </c>
    </row>
    <row r="442" spans="1:21" x14ac:dyDescent="0.3">
      <c r="A442" s="4">
        <v>440</v>
      </c>
      <c r="B442" s="4">
        <v>-96583148307</v>
      </c>
      <c r="C442" s="5">
        <v>2</v>
      </c>
      <c r="D442" s="5">
        <v>-1.0159E-2</v>
      </c>
      <c r="E442" s="5">
        <v>1.2319999999999999E-2</v>
      </c>
      <c r="F442" s="5">
        <v>1004241</v>
      </c>
      <c r="G442" s="5">
        <v>0</v>
      </c>
      <c r="H442" s="5">
        <v>0</v>
      </c>
      <c r="I442" s="5">
        <v>0</v>
      </c>
      <c r="J442" s="5">
        <v>0</v>
      </c>
      <c r="L442">
        <f t="shared" si="39"/>
        <v>440</v>
      </c>
      <c r="M442">
        <f>'Real Analysis'!$B$3+B442/1000000</f>
        <v>8.8516930000041611</v>
      </c>
      <c r="N442">
        <f t="shared" si="40"/>
        <v>2</v>
      </c>
      <c r="O442">
        <f>IF(ABS(D442)&gt;1,D442/1000000,D442)*'Real Analysis'!$B$4</f>
        <v>-9.9659789999999998E-2</v>
      </c>
      <c r="P442">
        <f>IF(ABS(E442)&gt;1,E442/1000000,E442)*'Real Analysis'!$B$4</f>
        <v>0.1208592</v>
      </c>
      <c r="Q442">
        <f>IF(ABS(F442)&gt;1,F442/1000000,F442)*'Real Analysis'!$B$4</f>
        <v>9.8516042099999996</v>
      </c>
      <c r="R442">
        <f t="shared" si="41"/>
        <v>0</v>
      </c>
      <c r="S442">
        <f t="shared" si="42"/>
        <v>0</v>
      </c>
      <c r="T442">
        <f t="shared" si="43"/>
        <v>0</v>
      </c>
      <c r="U442">
        <f t="shared" si="44"/>
        <v>0</v>
      </c>
    </row>
    <row r="443" spans="1:21" x14ac:dyDescent="0.3">
      <c r="A443" s="4">
        <v>441</v>
      </c>
      <c r="B443" s="4">
        <v>-96583128953</v>
      </c>
      <c r="C443" s="5">
        <v>2</v>
      </c>
      <c r="D443" s="5">
        <v>-3.5370000000000002E-3</v>
      </c>
      <c r="E443" s="5">
        <v>8.8900000000000003E-3</v>
      </c>
      <c r="F443" s="5">
        <v>1004497</v>
      </c>
      <c r="G443" s="5">
        <v>0</v>
      </c>
      <c r="H443" s="5">
        <v>0</v>
      </c>
      <c r="I443" s="5">
        <v>0</v>
      </c>
      <c r="J443" s="5">
        <v>0</v>
      </c>
      <c r="L443">
        <f t="shared" si="39"/>
        <v>441</v>
      </c>
      <c r="M443">
        <f>'Real Analysis'!$B$3+B443/1000000</f>
        <v>8.8710469999932684</v>
      </c>
      <c r="N443">
        <f t="shared" si="40"/>
        <v>2</v>
      </c>
      <c r="O443">
        <f>IF(ABS(D443)&gt;1,D443/1000000,D443)*'Real Analysis'!$B$4</f>
        <v>-3.4697970000000002E-2</v>
      </c>
      <c r="P443">
        <f>IF(ABS(E443)&gt;1,E443/1000000,E443)*'Real Analysis'!$B$4</f>
        <v>8.7210900000000008E-2</v>
      </c>
      <c r="Q443">
        <f>IF(ABS(F443)&gt;1,F443/1000000,F443)*'Real Analysis'!$B$4</f>
        <v>9.8541155699999994</v>
      </c>
      <c r="R443">
        <f t="shared" si="41"/>
        <v>0</v>
      </c>
      <c r="S443">
        <f t="shared" si="42"/>
        <v>0</v>
      </c>
      <c r="T443">
        <f t="shared" si="43"/>
        <v>0</v>
      </c>
      <c r="U443">
        <f t="shared" si="44"/>
        <v>0</v>
      </c>
    </row>
    <row r="444" spans="1:21" x14ac:dyDescent="0.3">
      <c r="A444" s="4">
        <v>442</v>
      </c>
      <c r="B444" s="4">
        <v>-96583108812</v>
      </c>
      <c r="C444" s="5">
        <v>2</v>
      </c>
      <c r="D444" s="5">
        <v>-6.1190000000000003E-3</v>
      </c>
      <c r="E444" s="5">
        <v>1.0472E-2</v>
      </c>
      <c r="F444" s="5">
        <v>1004394</v>
      </c>
      <c r="G444" s="5">
        <v>0</v>
      </c>
      <c r="H444" s="5">
        <v>0</v>
      </c>
      <c r="I444" s="5">
        <v>0</v>
      </c>
      <c r="J444" s="5">
        <v>0</v>
      </c>
      <c r="L444">
        <f t="shared" si="39"/>
        <v>442</v>
      </c>
      <c r="M444">
        <f>'Real Analysis'!$B$3+B444/1000000</f>
        <v>8.8911879999941448</v>
      </c>
      <c r="N444">
        <f t="shared" si="40"/>
        <v>2</v>
      </c>
      <c r="O444">
        <f>IF(ABS(D444)&gt;1,D444/1000000,D444)*'Real Analysis'!$B$4</f>
        <v>-6.0027390000000007E-2</v>
      </c>
      <c r="P444">
        <f>IF(ABS(E444)&gt;1,E444/1000000,E444)*'Real Analysis'!$B$4</f>
        <v>0.10273032000000001</v>
      </c>
      <c r="Q444">
        <f>IF(ABS(F444)&gt;1,F444/1000000,F444)*'Real Analysis'!$B$4</f>
        <v>9.8531051400000003</v>
      </c>
      <c r="R444">
        <f t="shared" si="41"/>
        <v>0</v>
      </c>
      <c r="S444">
        <f t="shared" si="42"/>
        <v>0</v>
      </c>
      <c r="T444">
        <f t="shared" si="43"/>
        <v>0</v>
      </c>
      <c r="U444">
        <f t="shared" si="44"/>
        <v>0</v>
      </c>
    </row>
    <row r="445" spans="1:21" x14ac:dyDescent="0.3">
      <c r="A445" s="4">
        <v>443</v>
      </c>
      <c r="B445" s="4">
        <v>-96583088719</v>
      </c>
      <c r="C445" s="5">
        <v>2</v>
      </c>
      <c r="D445" s="5">
        <v>-1.4208E-2</v>
      </c>
      <c r="E445" s="5">
        <v>1.2359E-2</v>
      </c>
      <c r="F445" s="5">
        <v>1004086</v>
      </c>
      <c r="G445" s="5">
        <v>0</v>
      </c>
      <c r="H445" s="5">
        <v>0</v>
      </c>
      <c r="I445" s="5">
        <v>0</v>
      </c>
      <c r="J445" s="5">
        <v>0</v>
      </c>
      <c r="L445">
        <f t="shared" si="39"/>
        <v>443</v>
      </c>
      <c r="M445">
        <f>'Real Analysis'!$B$3+B445/1000000</f>
        <v>8.9112809999933233</v>
      </c>
      <c r="N445">
        <f t="shared" si="40"/>
        <v>2</v>
      </c>
      <c r="O445">
        <f>IF(ABS(D445)&gt;1,D445/1000000,D445)*'Real Analysis'!$B$4</f>
        <v>-0.13938048</v>
      </c>
      <c r="P445">
        <f>IF(ABS(E445)&gt;1,E445/1000000,E445)*'Real Analysis'!$B$4</f>
        <v>0.12124179</v>
      </c>
      <c r="Q445">
        <f>IF(ABS(F445)&gt;1,F445/1000000,F445)*'Real Analysis'!$B$4</f>
        <v>9.850083660000001</v>
      </c>
      <c r="R445">
        <f t="shared" si="41"/>
        <v>0</v>
      </c>
      <c r="S445">
        <f t="shared" si="42"/>
        <v>0</v>
      </c>
      <c r="T445">
        <f t="shared" si="43"/>
        <v>0</v>
      </c>
      <c r="U445">
        <f t="shared" si="44"/>
        <v>0</v>
      </c>
    </row>
    <row r="446" spans="1:21" x14ac:dyDescent="0.3">
      <c r="A446" s="4">
        <v>444</v>
      </c>
      <c r="B446" s="4">
        <v>-96583067631</v>
      </c>
      <c r="C446" s="5">
        <v>2</v>
      </c>
      <c r="D446" s="5">
        <v>-1.2519000000000001E-2</v>
      </c>
      <c r="E446" s="5">
        <v>1.1442000000000001E-2</v>
      </c>
      <c r="F446" s="5">
        <v>1004153</v>
      </c>
      <c r="G446" s="5">
        <v>0</v>
      </c>
      <c r="H446" s="5">
        <v>0</v>
      </c>
      <c r="I446" s="5">
        <v>0</v>
      </c>
      <c r="J446" s="5">
        <v>0</v>
      </c>
      <c r="L446">
        <f t="shared" si="39"/>
        <v>444</v>
      </c>
      <c r="M446">
        <f>'Real Analysis'!$B$3+B446/1000000</f>
        <v>8.9323690000019269</v>
      </c>
      <c r="N446">
        <f t="shared" si="40"/>
        <v>2</v>
      </c>
      <c r="O446">
        <f>IF(ABS(D446)&gt;1,D446/1000000,D446)*'Real Analysis'!$B$4</f>
        <v>-0.12281139000000001</v>
      </c>
      <c r="P446">
        <f>IF(ABS(E446)&gt;1,E446/1000000,E446)*'Real Analysis'!$B$4</f>
        <v>0.11224602000000002</v>
      </c>
      <c r="Q446">
        <f>IF(ABS(F446)&gt;1,F446/1000000,F446)*'Real Analysis'!$B$4</f>
        <v>9.8507409300000006</v>
      </c>
      <c r="R446">
        <f t="shared" si="41"/>
        <v>0</v>
      </c>
      <c r="S446">
        <f t="shared" si="42"/>
        <v>0</v>
      </c>
      <c r="T446">
        <f t="shared" si="43"/>
        <v>0</v>
      </c>
      <c r="U446">
        <f t="shared" si="44"/>
        <v>0</v>
      </c>
    </row>
    <row r="447" spans="1:21" x14ac:dyDescent="0.3">
      <c r="A447" s="4">
        <v>445</v>
      </c>
      <c r="B447" s="4">
        <v>-96583046879</v>
      </c>
      <c r="C447" s="5">
        <v>2</v>
      </c>
      <c r="D447" s="5">
        <v>-1.2871E-2</v>
      </c>
      <c r="E447" s="5">
        <v>9.0860000000000003E-3</v>
      </c>
      <c r="F447" s="5">
        <v>1004141</v>
      </c>
      <c r="G447" s="5">
        <v>0</v>
      </c>
      <c r="H447" s="5">
        <v>0</v>
      </c>
      <c r="I447" s="5">
        <v>0</v>
      </c>
      <c r="J447" s="5">
        <v>0</v>
      </c>
      <c r="L447">
        <f t="shared" si="39"/>
        <v>445</v>
      </c>
      <c r="M447">
        <f>'Real Analysis'!$B$3+B447/1000000</f>
        <v>8.9531209999986459</v>
      </c>
      <c r="N447">
        <f t="shared" si="40"/>
        <v>2</v>
      </c>
      <c r="O447">
        <f>IF(ABS(D447)&gt;1,D447/1000000,D447)*'Real Analysis'!$B$4</f>
        <v>-0.12626451000000002</v>
      </c>
      <c r="P447">
        <f>IF(ABS(E447)&gt;1,E447/1000000,E447)*'Real Analysis'!$B$4</f>
        <v>8.9133660000000003E-2</v>
      </c>
      <c r="Q447">
        <f>IF(ABS(F447)&gt;1,F447/1000000,F447)*'Real Analysis'!$B$4</f>
        <v>9.8506232100000002</v>
      </c>
      <c r="R447">
        <f t="shared" si="41"/>
        <v>0</v>
      </c>
      <c r="S447">
        <f t="shared" si="42"/>
        <v>0</v>
      </c>
      <c r="T447">
        <f t="shared" si="43"/>
        <v>0</v>
      </c>
      <c r="U447">
        <f t="shared" si="44"/>
        <v>0</v>
      </c>
    </row>
    <row r="448" spans="1:21" x14ac:dyDescent="0.3">
      <c r="A448" s="4">
        <v>446</v>
      </c>
      <c r="B448" s="4">
        <v>-96583028654</v>
      </c>
      <c r="C448" s="5">
        <v>2</v>
      </c>
      <c r="D448" s="5">
        <v>-9.4240000000000001E-3</v>
      </c>
      <c r="E448" s="5">
        <v>7.2789999999999999E-3</v>
      </c>
      <c r="F448" s="5">
        <v>1004277</v>
      </c>
      <c r="G448" s="5">
        <v>0</v>
      </c>
      <c r="H448" s="5">
        <v>0</v>
      </c>
      <c r="I448" s="5">
        <v>0</v>
      </c>
      <c r="J448" s="5">
        <v>0</v>
      </c>
      <c r="L448">
        <f t="shared" si="39"/>
        <v>446</v>
      </c>
      <c r="M448">
        <f>'Real Analysis'!$B$3+B448/1000000</f>
        <v>8.9713460000057239</v>
      </c>
      <c r="N448">
        <f t="shared" si="40"/>
        <v>2</v>
      </c>
      <c r="O448">
        <f>IF(ABS(D448)&gt;1,D448/1000000,D448)*'Real Analysis'!$B$4</f>
        <v>-9.2449440000000008E-2</v>
      </c>
      <c r="P448">
        <f>IF(ABS(E448)&gt;1,E448/1000000,E448)*'Real Analysis'!$B$4</f>
        <v>7.1406990000000004E-2</v>
      </c>
      <c r="Q448">
        <f>IF(ABS(F448)&gt;1,F448/1000000,F448)*'Real Analysis'!$B$4</f>
        <v>9.8519573700000009</v>
      </c>
      <c r="R448">
        <f t="shared" si="41"/>
        <v>0</v>
      </c>
      <c r="S448">
        <f t="shared" si="42"/>
        <v>0</v>
      </c>
      <c r="T448">
        <f t="shared" si="43"/>
        <v>0</v>
      </c>
      <c r="U448">
        <f t="shared" si="44"/>
        <v>0</v>
      </c>
    </row>
    <row r="449" spans="1:21" x14ac:dyDescent="0.3">
      <c r="A449" s="4">
        <v>447</v>
      </c>
      <c r="B449" s="4">
        <v>-96583007545</v>
      </c>
      <c r="C449" s="5">
        <v>2</v>
      </c>
      <c r="D449" s="5">
        <v>-1.1401E-2</v>
      </c>
      <c r="E449" s="5">
        <v>1.2272999999999999E-2</v>
      </c>
      <c r="F449" s="5">
        <v>1004195</v>
      </c>
      <c r="G449" s="5">
        <v>0</v>
      </c>
      <c r="H449" s="5">
        <v>0</v>
      </c>
      <c r="I449" s="5">
        <v>0</v>
      </c>
      <c r="J449" s="5">
        <v>0</v>
      </c>
      <c r="L449">
        <f t="shared" si="39"/>
        <v>447</v>
      </c>
      <c r="M449">
        <f>'Real Analysis'!$B$3+B449/1000000</f>
        <v>8.9924549999996088</v>
      </c>
      <c r="N449">
        <f t="shared" si="40"/>
        <v>2</v>
      </c>
      <c r="O449">
        <f>IF(ABS(D449)&gt;1,D449/1000000,D449)*'Real Analysis'!$B$4</f>
        <v>-0.11184381</v>
      </c>
      <c r="P449">
        <f>IF(ABS(E449)&gt;1,E449/1000000,E449)*'Real Analysis'!$B$4</f>
        <v>0.12039812999999999</v>
      </c>
      <c r="Q449">
        <f>IF(ABS(F449)&gt;1,F449/1000000,F449)*'Real Analysis'!$B$4</f>
        <v>9.8511529499999995</v>
      </c>
      <c r="R449">
        <f t="shared" si="41"/>
        <v>0</v>
      </c>
      <c r="S449">
        <f t="shared" si="42"/>
        <v>0</v>
      </c>
      <c r="T449">
        <f t="shared" si="43"/>
        <v>0</v>
      </c>
      <c r="U449">
        <f t="shared" si="44"/>
        <v>0</v>
      </c>
    </row>
    <row r="450" spans="1:21" x14ac:dyDescent="0.3">
      <c r="A450" s="4">
        <v>448</v>
      </c>
      <c r="B450" s="4">
        <v>-96582992462</v>
      </c>
      <c r="C450" s="5">
        <v>2</v>
      </c>
      <c r="D450" s="5">
        <v>-1.372E-2</v>
      </c>
      <c r="E450" s="5">
        <v>8.4910000000000003E-3</v>
      </c>
      <c r="F450" s="5">
        <v>1004112</v>
      </c>
      <c r="G450" s="5">
        <v>0</v>
      </c>
      <c r="H450" s="5">
        <v>0</v>
      </c>
      <c r="I450" s="5">
        <v>0</v>
      </c>
      <c r="J450" s="5">
        <v>0</v>
      </c>
      <c r="L450">
        <f t="shared" si="39"/>
        <v>448</v>
      </c>
      <c r="M450">
        <f>'Real Analysis'!$B$3+B450/1000000</f>
        <v>9.0075380000052974</v>
      </c>
      <c r="N450">
        <f t="shared" si="40"/>
        <v>2</v>
      </c>
      <c r="O450">
        <f>IF(ABS(D450)&gt;1,D450/1000000,D450)*'Real Analysis'!$B$4</f>
        <v>-0.1345932</v>
      </c>
      <c r="P450">
        <f>IF(ABS(E450)&gt;1,E450/1000000,E450)*'Real Analysis'!$B$4</f>
        <v>8.329671000000001E-2</v>
      </c>
      <c r="Q450">
        <f>IF(ABS(F450)&gt;1,F450/1000000,F450)*'Real Analysis'!$B$4</f>
        <v>9.8503387199999999</v>
      </c>
      <c r="R450">
        <f t="shared" si="41"/>
        <v>0</v>
      </c>
      <c r="S450">
        <f t="shared" si="42"/>
        <v>0</v>
      </c>
      <c r="T450">
        <f t="shared" si="43"/>
        <v>0</v>
      </c>
      <c r="U450">
        <f t="shared" si="44"/>
        <v>0</v>
      </c>
    </row>
    <row r="451" spans="1:21" x14ac:dyDescent="0.3">
      <c r="A451" s="4">
        <v>449</v>
      </c>
      <c r="B451" s="4">
        <v>-96582972149</v>
      </c>
      <c r="C451" s="5">
        <v>2</v>
      </c>
      <c r="D451" s="5">
        <v>-4.7369999999999999E-3</v>
      </c>
      <c r="E451" s="5">
        <v>3.9779999999999998E-3</v>
      </c>
      <c r="F451" s="5">
        <v>1004457</v>
      </c>
      <c r="G451" s="5">
        <v>0</v>
      </c>
      <c r="H451" s="5">
        <v>0</v>
      </c>
      <c r="I451" s="5">
        <v>0</v>
      </c>
      <c r="J451" s="5">
        <v>0</v>
      </c>
      <c r="L451">
        <f t="shared" ref="L451:L514" si="45">A451</f>
        <v>449</v>
      </c>
      <c r="M451">
        <f>'Real Analysis'!$B$3+B451/1000000</f>
        <v>9.0278510000061942</v>
      </c>
      <c r="N451">
        <f t="shared" ref="N451:N514" si="46">C451</f>
        <v>2</v>
      </c>
      <c r="O451">
        <f>IF(ABS(D451)&gt;1,D451/1000000,D451)*'Real Analysis'!$B$4</f>
        <v>-4.6469969999999999E-2</v>
      </c>
      <c r="P451">
        <f>IF(ABS(E451)&gt;1,E451/1000000,E451)*'Real Analysis'!$B$4</f>
        <v>3.9024179999999999E-2</v>
      </c>
      <c r="Q451">
        <f>IF(ABS(F451)&gt;1,F451/1000000,F451)*'Real Analysis'!$B$4</f>
        <v>9.8537231700000003</v>
      </c>
      <c r="R451">
        <f t="shared" ref="R451:R514" si="47">IF(ABS(G451)&gt;1,G451/1000000,G451)</f>
        <v>0</v>
      </c>
      <c r="S451">
        <f t="shared" ref="S451:S514" si="48">IF(ABS(H451)&gt;1,H451/1000000,H451)</f>
        <v>0</v>
      </c>
      <c r="T451">
        <f t="shared" ref="T451:T514" si="49">IF(ABS(I451)&gt;1,I451/1000000,I451)</f>
        <v>0</v>
      </c>
      <c r="U451">
        <f t="shared" si="44"/>
        <v>0</v>
      </c>
    </row>
    <row r="452" spans="1:21" x14ac:dyDescent="0.3">
      <c r="A452" s="4">
        <v>450</v>
      </c>
      <c r="B452" s="4">
        <v>-96582948059</v>
      </c>
      <c r="C452" s="5">
        <v>2</v>
      </c>
      <c r="D452" s="5">
        <v>-5.4060000000000002E-3</v>
      </c>
      <c r="E452" s="5">
        <v>7.724E-3</v>
      </c>
      <c r="F452" s="5">
        <v>1004429</v>
      </c>
      <c r="G452" s="5">
        <v>0</v>
      </c>
      <c r="H452" s="5">
        <v>0</v>
      </c>
      <c r="I452" s="5">
        <v>0</v>
      </c>
      <c r="J452" s="5">
        <v>0</v>
      </c>
      <c r="L452">
        <f t="shared" si="45"/>
        <v>450</v>
      </c>
      <c r="M452">
        <f>'Real Analysis'!$B$3+B452/1000000</f>
        <v>9.0519409999978961</v>
      </c>
      <c r="N452">
        <f t="shared" si="46"/>
        <v>2</v>
      </c>
      <c r="O452">
        <f>IF(ABS(D452)&gt;1,D452/1000000,D452)*'Real Analysis'!$B$4</f>
        <v>-5.3032860000000008E-2</v>
      </c>
      <c r="P452">
        <f>IF(ABS(E452)&gt;1,E452/1000000,E452)*'Real Analysis'!$B$4</f>
        <v>7.577244000000001E-2</v>
      </c>
      <c r="Q452">
        <f>IF(ABS(F452)&gt;1,F452/1000000,F452)*'Real Analysis'!$B$4</f>
        <v>9.8534484899999999</v>
      </c>
      <c r="R452">
        <f t="shared" si="47"/>
        <v>0</v>
      </c>
      <c r="S452">
        <f t="shared" si="48"/>
        <v>0</v>
      </c>
      <c r="T452">
        <f t="shared" si="49"/>
        <v>0</v>
      </c>
      <c r="U452">
        <f t="shared" si="44"/>
        <v>0</v>
      </c>
    </row>
    <row r="453" spans="1:21" x14ac:dyDescent="0.3">
      <c r="A453" s="4">
        <v>451</v>
      </c>
      <c r="B453" s="4">
        <v>-96582931683</v>
      </c>
      <c r="C453" s="5">
        <v>2</v>
      </c>
      <c r="D453" s="5">
        <v>-4.7710000000000001E-3</v>
      </c>
      <c r="E453" s="5">
        <v>1.2994E-2</v>
      </c>
      <c r="F453" s="5">
        <v>1004444</v>
      </c>
      <c r="G453" s="5">
        <v>0</v>
      </c>
      <c r="H453" s="5">
        <v>0</v>
      </c>
      <c r="I453" s="5">
        <v>0</v>
      </c>
      <c r="J453" s="5">
        <v>0</v>
      </c>
      <c r="L453">
        <f t="shared" si="45"/>
        <v>451</v>
      </c>
      <c r="M453">
        <f>'Real Analysis'!$B$3+B453/1000000</f>
        <v>9.068316999997478</v>
      </c>
      <c r="N453">
        <f t="shared" si="46"/>
        <v>2</v>
      </c>
      <c r="O453">
        <f>IF(ABS(D453)&gt;1,D453/1000000,D453)*'Real Analysis'!$B$4</f>
        <v>-4.6803510000000006E-2</v>
      </c>
      <c r="P453">
        <f>IF(ABS(E453)&gt;1,E453/1000000,E453)*'Real Analysis'!$B$4</f>
        <v>0.12747114000000001</v>
      </c>
      <c r="Q453">
        <f>IF(ABS(F453)&gt;1,F453/1000000,F453)*'Real Analysis'!$B$4</f>
        <v>9.85359564</v>
      </c>
      <c r="R453">
        <f t="shared" si="47"/>
        <v>0</v>
      </c>
      <c r="S453">
        <f t="shared" si="48"/>
        <v>0</v>
      </c>
      <c r="T453">
        <f t="shared" si="49"/>
        <v>0</v>
      </c>
      <c r="U453">
        <f t="shared" si="44"/>
        <v>0</v>
      </c>
    </row>
    <row r="454" spans="1:21" x14ac:dyDescent="0.3">
      <c r="A454" s="4">
        <v>452</v>
      </c>
      <c r="B454" s="4">
        <v>-96582904970</v>
      </c>
      <c r="C454" s="5">
        <v>2</v>
      </c>
      <c r="D454" s="5">
        <v>-5.0239999999999998E-3</v>
      </c>
      <c r="E454" s="5">
        <v>7.5680000000000001E-3</v>
      </c>
      <c r="F454" s="5">
        <v>1004445</v>
      </c>
      <c r="G454" s="5">
        <v>0</v>
      </c>
      <c r="H454" s="5">
        <v>0</v>
      </c>
      <c r="I454" s="5">
        <v>0</v>
      </c>
      <c r="J454" s="5">
        <v>0</v>
      </c>
      <c r="L454">
        <f t="shared" si="45"/>
        <v>452</v>
      </c>
      <c r="M454">
        <f>'Real Analysis'!$B$3+B454/1000000</f>
        <v>9.0950299999967683</v>
      </c>
      <c r="N454">
        <f t="shared" si="46"/>
        <v>2</v>
      </c>
      <c r="O454">
        <f>IF(ABS(D454)&gt;1,D454/1000000,D454)*'Real Analysis'!$B$4</f>
        <v>-4.928544E-2</v>
      </c>
      <c r="P454">
        <f>IF(ABS(E454)&gt;1,E454/1000000,E454)*'Real Analysis'!$B$4</f>
        <v>7.4242080000000002E-2</v>
      </c>
      <c r="Q454">
        <f>IF(ABS(F454)&gt;1,F454/1000000,F454)*'Real Analysis'!$B$4</f>
        <v>9.8536054500000017</v>
      </c>
      <c r="R454">
        <f t="shared" si="47"/>
        <v>0</v>
      </c>
      <c r="S454">
        <f t="shared" si="48"/>
        <v>0</v>
      </c>
      <c r="T454">
        <f t="shared" si="49"/>
        <v>0</v>
      </c>
      <c r="U454">
        <f t="shared" si="44"/>
        <v>0</v>
      </c>
    </row>
    <row r="455" spans="1:21" x14ac:dyDescent="0.3">
      <c r="A455" s="4">
        <v>453</v>
      </c>
      <c r="B455" s="4">
        <v>-96582887674</v>
      </c>
      <c r="C455" s="5">
        <v>2</v>
      </c>
      <c r="D455" s="5">
        <v>-6.476E-3</v>
      </c>
      <c r="E455" s="5">
        <v>1.0559000000000001E-2</v>
      </c>
      <c r="F455" s="5">
        <v>1004381</v>
      </c>
      <c r="G455" s="5">
        <v>0</v>
      </c>
      <c r="H455" s="5">
        <v>0</v>
      </c>
      <c r="I455" s="5">
        <v>0</v>
      </c>
      <c r="J455" s="5">
        <v>0</v>
      </c>
      <c r="L455">
        <f t="shared" si="45"/>
        <v>453</v>
      </c>
      <c r="M455">
        <f>'Real Analysis'!$B$3+B455/1000000</f>
        <v>9.1123260000022128</v>
      </c>
      <c r="N455">
        <f t="shared" si="46"/>
        <v>2</v>
      </c>
      <c r="O455">
        <f>IF(ABS(D455)&gt;1,D455/1000000,D455)*'Real Analysis'!$B$4</f>
        <v>-6.3529559999999999E-2</v>
      </c>
      <c r="P455">
        <f>IF(ABS(E455)&gt;1,E455/1000000,E455)*'Real Analysis'!$B$4</f>
        <v>0.10358379000000001</v>
      </c>
      <c r="Q455">
        <f>IF(ABS(F455)&gt;1,F455/1000000,F455)*'Real Analysis'!$B$4</f>
        <v>9.8529776099999999</v>
      </c>
      <c r="R455">
        <f t="shared" si="47"/>
        <v>0</v>
      </c>
      <c r="S455">
        <f t="shared" si="48"/>
        <v>0</v>
      </c>
      <c r="T455">
        <f t="shared" si="49"/>
        <v>0</v>
      </c>
      <c r="U455">
        <f t="shared" si="44"/>
        <v>0</v>
      </c>
    </row>
    <row r="456" spans="1:21" x14ac:dyDescent="0.3">
      <c r="A456" s="4">
        <v>454</v>
      </c>
      <c r="B456" s="4">
        <v>-96582867552</v>
      </c>
      <c r="C456" s="5">
        <v>2</v>
      </c>
      <c r="D456" s="5">
        <v>-1.2385E-2</v>
      </c>
      <c r="E456" s="5">
        <v>1.1868E-2</v>
      </c>
      <c r="F456" s="5">
        <v>1004155</v>
      </c>
      <c r="G456" s="5">
        <v>0</v>
      </c>
      <c r="H456" s="5">
        <v>0</v>
      </c>
      <c r="I456" s="5">
        <v>0</v>
      </c>
      <c r="J456" s="5">
        <v>0</v>
      </c>
      <c r="L456">
        <f t="shared" si="45"/>
        <v>454</v>
      </c>
      <c r="M456">
        <f>'Real Analysis'!$B$3+B456/1000000</f>
        <v>9.132448000003933</v>
      </c>
      <c r="N456">
        <f t="shared" si="46"/>
        <v>2</v>
      </c>
      <c r="O456">
        <f>IF(ABS(D456)&gt;1,D456/1000000,D456)*'Real Analysis'!$B$4</f>
        <v>-0.12149685</v>
      </c>
      <c r="P456">
        <f>IF(ABS(E456)&gt;1,E456/1000000,E456)*'Real Analysis'!$B$4</f>
        <v>0.11642508</v>
      </c>
      <c r="Q456">
        <f>IF(ABS(F456)&gt;1,F456/1000000,F456)*'Real Analysis'!$B$4</f>
        <v>9.8507605500000004</v>
      </c>
      <c r="R456">
        <f t="shared" si="47"/>
        <v>0</v>
      </c>
      <c r="S456">
        <f t="shared" si="48"/>
        <v>0</v>
      </c>
      <c r="T456">
        <f t="shared" si="49"/>
        <v>0</v>
      </c>
      <c r="U456">
        <f t="shared" si="44"/>
        <v>0</v>
      </c>
    </row>
    <row r="457" spans="1:21" x14ac:dyDescent="0.3">
      <c r="A457" s="4">
        <v>455</v>
      </c>
      <c r="B457" s="4">
        <v>-96582850571</v>
      </c>
      <c r="C457" s="5">
        <v>2</v>
      </c>
      <c r="D457" s="5">
        <v>-1.4071E-2</v>
      </c>
      <c r="E457" s="5">
        <v>1.2921E-2</v>
      </c>
      <c r="F457" s="5">
        <v>1004090</v>
      </c>
      <c r="G457" s="5">
        <v>0</v>
      </c>
      <c r="H457" s="5">
        <v>0</v>
      </c>
      <c r="I457" s="5">
        <v>0</v>
      </c>
      <c r="J457" s="5">
        <v>0</v>
      </c>
      <c r="L457">
        <f t="shared" si="45"/>
        <v>455</v>
      </c>
      <c r="M457">
        <f>'Real Analysis'!$B$3+B457/1000000</f>
        <v>9.1494289999973262</v>
      </c>
      <c r="N457">
        <f t="shared" si="46"/>
        <v>2</v>
      </c>
      <c r="O457">
        <f>IF(ABS(D457)&gt;1,D457/1000000,D457)*'Real Analysis'!$B$4</f>
        <v>-0.13803651</v>
      </c>
      <c r="P457">
        <f>IF(ABS(E457)&gt;1,E457/1000000,E457)*'Real Analysis'!$B$4</f>
        <v>0.12675501</v>
      </c>
      <c r="Q457">
        <f>IF(ABS(F457)&gt;1,F457/1000000,F457)*'Real Analysis'!$B$4</f>
        <v>9.8501229000000006</v>
      </c>
      <c r="R457">
        <f t="shared" si="47"/>
        <v>0</v>
      </c>
      <c r="S457">
        <f t="shared" si="48"/>
        <v>0</v>
      </c>
      <c r="T457">
        <f t="shared" si="49"/>
        <v>0</v>
      </c>
      <c r="U457">
        <f t="shared" si="44"/>
        <v>0</v>
      </c>
    </row>
    <row r="458" spans="1:21" x14ac:dyDescent="0.3">
      <c r="A458" s="4">
        <v>456</v>
      </c>
      <c r="B458" s="4">
        <v>-96582827483</v>
      </c>
      <c r="C458" s="5">
        <v>2</v>
      </c>
      <c r="D458" s="5">
        <v>-1.3153E-2</v>
      </c>
      <c r="E458" s="5">
        <v>9.0860000000000003E-3</v>
      </c>
      <c r="F458" s="5">
        <v>1004134</v>
      </c>
      <c r="G458" s="5">
        <v>0</v>
      </c>
      <c r="H458" s="5">
        <v>0</v>
      </c>
      <c r="I458" s="5">
        <v>0</v>
      </c>
      <c r="J458" s="5">
        <v>0</v>
      </c>
      <c r="L458">
        <f t="shared" si="45"/>
        <v>456</v>
      </c>
      <c r="M458">
        <f>'Real Analysis'!$B$3+B458/1000000</f>
        <v>9.1725169999990612</v>
      </c>
      <c r="N458">
        <f t="shared" si="46"/>
        <v>2</v>
      </c>
      <c r="O458">
        <f>IF(ABS(D458)&gt;1,D458/1000000,D458)*'Real Analysis'!$B$4</f>
        <v>-0.12903093000000002</v>
      </c>
      <c r="P458">
        <f>IF(ABS(E458)&gt;1,E458/1000000,E458)*'Real Analysis'!$B$4</f>
        <v>8.9133660000000003E-2</v>
      </c>
      <c r="Q458">
        <f>IF(ABS(F458)&gt;1,F458/1000000,F458)*'Real Analysis'!$B$4</f>
        <v>9.850554540000001</v>
      </c>
      <c r="R458">
        <f t="shared" si="47"/>
        <v>0</v>
      </c>
      <c r="S458">
        <f t="shared" si="48"/>
        <v>0</v>
      </c>
      <c r="T458">
        <f t="shared" si="49"/>
        <v>0</v>
      </c>
      <c r="U458">
        <f t="shared" si="44"/>
        <v>0</v>
      </c>
    </row>
    <row r="459" spans="1:21" x14ac:dyDescent="0.3">
      <c r="A459" s="4">
        <v>457</v>
      </c>
      <c r="B459" s="4">
        <v>-96582809868</v>
      </c>
      <c r="C459" s="5">
        <v>2</v>
      </c>
      <c r="D459" s="5">
        <v>-1.1096999999999999E-2</v>
      </c>
      <c r="E459" s="5">
        <v>3.3110000000000001E-3</v>
      </c>
      <c r="F459" s="5">
        <v>1004219</v>
      </c>
      <c r="G459" s="5">
        <v>0</v>
      </c>
      <c r="H459" s="5">
        <v>0</v>
      </c>
      <c r="I459" s="5">
        <v>0</v>
      </c>
      <c r="J459" s="5">
        <v>0</v>
      </c>
      <c r="L459">
        <f t="shared" si="45"/>
        <v>457</v>
      </c>
      <c r="M459">
        <f>'Real Analysis'!$B$3+B459/1000000</f>
        <v>9.1901320000033593</v>
      </c>
      <c r="N459">
        <f t="shared" si="46"/>
        <v>2</v>
      </c>
      <c r="O459">
        <f>IF(ABS(D459)&gt;1,D459/1000000,D459)*'Real Analysis'!$B$4</f>
        <v>-0.10886157</v>
      </c>
      <c r="P459">
        <f>IF(ABS(E459)&gt;1,E459/1000000,E459)*'Real Analysis'!$B$4</f>
        <v>3.2480910000000002E-2</v>
      </c>
      <c r="Q459">
        <f>IF(ABS(F459)&gt;1,F459/1000000,F459)*'Real Analysis'!$B$4</f>
        <v>9.8513883900000003</v>
      </c>
      <c r="R459">
        <f t="shared" si="47"/>
        <v>0</v>
      </c>
      <c r="S459">
        <f t="shared" si="48"/>
        <v>0</v>
      </c>
      <c r="T459">
        <f t="shared" si="49"/>
        <v>0</v>
      </c>
      <c r="U459">
        <f t="shared" ref="U459:U522" si="50">J459/1000</f>
        <v>0</v>
      </c>
    </row>
    <row r="460" spans="1:21" x14ac:dyDescent="0.3">
      <c r="A460" s="4">
        <v>458</v>
      </c>
      <c r="B460" s="4">
        <v>-96582790652</v>
      </c>
      <c r="C460" s="5">
        <v>2</v>
      </c>
      <c r="D460" s="5">
        <v>-1.2437E-2</v>
      </c>
      <c r="E460" s="5">
        <v>4.7759999999999999E-3</v>
      </c>
      <c r="F460" s="5">
        <v>1004167</v>
      </c>
      <c r="G460" s="5">
        <v>0</v>
      </c>
      <c r="H460" s="5">
        <v>0</v>
      </c>
      <c r="I460" s="5">
        <v>0</v>
      </c>
      <c r="J460" s="5">
        <v>0</v>
      </c>
      <c r="L460">
        <f t="shared" si="45"/>
        <v>458</v>
      </c>
      <c r="M460">
        <f>'Real Analysis'!$B$3+B460/1000000</f>
        <v>9.2093480000039563</v>
      </c>
      <c r="N460">
        <f t="shared" si="46"/>
        <v>2</v>
      </c>
      <c r="O460">
        <f>IF(ABS(D460)&gt;1,D460/1000000,D460)*'Real Analysis'!$B$4</f>
        <v>-0.12200697000000001</v>
      </c>
      <c r="P460">
        <f>IF(ABS(E460)&gt;1,E460/1000000,E460)*'Real Analysis'!$B$4</f>
        <v>4.6852560000000001E-2</v>
      </c>
      <c r="Q460">
        <f>IF(ABS(F460)&gt;1,F460/1000000,F460)*'Real Analysis'!$B$4</f>
        <v>9.8508782700000008</v>
      </c>
      <c r="R460">
        <f t="shared" si="47"/>
        <v>0</v>
      </c>
      <c r="S460">
        <f t="shared" si="48"/>
        <v>0</v>
      </c>
      <c r="T460">
        <f t="shared" si="49"/>
        <v>0</v>
      </c>
      <c r="U460">
        <f t="shared" si="50"/>
        <v>0</v>
      </c>
    </row>
    <row r="461" spans="1:21" x14ac:dyDescent="0.3">
      <c r="A461" s="4">
        <v>459</v>
      </c>
      <c r="B461" s="4">
        <v>-96582771187</v>
      </c>
      <c r="C461" s="5">
        <v>2</v>
      </c>
      <c r="D461" s="5">
        <v>-1.3028E-2</v>
      </c>
      <c r="E461" s="5">
        <v>1.2940999999999999E-2</v>
      </c>
      <c r="F461" s="5">
        <v>1004128</v>
      </c>
      <c r="G461" s="5">
        <v>0</v>
      </c>
      <c r="H461" s="5">
        <v>0</v>
      </c>
      <c r="I461" s="5">
        <v>0</v>
      </c>
      <c r="J461" s="5">
        <v>0</v>
      </c>
      <c r="L461">
        <f t="shared" si="45"/>
        <v>459</v>
      </c>
      <c r="M461">
        <f>'Real Analysis'!$B$3+B461/1000000</f>
        <v>9.2288129999942612</v>
      </c>
      <c r="N461">
        <f t="shared" si="46"/>
        <v>2</v>
      </c>
      <c r="O461">
        <f>IF(ABS(D461)&gt;1,D461/1000000,D461)*'Real Analysis'!$B$4</f>
        <v>-0.12780468</v>
      </c>
      <c r="P461">
        <f>IF(ABS(E461)&gt;1,E461/1000000,E461)*'Real Analysis'!$B$4</f>
        <v>0.12695121000000001</v>
      </c>
      <c r="Q461">
        <f>IF(ABS(F461)&gt;1,F461/1000000,F461)*'Real Analysis'!$B$4</f>
        <v>9.8504956799999999</v>
      </c>
      <c r="R461">
        <f t="shared" si="47"/>
        <v>0</v>
      </c>
      <c r="S461">
        <f t="shared" si="48"/>
        <v>0</v>
      </c>
      <c r="T461">
        <f t="shared" si="49"/>
        <v>0</v>
      </c>
      <c r="U461">
        <f t="shared" si="50"/>
        <v>0</v>
      </c>
    </row>
    <row r="462" spans="1:21" x14ac:dyDescent="0.3">
      <c r="A462" s="4">
        <v>460</v>
      </c>
      <c r="B462" s="4">
        <v>-96582748273</v>
      </c>
      <c r="C462" s="5">
        <v>2</v>
      </c>
      <c r="D462" s="5">
        <v>-1.2702E-2</v>
      </c>
      <c r="E462" s="5">
        <v>1.2160000000000001E-2</v>
      </c>
      <c r="F462" s="5">
        <v>1004143</v>
      </c>
      <c r="G462" s="5">
        <v>0</v>
      </c>
      <c r="H462" s="5">
        <v>0</v>
      </c>
      <c r="I462" s="5">
        <v>0</v>
      </c>
      <c r="J462" s="5">
        <v>0</v>
      </c>
      <c r="L462">
        <f t="shared" si="45"/>
        <v>460</v>
      </c>
      <c r="M462">
        <f>'Real Analysis'!$B$3+B462/1000000</f>
        <v>9.2517269999952987</v>
      </c>
      <c r="N462">
        <f t="shared" si="46"/>
        <v>2</v>
      </c>
      <c r="O462">
        <f>IF(ABS(D462)&gt;1,D462/1000000,D462)*'Real Analysis'!$B$4</f>
        <v>-0.12460662</v>
      </c>
      <c r="P462">
        <f>IF(ABS(E462)&gt;1,E462/1000000,E462)*'Real Analysis'!$B$4</f>
        <v>0.11928960000000001</v>
      </c>
      <c r="Q462">
        <f>IF(ABS(F462)&gt;1,F462/1000000,F462)*'Real Analysis'!$B$4</f>
        <v>9.85064283</v>
      </c>
      <c r="R462">
        <f t="shared" si="47"/>
        <v>0</v>
      </c>
      <c r="S462">
        <f t="shared" si="48"/>
        <v>0</v>
      </c>
      <c r="T462">
        <f t="shared" si="49"/>
        <v>0</v>
      </c>
      <c r="U462">
        <f t="shared" si="50"/>
        <v>0</v>
      </c>
    </row>
    <row r="463" spans="1:21" x14ac:dyDescent="0.3">
      <c r="A463" s="4">
        <v>461</v>
      </c>
      <c r="B463" s="4">
        <v>-96582742662</v>
      </c>
      <c r="C463" s="5">
        <v>2</v>
      </c>
      <c r="D463" s="5">
        <v>-1.2965000000000001E-2</v>
      </c>
      <c r="E463" s="5">
        <v>1.1856E-2</v>
      </c>
      <c r="F463" s="5">
        <v>1004130</v>
      </c>
      <c r="G463" s="5">
        <v>0</v>
      </c>
      <c r="H463" s="5">
        <v>0</v>
      </c>
      <c r="I463" s="5">
        <v>0</v>
      </c>
      <c r="J463" s="5">
        <v>0</v>
      </c>
      <c r="L463">
        <f t="shared" si="45"/>
        <v>461</v>
      </c>
      <c r="M463">
        <f>'Real Analysis'!$B$3+B463/1000000</f>
        <v>9.2573379999957979</v>
      </c>
      <c r="N463">
        <f t="shared" si="46"/>
        <v>2</v>
      </c>
      <c r="O463">
        <f>IF(ABS(D463)&gt;1,D463/1000000,D463)*'Real Analysis'!$B$4</f>
        <v>-0.12718665000000001</v>
      </c>
      <c r="P463">
        <f>IF(ABS(E463)&gt;1,E463/1000000,E463)*'Real Analysis'!$B$4</f>
        <v>0.11630736000000001</v>
      </c>
      <c r="Q463">
        <f>IF(ABS(F463)&gt;1,F463/1000000,F463)*'Real Analysis'!$B$4</f>
        <v>9.8505152999999996</v>
      </c>
      <c r="R463">
        <f t="shared" si="47"/>
        <v>0</v>
      </c>
      <c r="S463">
        <f t="shared" si="48"/>
        <v>0</v>
      </c>
      <c r="T463">
        <f t="shared" si="49"/>
        <v>0</v>
      </c>
      <c r="U463">
        <f t="shared" si="50"/>
        <v>0</v>
      </c>
    </row>
    <row r="464" spans="1:21" x14ac:dyDescent="0.3">
      <c r="A464" s="4">
        <v>462</v>
      </c>
      <c r="B464" s="4">
        <v>-96582709025</v>
      </c>
      <c r="C464" s="5">
        <v>7</v>
      </c>
      <c r="D464" s="5">
        <v>-1.2931E-2</v>
      </c>
      <c r="E464" s="5">
        <v>1.2318000000000001E-2</v>
      </c>
      <c r="F464" s="5">
        <v>1004136</v>
      </c>
      <c r="G464" s="5">
        <v>-1854003</v>
      </c>
      <c r="H464" s="5">
        <v>0.51198900000000003</v>
      </c>
      <c r="I464" s="5">
        <v>0</v>
      </c>
      <c r="J464" s="5">
        <v>0</v>
      </c>
      <c r="L464">
        <f t="shared" si="45"/>
        <v>462</v>
      </c>
      <c r="M464">
        <f>'Real Analysis'!$B$3+B464/1000000</f>
        <v>9.2909749999962514</v>
      </c>
      <c r="N464">
        <f t="shared" si="46"/>
        <v>7</v>
      </c>
      <c r="O464">
        <f>IF(ABS(D464)&gt;1,D464/1000000,D464)*'Real Analysis'!$B$4</f>
        <v>-0.12685310999999999</v>
      </c>
      <c r="P464">
        <f>IF(ABS(E464)&gt;1,E464/1000000,E464)*'Real Analysis'!$B$4</f>
        <v>0.12083958000000002</v>
      </c>
      <c r="Q464">
        <f>IF(ABS(F464)&gt;1,F464/1000000,F464)*'Real Analysis'!$B$4</f>
        <v>9.850574159999999</v>
      </c>
      <c r="R464">
        <f t="shared" si="47"/>
        <v>-1.8540030000000001</v>
      </c>
      <c r="S464">
        <f t="shared" si="48"/>
        <v>0.51198900000000003</v>
      </c>
      <c r="T464">
        <f t="shared" si="49"/>
        <v>0</v>
      </c>
      <c r="U464">
        <f t="shared" si="50"/>
        <v>0</v>
      </c>
    </row>
    <row r="465" spans="1:21" x14ac:dyDescent="0.3">
      <c r="A465" s="4">
        <v>463</v>
      </c>
      <c r="B465" s="4">
        <v>-96582686579</v>
      </c>
      <c r="C465" s="5">
        <v>7</v>
      </c>
      <c r="D465" s="5">
        <v>-1.2805E-2</v>
      </c>
      <c r="E465" s="5">
        <v>1.2359E-2</v>
      </c>
      <c r="F465" s="5">
        <v>1004138</v>
      </c>
      <c r="G465" s="5">
        <v>-1706057</v>
      </c>
      <c r="H465" s="5">
        <v>1.4917E-2</v>
      </c>
      <c r="I465" s="5">
        <v>0</v>
      </c>
      <c r="J465" s="5">
        <v>0</v>
      </c>
      <c r="L465">
        <f t="shared" si="45"/>
        <v>463</v>
      </c>
      <c r="M465">
        <f>'Real Analysis'!$B$3+B465/1000000</f>
        <v>9.3134209999989253</v>
      </c>
      <c r="N465">
        <f t="shared" si="46"/>
        <v>7</v>
      </c>
      <c r="O465">
        <f>IF(ABS(D465)&gt;1,D465/1000000,D465)*'Real Analysis'!$B$4</f>
        <v>-0.12561705000000001</v>
      </c>
      <c r="P465">
        <f>IF(ABS(E465)&gt;1,E465/1000000,E465)*'Real Analysis'!$B$4</f>
        <v>0.12124179</v>
      </c>
      <c r="Q465">
        <f>IF(ABS(F465)&gt;1,F465/1000000,F465)*'Real Analysis'!$B$4</f>
        <v>9.8505937800000005</v>
      </c>
      <c r="R465">
        <f t="shared" si="47"/>
        <v>-1.7060569999999999</v>
      </c>
      <c r="S465">
        <f t="shared" si="48"/>
        <v>1.4917E-2</v>
      </c>
      <c r="T465">
        <f t="shared" si="49"/>
        <v>0</v>
      </c>
      <c r="U465">
        <f t="shared" si="50"/>
        <v>0</v>
      </c>
    </row>
    <row r="466" spans="1:21" x14ac:dyDescent="0.3">
      <c r="A466" s="4">
        <v>464</v>
      </c>
      <c r="B466" s="4">
        <v>-96582671611</v>
      </c>
      <c r="C466" s="5">
        <v>7</v>
      </c>
      <c r="D466" s="5">
        <v>-1.1187000000000001E-2</v>
      </c>
      <c r="E466" s="5">
        <v>1.2218E-2</v>
      </c>
      <c r="F466" s="5">
        <v>1004200</v>
      </c>
      <c r="G466" s="5">
        <v>-0.32297799999999999</v>
      </c>
      <c r="H466" s="5">
        <v>0.44622400000000001</v>
      </c>
      <c r="I466" s="5">
        <v>0</v>
      </c>
      <c r="J466" s="5">
        <v>0</v>
      </c>
      <c r="L466">
        <f t="shared" si="45"/>
        <v>464</v>
      </c>
      <c r="M466">
        <f>'Real Analysis'!$B$3+B466/1000000</f>
        <v>9.3283890000020619</v>
      </c>
      <c r="N466">
        <f t="shared" si="46"/>
        <v>7</v>
      </c>
      <c r="O466">
        <f>IF(ABS(D466)&gt;1,D466/1000000,D466)*'Real Analysis'!$B$4</f>
        <v>-0.10974447000000001</v>
      </c>
      <c r="P466">
        <f>IF(ABS(E466)&gt;1,E466/1000000,E466)*'Real Analysis'!$B$4</f>
        <v>0.11985858000000001</v>
      </c>
      <c r="Q466">
        <f>IF(ABS(F466)&gt;1,F466/1000000,F466)*'Real Analysis'!$B$4</f>
        <v>9.8512020000000007</v>
      </c>
      <c r="R466">
        <f t="shared" si="47"/>
        <v>-0.32297799999999999</v>
      </c>
      <c r="S466">
        <f t="shared" si="48"/>
        <v>0.44622400000000001</v>
      </c>
      <c r="T466">
        <f t="shared" si="49"/>
        <v>0</v>
      </c>
      <c r="U466">
        <f t="shared" si="50"/>
        <v>0</v>
      </c>
    </row>
    <row r="467" spans="1:21" x14ac:dyDescent="0.3">
      <c r="A467" s="4">
        <v>465</v>
      </c>
      <c r="B467" s="4">
        <v>-96582650063</v>
      </c>
      <c r="C467" s="5">
        <v>7</v>
      </c>
      <c r="D467" s="5">
        <v>-1.2239E-2</v>
      </c>
      <c r="E467" s="5">
        <v>1.2279E-2</v>
      </c>
      <c r="F467" s="5">
        <v>1004162</v>
      </c>
      <c r="G467" s="5">
        <v>0.35538599999999998</v>
      </c>
      <c r="H467" s="5">
        <v>0.72257000000000005</v>
      </c>
      <c r="I467" s="5">
        <v>0</v>
      </c>
      <c r="J467" s="5">
        <v>0</v>
      </c>
      <c r="L467">
        <f t="shared" si="45"/>
        <v>465</v>
      </c>
      <c r="M467">
        <f>'Real Analysis'!$B$3+B467/1000000</f>
        <v>9.3499370000063209</v>
      </c>
      <c r="N467">
        <f t="shared" si="46"/>
        <v>7</v>
      </c>
      <c r="O467">
        <f>IF(ABS(D467)&gt;1,D467/1000000,D467)*'Real Analysis'!$B$4</f>
        <v>-0.12006459</v>
      </c>
      <c r="P467">
        <f>IF(ABS(E467)&gt;1,E467/1000000,E467)*'Real Analysis'!$B$4</f>
        <v>0.12045699</v>
      </c>
      <c r="Q467">
        <f>IF(ABS(F467)&gt;1,F467/1000000,F467)*'Real Analysis'!$B$4</f>
        <v>9.8508292199999996</v>
      </c>
      <c r="R467">
        <f t="shared" si="47"/>
        <v>0.35538599999999998</v>
      </c>
      <c r="S467">
        <f t="shared" si="48"/>
        <v>0.72257000000000005</v>
      </c>
      <c r="T467">
        <f t="shared" si="49"/>
        <v>0</v>
      </c>
      <c r="U467">
        <f t="shared" si="50"/>
        <v>0</v>
      </c>
    </row>
    <row r="468" spans="1:21" x14ac:dyDescent="0.3">
      <c r="A468" s="4">
        <v>466</v>
      </c>
      <c r="B468" s="4">
        <v>-96582631429</v>
      </c>
      <c r="C468" s="5">
        <v>7</v>
      </c>
      <c r="D468" s="5">
        <v>-1.1483999999999999E-2</v>
      </c>
      <c r="E468" s="5">
        <v>1.222E-2</v>
      </c>
      <c r="F468" s="5">
        <v>1004186</v>
      </c>
      <c r="G468" s="5">
        <v>0.85418700000000003</v>
      </c>
      <c r="H468" s="5">
        <v>0.89553300000000002</v>
      </c>
      <c r="I468" s="5">
        <v>0</v>
      </c>
      <c r="J468" s="5">
        <v>0</v>
      </c>
      <c r="L468">
        <f t="shared" si="45"/>
        <v>466</v>
      </c>
      <c r="M468">
        <f>'Real Analysis'!$B$3+B468/1000000</f>
        <v>9.368570999999065</v>
      </c>
      <c r="N468">
        <f t="shared" si="46"/>
        <v>7</v>
      </c>
      <c r="O468">
        <f>IF(ABS(D468)&gt;1,D468/1000000,D468)*'Real Analysis'!$B$4</f>
        <v>-0.11265804</v>
      </c>
      <c r="P468">
        <f>IF(ABS(E468)&gt;1,E468/1000000,E468)*'Real Analysis'!$B$4</f>
        <v>0.1198782</v>
      </c>
      <c r="Q468">
        <f>IF(ABS(F468)&gt;1,F468/1000000,F468)*'Real Analysis'!$B$4</f>
        <v>9.8510646600000005</v>
      </c>
      <c r="R468">
        <f t="shared" si="47"/>
        <v>0.85418700000000003</v>
      </c>
      <c r="S468">
        <f t="shared" si="48"/>
        <v>0.89553300000000002</v>
      </c>
      <c r="T468">
        <f t="shared" si="49"/>
        <v>0</v>
      </c>
      <c r="U468">
        <f t="shared" si="50"/>
        <v>0</v>
      </c>
    </row>
    <row r="469" spans="1:21" x14ac:dyDescent="0.3">
      <c r="A469" s="4">
        <v>467</v>
      </c>
      <c r="B469" s="4">
        <v>-96582611178</v>
      </c>
      <c r="C469" s="5">
        <v>7</v>
      </c>
      <c r="D469" s="5">
        <v>-3.8509999999999998E-3</v>
      </c>
      <c r="E469" s="5">
        <v>1.2276E-2</v>
      </c>
      <c r="F469" s="5">
        <v>1004480</v>
      </c>
      <c r="G469" s="5">
        <v>1681406</v>
      </c>
      <c r="H469" s="5">
        <v>1006178</v>
      </c>
      <c r="I469" s="5">
        <v>0</v>
      </c>
      <c r="J469" s="5">
        <v>0</v>
      </c>
      <c r="L469">
        <f t="shared" si="45"/>
        <v>467</v>
      </c>
      <c r="M469">
        <f>'Real Analysis'!$B$3+B469/1000000</f>
        <v>9.3888219999935245</v>
      </c>
      <c r="N469">
        <f t="shared" si="46"/>
        <v>7</v>
      </c>
      <c r="O469">
        <f>IF(ABS(D469)&gt;1,D469/1000000,D469)*'Real Analysis'!$B$4</f>
        <v>-3.7778310000000002E-2</v>
      </c>
      <c r="P469">
        <f>IF(ABS(E469)&gt;1,E469/1000000,E469)*'Real Analysis'!$B$4</f>
        <v>0.12042756000000002</v>
      </c>
      <c r="Q469">
        <f>IF(ABS(F469)&gt;1,F469/1000000,F469)*'Real Analysis'!$B$4</f>
        <v>9.8539488000000013</v>
      </c>
      <c r="R469">
        <f t="shared" si="47"/>
        <v>1.681406</v>
      </c>
      <c r="S469">
        <f t="shared" si="48"/>
        <v>1.006178</v>
      </c>
      <c r="T469">
        <f t="shared" si="49"/>
        <v>0</v>
      </c>
      <c r="U469">
        <f t="shared" si="50"/>
        <v>0</v>
      </c>
    </row>
    <row r="470" spans="1:21" x14ac:dyDescent="0.3">
      <c r="A470" s="4">
        <v>468</v>
      </c>
      <c r="B470" s="4">
        <v>-96582587399</v>
      </c>
      <c r="C470" s="5">
        <v>7</v>
      </c>
      <c r="D470" s="5">
        <v>-5.3299999999999997E-3</v>
      </c>
      <c r="E470" s="5">
        <v>1.0495000000000001E-2</v>
      </c>
      <c r="F470" s="5">
        <v>1004430</v>
      </c>
      <c r="G470" s="5">
        <v>2139290</v>
      </c>
      <c r="H470" s="5">
        <v>1008256</v>
      </c>
      <c r="I470" s="5">
        <v>0</v>
      </c>
      <c r="J470" s="5">
        <v>0</v>
      </c>
      <c r="L470">
        <f t="shared" si="45"/>
        <v>468</v>
      </c>
      <c r="M470">
        <f>'Real Analysis'!$B$3+B470/1000000</f>
        <v>9.4126010000036331</v>
      </c>
      <c r="N470">
        <f t="shared" si="46"/>
        <v>7</v>
      </c>
      <c r="O470">
        <f>IF(ABS(D470)&gt;1,D470/1000000,D470)*'Real Analysis'!$B$4</f>
        <v>-5.2287300000000002E-2</v>
      </c>
      <c r="P470">
        <f>IF(ABS(E470)&gt;1,E470/1000000,E470)*'Real Analysis'!$B$4</f>
        <v>0.10295595000000002</v>
      </c>
      <c r="Q470">
        <f>IF(ABS(F470)&gt;1,F470/1000000,F470)*'Real Analysis'!$B$4</f>
        <v>9.8534582999999998</v>
      </c>
      <c r="R470">
        <f t="shared" si="47"/>
        <v>2.1392899999999999</v>
      </c>
      <c r="S470">
        <f t="shared" si="48"/>
        <v>1.008256</v>
      </c>
      <c r="T470">
        <f t="shared" si="49"/>
        <v>0</v>
      </c>
      <c r="U470">
        <f t="shared" si="50"/>
        <v>0</v>
      </c>
    </row>
    <row r="471" spans="1:21" x14ac:dyDescent="0.3">
      <c r="A471" s="4">
        <v>469</v>
      </c>
      <c r="B471" s="4">
        <v>-96582569755</v>
      </c>
      <c r="C471" s="5">
        <v>7</v>
      </c>
      <c r="D471" s="5">
        <v>-1.3495999999999999E-2</v>
      </c>
      <c r="E471" s="5">
        <v>1.1408E-2</v>
      </c>
      <c r="F471" s="5">
        <v>1004110</v>
      </c>
      <c r="G471" s="5">
        <v>1965877</v>
      </c>
      <c r="H471" s="5">
        <v>0.97584899999999997</v>
      </c>
      <c r="I471" s="5">
        <v>0</v>
      </c>
      <c r="J471" s="5">
        <v>0</v>
      </c>
      <c r="L471">
        <f t="shared" si="45"/>
        <v>469</v>
      </c>
      <c r="M471">
        <f>'Real Analysis'!$B$3+B471/1000000</f>
        <v>9.4302449999959208</v>
      </c>
      <c r="N471">
        <f t="shared" si="46"/>
        <v>7</v>
      </c>
      <c r="O471">
        <f>IF(ABS(D471)&gt;1,D471/1000000,D471)*'Real Analysis'!$B$4</f>
        <v>-0.13239576</v>
      </c>
      <c r="P471">
        <f>IF(ABS(E471)&gt;1,E471/1000000,E471)*'Real Analysis'!$B$4</f>
        <v>0.11191248000000001</v>
      </c>
      <c r="Q471">
        <f>IF(ABS(F471)&gt;1,F471/1000000,F471)*'Real Analysis'!$B$4</f>
        <v>9.8503191000000019</v>
      </c>
      <c r="R471">
        <f t="shared" si="47"/>
        <v>1.9658770000000001</v>
      </c>
      <c r="S471">
        <f t="shared" si="48"/>
        <v>0.97584899999999997</v>
      </c>
      <c r="T471">
        <f t="shared" si="49"/>
        <v>0</v>
      </c>
      <c r="U471">
        <f t="shared" si="50"/>
        <v>0</v>
      </c>
    </row>
    <row r="472" spans="1:21" x14ac:dyDescent="0.3">
      <c r="A472" s="4">
        <v>470</v>
      </c>
      <c r="B472" s="4">
        <v>-96582548858</v>
      </c>
      <c r="C472" s="5">
        <v>7</v>
      </c>
      <c r="D472" s="5">
        <v>-5.8199999999999997E-3</v>
      </c>
      <c r="E472" s="5">
        <v>2.3670000000000002E-3</v>
      </c>
      <c r="F472" s="5">
        <v>1004421</v>
      </c>
      <c r="G472" s="5">
        <v>1908363</v>
      </c>
      <c r="H472" s="5">
        <v>0.50574699999999995</v>
      </c>
      <c r="I472" s="5">
        <v>0</v>
      </c>
      <c r="J472" s="5">
        <v>0</v>
      </c>
      <c r="L472">
        <f t="shared" si="45"/>
        <v>470</v>
      </c>
      <c r="M472">
        <f>'Real Analysis'!$B$3+B472/1000000</f>
        <v>9.4511420000053477</v>
      </c>
      <c r="N472">
        <f t="shared" si="46"/>
        <v>7</v>
      </c>
      <c r="O472">
        <f>IF(ABS(D472)&gt;1,D472/1000000,D472)*'Real Analysis'!$B$4</f>
        <v>-5.7094199999999998E-2</v>
      </c>
      <c r="P472">
        <f>IF(ABS(E472)&gt;1,E472/1000000,E472)*'Real Analysis'!$B$4</f>
        <v>2.3220270000000005E-2</v>
      </c>
      <c r="Q472">
        <f>IF(ABS(F472)&gt;1,F472/1000000,F472)*'Real Analysis'!$B$4</f>
        <v>9.8533700100000008</v>
      </c>
      <c r="R472">
        <f t="shared" si="47"/>
        <v>1.908363</v>
      </c>
      <c r="S472">
        <f t="shared" si="48"/>
        <v>0.50574699999999995</v>
      </c>
      <c r="T472">
        <f t="shared" si="49"/>
        <v>0</v>
      </c>
      <c r="U472">
        <f t="shared" si="50"/>
        <v>0</v>
      </c>
    </row>
    <row r="473" spans="1:21" x14ac:dyDescent="0.3">
      <c r="A473" s="4">
        <v>471</v>
      </c>
      <c r="B473" s="4">
        <v>-96582527774</v>
      </c>
      <c r="C473" s="5">
        <v>7</v>
      </c>
      <c r="D473" s="5">
        <v>-7.3119999999999999E-3</v>
      </c>
      <c r="E473" s="5">
        <v>8.4360000000000008E-3</v>
      </c>
      <c r="F473" s="5">
        <v>1004355</v>
      </c>
      <c r="G473" s="5">
        <v>2063315</v>
      </c>
      <c r="H473" s="5">
        <v>0.40567599999999998</v>
      </c>
      <c r="I473" s="5">
        <v>0</v>
      </c>
      <c r="J473" s="5">
        <v>0</v>
      </c>
      <c r="L473">
        <f t="shared" si="45"/>
        <v>471</v>
      </c>
      <c r="M473">
        <f>'Real Analysis'!$B$3+B473/1000000</f>
        <v>9.4722259999980452</v>
      </c>
      <c r="N473">
        <f t="shared" si="46"/>
        <v>7</v>
      </c>
      <c r="O473">
        <f>IF(ABS(D473)&gt;1,D473/1000000,D473)*'Real Analysis'!$B$4</f>
        <v>-7.1730719999999998E-2</v>
      </c>
      <c r="P473">
        <f>IF(ABS(E473)&gt;1,E473/1000000,E473)*'Real Analysis'!$B$4</f>
        <v>8.275716000000001E-2</v>
      </c>
      <c r="Q473">
        <f>IF(ABS(F473)&gt;1,F473/1000000,F473)*'Real Analysis'!$B$4</f>
        <v>9.8527225500000011</v>
      </c>
      <c r="R473">
        <f t="shared" si="47"/>
        <v>2.0633149999999998</v>
      </c>
      <c r="S473">
        <f t="shared" si="48"/>
        <v>0.40567599999999998</v>
      </c>
      <c r="T473">
        <f t="shared" si="49"/>
        <v>0</v>
      </c>
      <c r="U473">
        <f t="shared" si="50"/>
        <v>0</v>
      </c>
    </row>
    <row r="474" spans="1:21" x14ac:dyDescent="0.3">
      <c r="A474" s="4">
        <v>472</v>
      </c>
      <c r="B474" s="4">
        <v>-96582510944</v>
      </c>
      <c r="C474" s="5">
        <v>7</v>
      </c>
      <c r="D474" s="5">
        <v>-1.4093E-2</v>
      </c>
      <c r="E474" s="5">
        <v>3.127E-3</v>
      </c>
      <c r="F474" s="5">
        <v>1004107</v>
      </c>
      <c r="G474" s="5">
        <v>1857624</v>
      </c>
      <c r="H474" s="5">
        <v>0.19006300000000001</v>
      </c>
      <c r="I474" s="5">
        <v>0</v>
      </c>
      <c r="J474" s="5">
        <v>0</v>
      </c>
      <c r="L474">
        <f t="shared" si="45"/>
        <v>472</v>
      </c>
      <c r="M474">
        <f>'Real Analysis'!$B$3+B474/1000000</f>
        <v>9.4890560000058031</v>
      </c>
      <c r="N474">
        <f t="shared" si="46"/>
        <v>7</v>
      </c>
      <c r="O474">
        <f>IF(ABS(D474)&gt;1,D474/1000000,D474)*'Real Analysis'!$B$4</f>
        <v>-0.13825233000000001</v>
      </c>
      <c r="P474">
        <f>IF(ABS(E474)&gt;1,E474/1000000,E474)*'Real Analysis'!$B$4</f>
        <v>3.0675870000000001E-2</v>
      </c>
      <c r="Q474">
        <f>IF(ABS(F474)&gt;1,F474/1000000,F474)*'Real Analysis'!$B$4</f>
        <v>9.8502896700000004</v>
      </c>
      <c r="R474">
        <f t="shared" si="47"/>
        <v>1.8576239999999999</v>
      </c>
      <c r="S474">
        <f t="shared" si="48"/>
        <v>0.19006300000000001</v>
      </c>
      <c r="T474">
        <f t="shared" si="49"/>
        <v>0</v>
      </c>
      <c r="U474">
        <f t="shared" si="50"/>
        <v>0</v>
      </c>
    </row>
    <row r="475" spans="1:21" x14ac:dyDescent="0.3">
      <c r="A475" s="4">
        <v>473</v>
      </c>
      <c r="B475" s="4">
        <v>-96582488640</v>
      </c>
      <c r="C475" s="5">
        <v>7</v>
      </c>
      <c r="D475" s="5">
        <v>-1.0624E-2</v>
      </c>
      <c r="E475" s="5">
        <v>5.7520000000000002E-3</v>
      </c>
      <c r="F475" s="5">
        <v>1006155</v>
      </c>
      <c r="G475" s="5">
        <v>1573234</v>
      </c>
      <c r="H475" s="5">
        <v>0.300898</v>
      </c>
      <c r="I475" s="5">
        <v>0</v>
      </c>
      <c r="J475" s="5">
        <v>0</v>
      </c>
      <c r="L475">
        <f t="shared" si="45"/>
        <v>473</v>
      </c>
      <c r="M475">
        <f>'Real Analysis'!$B$3+B475/1000000</f>
        <v>9.5113600000040606</v>
      </c>
      <c r="N475">
        <f t="shared" si="46"/>
        <v>7</v>
      </c>
      <c r="O475">
        <f>IF(ABS(D475)&gt;1,D475/1000000,D475)*'Real Analysis'!$B$4</f>
        <v>-0.10422144</v>
      </c>
      <c r="P475">
        <f>IF(ABS(E475)&gt;1,E475/1000000,E475)*'Real Analysis'!$B$4</f>
        <v>5.6427120000000004E-2</v>
      </c>
      <c r="Q475">
        <f>IF(ABS(F475)&gt;1,F475/1000000,F475)*'Real Analysis'!$B$4</f>
        <v>9.8703805500000001</v>
      </c>
      <c r="R475">
        <f t="shared" si="47"/>
        <v>1.573234</v>
      </c>
      <c r="S475">
        <f t="shared" si="48"/>
        <v>0.300898</v>
      </c>
      <c r="T475">
        <f t="shared" si="49"/>
        <v>0</v>
      </c>
      <c r="U475">
        <f t="shared" si="50"/>
        <v>0</v>
      </c>
    </row>
    <row r="476" spans="1:21" x14ac:dyDescent="0.3">
      <c r="A476" s="4">
        <v>474</v>
      </c>
      <c r="B476" s="4">
        <v>-96582468931</v>
      </c>
      <c r="C476" s="5">
        <v>7</v>
      </c>
      <c r="D476" s="5">
        <v>-1.3492000000000001E-2</v>
      </c>
      <c r="E476" s="5">
        <v>7.2069999999999999E-3</v>
      </c>
      <c r="F476" s="5">
        <v>1008905</v>
      </c>
      <c r="G476" s="5">
        <v>1397938</v>
      </c>
      <c r="H476" s="5">
        <v>0.27412799999999998</v>
      </c>
      <c r="I476" s="5">
        <v>0</v>
      </c>
      <c r="J476" s="5">
        <v>0</v>
      </c>
      <c r="L476">
        <f t="shared" si="45"/>
        <v>474</v>
      </c>
      <c r="M476">
        <f>'Real Analysis'!$B$3+B476/1000000</f>
        <v>9.5310690000042086</v>
      </c>
      <c r="N476">
        <f t="shared" si="46"/>
        <v>7</v>
      </c>
      <c r="O476">
        <f>IF(ABS(D476)&gt;1,D476/1000000,D476)*'Real Analysis'!$B$4</f>
        <v>-0.13235652000000001</v>
      </c>
      <c r="P476">
        <f>IF(ABS(E476)&gt;1,E476/1000000,E476)*'Real Analysis'!$B$4</f>
        <v>7.0700670000000007E-2</v>
      </c>
      <c r="Q476">
        <f>IF(ABS(F476)&gt;1,F476/1000000,F476)*'Real Analysis'!$B$4</f>
        <v>9.8973580499999994</v>
      </c>
      <c r="R476">
        <f t="shared" si="47"/>
        <v>1.3979379999999999</v>
      </c>
      <c r="S476">
        <f t="shared" si="48"/>
        <v>0.27412799999999998</v>
      </c>
      <c r="T476">
        <f t="shared" si="49"/>
        <v>0</v>
      </c>
      <c r="U476">
        <f t="shared" si="50"/>
        <v>0</v>
      </c>
    </row>
    <row r="477" spans="1:21" x14ac:dyDescent="0.3">
      <c r="A477" s="4">
        <v>475</v>
      </c>
      <c r="B477" s="4">
        <v>-96582447848</v>
      </c>
      <c r="C477" s="5">
        <v>7</v>
      </c>
      <c r="D477" s="5">
        <v>-1.3101E-2</v>
      </c>
      <c r="E477" s="5">
        <v>6.2740000000000001E-3</v>
      </c>
      <c r="F477" s="5">
        <v>1003790</v>
      </c>
      <c r="G477" s="5">
        <v>1243357</v>
      </c>
      <c r="H477" s="5">
        <v>0.38874300000000001</v>
      </c>
      <c r="I477" s="5">
        <v>0</v>
      </c>
      <c r="J477" s="5">
        <v>0</v>
      </c>
      <c r="L477">
        <f t="shared" si="45"/>
        <v>475</v>
      </c>
      <c r="M477">
        <f>'Real Analysis'!$B$3+B477/1000000</f>
        <v>9.5521520000038436</v>
      </c>
      <c r="N477">
        <f t="shared" si="46"/>
        <v>7</v>
      </c>
      <c r="O477">
        <f>IF(ABS(D477)&gt;1,D477/1000000,D477)*'Real Analysis'!$B$4</f>
        <v>-0.12852081000000001</v>
      </c>
      <c r="P477">
        <f>IF(ABS(E477)&gt;1,E477/1000000,E477)*'Real Analysis'!$B$4</f>
        <v>6.1547940000000002E-2</v>
      </c>
      <c r="Q477">
        <f>IF(ABS(F477)&gt;1,F477/1000000,F477)*'Real Analysis'!$B$4</f>
        <v>9.8471799000000004</v>
      </c>
      <c r="R477">
        <f t="shared" si="47"/>
        <v>1.243357</v>
      </c>
      <c r="S477">
        <f t="shared" si="48"/>
        <v>0.38874300000000001</v>
      </c>
      <c r="T477">
        <f t="shared" si="49"/>
        <v>0</v>
      </c>
      <c r="U477">
        <f t="shared" si="50"/>
        <v>0</v>
      </c>
    </row>
    <row r="478" spans="1:21" x14ac:dyDescent="0.3">
      <c r="A478" s="4">
        <v>476</v>
      </c>
      <c r="B478" s="4">
        <v>-96582428745</v>
      </c>
      <c r="C478" s="5">
        <v>7</v>
      </c>
      <c r="D478" s="5">
        <v>-7.3680000000000004E-3</v>
      </c>
      <c r="E478" s="5">
        <v>1.3539000000000001E-2</v>
      </c>
      <c r="F478" s="5">
        <v>1004652</v>
      </c>
      <c r="G478" s="5">
        <v>1563831</v>
      </c>
      <c r="H478" s="5">
        <v>1003615</v>
      </c>
      <c r="I478" s="5">
        <v>0</v>
      </c>
      <c r="J478" s="5">
        <v>0</v>
      </c>
      <c r="L478">
        <f t="shared" si="45"/>
        <v>476</v>
      </c>
      <c r="M478">
        <f>'Real Analysis'!$B$3+B478/1000000</f>
        <v>9.5712550000025658</v>
      </c>
      <c r="N478">
        <f t="shared" si="46"/>
        <v>7</v>
      </c>
      <c r="O478">
        <f>IF(ABS(D478)&gt;1,D478/1000000,D478)*'Real Analysis'!$B$4</f>
        <v>-7.228008000000001E-2</v>
      </c>
      <c r="P478">
        <f>IF(ABS(E478)&gt;1,E478/1000000,E478)*'Real Analysis'!$B$4</f>
        <v>0.13281759000000001</v>
      </c>
      <c r="Q478">
        <f>IF(ABS(F478)&gt;1,F478/1000000,F478)*'Real Analysis'!$B$4</f>
        <v>9.8556361200000016</v>
      </c>
      <c r="R478">
        <f t="shared" si="47"/>
        <v>1.563831</v>
      </c>
      <c r="S478">
        <f t="shared" si="48"/>
        <v>1.0036149999999999</v>
      </c>
      <c r="T478">
        <f t="shared" si="49"/>
        <v>0</v>
      </c>
      <c r="U478">
        <f t="shared" si="50"/>
        <v>0</v>
      </c>
    </row>
    <row r="479" spans="1:21" x14ac:dyDescent="0.3">
      <c r="A479" s="4">
        <v>477</v>
      </c>
      <c r="B479" s="4">
        <v>-96582406176</v>
      </c>
      <c r="C479" s="5">
        <v>7</v>
      </c>
      <c r="D479" s="5">
        <v>-1.2512000000000001E-2</v>
      </c>
      <c r="E479" s="5">
        <v>1.2729000000000001E-2</v>
      </c>
      <c r="F479" s="5">
        <v>1004318</v>
      </c>
      <c r="G479" s="5">
        <v>1493319</v>
      </c>
      <c r="H479" s="5">
        <v>1295111</v>
      </c>
      <c r="I479" s="5">
        <v>0</v>
      </c>
      <c r="J479" s="5">
        <v>0</v>
      </c>
      <c r="L479">
        <f t="shared" si="45"/>
        <v>477</v>
      </c>
      <c r="M479">
        <f>'Real Analysis'!$B$3+B479/1000000</f>
        <v>9.5938239999959478</v>
      </c>
      <c r="N479">
        <f t="shared" si="46"/>
        <v>7</v>
      </c>
      <c r="O479">
        <f>IF(ABS(D479)&gt;1,D479/1000000,D479)*'Real Analysis'!$B$4</f>
        <v>-0.12274272000000001</v>
      </c>
      <c r="P479">
        <f>IF(ABS(E479)&gt;1,E479/1000000,E479)*'Real Analysis'!$B$4</f>
        <v>0.12487149000000002</v>
      </c>
      <c r="Q479">
        <f>IF(ABS(F479)&gt;1,F479/1000000,F479)*'Real Analysis'!$B$4</f>
        <v>9.8523595800000017</v>
      </c>
      <c r="R479">
        <f t="shared" si="47"/>
        <v>1.4933190000000001</v>
      </c>
      <c r="S479">
        <f t="shared" si="48"/>
        <v>1.2951109999999999</v>
      </c>
      <c r="T479">
        <f t="shared" si="49"/>
        <v>0</v>
      </c>
      <c r="U479">
        <f t="shared" si="50"/>
        <v>0</v>
      </c>
    </row>
    <row r="480" spans="1:21" x14ac:dyDescent="0.3">
      <c r="A480" s="4">
        <v>478</v>
      </c>
      <c r="B480" s="4">
        <v>-96582388449</v>
      </c>
      <c r="C480" s="5">
        <v>7</v>
      </c>
      <c r="D480" s="5">
        <v>-1.2389000000000001E-2</v>
      </c>
      <c r="E480" s="5">
        <v>1.2052E-2</v>
      </c>
      <c r="F480" s="5">
        <v>1004105</v>
      </c>
      <c r="G480" s="5">
        <v>1234933</v>
      </c>
      <c r="H480" s="5">
        <v>1481869</v>
      </c>
      <c r="I480" s="5">
        <v>0</v>
      </c>
      <c r="J480" s="5">
        <v>0</v>
      </c>
      <c r="L480">
        <f t="shared" si="45"/>
        <v>478</v>
      </c>
      <c r="M480">
        <f>'Real Analysis'!$B$3+B480/1000000</f>
        <v>9.6115509999945061</v>
      </c>
      <c r="N480">
        <f t="shared" si="46"/>
        <v>7</v>
      </c>
      <c r="O480">
        <f>IF(ABS(D480)&gt;1,D480/1000000,D480)*'Real Analysis'!$B$4</f>
        <v>-0.12153609000000001</v>
      </c>
      <c r="P480">
        <f>IF(ABS(E480)&gt;1,E480/1000000,E480)*'Real Analysis'!$B$4</f>
        <v>0.11823012000000001</v>
      </c>
      <c r="Q480">
        <f>IF(ABS(F480)&gt;1,F480/1000000,F480)*'Real Analysis'!$B$4</f>
        <v>9.8502700500000007</v>
      </c>
      <c r="R480">
        <f t="shared" si="47"/>
        <v>1.2349330000000001</v>
      </c>
      <c r="S480">
        <f t="shared" si="48"/>
        <v>1.4818690000000001</v>
      </c>
      <c r="T480">
        <f t="shared" si="49"/>
        <v>0</v>
      </c>
      <c r="U480">
        <f t="shared" si="50"/>
        <v>0</v>
      </c>
    </row>
    <row r="481" spans="1:21" x14ac:dyDescent="0.3">
      <c r="A481" s="4">
        <v>479</v>
      </c>
      <c r="B481" s="4">
        <v>-96582367655</v>
      </c>
      <c r="C481" s="5">
        <v>7</v>
      </c>
      <c r="D481" s="5">
        <v>-1.1310000000000001E-2</v>
      </c>
      <c r="E481" s="5">
        <v>1.2194999999999999E-2</v>
      </c>
      <c r="F481" s="5">
        <v>1000638</v>
      </c>
      <c r="G481" s="5">
        <v>1267111</v>
      </c>
      <c r="H481" s="5">
        <v>1580564</v>
      </c>
      <c r="I481" s="5">
        <v>0</v>
      </c>
      <c r="J481" s="5">
        <v>0</v>
      </c>
      <c r="L481">
        <f t="shared" si="45"/>
        <v>479</v>
      </c>
      <c r="M481">
        <f>'Real Analysis'!$B$3+B481/1000000</f>
        <v>9.6323450000054436</v>
      </c>
      <c r="N481">
        <f t="shared" si="46"/>
        <v>7</v>
      </c>
      <c r="O481">
        <f>IF(ABS(D481)&gt;1,D481/1000000,D481)*'Real Analysis'!$B$4</f>
        <v>-0.11095110000000001</v>
      </c>
      <c r="P481">
        <f>IF(ABS(E481)&gt;1,E481/1000000,E481)*'Real Analysis'!$B$4</f>
        <v>0.11963295</v>
      </c>
      <c r="Q481">
        <f>IF(ABS(F481)&gt;1,F481/1000000,F481)*'Real Analysis'!$B$4</f>
        <v>9.8162587800000001</v>
      </c>
      <c r="R481">
        <f t="shared" si="47"/>
        <v>1.2671110000000001</v>
      </c>
      <c r="S481">
        <f t="shared" si="48"/>
        <v>1.5805640000000001</v>
      </c>
      <c r="T481">
        <f t="shared" si="49"/>
        <v>0</v>
      </c>
      <c r="U481">
        <f t="shared" si="50"/>
        <v>0</v>
      </c>
    </row>
    <row r="482" spans="1:21" x14ac:dyDescent="0.3">
      <c r="A482" s="4">
        <v>480</v>
      </c>
      <c r="B482" s="4">
        <v>-96582351669</v>
      </c>
      <c r="C482" s="5">
        <v>7</v>
      </c>
      <c r="D482" s="5">
        <v>-8.9379999999999998E-3</v>
      </c>
      <c r="E482" s="5">
        <v>1.2343E-2</v>
      </c>
      <c r="F482" s="5">
        <v>1004991</v>
      </c>
      <c r="G482" s="5">
        <v>1341452</v>
      </c>
      <c r="H482" s="5">
        <v>1623072</v>
      </c>
      <c r="I482" s="5">
        <v>0</v>
      </c>
      <c r="J482" s="5">
        <v>0</v>
      </c>
      <c r="L482">
        <f t="shared" si="45"/>
        <v>480</v>
      </c>
      <c r="M482">
        <f>'Real Analysis'!$B$3+B482/1000000</f>
        <v>9.6483310000039637</v>
      </c>
      <c r="N482">
        <f t="shared" si="46"/>
        <v>7</v>
      </c>
      <c r="O482">
        <f>IF(ABS(D482)&gt;1,D482/1000000,D482)*'Real Analysis'!$B$4</f>
        <v>-8.7681780000000001E-2</v>
      </c>
      <c r="P482">
        <f>IF(ABS(E482)&gt;1,E482/1000000,E482)*'Real Analysis'!$B$4</f>
        <v>0.12108483</v>
      </c>
      <c r="Q482">
        <f>IF(ABS(F482)&gt;1,F482/1000000,F482)*'Real Analysis'!$B$4</f>
        <v>9.8589617100000009</v>
      </c>
      <c r="R482">
        <f t="shared" si="47"/>
        <v>1.3414520000000001</v>
      </c>
      <c r="S482">
        <f t="shared" si="48"/>
        <v>1.6230720000000001</v>
      </c>
      <c r="T482">
        <f t="shared" si="49"/>
        <v>0</v>
      </c>
      <c r="U482">
        <f t="shared" si="50"/>
        <v>0</v>
      </c>
    </row>
    <row r="483" spans="1:21" x14ac:dyDescent="0.3">
      <c r="A483" s="4">
        <v>481</v>
      </c>
      <c r="B483" s="4">
        <v>-96582329749</v>
      </c>
      <c r="C483" s="5">
        <v>7</v>
      </c>
      <c r="D483" s="5">
        <v>-5.2220000000000001E-3</v>
      </c>
      <c r="E483" s="5">
        <v>1.2298E-2</v>
      </c>
      <c r="F483" s="5">
        <v>1004810</v>
      </c>
      <c r="G483" s="5">
        <v>1616640</v>
      </c>
      <c r="H483" s="5">
        <v>1645914</v>
      </c>
      <c r="I483" s="5">
        <v>0</v>
      </c>
      <c r="J483" s="5">
        <v>0</v>
      </c>
      <c r="L483">
        <f t="shared" si="45"/>
        <v>481</v>
      </c>
      <c r="M483">
        <f>'Real Analysis'!$B$3+B483/1000000</f>
        <v>9.6702510000031907</v>
      </c>
      <c r="N483">
        <f t="shared" si="46"/>
        <v>7</v>
      </c>
      <c r="O483">
        <f>IF(ABS(D483)&gt;1,D483/1000000,D483)*'Real Analysis'!$B$4</f>
        <v>-5.122782E-2</v>
      </c>
      <c r="P483">
        <f>IF(ABS(E483)&gt;1,E483/1000000,E483)*'Real Analysis'!$B$4</f>
        <v>0.12064338000000001</v>
      </c>
      <c r="Q483">
        <f>IF(ABS(F483)&gt;1,F483/1000000,F483)*'Real Analysis'!$B$4</f>
        <v>9.8571860999999998</v>
      </c>
      <c r="R483">
        <f t="shared" si="47"/>
        <v>1.6166400000000001</v>
      </c>
      <c r="S483">
        <f t="shared" si="48"/>
        <v>1.6459140000000001</v>
      </c>
      <c r="T483">
        <f t="shared" si="49"/>
        <v>0</v>
      </c>
      <c r="U483">
        <f t="shared" si="50"/>
        <v>0</v>
      </c>
    </row>
    <row r="484" spans="1:21" x14ac:dyDescent="0.3">
      <c r="A484" s="4">
        <v>482</v>
      </c>
      <c r="B484" s="4">
        <v>-96582308366</v>
      </c>
      <c r="C484" s="5">
        <v>7</v>
      </c>
      <c r="D484" s="5">
        <v>-5.777E-3</v>
      </c>
      <c r="E484" s="5">
        <v>1.2357E-2</v>
      </c>
      <c r="F484" s="5">
        <v>1004132</v>
      </c>
      <c r="G484" s="5">
        <v>1964138</v>
      </c>
      <c r="H484" s="5">
        <v>1648475</v>
      </c>
      <c r="I484" s="5">
        <v>0</v>
      </c>
      <c r="J484" s="5">
        <v>0</v>
      </c>
      <c r="L484">
        <f t="shared" si="45"/>
        <v>482</v>
      </c>
      <c r="M484">
        <f>'Real Analysis'!$B$3+B484/1000000</f>
        <v>9.691634000002523</v>
      </c>
      <c r="N484">
        <f t="shared" si="46"/>
        <v>7</v>
      </c>
      <c r="O484">
        <f>IF(ABS(D484)&gt;1,D484/1000000,D484)*'Real Analysis'!$B$4</f>
        <v>-5.667237E-2</v>
      </c>
      <c r="P484">
        <f>IF(ABS(E484)&gt;1,E484/1000000,E484)*'Real Analysis'!$B$4</f>
        <v>0.12122217</v>
      </c>
      <c r="Q484">
        <f>IF(ABS(F484)&gt;1,F484/1000000,F484)*'Real Analysis'!$B$4</f>
        <v>9.8505349200000012</v>
      </c>
      <c r="R484">
        <f t="shared" si="47"/>
        <v>1.9641379999999999</v>
      </c>
      <c r="S484">
        <f t="shared" si="48"/>
        <v>1.6484749999999999</v>
      </c>
      <c r="T484">
        <f t="shared" si="49"/>
        <v>0</v>
      </c>
      <c r="U484">
        <f t="shared" si="50"/>
        <v>0</v>
      </c>
    </row>
    <row r="485" spans="1:21" x14ac:dyDescent="0.3">
      <c r="A485" s="4">
        <v>483</v>
      </c>
      <c r="B485" s="4">
        <v>-96582291107</v>
      </c>
      <c r="C485" s="5">
        <v>7</v>
      </c>
      <c r="D485" s="5">
        <v>-8.2819999999999994E-3</v>
      </c>
      <c r="E485" s="5">
        <v>1.2401000000000001E-2</v>
      </c>
      <c r="F485" s="5">
        <v>1004259</v>
      </c>
      <c r="G485" s="5">
        <v>1979487</v>
      </c>
      <c r="H485" s="5">
        <v>1646416</v>
      </c>
      <c r="I485" s="5">
        <v>0</v>
      </c>
      <c r="J485" s="5">
        <v>0</v>
      </c>
      <c r="L485">
        <f t="shared" si="45"/>
        <v>483</v>
      </c>
      <c r="M485">
        <f>'Real Analysis'!$B$3+B485/1000000</f>
        <v>9.7088930000027176</v>
      </c>
      <c r="N485">
        <f t="shared" si="46"/>
        <v>7</v>
      </c>
      <c r="O485">
        <f>IF(ABS(D485)&gt;1,D485/1000000,D485)*'Real Analysis'!$B$4</f>
        <v>-8.124642E-2</v>
      </c>
      <c r="P485">
        <f>IF(ABS(E485)&gt;1,E485/1000000,E485)*'Real Analysis'!$B$4</f>
        <v>0.12165381000000001</v>
      </c>
      <c r="Q485">
        <f>IF(ABS(F485)&gt;1,F485/1000000,F485)*'Real Analysis'!$B$4</f>
        <v>9.8517807900000012</v>
      </c>
      <c r="R485">
        <f t="shared" si="47"/>
        <v>1.979487</v>
      </c>
      <c r="S485">
        <f t="shared" si="48"/>
        <v>1.6464160000000001</v>
      </c>
      <c r="T485">
        <f t="shared" si="49"/>
        <v>0</v>
      </c>
      <c r="U485">
        <f t="shared" si="50"/>
        <v>0</v>
      </c>
    </row>
    <row r="486" spans="1:21" x14ac:dyDescent="0.3">
      <c r="A486" s="4">
        <v>484</v>
      </c>
      <c r="B486" s="4">
        <v>-96582269171</v>
      </c>
      <c r="C486" s="5">
        <v>7</v>
      </c>
      <c r="D486" s="5">
        <v>-1.1865000000000001E-2</v>
      </c>
      <c r="E486" s="5">
        <v>1.2126E-2</v>
      </c>
      <c r="F486" s="5">
        <v>0.99541900000000005</v>
      </c>
      <c r="G486" s="5">
        <v>1380171</v>
      </c>
      <c r="H486" s="5">
        <v>1614642</v>
      </c>
      <c r="I486" s="5">
        <v>0</v>
      </c>
      <c r="J486" s="5">
        <v>0</v>
      </c>
      <c r="L486">
        <f t="shared" si="45"/>
        <v>484</v>
      </c>
      <c r="M486">
        <f>'Real Analysis'!$B$3+B486/1000000</f>
        <v>9.7308289999928093</v>
      </c>
      <c r="N486">
        <f t="shared" si="46"/>
        <v>7</v>
      </c>
      <c r="O486">
        <f>IF(ABS(D486)&gt;1,D486/1000000,D486)*'Real Analysis'!$B$4</f>
        <v>-0.11639565000000002</v>
      </c>
      <c r="P486">
        <f>IF(ABS(E486)&gt;1,E486/1000000,E486)*'Real Analysis'!$B$4</f>
        <v>0.11895606</v>
      </c>
      <c r="Q486">
        <f>IF(ABS(F486)&gt;1,F486/1000000,F486)*'Real Analysis'!$B$4</f>
        <v>9.7650603900000004</v>
      </c>
      <c r="R486">
        <f t="shared" si="47"/>
        <v>1.380171</v>
      </c>
      <c r="S486">
        <f t="shared" si="48"/>
        <v>1.6146419999999999</v>
      </c>
      <c r="T486">
        <f t="shared" si="49"/>
        <v>0</v>
      </c>
      <c r="U486">
        <f t="shared" si="50"/>
        <v>0</v>
      </c>
    </row>
    <row r="487" spans="1:21" x14ac:dyDescent="0.3">
      <c r="A487" s="4">
        <v>485</v>
      </c>
      <c r="B487" s="4">
        <v>-96582249150</v>
      </c>
      <c r="C487" s="5">
        <v>7</v>
      </c>
      <c r="D487" s="5">
        <v>-6.0299999999999998E-3</v>
      </c>
      <c r="E487" s="5">
        <v>1.0368E-2</v>
      </c>
      <c r="F487" s="5">
        <v>1005229</v>
      </c>
      <c r="G487" s="5">
        <v>1369590</v>
      </c>
      <c r="H487" s="5">
        <v>1501879</v>
      </c>
      <c r="I487" s="5">
        <v>0</v>
      </c>
      <c r="J487" s="5">
        <v>0</v>
      </c>
      <c r="L487">
        <f t="shared" si="45"/>
        <v>485</v>
      </c>
      <c r="M487">
        <f>'Real Analysis'!$B$3+B487/1000000</f>
        <v>9.7508499999967171</v>
      </c>
      <c r="N487">
        <f t="shared" si="46"/>
        <v>7</v>
      </c>
      <c r="O487">
        <f>IF(ABS(D487)&gt;1,D487/1000000,D487)*'Real Analysis'!$B$4</f>
        <v>-5.91543E-2</v>
      </c>
      <c r="P487">
        <f>IF(ABS(E487)&gt;1,E487/1000000,E487)*'Real Analysis'!$B$4</f>
        <v>0.10171008000000001</v>
      </c>
      <c r="Q487">
        <f>IF(ABS(F487)&gt;1,F487/1000000,F487)*'Real Analysis'!$B$4</f>
        <v>9.8612964899999991</v>
      </c>
      <c r="R487">
        <f t="shared" si="47"/>
        <v>1.3695900000000001</v>
      </c>
      <c r="S487">
        <f t="shared" si="48"/>
        <v>1.501879</v>
      </c>
      <c r="T487">
        <f t="shared" si="49"/>
        <v>0</v>
      </c>
      <c r="U487">
        <f t="shared" si="50"/>
        <v>0</v>
      </c>
    </row>
    <row r="488" spans="1:21" x14ac:dyDescent="0.3">
      <c r="A488" s="4">
        <v>486</v>
      </c>
      <c r="B488" s="4">
        <v>-96582223660</v>
      </c>
      <c r="C488" s="5">
        <v>7</v>
      </c>
      <c r="D488" s="5">
        <v>-8.5550000000000001E-3</v>
      </c>
      <c r="E488" s="5">
        <v>1.3636000000000001E-2</v>
      </c>
      <c r="F488" s="5">
        <v>1003934</v>
      </c>
      <c r="G488" s="5">
        <v>1656522</v>
      </c>
      <c r="H488" s="5">
        <v>1472980</v>
      </c>
      <c r="I488" s="5">
        <v>0</v>
      </c>
      <c r="J488" s="5">
        <v>0</v>
      </c>
      <c r="L488">
        <f t="shared" si="45"/>
        <v>486</v>
      </c>
      <c r="M488">
        <f>'Real Analysis'!$B$3+B488/1000000</f>
        <v>9.7763399999967078</v>
      </c>
      <c r="N488">
        <f t="shared" si="46"/>
        <v>7</v>
      </c>
      <c r="O488">
        <f>IF(ABS(D488)&gt;1,D488/1000000,D488)*'Real Analysis'!$B$4</f>
        <v>-8.3924550000000001E-2</v>
      </c>
      <c r="P488">
        <f>IF(ABS(E488)&gt;1,E488/1000000,E488)*'Real Analysis'!$B$4</f>
        <v>0.13376916000000003</v>
      </c>
      <c r="Q488">
        <f>IF(ABS(F488)&gt;1,F488/1000000,F488)*'Real Analysis'!$B$4</f>
        <v>9.8485925400000021</v>
      </c>
      <c r="R488">
        <f t="shared" si="47"/>
        <v>1.656522</v>
      </c>
      <c r="S488">
        <f t="shared" si="48"/>
        <v>1.47298</v>
      </c>
      <c r="T488">
        <f t="shared" si="49"/>
        <v>0</v>
      </c>
      <c r="U488">
        <f t="shared" si="50"/>
        <v>0</v>
      </c>
    </row>
    <row r="489" spans="1:21" x14ac:dyDescent="0.3">
      <c r="A489" s="4">
        <v>487</v>
      </c>
      <c r="B489" s="4">
        <v>-96582208201</v>
      </c>
      <c r="C489" s="5">
        <v>7</v>
      </c>
      <c r="D489" s="5">
        <v>-9.0609999999999996E-3</v>
      </c>
      <c r="E489" s="5">
        <v>1.1429999999999999E-2</v>
      </c>
      <c r="F489" s="5">
        <v>1004113</v>
      </c>
      <c r="G489" s="5">
        <v>1631786</v>
      </c>
      <c r="H489" s="5">
        <v>1455769</v>
      </c>
      <c r="I489" s="5">
        <v>0</v>
      </c>
      <c r="J489" s="5">
        <v>0</v>
      </c>
      <c r="L489">
        <f t="shared" si="45"/>
        <v>487</v>
      </c>
      <c r="M489">
        <f>'Real Analysis'!$B$3+B489/1000000</f>
        <v>9.7917989999987185</v>
      </c>
      <c r="N489">
        <f t="shared" si="46"/>
        <v>7</v>
      </c>
      <c r="O489">
        <f>IF(ABS(D489)&gt;1,D489/1000000,D489)*'Real Analysis'!$B$4</f>
        <v>-8.8888410000000001E-2</v>
      </c>
      <c r="P489">
        <f>IF(ABS(E489)&gt;1,E489/1000000,E489)*'Real Analysis'!$B$4</f>
        <v>0.1121283</v>
      </c>
      <c r="Q489">
        <f>IF(ABS(F489)&gt;1,F489/1000000,F489)*'Real Analysis'!$B$4</f>
        <v>9.8503485300000015</v>
      </c>
      <c r="R489">
        <f t="shared" si="47"/>
        <v>1.631786</v>
      </c>
      <c r="S489">
        <f t="shared" si="48"/>
        <v>1.4557690000000001</v>
      </c>
      <c r="T489">
        <f t="shared" si="49"/>
        <v>0</v>
      </c>
      <c r="U489">
        <f t="shared" si="50"/>
        <v>0</v>
      </c>
    </row>
    <row r="490" spans="1:21" x14ac:dyDescent="0.3">
      <c r="A490" s="4">
        <v>488</v>
      </c>
      <c r="B490" s="4">
        <v>-96582188599</v>
      </c>
      <c r="C490" s="5">
        <v>7</v>
      </c>
      <c r="D490" s="5">
        <v>-5.2119999999999996E-3</v>
      </c>
      <c r="E490" s="5">
        <v>1.0503E-2</v>
      </c>
      <c r="F490" s="5">
        <v>1006122</v>
      </c>
      <c r="G490" s="5">
        <v>1776956</v>
      </c>
      <c r="H490" s="5">
        <v>1390188</v>
      </c>
      <c r="I490" s="5">
        <v>0</v>
      </c>
      <c r="J490" s="5">
        <v>0</v>
      </c>
      <c r="L490">
        <f t="shared" si="45"/>
        <v>488</v>
      </c>
      <c r="M490">
        <f>'Real Analysis'!$B$3+B490/1000000</f>
        <v>9.811400999999023</v>
      </c>
      <c r="N490">
        <f t="shared" si="46"/>
        <v>7</v>
      </c>
      <c r="O490">
        <f>IF(ABS(D490)&gt;1,D490/1000000,D490)*'Real Analysis'!$B$4</f>
        <v>-5.1129719999999997E-2</v>
      </c>
      <c r="P490">
        <f>IF(ABS(E490)&gt;1,E490/1000000,E490)*'Real Analysis'!$B$4</f>
        <v>0.10303443000000001</v>
      </c>
      <c r="Q490">
        <f>IF(ABS(F490)&gt;1,F490/1000000,F490)*'Real Analysis'!$B$4</f>
        <v>9.8700568200000003</v>
      </c>
      <c r="R490">
        <f t="shared" si="47"/>
        <v>1.776956</v>
      </c>
      <c r="S490">
        <f t="shared" si="48"/>
        <v>1.390188</v>
      </c>
      <c r="T490">
        <f t="shared" si="49"/>
        <v>0</v>
      </c>
      <c r="U490">
        <f t="shared" si="50"/>
        <v>0</v>
      </c>
    </row>
    <row r="491" spans="1:21" x14ac:dyDescent="0.3">
      <c r="A491" s="4">
        <v>489</v>
      </c>
      <c r="B491" s="4">
        <v>-96582167737</v>
      </c>
      <c r="C491" s="5">
        <v>7</v>
      </c>
      <c r="D491" s="5">
        <v>2.34E-4</v>
      </c>
      <c r="E491" s="5">
        <v>3.2550000000000001E-3</v>
      </c>
      <c r="F491" s="5">
        <v>1005334</v>
      </c>
      <c r="G491" s="5">
        <v>2340883</v>
      </c>
      <c r="H491" s="5">
        <v>1169650</v>
      </c>
      <c r="I491" s="5">
        <v>0</v>
      </c>
      <c r="J491" s="5">
        <v>0</v>
      </c>
      <c r="L491">
        <f t="shared" si="45"/>
        <v>489</v>
      </c>
      <c r="M491">
        <f>'Real Analysis'!$B$3+B491/1000000</f>
        <v>9.8322630000038771</v>
      </c>
      <c r="N491">
        <f t="shared" si="46"/>
        <v>7</v>
      </c>
      <c r="O491">
        <f>IF(ABS(D491)&gt;1,D491/1000000,D491)*'Real Analysis'!$B$4</f>
        <v>2.29554E-3</v>
      </c>
      <c r="P491">
        <f>IF(ABS(E491)&gt;1,E491/1000000,E491)*'Real Analysis'!$B$4</f>
        <v>3.1931550000000003E-2</v>
      </c>
      <c r="Q491">
        <f>IF(ABS(F491)&gt;1,F491/1000000,F491)*'Real Analysis'!$B$4</f>
        <v>9.8623265399999998</v>
      </c>
      <c r="R491">
        <f t="shared" si="47"/>
        <v>2.3408829999999998</v>
      </c>
      <c r="S491">
        <f t="shared" si="48"/>
        <v>1.1696500000000001</v>
      </c>
      <c r="T491">
        <f t="shared" si="49"/>
        <v>0</v>
      </c>
      <c r="U491">
        <f t="shared" si="50"/>
        <v>0</v>
      </c>
    </row>
    <row r="492" spans="1:21" x14ac:dyDescent="0.3">
      <c r="A492" s="4">
        <v>490</v>
      </c>
      <c r="B492" s="4">
        <v>-96582152722</v>
      </c>
      <c r="C492" s="5">
        <v>7</v>
      </c>
      <c r="D492" s="5">
        <v>-1.044E-3</v>
      </c>
      <c r="E492" s="5">
        <v>1.532E-2</v>
      </c>
      <c r="F492" s="5">
        <v>1005795</v>
      </c>
      <c r="G492" s="5">
        <v>2299465</v>
      </c>
      <c r="H492" s="5">
        <v>1296431</v>
      </c>
      <c r="I492" s="5">
        <v>0</v>
      </c>
      <c r="J492" s="5">
        <v>0</v>
      </c>
      <c r="L492">
        <f t="shared" si="45"/>
        <v>490</v>
      </c>
      <c r="M492">
        <f>'Real Analysis'!$B$3+B492/1000000</f>
        <v>9.8472780000010971</v>
      </c>
      <c r="N492">
        <f t="shared" si="46"/>
        <v>7</v>
      </c>
      <c r="O492">
        <f>IF(ABS(D492)&gt;1,D492/1000000,D492)*'Real Analysis'!$B$4</f>
        <v>-1.024164E-2</v>
      </c>
      <c r="P492">
        <f>IF(ABS(E492)&gt;1,E492/1000000,E492)*'Real Analysis'!$B$4</f>
        <v>0.15028920000000001</v>
      </c>
      <c r="Q492">
        <f>IF(ABS(F492)&gt;1,F492/1000000,F492)*'Real Analysis'!$B$4</f>
        <v>9.8668489499999996</v>
      </c>
      <c r="R492">
        <f t="shared" si="47"/>
        <v>2.2994650000000001</v>
      </c>
      <c r="S492">
        <f t="shared" si="48"/>
        <v>1.2964309999999999</v>
      </c>
      <c r="T492">
        <f t="shared" si="49"/>
        <v>0</v>
      </c>
      <c r="U492">
        <f t="shared" si="50"/>
        <v>0</v>
      </c>
    </row>
    <row r="493" spans="1:21" x14ac:dyDescent="0.3">
      <c r="A493" s="4">
        <v>491</v>
      </c>
      <c r="B493" s="4">
        <v>-96582127981</v>
      </c>
      <c r="C493" s="5">
        <v>7</v>
      </c>
      <c r="D493" s="5">
        <v>8.2249999999999997E-3</v>
      </c>
      <c r="E493" s="5">
        <v>1.2338999999999999E-2</v>
      </c>
      <c r="F493" s="5">
        <v>1004597</v>
      </c>
      <c r="G493" s="5">
        <v>2654000</v>
      </c>
      <c r="H493" s="5">
        <v>0.79445500000000002</v>
      </c>
      <c r="I493" s="5">
        <v>0</v>
      </c>
      <c r="J493" s="5">
        <v>0</v>
      </c>
      <c r="L493">
        <f t="shared" si="45"/>
        <v>491</v>
      </c>
      <c r="M493">
        <f>'Real Analysis'!$B$3+B493/1000000</f>
        <v>9.872019000002183</v>
      </c>
      <c r="N493">
        <f t="shared" si="46"/>
        <v>7</v>
      </c>
      <c r="O493">
        <f>IF(ABS(D493)&gt;1,D493/1000000,D493)*'Real Analysis'!$B$4</f>
        <v>8.0687250000000002E-2</v>
      </c>
      <c r="P493">
        <f>IF(ABS(E493)&gt;1,E493/1000000,E493)*'Real Analysis'!$B$4</f>
        <v>0.12104558999999999</v>
      </c>
      <c r="Q493">
        <f>IF(ABS(F493)&gt;1,F493/1000000,F493)*'Real Analysis'!$B$4</f>
        <v>9.8550965700000006</v>
      </c>
      <c r="R493">
        <f t="shared" si="47"/>
        <v>2.6539999999999999</v>
      </c>
      <c r="S493">
        <f t="shared" si="48"/>
        <v>0.79445500000000002</v>
      </c>
      <c r="T493">
        <f t="shared" si="49"/>
        <v>0</v>
      </c>
      <c r="U493">
        <f t="shared" si="50"/>
        <v>0</v>
      </c>
    </row>
    <row r="494" spans="1:21" x14ac:dyDescent="0.3">
      <c r="A494" s="4">
        <v>492</v>
      </c>
      <c r="B494" s="4">
        <v>-96582118225</v>
      </c>
      <c r="C494" s="5">
        <v>7</v>
      </c>
      <c r="D494" s="5">
        <v>1.0278000000000001E-2</v>
      </c>
      <c r="E494" s="5">
        <v>6.6090000000000003E-3</v>
      </c>
      <c r="F494" s="5">
        <v>1013766</v>
      </c>
      <c r="G494" s="5">
        <v>2973409</v>
      </c>
      <c r="H494" s="5">
        <v>0.77305999999999997</v>
      </c>
      <c r="I494" s="5">
        <v>0</v>
      </c>
      <c r="J494" s="5">
        <v>0</v>
      </c>
      <c r="L494">
        <f t="shared" si="45"/>
        <v>492</v>
      </c>
      <c r="M494">
        <f>'Real Analysis'!$B$3+B494/1000000</f>
        <v>9.8817750000016531</v>
      </c>
      <c r="N494">
        <f t="shared" si="46"/>
        <v>7</v>
      </c>
      <c r="O494">
        <f>IF(ABS(D494)&gt;1,D494/1000000,D494)*'Real Analysis'!$B$4</f>
        <v>0.10082718000000002</v>
      </c>
      <c r="P494">
        <f>IF(ABS(E494)&gt;1,E494/1000000,E494)*'Real Analysis'!$B$4</f>
        <v>6.4834290000000003E-2</v>
      </c>
      <c r="Q494">
        <f>IF(ABS(F494)&gt;1,F494/1000000,F494)*'Real Analysis'!$B$4</f>
        <v>9.9450444600000001</v>
      </c>
      <c r="R494">
        <f t="shared" si="47"/>
        <v>2.9734090000000002</v>
      </c>
      <c r="S494">
        <f t="shared" si="48"/>
        <v>0.77305999999999997</v>
      </c>
      <c r="T494">
        <f t="shared" si="49"/>
        <v>0</v>
      </c>
      <c r="U494">
        <f t="shared" si="50"/>
        <v>0</v>
      </c>
    </row>
    <row r="495" spans="1:21" x14ac:dyDescent="0.3">
      <c r="A495" s="4">
        <v>493</v>
      </c>
      <c r="B495" s="4">
        <v>-96582092245</v>
      </c>
      <c r="C495" s="5">
        <v>7</v>
      </c>
      <c r="D495" s="5">
        <v>1.8822999999999999E-2</v>
      </c>
      <c r="E495" s="5">
        <v>9.9170000000000005E-3</v>
      </c>
      <c r="F495" s="5">
        <v>1002026</v>
      </c>
      <c r="G495" s="5">
        <v>3281424</v>
      </c>
      <c r="H495" s="5">
        <v>0.87927100000000002</v>
      </c>
      <c r="I495" s="5">
        <v>0</v>
      </c>
      <c r="J495" s="5">
        <v>0</v>
      </c>
      <c r="L495">
        <f t="shared" si="45"/>
        <v>493</v>
      </c>
      <c r="M495">
        <f>'Real Analysis'!$B$3+B495/1000000</f>
        <v>9.9077549999929033</v>
      </c>
      <c r="N495">
        <f t="shared" si="46"/>
        <v>7</v>
      </c>
      <c r="O495">
        <f>IF(ABS(D495)&gt;1,D495/1000000,D495)*'Real Analysis'!$B$4</f>
        <v>0.18465363000000001</v>
      </c>
      <c r="P495">
        <f>IF(ABS(E495)&gt;1,E495/1000000,E495)*'Real Analysis'!$B$4</f>
        <v>9.7285770000000008E-2</v>
      </c>
      <c r="Q495">
        <f>IF(ABS(F495)&gt;1,F495/1000000,F495)*'Real Analysis'!$B$4</f>
        <v>9.8298750600000009</v>
      </c>
      <c r="R495">
        <f t="shared" si="47"/>
        <v>3.2814239999999999</v>
      </c>
      <c r="S495">
        <f t="shared" si="48"/>
        <v>0.87927100000000002</v>
      </c>
      <c r="T495">
        <f t="shared" si="49"/>
        <v>0</v>
      </c>
      <c r="U495">
        <f t="shared" si="50"/>
        <v>0</v>
      </c>
    </row>
    <row r="496" spans="1:21" x14ac:dyDescent="0.3">
      <c r="A496" s="4">
        <v>494</v>
      </c>
      <c r="B496" s="4">
        <v>-96582073031</v>
      </c>
      <c r="C496" s="5">
        <v>7</v>
      </c>
      <c r="D496" s="5">
        <v>-7.6769999999999998E-3</v>
      </c>
      <c r="E496" s="5">
        <v>1.7142000000000001E-2</v>
      </c>
      <c r="F496" s="5">
        <v>1009189</v>
      </c>
      <c r="G496" s="5">
        <v>3013753</v>
      </c>
      <c r="H496" s="5">
        <v>1144004</v>
      </c>
      <c r="I496" s="5">
        <v>0</v>
      </c>
      <c r="J496" s="5">
        <v>0</v>
      </c>
      <c r="L496">
        <f t="shared" si="45"/>
        <v>494</v>
      </c>
      <c r="M496">
        <f>'Real Analysis'!$B$3+B496/1000000</f>
        <v>9.9269689999928232</v>
      </c>
      <c r="N496">
        <f t="shared" si="46"/>
        <v>7</v>
      </c>
      <c r="O496">
        <f>IF(ABS(D496)&gt;1,D496/1000000,D496)*'Real Analysis'!$B$4</f>
        <v>-7.5311370000000002E-2</v>
      </c>
      <c r="P496">
        <f>IF(ABS(E496)&gt;1,E496/1000000,E496)*'Real Analysis'!$B$4</f>
        <v>0.16816302000000002</v>
      </c>
      <c r="Q496">
        <f>IF(ABS(F496)&gt;1,F496/1000000,F496)*'Real Analysis'!$B$4</f>
        <v>9.9001440899999995</v>
      </c>
      <c r="R496">
        <f t="shared" si="47"/>
        <v>3.0137529999999999</v>
      </c>
      <c r="S496">
        <f t="shared" si="48"/>
        <v>1.144004</v>
      </c>
      <c r="T496">
        <f t="shared" si="49"/>
        <v>0</v>
      </c>
      <c r="U496">
        <f t="shared" si="50"/>
        <v>0</v>
      </c>
    </row>
    <row r="497" spans="1:21" x14ac:dyDescent="0.3">
      <c r="A497" s="4">
        <v>495</v>
      </c>
      <c r="B497" s="4">
        <v>-96582052966</v>
      </c>
      <c r="C497" s="5">
        <v>7</v>
      </c>
      <c r="D497" s="5">
        <v>-2.356E-3</v>
      </c>
      <c r="E497" s="5">
        <v>7.1780000000000004E-3</v>
      </c>
      <c r="F497" s="5">
        <v>1012863</v>
      </c>
      <c r="G497" s="5">
        <v>2641151</v>
      </c>
      <c r="H497" s="5">
        <v>1010246</v>
      </c>
      <c r="I497" s="5">
        <v>0</v>
      </c>
      <c r="J497" s="5">
        <v>0</v>
      </c>
      <c r="L497">
        <f t="shared" si="45"/>
        <v>495</v>
      </c>
      <c r="M497">
        <f>'Real Analysis'!$B$3+B497/1000000</f>
        <v>9.9470339999970747</v>
      </c>
      <c r="N497">
        <f t="shared" si="46"/>
        <v>7</v>
      </c>
      <c r="O497">
        <f>IF(ABS(D497)&gt;1,D497/1000000,D497)*'Real Analysis'!$B$4</f>
        <v>-2.3112360000000002E-2</v>
      </c>
      <c r="P497">
        <f>IF(ABS(E497)&gt;1,E497/1000000,E497)*'Real Analysis'!$B$4</f>
        <v>7.0416180000000009E-2</v>
      </c>
      <c r="Q497">
        <f>IF(ABS(F497)&gt;1,F497/1000000,F497)*'Real Analysis'!$B$4</f>
        <v>9.9361860300000018</v>
      </c>
      <c r="R497">
        <f t="shared" si="47"/>
        <v>2.6411509999999998</v>
      </c>
      <c r="S497">
        <f t="shared" si="48"/>
        <v>1.010246</v>
      </c>
      <c r="T497">
        <f t="shared" si="49"/>
        <v>0</v>
      </c>
      <c r="U497">
        <f t="shared" si="50"/>
        <v>0</v>
      </c>
    </row>
    <row r="498" spans="1:21" x14ac:dyDescent="0.3">
      <c r="A498" s="4">
        <v>496</v>
      </c>
      <c r="B498" s="4">
        <v>-96582027291</v>
      </c>
      <c r="C498" s="5">
        <v>7</v>
      </c>
      <c r="D498" s="5">
        <v>5.2729999999999999E-3</v>
      </c>
      <c r="E498" s="5">
        <v>1.4189999999999999E-3</v>
      </c>
      <c r="F498" s="5">
        <v>1007185</v>
      </c>
      <c r="G498" s="5">
        <v>2376149</v>
      </c>
      <c r="H498" s="5">
        <v>4.1667999999999997E-2</v>
      </c>
      <c r="I498" s="5">
        <v>0</v>
      </c>
      <c r="J498" s="5">
        <v>0</v>
      </c>
      <c r="L498">
        <f t="shared" si="45"/>
        <v>496</v>
      </c>
      <c r="M498">
        <f>'Real Analysis'!$B$3+B498/1000000</f>
        <v>9.9727089999942109</v>
      </c>
      <c r="N498">
        <f t="shared" si="46"/>
        <v>7</v>
      </c>
      <c r="O498">
        <f>IF(ABS(D498)&gt;1,D498/1000000,D498)*'Real Analysis'!$B$4</f>
        <v>5.1728130000000004E-2</v>
      </c>
      <c r="P498">
        <f>IF(ABS(E498)&gt;1,E498/1000000,E498)*'Real Analysis'!$B$4</f>
        <v>1.392039E-2</v>
      </c>
      <c r="Q498">
        <f>IF(ABS(F498)&gt;1,F498/1000000,F498)*'Real Analysis'!$B$4</f>
        <v>9.8804848500000002</v>
      </c>
      <c r="R498">
        <f t="shared" si="47"/>
        <v>2.3761489999999998</v>
      </c>
      <c r="S498">
        <f t="shared" si="48"/>
        <v>4.1667999999999997E-2</v>
      </c>
      <c r="T498">
        <f t="shared" si="49"/>
        <v>0</v>
      </c>
      <c r="U498">
        <f t="shared" si="50"/>
        <v>0</v>
      </c>
    </row>
    <row r="499" spans="1:21" x14ac:dyDescent="0.3">
      <c r="A499" s="4">
        <v>497</v>
      </c>
      <c r="B499" s="4">
        <v>-96582011595</v>
      </c>
      <c r="C499" s="5">
        <v>7</v>
      </c>
      <c r="D499" s="5">
        <v>-7.0130000000000001E-3</v>
      </c>
      <c r="E499" s="5">
        <v>3.6280000000000001E-3</v>
      </c>
      <c r="F499" s="5">
        <v>1007355</v>
      </c>
      <c r="G499" s="5">
        <v>2075810</v>
      </c>
      <c r="H499" s="5">
        <v>1.2359999999999999E-3</v>
      </c>
      <c r="I499" s="5">
        <v>0</v>
      </c>
      <c r="J499" s="5">
        <v>0</v>
      </c>
      <c r="L499">
        <f t="shared" si="45"/>
        <v>497</v>
      </c>
      <c r="M499">
        <f>'Real Analysis'!$B$3+B499/1000000</f>
        <v>9.9884049999964191</v>
      </c>
      <c r="N499">
        <f t="shared" si="46"/>
        <v>7</v>
      </c>
      <c r="O499">
        <f>IF(ABS(D499)&gt;1,D499/1000000,D499)*'Real Analysis'!$B$4</f>
        <v>-6.879753000000001E-2</v>
      </c>
      <c r="P499">
        <f>IF(ABS(E499)&gt;1,E499/1000000,E499)*'Real Analysis'!$B$4</f>
        <v>3.5590680000000006E-2</v>
      </c>
      <c r="Q499">
        <f>IF(ABS(F499)&gt;1,F499/1000000,F499)*'Real Analysis'!$B$4</f>
        <v>9.8821525500000007</v>
      </c>
      <c r="R499">
        <f t="shared" si="47"/>
        <v>2.0758100000000002</v>
      </c>
      <c r="S499">
        <f t="shared" si="48"/>
        <v>1.2359999999999999E-3</v>
      </c>
      <c r="T499">
        <f t="shared" si="49"/>
        <v>0</v>
      </c>
      <c r="U499">
        <f t="shared" si="50"/>
        <v>0</v>
      </c>
    </row>
    <row r="500" spans="1:21" x14ac:dyDescent="0.3">
      <c r="A500" s="4">
        <v>498</v>
      </c>
      <c r="B500" s="4">
        <v>-96581986857</v>
      </c>
      <c r="C500" s="5">
        <v>7</v>
      </c>
      <c r="D500" s="5">
        <v>-3.6640000000000002E-3</v>
      </c>
      <c r="E500" s="5">
        <v>1.4585000000000001E-2</v>
      </c>
      <c r="F500" s="5">
        <v>1004966</v>
      </c>
      <c r="G500" s="5">
        <v>1874230</v>
      </c>
      <c r="H500" s="5">
        <v>0.240928</v>
      </c>
      <c r="I500" s="5">
        <v>0</v>
      </c>
      <c r="J500" s="5">
        <v>0</v>
      </c>
      <c r="L500">
        <f t="shared" si="45"/>
        <v>498</v>
      </c>
      <c r="M500">
        <f>'Real Analysis'!$B$3+B500/1000000</f>
        <v>10.013143000003765</v>
      </c>
      <c r="N500">
        <f t="shared" si="46"/>
        <v>7</v>
      </c>
      <c r="O500">
        <f>IF(ABS(D500)&gt;1,D500/1000000,D500)*'Real Analysis'!$B$4</f>
        <v>-3.5943840000000005E-2</v>
      </c>
      <c r="P500">
        <f>IF(ABS(E500)&gt;1,E500/1000000,E500)*'Real Analysis'!$B$4</f>
        <v>0.14307885000000001</v>
      </c>
      <c r="Q500">
        <f>IF(ABS(F500)&gt;1,F500/1000000,F500)*'Real Analysis'!$B$4</f>
        <v>9.8587164600000001</v>
      </c>
      <c r="R500">
        <f t="shared" si="47"/>
        <v>1.8742300000000001</v>
      </c>
      <c r="S500">
        <f t="shared" si="48"/>
        <v>0.240928</v>
      </c>
      <c r="T500">
        <f t="shared" si="49"/>
        <v>0</v>
      </c>
      <c r="U500">
        <f t="shared" si="50"/>
        <v>0</v>
      </c>
    </row>
    <row r="501" spans="1:21" x14ac:dyDescent="0.3">
      <c r="A501" s="4">
        <v>499</v>
      </c>
      <c r="B501" s="4">
        <v>-96581972504</v>
      </c>
      <c r="C501" s="5">
        <v>7</v>
      </c>
      <c r="D501" s="5">
        <v>-5.3930000000000002E-3</v>
      </c>
      <c r="E501" s="5">
        <v>8.9770000000000006E-3</v>
      </c>
      <c r="F501" s="5">
        <v>1001844</v>
      </c>
      <c r="G501" s="5">
        <v>1877848</v>
      </c>
      <c r="H501" s="5">
        <v>5.8406E-2</v>
      </c>
      <c r="I501" s="5">
        <v>0</v>
      </c>
      <c r="J501" s="5">
        <v>0</v>
      </c>
      <c r="L501">
        <f t="shared" si="45"/>
        <v>499</v>
      </c>
      <c r="M501">
        <f>'Real Analysis'!$B$3+B501/1000000</f>
        <v>10.027495999995153</v>
      </c>
      <c r="N501">
        <f t="shared" si="46"/>
        <v>7</v>
      </c>
      <c r="O501">
        <f>IF(ABS(D501)&gt;1,D501/1000000,D501)*'Real Analysis'!$B$4</f>
        <v>-5.2905330000000007E-2</v>
      </c>
      <c r="P501">
        <f>IF(ABS(E501)&gt;1,E501/1000000,E501)*'Real Analysis'!$B$4</f>
        <v>8.8064370000000017E-2</v>
      </c>
      <c r="Q501">
        <f>IF(ABS(F501)&gt;1,F501/1000000,F501)*'Real Analysis'!$B$4</f>
        <v>9.82808964</v>
      </c>
      <c r="R501">
        <f t="shared" si="47"/>
        <v>1.877848</v>
      </c>
      <c r="S501">
        <f t="shared" si="48"/>
        <v>5.8406E-2</v>
      </c>
      <c r="T501">
        <f t="shared" si="49"/>
        <v>0</v>
      </c>
      <c r="U501">
        <f t="shared" si="50"/>
        <v>0</v>
      </c>
    </row>
    <row r="502" spans="1:21" x14ac:dyDescent="0.3">
      <c r="A502" s="4">
        <v>500</v>
      </c>
      <c r="B502" s="4">
        <v>-96581948167</v>
      </c>
      <c r="C502" s="5">
        <v>7</v>
      </c>
      <c r="D502" s="5">
        <v>4.28E-3</v>
      </c>
      <c r="E502" s="5">
        <v>1.427E-2</v>
      </c>
      <c r="F502" s="5">
        <v>1006177</v>
      </c>
      <c r="G502" s="5">
        <v>2263673</v>
      </c>
      <c r="H502" s="5">
        <v>0.98024100000000003</v>
      </c>
      <c r="I502" s="5">
        <v>0</v>
      </c>
      <c r="J502" s="5">
        <v>0</v>
      </c>
      <c r="L502">
        <f t="shared" si="45"/>
        <v>500</v>
      </c>
      <c r="M502">
        <f>'Real Analysis'!$B$3+B502/1000000</f>
        <v>10.05183300000499</v>
      </c>
      <c r="N502">
        <f t="shared" si="46"/>
        <v>7</v>
      </c>
      <c r="O502">
        <f>IF(ABS(D502)&gt;1,D502/1000000,D502)*'Real Analysis'!$B$4</f>
        <v>4.1986800000000005E-2</v>
      </c>
      <c r="P502">
        <f>IF(ABS(E502)&gt;1,E502/1000000,E502)*'Real Analysis'!$B$4</f>
        <v>0.13998869999999999</v>
      </c>
      <c r="Q502">
        <f>IF(ABS(F502)&gt;1,F502/1000000,F502)*'Real Analysis'!$B$4</f>
        <v>9.8705963700000012</v>
      </c>
      <c r="R502">
        <f t="shared" si="47"/>
        <v>2.2636729999999998</v>
      </c>
      <c r="S502">
        <f t="shared" si="48"/>
        <v>0.98024100000000003</v>
      </c>
      <c r="T502">
        <f t="shared" si="49"/>
        <v>0</v>
      </c>
      <c r="U502">
        <f t="shared" si="50"/>
        <v>0</v>
      </c>
    </row>
    <row r="503" spans="1:21" x14ac:dyDescent="0.3">
      <c r="A503" s="4">
        <v>501</v>
      </c>
      <c r="B503" s="4">
        <v>-96581931671</v>
      </c>
      <c r="C503" s="5">
        <v>7</v>
      </c>
      <c r="D503" s="5">
        <v>4.8250000000000003E-3</v>
      </c>
      <c r="E503" s="5">
        <v>1.0827E-2</v>
      </c>
      <c r="F503" s="5">
        <v>1010696</v>
      </c>
      <c r="G503" s="5">
        <v>2351628</v>
      </c>
      <c r="H503" s="5">
        <v>1049930</v>
      </c>
      <c r="I503" s="5">
        <v>0</v>
      </c>
      <c r="J503" s="5">
        <v>0</v>
      </c>
      <c r="L503">
        <f t="shared" si="45"/>
        <v>501</v>
      </c>
      <c r="M503">
        <f>'Real Analysis'!$B$3+B503/1000000</f>
        <v>10.06832900000154</v>
      </c>
      <c r="N503">
        <f t="shared" si="46"/>
        <v>7</v>
      </c>
      <c r="O503">
        <f>IF(ABS(D503)&gt;1,D503/1000000,D503)*'Real Analysis'!$B$4</f>
        <v>4.7333250000000007E-2</v>
      </c>
      <c r="P503">
        <f>IF(ABS(E503)&gt;1,E503/1000000,E503)*'Real Analysis'!$B$4</f>
        <v>0.10621287</v>
      </c>
      <c r="Q503">
        <f>IF(ABS(F503)&gt;1,F503/1000000,F503)*'Real Analysis'!$B$4</f>
        <v>9.9149277600000012</v>
      </c>
      <c r="R503">
        <f t="shared" si="47"/>
        <v>2.3516279999999998</v>
      </c>
      <c r="S503">
        <f t="shared" si="48"/>
        <v>1.04993</v>
      </c>
      <c r="T503">
        <f t="shared" si="49"/>
        <v>0</v>
      </c>
      <c r="U503">
        <f t="shared" si="50"/>
        <v>0</v>
      </c>
    </row>
    <row r="504" spans="1:21" x14ac:dyDescent="0.3">
      <c r="A504" s="4">
        <v>502</v>
      </c>
      <c r="B504" s="4">
        <v>-96581910484</v>
      </c>
      <c r="C504" s="5">
        <v>7</v>
      </c>
      <c r="D504" s="5">
        <v>-3.0950000000000001E-3</v>
      </c>
      <c r="E504" s="5">
        <v>1.4213E-2</v>
      </c>
      <c r="F504" s="5">
        <v>1010291</v>
      </c>
      <c r="G504" s="5">
        <v>2296498</v>
      </c>
      <c r="H504" s="5">
        <v>1235051</v>
      </c>
      <c r="I504" s="5">
        <v>0</v>
      </c>
      <c r="J504" s="5">
        <v>0</v>
      </c>
      <c r="L504">
        <f t="shared" si="45"/>
        <v>502</v>
      </c>
      <c r="M504">
        <f>'Real Analysis'!$B$3+B504/1000000</f>
        <v>10.089515999992727</v>
      </c>
      <c r="N504">
        <f t="shared" si="46"/>
        <v>7</v>
      </c>
      <c r="O504">
        <f>IF(ABS(D504)&gt;1,D504/1000000,D504)*'Real Analysis'!$B$4</f>
        <v>-3.0361950000000002E-2</v>
      </c>
      <c r="P504">
        <f>IF(ABS(E504)&gt;1,E504/1000000,E504)*'Real Analysis'!$B$4</f>
        <v>0.13942953</v>
      </c>
      <c r="Q504">
        <f>IF(ABS(F504)&gt;1,F504/1000000,F504)*'Real Analysis'!$B$4</f>
        <v>9.9109547100000004</v>
      </c>
      <c r="R504">
        <f t="shared" si="47"/>
        <v>2.2964980000000002</v>
      </c>
      <c r="S504">
        <f t="shared" si="48"/>
        <v>1.2350509999999999</v>
      </c>
      <c r="T504">
        <f t="shared" si="49"/>
        <v>0</v>
      </c>
      <c r="U504">
        <f t="shared" si="50"/>
        <v>0</v>
      </c>
    </row>
    <row r="505" spans="1:21" x14ac:dyDescent="0.3">
      <c r="A505" s="4">
        <v>503</v>
      </c>
      <c r="B505" s="4">
        <v>-96581890965</v>
      </c>
      <c r="C505" s="5">
        <v>7</v>
      </c>
      <c r="D505" s="5">
        <v>3.4459999999999998E-3</v>
      </c>
      <c r="E505" s="5">
        <v>1.0231000000000001E-2</v>
      </c>
      <c r="F505" s="5">
        <v>1009393</v>
      </c>
      <c r="G505" s="5">
        <v>2627303</v>
      </c>
      <c r="H505" s="5">
        <v>1065557</v>
      </c>
      <c r="I505" s="5">
        <v>0</v>
      </c>
      <c r="J505" s="5">
        <v>0</v>
      </c>
      <c r="L505">
        <f t="shared" si="45"/>
        <v>503</v>
      </c>
      <c r="M505">
        <f>'Real Analysis'!$B$3+B505/1000000</f>
        <v>10.109035000001313</v>
      </c>
      <c r="N505">
        <f t="shared" si="46"/>
        <v>7</v>
      </c>
      <c r="O505">
        <f>IF(ABS(D505)&gt;1,D505/1000000,D505)*'Real Analysis'!$B$4</f>
        <v>3.3805260000000004E-2</v>
      </c>
      <c r="P505">
        <f>IF(ABS(E505)&gt;1,E505/1000000,E505)*'Real Analysis'!$B$4</f>
        <v>0.10036611000000001</v>
      </c>
      <c r="Q505">
        <f>IF(ABS(F505)&gt;1,F505/1000000,F505)*'Real Analysis'!$B$4</f>
        <v>9.9021453299999997</v>
      </c>
      <c r="R505">
        <f t="shared" si="47"/>
        <v>2.6273029999999999</v>
      </c>
      <c r="S505">
        <f t="shared" si="48"/>
        <v>1.0655570000000001</v>
      </c>
      <c r="T505">
        <f t="shared" si="49"/>
        <v>0</v>
      </c>
      <c r="U505">
        <f t="shared" si="50"/>
        <v>0</v>
      </c>
    </row>
    <row r="506" spans="1:21" x14ac:dyDescent="0.3">
      <c r="A506" s="4">
        <v>504</v>
      </c>
      <c r="B506" s="4">
        <v>-96581868800</v>
      </c>
      <c r="C506" s="5">
        <v>7</v>
      </c>
      <c r="D506" s="5">
        <v>5.8199999999999997E-3</v>
      </c>
      <c r="E506" s="5">
        <v>3.8670000000000002E-3</v>
      </c>
      <c r="F506" s="5">
        <v>1004830</v>
      </c>
      <c r="G506" s="5">
        <v>2481788</v>
      </c>
      <c r="H506" s="5">
        <v>0.98707900000000004</v>
      </c>
      <c r="I506" s="5">
        <v>0</v>
      </c>
      <c r="J506" s="5">
        <v>0</v>
      </c>
      <c r="L506">
        <f t="shared" si="45"/>
        <v>504</v>
      </c>
      <c r="M506">
        <f>'Real Analysis'!$B$3+B506/1000000</f>
        <v>10.131200000003446</v>
      </c>
      <c r="N506">
        <f t="shared" si="46"/>
        <v>7</v>
      </c>
      <c r="O506">
        <f>IF(ABS(D506)&gt;1,D506/1000000,D506)*'Real Analysis'!$B$4</f>
        <v>5.7094199999999998E-2</v>
      </c>
      <c r="P506">
        <f>IF(ABS(E506)&gt;1,E506/1000000,E506)*'Real Analysis'!$B$4</f>
        <v>3.7935270000000007E-2</v>
      </c>
      <c r="Q506">
        <f>IF(ABS(F506)&gt;1,F506/1000000,F506)*'Real Analysis'!$B$4</f>
        <v>9.8573822999999994</v>
      </c>
      <c r="R506">
        <f t="shared" si="47"/>
        <v>2.4817879999999999</v>
      </c>
      <c r="S506">
        <f t="shared" si="48"/>
        <v>0.98707900000000004</v>
      </c>
      <c r="T506">
        <f t="shared" si="49"/>
        <v>0</v>
      </c>
      <c r="U506">
        <f t="shared" si="50"/>
        <v>0</v>
      </c>
    </row>
    <row r="507" spans="1:21" x14ac:dyDescent="0.3">
      <c r="A507" s="4">
        <v>505</v>
      </c>
      <c r="B507" s="4">
        <v>-96581851554</v>
      </c>
      <c r="C507" s="5">
        <v>7</v>
      </c>
      <c r="D507" s="5">
        <v>-2.3310000000000002E-3</v>
      </c>
      <c r="E507" s="5">
        <v>1.2459E-2</v>
      </c>
      <c r="F507" s="5">
        <v>1007027</v>
      </c>
      <c r="G507" s="5">
        <v>2390272</v>
      </c>
      <c r="H507" s="5">
        <v>1364386</v>
      </c>
      <c r="I507" s="5">
        <v>0</v>
      </c>
      <c r="J507" s="5">
        <v>0</v>
      </c>
      <c r="L507">
        <f t="shared" si="45"/>
        <v>505</v>
      </c>
      <c r="M507">
        <f>'Real Analysis'!$B$3+B507/1000000</f>
        <v>10.148446000006516</v>
      </c>
      <c r="N507">
        <f t="shared" si="46"/>
        <v>7</v>
      </c>
      <c r="O507">
        <f>IF(ABS(D507)&gt;1,D507/1000000,D507)*'Real Analysis'!$B$4</f>
        <v>-2.2867110000000003E-2</v>
      </c>
      <c r="P507">
        <f>IF(ABS(E507)&gt;1,E507/1000000,E507)*'Real Analysis'!$B$4</f>
        <v>0.12222279</v>
      </c>
      <c r="Q507">
        <f>IF(ABS(F507)&gt;1,F507/1000000,F507)*'Real Analysis'!$B$4</f>
        <v>9.8789348700000001</v>
      </c>
      <c r="R507">
        <f t="shared" si="47"/>
        <v>2.390272</v>
      </c>
      <c r="S507">
        <f t="shared" si="48"/>
        <v>1.3643860000000001</v>
      </c>
      <c r="T507">
        <f t="shared" si="49"/>
        <v>0</v>
      </c>
      <c r="U507">
        <f t="shared" si="50"/>
        <v>0</v>
      </c>
    </row>
    <row r="508" spans="1:21" x14ac:dyDescent="0.3">
      <c r="A508" s="4">
        <v>506</v>
      </c>
      <c r="B508" s="4">
        <v>-96581828335</v>
      </c>
      <c r="C508" s="5">
        <v>7</v>
      </c>
      <c r="D508" s="5">
        <v>-6.391E-3</v>
      </c>
      <c r="E508" s="5">
        <v>1.8655000000000001E-2</v>
      </c>
      <c r="F508" s="5">
        <v>1004868</v>
      </c>
      <c r="G508" s="5">
        <v>1928567</v>
      </c>
      <c r="H508" s="5">
        <v>1412408</v>
      </c>
      <c r="I508" s="5">
        <v>0</v>
      </c>
      <c r="J508" s="5">
        <v>0</v>
      </c>
      <c r="L508">
        <f t="shared" si="45"/>
        <v>506</v>
      </c>
      <c r="M508">
        <f>'Real Analysis'!$B$3+B508/1000000</f>
        <v>10.171665000001667</v>
      </c>
      <c r="N508">
        <f t="shared" si="46"/>
        <v>7</v>
      </c>
      <c r="O508">
        <f>IF(ABS(D508)&gt;1,D508/1000000,D508)*'Real Analysis'!$B$4</f>
        <v>-6.2695710000000002E-2</v>
      </c>
      <c r="P508">
        <f>IF(ABS(E508)&gt;1,E508/1000000,E508)*'Real Analysis'!$B$4</f>
        <v>0.18300555000000002</v>
      </c>
      <c r="Q508">
        <f>IF(ABS(F508)&gt;1,F508/1000000,F508)*'Real Analysis'!$B$4</f>
        <v>9.8577550800000022</v>
      </c>
      <c r="R508">
        <f t="shared" si="47"/>
        <v>1.9285669999999999</v>
      </c>
      <c r="S508">
        <f t="shared" si="48"/>
        <v>1.4124080000000001</v>
      </c>
      <c r="T508">
        <f t="shared" si="49"/>
        <v>0</v>
      </c>
      <c r="U508">
        <f t="shared" si="50"/>
        <v>0</v>
      </c>
    </row>
    <row r="509" spans="1:21" x14ac:dyDescent="0.3">
      <c r="A509" s="4">
        <v>507</v>
      </c>
      <c r="B509" s="4">
        <v>-96581807883</v>
      </c>
      <c r="C509" s="5">
        <v>7</v>
      </c>
      <c r="D509" s="5">
        <v>-8.0099999999999995E-4</v>
      </c>
      <c r="E509" s="5">
        <v>3.1489999999999999E-3</v>
      </c>
      <c r="F509" s="5">
        <v>1009070</v>
      </c>
      <c r="G509" s="5">
        <v>1472455</v>
      </c>
      <c r="H509" s="5">
        <v>0.99280999999999997</v>
      </c>
      <c r="I509" s="5">
        <v>0</v>
      </c>
      <c r="J509" s="5">
        <v>0</v>
      </c>
      <c r="L509">
        <f t="shared" si="45"/>
        <v>507</v>
      </c>
      <c r="M509">
        <f>'Real Analysis'!$B$3+B509/1000000</f>
        <v>10.192116999998689</v>
      </c>
      <c r="N509">
        <f t="shared" si="46"/>
        <v>7</v>
      </c>
      <c r="O509">
        <f>IF(ABS(D509)&gt;1,D509/1000000,D509)*'Real Analysis'!$B$4</f>
        <v>-7.8578099999999998E-3</v>
      </c>
      <c r="P509">
        <f>IF(ABS(E509)&gt;1,E509/1000000,E509)*'Real Analysis'!$B$4</f>
        <v>3.0891689999999999E-2</v>
      </c>
      <c r="Q509">
        <f>IF(ABS(F509)&gt;1,F509/1000000,F509)*'Real Analysis'!$B$4</f>
        <v>9.8989767000000004</v>
      </c>
      <c r="R509">
        <f t="shared" si="47"/>
        <v>1.4724550000000001</v>
      </c>
      <c r="S509">
        <f t="shared" si="48"/>
        <v>0.99280999999999997</v>
      </c>
      <c r="T509">
        <f t="shared" si="49"/>
        <v>0</v>
      </c>
      <c r="U509">
        <f t="shared" si="50"/>
        <v>0</v>
      </c>
    </row>
    <row r="510" spans="1:21" x14ac:dyDescent="0.3">
      <c r="A510" s="4">
        <v>508</v>
      </c>
      <c r="B510" s="4">
        <v>-96581790535</v>
      </c>
      <c r="C510" s="5">
        <v>7</v>
      </c>
      <c r="D510" s="5">
        <v>-5.2199999999999998E-3</v>
      </c>
      <c r="E510" s="5">
        <v>1.1674E-2</v>
      </c>
      <c r="F510" s="5">
        <v>1002248</v>
      </c>
      <c r="G510" s="5">
        <v>1144563</v>
      </c>
      <c r="H510" s="5">
        <v>1267307</v>
      </c>
      <c r="I510" s="5">
        <v>0</v>
      </c>
      <c r="J510" s="5">
        <v>0</v>
      </c>
      <c r="L510">
        <f t="shared" si="45"/>
        <v>508</v>
      </c>
      <c r="M510">
        <f>'Real Analysis'!$B$3+B510/1000000</f>
        <v>10.209465000007185</v>
      </c>
      <c r="N510">
        <f t="shared" si="46"/>
        <v>7</v>
      </c>
      <c r="O510">
        <f>IF(ABS(D510)&gt;1,D510/1000000,D510)*'Real Analysis'!$B$4</f>
        <v>-5.1208200000000002E-2</v>
      </c>
      <c r="P510">
        <f>IF(ABS(E510)&gt;1,E510/1000000,E510)*'Real Analysis'!$B$4</f>
        <v>0.11452194</v>
      </c>
      <c r="Q510">
        <f>IF(ABS(F510)&gt;1,F510/1000000,F510)*'Real Analysis'!$B$4</f>
        <v>9.8320528800000009</v>
      </c>
      <c r="R510">
        <f t="shared" si="47"/>
        <v>1.144563</v>
      </c>
      <c r="S510">
        <f t="shared" si="48"/>
        <v>1.267307</v>
      </c>
      <c r="T510">
        <f t="shared" si="49"/>
        <v>0</v>
      </c>
      <c r="U510">
        <f t="shared" si="50"/>
        <v>0</v>
      </c>
    </row>
    <row r="511" spans="1:21" x14ac:dyDescent="0.3">
      <c r="A511" s="4">
        <v>509</v>
      </c>
      <c r="B511" s="4">
        <v>-96581770942</v>
      </c>
      <c r="C511" s="5">
        <v>7</v>
      </c>
      <c r="D511" s="5">
        <v>-8.2620000000000002E-3</v>
      </c>
      <c r="E511" s="5">
        <v>9.2510000000000005E-3</v>
      </c>
      <c r="F511" s="5">
        <v>1003609</v>
      </c>
      <c r="G511" s="5">
        <v>0.89820699999999998</v>
      </c>
      <c r="H511" s="5">
        <v>0.911713</v>
      </c>
      <c r="I511" s="5">
        <v>0</v>
      </c>
      <c r="J511" s="5">
        <v>0</v>
      </c>
      <c r="L511">
        <f t="shared" si="45"/>
        <v>509</v>
      </c>
      <c r="M511">
        <f>'Real Analysis'!$B$3+B511/1000000</f>
        <v>10.229057999997167</v>
      </c>
      <c r="N511">
        <f t="shared" si="46"/>
        <v>7</v>
      </c>
      <c r="O511">
        <f>IF(ABS(D511)&gt;1,D511/1000000,D511)*'Real Analysis'!$B$4</f>
        <v>-8.1050220000000006E-2</v>
      </c>
      <c r="P511">
        <f>IF(ABS(E511)&gt;1,E511/1000000,E511)*'Real Analysis'!$B$4</f>
        <v>9.0752310000000017E-2</v>
      </c>
      <c r="Q511">
        <f>IF(ABS(F511)&gt;1,F511/1000000,F511)*'Real Analysis'!$B$4</f>
        <v>9.8454042899999994</v>
      </c>
      <c r="R511">
        <f t="shared" si="47"/>
        <v>0.89820699999999998</v>
      </c>
      <c r="S511">
        <f t="shared" si="48"/>
        <v>0.911713</v>
      </c>
      <c r="T511">
        <f t="shared" si="49"/>
        <v>0</v>
      </c>
      <c r="U511">
        <f t="shared" si="50"/>
        <v>0</v>
      </c>
    </row>
    <row r="512" spans="1:21" x14ac:dyDescent="0.3">
      <c r="A512" s="4">
        <v>510</v>
      </c>
      <c r="B512" s="4">
        <v>-96581749037</v>
      </c>
      <c r="C512" s="5">
        <v>7</v>
      </c>
      <c r="D512" s="5">
        <v>-6.3239999999999998E-3</v>
      </c>
      <c r="E512" s="5">
        <v>7.2389999999999998E-3</v>
      </c>
      <c r="F512" s="5">
        <v>1001522</v>
      </c>
      <c r="G512" s="5">
        <v>0.73894700000000002</v>
      </c>
      <c r="H512" s="5">
        <v>0.54144300000000001</v>
      </c>
      <c r="I512" s="5">
        <v>0</v>
      </c>
      <c r="J512" s="5">
        <v>0</v>
      </c>
      <c r="L512">
        <f t="shared" si="45"/>
        <v>510</v>
      </c>
      <c r="M512">
        <f>'Real Analysis'!$B$3+B512/1000000</f>
        <v>10.250962999998592</v>
      </c>
      <c r="N512">
        <f t="shared" si="46"/>
        <v>7</v>
      </c>
      <c r="O512">
        <f>IF(ABS(D512)&gt;1,D512/1000000,D512)*'Real Analysis'!$B$4</f>
        <v>-6.203844E-2</v>
      </c>
      <c r="P512">
        <f>IF(ABS(E512)&gt;1,E512/1000000,E512)*'Real Analysis'!$B$4</f>
        <v>7.1014590000000002E-2</v>
      </c>
      <c r="Q512">
        <f>IF(ABS(F512)&gt;1,F512/1000000,F512)*'Real Analysis'!$B$4</f>
        <v>9.8249308200000005</v>
      </c>
      <c r="R512">
        <f t="shared" si="47"/>
        <v>0.73894700000000002</v>
      </c>
      <c r="S512">
        <f t="shared" si="48"/>
        <v>0.54144300000000001</v>
      </c>
      <c r="T512">
        <f t="shared" si="49"/>
        <v>0</v>
      </c>
      <c r="U512">
        <f t="shared" si="50"/>
        <v>0</v>
      </c>
    </row>
    <row r="513" spans="1:21" x14ac:dyDescent="0.3">
      <c r="A513" s="4">
        <v>511</v>
      </c>
      <c r="B513" s="4">
        <v>-96581730294</v>
      </c>
      <c r="C513" s="5">
        <v>7</v>
      </c>
      <c r="D513" s="5">
        <v>2.8379999999999998E-3</v>
      </c>
      <c r="E513" s="5">
        <v>4.0769999999999999E-3</v>
      </c>
      <c r="F513" s="5">
        <v>1008353</v>
      </c>
      <c r="G513" s="5">
        <v>0.95492999999999995</v>
      </c>
      <c r="H513" s="5">
        <v>0.524231</v>
      </c>
      <c r="I513" s="5">
        <v>0</v>
      </c>
      <c r="J513" s="5">
        <v>0</v>
      </c>
      <c r="L513">
        <f t="shared" si="45"/>
        <v>511</v>
      </c>
      <c r="M513">
        <f>'Real Analysis'!$B$3+B513/1000000</f>
        <v>10.269706000006408</v>
      </c>
      <c r="N513">
        <f t="shared" si="46"/>
        <v>7</v>
      </c>
      <c r="O513">
        <f>IF(ABS(D513)&gt;1,D513/1000000,D513)*'Real Analysis'!$B$4</f>
        <v>2.7840779999999999E-2</v>
      </c>
      <c r="P513">
        <f>IF(ABS(E513)&gt;1,E513/1000000,E513)*'Real Analysis'!$B$4</f>
        <v>3.9995370000000002E-2</v>
      </c>
      <c r="Q513">
        <f>IF(ABS(F513)&gt;1,F513/1000000,F513)*'Real Analysis'!$B$4</f>
        <v>9.8919429300000008</v>
      </c>
      <c r="R513">
        <f t="shared" si="47"/>
        <v>0.95492999999999995</v>
      </c>
      <c r="S513">
        <f t="shared" si="48"/>
        <v>0.524231</v>
      </c>
      <c r="T513">
        <f t="shared" si="49"/>
        <v>0</v>
      </c>
      <c r="U513">
        <f t="shared" si="50"/>
        <v>0</v>
      </c>
    </row>
    <row r="514" spans="1:21" x14ac:dyDescent="0.3">
      <c r="A514" s="4">
        <v>512</v>
      </c>
      <c r="B514" s="4">
        <v>-96581710943</v>
      </c>
      <c r="C514" s="5">
        <v>7</v>
      </c>
      <c r="D514" s="5">
        <v>-3.4650000000000002E-3</v>
      </c>
      <c r="E514" s="5">
        <v>1.2458E-2</v>
      </c>
      <c r="F514" s="5">
        <v>0.99819199999999997</v>
      </c>
      <c r="G514" s="5">
        <v>0.94891400000000004</v>
      </c>
      <c r="H514" s="5">
        <v>0.75843499999999997</v>
      </c>
      <c r="I514" s="5">
        <v>0</v>
      </c>
      <c r="J514" s="5">
        <v>0</v>
      </c>
      <c r="L514">
        <f t="shared" si="45"/>
        <v>512</v>
      </c>
      <c r="M514">
        <f>'Real Analysis'!$B$3+B514/1000000</f>
        <v>10.289057000001776</v>
      </c>
      <c r="N514">
        <f t="shared" si="46"/>
        <v>7</v>
      </c>
      <c r="O514">
        <f>IF(ABS(D514)&gt;1,D514/1000000,D514)*'Real Analysis'!$B$4</f>
        <v>-3.3991650000000005E-2</v>
      </c>
      <c r="P514">
        <f>IF(ABS(E514)&gt;1,E514/1000000,E514)*'Real Analysis'!$B$4</f>
        <v>0.12221298000000001</v>
      </c>
      <c r="Q514">
        <f>IF(ABS(F514)&gt;1,F514/1000000,F514)*'Real Analysis'!$B$4</f>
        <v>9.7922635200000006</v>
      </c>
      <c r="R514">
        <f t="shared" si="47"/>
        <v>0.94891400000000004</v>
      </c>
      <c r="S514">
        <f t="shared" si="48"/>
        <v>0.75843499999999997</v>
      </c>
      <c r="T514">
        <f t="shared" si="49"/>
        <v>0</v>
      </c>
      <c r="U514">
        <f t="shared" si="50"/>
        <v>0</v>
      </c>
    </row>
    <row r="515" spans="1:21" x14ac:dyDescent="0.3">
      <c r="A515" s="4">
        <v>513</v>
      </c>
      <c r="B515" s="4">
        <v>-96581693385</v>
      </c>
      <c r="C515" s="5">
        <v>7</v>
      </c>
      <c r="D515" s="5">
        <v>-4.2420000000000001E-3</v>
      </c>
      <c r="E515" s="5">
        <v>9.4669999999999997E-3</v>
      </c>
      <c r="F515" s="5">
        <v>1008814</v>
      </c>
      <c r="G515" s="5">
        <v>0.83099100000000004</v>
      </c>
      <c r="H515" s="5">
        <v>0.72233599999999998</v>
      </c>
      <c r="I515" s="5">
        <v>0</v>
      </c>
      <c r="J515" s="5">
        <v>0</v>
      </c>
      <c r="L515">
        <f t="shared" ref="L515:L578" si="51">A515</f>
        <v>513</v>
      </c>
      <c r="M515">
        <f>'Real Analysis'!$B$3+B515/1000000</f>
        <v>10.306614999994054</v>
      </c>
      <c r="N515">
        <f t="shared" ref="N515:N578" si="52">C515</f>
        <v>7</v>
      </c>
      <c r="O515">
        <f>IF(ABS(D515)&gt;1,D515/1000000,D515)*'Real Analysis'!$B$4</f>
        <v>-4.1614020000000002E-2</v>
      </c>
      <c r="P515">
        <f>IF(ABS(E515)&gt;1,E515/1000000,E515)*'Real Analysis'!$B$4</f>
        <v>9.2871270000000006E-2</v>
      </c>
      <c r="Q515">
        <f>IF(ABS(F515)&gt;1,F515/1000000,F515)*'Real Analysis'!$B$4</f>
        <v>9.8964653400000007</v>
      </c>
      <c r="R515">
        <f t="shared" ref="R515:R578" si="53">IF(ABS(G515)&gt;1,G515/1000000,G515)</f>
        <v>0.83099100000000004</v>
      </c>
      <c r="S515">
        <f t="shared" ref="S515:S578" si="54">IF(ABS(H515)&gt;1,H515/1000000,H515)</f>
        <v>0.72233599999999998</v>
      </c>
      <c r="T515">
        <f t="shared" ref="T515:T578" si="55">IF(ABS(I515)&gt;1,I515/1000000,I515)</f>
        <v>0</v>
      </c>
      <c r="U515">
        <f t="shared" si="50"/>
        <v>0</v>
      </c>
    </row>
    <row r="516" spans="1:21" x14ac:dyDescent="0.3">
      <c r="A516" s="4">
        <v>514</v>
      </c>
      <c r="B516" s="4">
        <v>-96581668695</v>
      </c>
      <c r="C516" s="5">
        <v>7</v>
      </c>
      <c r="D516" s="5">
        <v>-4.7460000000000002E-3</v>
      </c>
      <c r="E516" s="5">
        <v>4.1349999999999998E-3</v>
      </c>
      <c r="F516" s="5">
        <v>1011330</v>
      </c>
      <c r="G516" s="5">
        <v>0.69926699999999997</v>
      </c>
      <c r="H516" s="5">
        <v>0.73361399999999999</v>
      </c>
      <c r="I516" s="5">
        <v>0</v>
      </c>
      <c r="J516" s="5">
        <v>0</v>
      </c>
      <c r="L516">
        <f t="shared" si="51"/>
        <v>514</v>
      </c>
      <c r="M516">
        <f>'Real Analysis'!$B$3+B516/1000000</f>
        <v>10.331304999999702</v>
      </c>
      <c r="N516">
        <f t="shared" si="52"/>
        <v>7</v>
      </c>
      <c r="O516">
        <f>IF(ABS(D516)&gt;1,D516/1000000,D516)*'Real Analysis'!$B$4</f>
        <v>-4.6558260000000004E-2</v>
      </c>
      <c r="P516">
        <f>IF(ABS(E516)&gt;1,E516/1000000,E516)*'Real Analysis'!$B$4</f>
        <v>4.0564349999999999E-2</v>
      </c>
      <c r="Q516">
        <f>IF(ABS(F516)&gt;1,F516/1000000,F516)*'Real Analysis'!$B$4</f>
        <v>9.9211473000000012</v>
      </c>
      <c r="R516">
        <f t="shared" si="53"/>
        <v>0.69926699999999997</v>
      </c>
      <c r="S516">
        <f t="shared" si="54"/>
        <v>0.73361399999999999</v>
      </c>
      <c r="T516">
        <f t="shared" si="55"/>
        <v>0</v>
      </c>
      <c r="U516">
        <f t="shared" si="50"/>
        <v>0</v>
      </c>
    </row>
    <row r="517" spans="1:21" x14ac:dyDescent="0.3">
      <c r="A517" s="4">
        <v>515</v>
      </c>
      <c r="B517" s="4">
        <v>-96581648388</v>
      </c>
      <c r="C517" s="5">
        <v>7</v>
      </c>
      <c r="D517" s="5">
        <v>-9.2099999999999994E-3</v>
      </c>
      <c r="E517" s="5">
        <v>6.9940000000000002E-3</v>
      </c>
      <c r="F517" s="5">
        <v>1007600</v>
      </c>
      <c r="G517" s="5">
        <v>0.25193199999999999</v>
      </c>
      <c r="H517" s="5">
        <v>0.69169599999999998</v>
      </c>
      <c r="I517" s="5">
        <v>0</v>
      </c>
      <c r="J517" s="5">
        <v>0</v>
      </c>
      <c r="L517">
        <f t="shared" si="51"/>
        <v>515</v>
      </c>
      <c r="M517">
        <f>'Real Analysis'!$B$3+B517/1000000</f>
        <v>10.351611999998568</v>
      </c>
      <c r="N517">
        <f t="shared" si="52"/>
        <v>7</v>
      </c>
      <c r="O517">
        <f>IF(ABS(D517)&gt;1,D517/1000000,D517)*'Real Analysis'!$B$4</f>
        <v>-9.0350100000000003E-2</v>
      </c>
      <c r="P517">
        <f>IF(ABS(E517)&gt;1,E517/1000000,E517)*'Real Analysis'!$B$4</f>
        <v>6.8611140000000001E-2</v>
      </c>
      <c r="Q517">
        <f>IF(ABS(F517)&gt;1,F517/1000000,F517)*'Real Analysis'!$B$4</f>
        <v>9.8845560000000017</v>
      </c>
      <c r="R517">
        <f t="shared" si="53"/>
        <v>0.25193199999999999</v>
      </c>
      <c r="S517">
        <f t="shared" si="54"/>
        <v>0.69169599999999998</v>
      </c>
      <c r="T517">
        <f t="shared" si="55"/>
        <v>0</v>
      </c>
      <c r="U517">
        <f t="shared" si="50"/>
        <v>0</v>
      </c>
    </row>
    <row r="518" spans="1:21" x14ac:dyDescent="0.3">
      <c r="A518" s="4">
        <v>516</v>
      </c>
      <c r="B518" s="4">
        <v>-96581628291</v>
      </c>
      <c r="C518" s="5">
        <v>7</v>
      </c>
      <c r="D518" s="5">
        <v>-7.3480000000000004E-3</v>
      </c>
      <c r="E518" s="5">
        <v>9.7020000000000006E-3</v>
      </c>
      <c r="F518" s="5">
        <v>1007278</v>
      </c>
      <c r="G518" s="5">
        <v>-6.3755000000000006E-2</v>
      </c>
      <c r="H518" s="5">
        <v>0.79244300000000001</v>
      </c>
      <c r="I518" s="5">
        <v>0</v>
      </c>
      <c r="J518" s="5">
        <v>0</v>
      </c>
      <c r="L518">
        <f t="shared" si="51"/>
        <v>516</v>
      </c>
      <c r="M518">
        <f>'Real Analysis'!$B$3+B518/1000000</f>
        <v>10.3717089999991</v>
      </c>
      <c r="N518">
        <f t="shared" si="52"/>
        <v>7</v>
      </c>
      <c r="O518">
        <f>IF(ABS(D518)&gt;1,D518/1000000,D518)*'Real Analysis'!$B$4</f>
        <v>-7.2083880000000003E-2</v>
      </c>
      <c r="P518">
        <f>IF(ABS(E518)&gt;1,E518/1000000,E518)*'Real Analysis'!$B$4</f>
        <v>9.5176620000000003E-2</v>
      </c>
      <c r="Q518">
        <f>IF(ABS(F518)&gt;1,F518/1000000,F518)*'Real Analysis'!$B$4</f>
        <v>9.8813971799999987</v>
      </c>
      <c r="R518">
        <f t="shared" si="53"/>
        <v>-6.3755000000000006E-2</v>
      </c>
      <c r="S518">
        <f t="shared" si="54"/>
        <v>0.79244300000000001</v>
      </c>
      <c r="T518">
        <f t="shared" si="55"/>
        <v>0</v>
      </c>
      <c r="U518">
        <f t="shared" si="50"/>
        <v>0</v>
      </c>
    </row>
    <row r="519" spans="1:21" x14ac:dyDescent="0.3">
      <c r="A519" s="4">
        <v>517</v>
      </c>
      <c r="B519" s="4">
        <v>-96581608904</v>
      </c>
      <c r="C519" s="5">
        <v>7</v>
      </c>
      <c r="D519" s="5">
        <v>-1.2333E-2</v>
      </c>
      <c r="E519" s="5">
        <v>7.071E-3</v>
      </c>
      <c r="F519" s="5">
        <v>1002249</v>
      </c>
      <c r="G519" s="5">
        <v>-0.35089500000000001</v>
      </c>
      <c r="H519" s="5">
        <v>0.75771299999999997</v>
      </c>
      <c r="I519" s="5">
        <v>0</v>
      </c>
      <c r="J519" s="5">
        <v>0</v>
      </c>
      <c r="L519">
        <f t="shared" si="51"/>
        <v>517</v>
      </c>
      <c r="M519">
        <f>'Real Analysis'!$B$3+B519/1000000</f>
        <v>10.391096000006655</v>
      </c>
      <c r="N519">
        <f t="shared" si="52"/>
        <v>7</v>
      </c>
      <c r="O519">
        <f>IF(ABS(D519)&gt;1,D519/1000000,D519)*'Real Analysis'!$B$4</f>
        <v>-0.12098673000000001</v>
      </c>
      <c r="P519">
        <f>IF(ABS(E519)&gt;1,E519/1000000,E519)*'Real Analysis'!$B$4</f>
        <v>6.9366510000000006E-2</v>
      </c>
      <c r="Q519">
        <f>IF(ABS(F519)&gt;1,F519/1000000,F519)*'Real Analysis'!$B$4</f>
        <v>9.8320626900000008</v>
      </c>
      <c r="R519">
        <f t="shared" si="53"/>
        <v>-0.35089500000000001</v>
      </c>
      <c r="S519">
        <f t="shared" si="54"/>
        <v>0.75771299999999997</v>
      </c>
      <c r="T519">
        <f t="shared" si="55"/>
        <v>0</v>
      </c>
      <c r="U519">
        <f t="shared" si="50"/>
        <v>0</v>
      </c>
    </row>
    <row r="520" spans="1:21" x14ac:dyDescent="0.3">
      <c r="A520" s="4">
        <v>518</v>
      </c>
      <c r="B520" s="4">
        <v>-96581589886</v>
      </c>
      <c r="C520" s="5">
        <v>7</v>
      </c>
      <c r="D520" s="5">
        <v>-6.966E-3</v>
      </c>
      <c r="E520" s="5">
        <v>1.1322E-2</v>
      </c>
      <c r="F520" s="5">
        <v>0.99348499999999995</v>
      </c>
      <c r="G520" s="5">
        <v>-0.27805099999999999</v>
      </c>
      <c r="H520" s="5">
        <v>1051253</v>
      </c>
      <c r="I520" s="5">
        <v>0</v>
      </c>
      <c r="J520" s="5">
        <v>0</v>
      </c>
      <c r="L520">
        <f t="shared" si="51"/>
        <v>518</v>
      </c>
      <c r="M520">
        <f>'Real Analysis'!$B$3+B520/1000000</f>
        <v>10.41011399999843</v>
      </c>
      <c r="N520">
        <f t="shared" si="52"/>
        <v>7</v>
      </c>
      <c r="O520">
        <f>IF(ABS(D520)&gt;1,D520/1000000,D520)*'Real Analysis'!$B$4</f>
        <v>-6.8336460000000002E-2</v>
      </c>
      <c r="P520">
        <f>IF(ABS(E520)&gt;1,E520/1000000,E520)*'Real Analysis'!$B$4</f>
        <v>0.11106882000000001</v>
      </c>
      <c r="Q520">
        <f>IF(ABS(F520)&gt;1,F520/1000000,F520)*'Real Analysis'!$B$4</f>
        <v>9.7460878500000003</v>
      </c>
      <c r="R520">
        <f t="shared" si="53"/>
        <v>-0.27805099999999999</v>
      </c>
      <c r="S520">
        <f t="shared" si="54"/>
        <v>1.051253</v>
      </c>
      <c r="T520">
        <f t="shared" si="55"/>
        <v>0</v>
      </c>
      <c r="U520">
        <f t="shared" si="50"/>
        <v>0</v>
      </c>
    </row>
    <row r="521" spans="1:21" x14ac:dyDescent="0.3">
      <c r="A521" s="4">
        <v>519</v>
      </c>
      <c r="B521" s="4">
        <v>-96581570147</v>
      </c>
      <c r="C521" s="5">
        <v>7</v>
      </c>
      <c r="D521" s="5">
        <v>-9.7739999999999997E-3</v>
      </c>
      <c r="E521" s="5">
        <v>9.7739999999999997E-3</v>
      </c>
      <c r="F521" s="5">
        <v>1001589</v>
      </c>
      <c r="G521" s="5">
        <v>-0.663887</v>
      </c>
      <c r="H521" s="5">
        <v>0.123636</v>
      </c>
      <c r="I521" s="5">
        <v>0</v>
      </c>
      <c r="J521" s="5">
        <v>0</v>
      </c>
      <c r="L521">
        <f t="shared" si="51"/>
        <v>519</v>
      </c>
      <c r="M521">
        <f>'Real Analysis'!$B$3+B521/1000000</f>
        <v>10.429852999994182</v>
      </c>
      <c r="N521">
        <f t="shared" si="52"/>
        <v>7</v>
      </c>
      <c r="O521">
        <f>IF(ABS(D521)&gt;1,D521/1000000,D521)*'Real Analysis'!$B$4</f>
        <v>-9.588294E-2</v>
      </c>
      <c r="P521">
        <f>IF(ABS(E521)&gt;1,E521/1000000,E521)*'Real Analysis'!$B$4</f>
        <v>9.588294E-2</v>
      </c>
      <c r="Q521">
        <f>IF(ABS(F521)&gt;1,F521/1000000,F521)*'Real Analysis'!$B$4</f>
        <v>9.8255880900000019</v>
      </c>
      <c r="R521">
        <f t="shared" si="53"/>
        <v>-0.663887</v>
      </c>
      <c r="S521">
        <f t="shared" si="54"/>
        <v>0.123636</v>
      </c>
      <c r="T521">
        <f t="shared" si="55"/>
        <v>0</v>
      </c>
      <c r="U521">
        <f t="shared" si="50"/>
        <v>0</v>
      </c>
    </row>
    <row r="522" spans="1:21" x14ac:dyDescent="0.3">
      <c r="A522" s="4">
        <v>520</v>
      </c>
      <c r="B522" s="4">
        <v>-96581554629</v>
      </c>
      <c r="C522" s="5">
        <v>7</v>
      </c>
      <c r="D522" s="5">
        <v>-8.2240000000000004E-3</v>
      </c>
      <c r="E522" s="5">
        <v>9.0699999999999999E-3</v>
      </c>
      <c r="F522" s="5">
        <v>1003311</v>
      </c>
      <c r="G522" s="5">
        <v>-0.32277800000000001</v>
      </c>
      <c r="H522" s="5">
        <v>0.89079600000000003</v>
      </c>
      <c r="I522" s="5">
        <v>0</v>
      </c>
      <c r="J522" s="5">
        <v>0</v>
      </c>
      <c r="L522">
        <f t="shared" si="51"/>
        <v>520</v>
      </c>
      <c r="M522">
        <f>'Real Analysis'!$B$3+B522/1000000</f>
        <v>10.445370999994338</v>
      </c>
      <c r="N522">
        <f t="shared" si="52"/>
        <v>7</v>
      </c>
      <c r="O522">
        <f>IF(ABS(D522)&gt;1,D522/1000000,D522)*'Real Analysis'!$B$4</f>
        <v>-8.0677440000000003E-2</v>
      </c>
      <c r="P522">
        <f>IF(ABS(E522)&gt;1,E522/1000000,E522)*'Real Analysis'!$B$4</f>
        <v>8.8976700000000006E-2</v>
      </c>
      <c r="Q522">
        <f>IF(ABS(F522)&gt;1,F522/1000000,F522)*'Real Analysis'!$B$4</f>
        <v>9.8424809100000008</v>
      </c>
      <c r="R522">
        <f t="shared" si="53"/>
        <v>-0.32277800000000001</v>
      </c>
      <c r="S522">
        <f t="shared" si="54"/>
        <v>0.89079600000000003</v>
      </c>
      <c r="T522">
        <f t="shared" si="55"/>
        <v>0</v>
      </c>
      <c r="U522">
        <f t="shared" si="50"/>
        <v>0</v>
      </c>
    </row>
    <row r="523" spans="1:21" x14ac:dyDescent="0.3">
      <c r="A523" s="4">
        <v>521</v>
      </c>
      <c r="B523" s="4">
        <v>-96581529060</v>
      </c>
      <c r="C523" s="5">
        <v>7</v>
      </c>
      <c r="D523" s="5">
        <v>2.7550000000000001E-3</v>
      </c>
      <c r="E523" s="5">
        <v>3.5222000000000003E-2</v>
      </c>
      <c r="F523" s="5">
        <v>1001608</v>
      </c>
      <c r="G523" s="5">
        <v>-0.29803499999999999</v>
      </c>
      <c r="H523" s="5">
        <v>1120112</v>
      </c>
      <c r="I523" s="5">
        <v>0</v>
      </c>
      <c r="J523" s="5">
        <v>0</v>
      </c>
      <c r="L523">
        <f t="shared" si="51"/>
        <v>521</v>
      </c>
      <c r="M523">
        <f>'Real Analysis'!$B$3+B523/1000000</f>
        <v>10.470939999999246</v>
      </c>
      <c r="N523">
        <f t="shared" si="52"/>
        <v>7</v>
      </c>
      <c r="O523">
        <f>IF(ABS(D523)&gt;1,D523/1000000,D523)*'Real Analysis'!$B$4</f>
        <v>2.7026550000000003E-2</v>
      </c>
      <c r="P523">
        <f>IF(ABS(E523)&gt;1,E523/1000000,E523)*'Real Analysis'!$B$4</f>
        <v>0.34552782000000004</v>
      </c>
      <c r="Q523">
        <f>IF(ABS(F523)&gt;1,F523/1000000,F523)*'Real Analysis'!$B$4</f>
        <v>9.8257744800000015</v>
      </c>
      <c r="R523">
        <f t="shared" si="53"/>
        <v>-0.29803499999999999</v>
      </c>
      <c r="S523">
        <f t="shared" si="54"/>
        <v>1.120112</v>
      </c>
      <c r="T523">
        <f t="shared" si="55"/>
        <v>0</v>
      </c>
      <c r="U523">
        <f t="shared" ref="U523:U586" si="56">J523/1000</f>
        <v>0</v>
      </c>
    </row>
    <row r="524" spans="1:21" x14ac:dyDescent="0.3">
      <c r="A524" s="4">
        <v>522</v>
      </c>
      <c r="B524" s="4">
        <v>-96581509501</v>
      </c>
      <c r="C524" s="5">
        <v>7</v>
      </c>
      <c r="D524" s="5">
        <v>-1.0456E-2</v>
      </c>
      <c r="E524" s="5">
        <v>1.2551E-2</v>
      </c>
      <c r="F524" s="5">
        <v>1003967</v>
      </c>
      <c r="G524" s="5">
        <v>-0.158327</v>
      </c>
      <c r="H524" s="5">
        <v>0.30261199999999999</v>
      </c>
      <c r="I524" s="5">
        <v>0</v>
      </c>
      <c r="J524" s="5">
        <v>0</v>
      </c>
      <c r="L524">
        <f t="shared" si="51"/>
        <v>522</v>
      </c>
      <c r="M524">
        <f>'Real Analysis'!$B$3+B524/1000000</f>
        <v>10.490499000006821</v>
      </c>
      <c r="N524">
        <f t="shared" si="52"/>
        <v>7</v>
      </c>
      <c r="O524">
        <f>IF(ABS(D524)&gt;1,D524/1000000,D524)*'Real Analysis'!$B$4</f>
        <v>-0.10257336</v>
      </c>
      <c r="P524">
        <f>IF(ABS(E524)&gt;1,E524/1000000,E524)*'Real Analysis'!$B$4</f>
        <v>0.12312531</v>
      </c>
      <c r="Q524">
        <f>IF(ABS(F524)&gt;1,F524/1000000,F524)*'Real Analysis'!$B$4</f>
        <v>9.8489162700000001</v>
      </c>
      <c r="R524">
        <f t="shared" si="53"/>
        <v>-0.158327</v>
      </c>
      <c r="S524">
        <f t="shared" si="54"/>
        <v>0.30261199999999999</v>
      </c>
      <c r="T524">
        <f t="shared" si="55"/>
        <v>0</v>
      </c>
      <c r="U524">
        <f t="shared" si="56"/>
        <v>0</v>
      </c>
    </row>
    <row r="525" spans="1:21" x14ac:dyDescent="0.3">
      <c r="A525" s="4">
        <v>523</v>
      </c>
      <c r="B525" s="4">
        <v>-96581489481</v>
      </c>
      <c r="C525" s="5">
        <v>7</v>
      </c>
      <c r="D525" s="5">
        <v>-6.7330000000000003E-3</v>
      </c>
      <c r="E525" s="5">
        <v>-2.0528000000000001E-2</v>
      </c>
      <c r="F525" s="5">
        <v>1009464</v>
      </c>
      <c r="G525" s="5">
        <v>0.30077599999999999</v>
      </c>
      <c r="H525" s="5">
        <v>0.91840999999999995</v>
      </c>
      <c r="I525" s="5">
        <v>0</v>
      </c>
      <c r="J525" s="5">
        <v>0</v>
      </c>
      <c r="L525">
        <f t="shared" si="51"/>
        <v>523</v>
      </c>
      <c r="M525">
        <f>'Real Analysis'!$B$3+B525/1000000</f>
        <v>10.510519000003114</v>
      </c>
      <c r="N525">
        <f t="shared" si="52"/>
        <v>7</v>
      </c>
      <c r="O525">
        <f>IF(ABS(D525)&gt;1,D525/1000000,D525)*'Real Analysis'!$B$4</f>
        <v>-6.6050730000000002E-2</v>
      </c>
      <c r="P525">
        <f>IF(ABS(E525)&gt;1,E525/1000000,E525)*'Real Analysis'!$B$4</f>
        <v>-0.20137968000000003</v>
      </c>
      <c r="Q525">
        <f>IF(ABS(F525)&gt;1,F525/1000000,F525)*'Real Analysis'!$B$4</f>
        <v>9.9028418399999989</v>
      </c>
      <c r="R525">
        <f t="shared" si="53"/>
        <v>0.30077599999999999</v>
      </c>
      <c r="S525">
        <f t="shared" si="54"/>
        <v>0.91840999999999995</v>
      </c>
      <c r="T525">
        <f t="shared" si="55"/>
        <v>0</v>
      </c>
      <c r="U525">
        <f t="shared" si="56"/>
        <v>0</v>
      </c>
    </row>
    <row r="526" spans="1:21" x14ac:dyDescent="0.3">
      <c r="A526" s="4">
        <v>524</v>
      </c>
      <c r="B526" s="4">
        <v>-96581477831</v>
      </c>
      <c r="C526" s="5">
        <v>7</v>
      </c>
      <c r="D526" s="5">
        <v>-9.1339999999999998E-3</v>
      </c>
      <c r="E526" s="5">
        <v>7.3730000000000002E-3</v>
      </c>
      <c r="F526" s="5">
        <v>0.994479</v>
      </c>
      <c r="G526" s="5">
        <v>0.22511600000000001</v>
      </c>
      <c r="H526" s="5">
        <v>0.49612699999999998</v>
      </c>
      <c r="I526" s="5">
        <v>0</v>
      </c>
      <c r="J526" s="5">
        <v>0</v>
      </c>
      <c r="L526">
        <f t="shared" si="51"/>
        <v>524</v>
      </c>
      <c r="M526">
        <f>'Real Analysis'!$B$3+B526/1000000</f>
        <v>10.522169000003487</v>
      </c>
      <c r="N526">
        <f t="shared" si="52"/>
        <v>7</v>
      </c>
      <c r="O526">
        <f>IF(ABS(D526)&gt;1,D526/1000000,D526)*'Real Analysis'!$B$4</f>
        <v>-8.9604539999999996E-2</v>
      </c>
      <c r="P526">
        <f>IF(ABS(E526)&gt;1,E526/1000000,E526)*'Real Analysis'!$B$4</f>
        <v>7.2329130000000005E-2</v>
      </c>
      <c r="Q526">
        <f>IF(ABS(F526)&gt;1,F526/1000000,F526)*'Real Analysis'!$B$4</f>
        <v>9.7558389900000009</v>
      </c>
      <c r="R526">
        <f t="shared" si="53"/>
        <v>0.22511600000000001</v>
      </c>
      <c r="S526">
        <f t="shared" si="54"/>
        <v>0.49612699999999998</v>
      </c>
      <c r="T526">
        <f t="shared" si="55"/>
        <v>0</v>
      </c>
      <c r="U526">
        <f t="shared" si="56"/>
        <v>0</v>
      </c>
    </row>
    <row r="527" spans="1:21" x14ac:dyDescent="0.3">
      <c r="A527" s="4">
        <v>525</v>
      </c>
      <c r="B527" s="4">
        <v>-96581447347</v>
      </c>
      <c r="C527" s="5">
        <v>7</v>
      </c>
      <c r="D527" s="5">
        <v>-5.7169999999999999E-3</v>
      </c>
      <c r="E527" s="5">
        <v>3.2756E-2</v>
      </c>
      <c r="F527" s="5">
        <v>0.998228</v>
      </c>
      <c r="G527" s="5">
        <v>6.2916E-2</v>
      </c>
      <c r="H527" s="5">
        <v>1035721</v>
      </c>
      <c r="I527" s="5">
        <v>0</v>
      </c>
      <c r="J527" s="5">
        <v>0</v>
      </c>
      <c r="L527">
        <f t="shared" si="51"/>
        <v>525</v>
      </c>
      <c r="M527">
        <f>'Real Analysis'!$B$3+B527/1000000</f>
        <v>10.552653000006103</v>
      </c>
      <c r="N527">
        <f t="shared" si="52"/>
        <v>7</v>
      </c>
      <c r="O527">
        <f>IF(ABS(D527)&gt;1,D527/1000000,D527)*'Real Analysis'!$B$4</f>
        <v>-5.6083769999999998E-2</v>
      </c>
      <c r="P527">
        <f>IF(ABS(E527)&gt;1,E527/1000000,E527)*'Real Analysis'!$B$4</f>
        <v>0.32133636000000004</v>
      </c>
      <c r="Q527">
        <f>IF(ABS(F527)&gt;1,F527/1000000,F527)*'Real Analysis'!$B$4</f>
        <v>9.7926166800000001</v>
      </c>
      <c r="R527">
        <f t="shared" si="53"/>
        <v>6.2916E-2</v>
      </c>
      <c r="S527">
        <f t="shared" si="54"/>
        <v>1.0357209999999999</v>
      </c>
      <c r="T527">
        <f t="shared" si="55"/>
        <v>0</v>
      </c>
      <c r="U527">
        <f t="shared" si="56"/>
        <v>0</v>
      </c>
    </row>
    <row r="528" spans="1:21" x14ac:dyDescent="0.3">
      <c r="A528" s="4">
        <v>526</v>
      </c>
      <c r="B528" s="4">
        <v>-96581428411</v>
      </c>
      <c r="C528" s="5">
        <v>7</v>
      </c>
      <c r="D528" s="5">
        <v>-2.0839999999999999E-3</v>
      </c>
      <c r="E528" s="5">
        <v>3.1930000000000001E-3</v>
      </c>
      <c r="F528" s="5">
        <v>0.99988200000000005</v>
      </c>
      <c r="G528" s="5">
        <v>0.126947</v>
      </c>
      <c r="H528" s="5">
        <v>0.75160400000000005</v>
      </c>
      <c r="I528" s="5">
        <v>0</v>
      </c>
      <c r="J528" s="5">
        <v>0</v>
      </c>
      <c r="L528">
        <f t="shared" si="51"/>
        <v>526</v>
      </c>
      <c r="M528">
        <f>'Real Analysis'!$B$3+B528/1000000</f>
        <v>10.571588999999221</v>
      </c>
      <c r="N528">
        <f t="shared" si="52"/>
        <v>7</v>
      </c>
      <c r="O528">
        <f>IF(ABS(D528)&gt;1,D528/1000000,D528)*'Real Analysis'!$B$4</f>
        <v>-2.044404E-2</v>
      </c>
      <c r="P528">
        <f>IF(ABS(E528)&gt;1,E528/1000000,E528)*'Real Analysis'!$B$4</f>
        <v>3.1323330000000003E-2</v>
      </c>
      <c r="Q528">
        <f>IF(ABS(F528)&gt;1,F528/1000000,F528)*'Real Analysis'!$B$4</f>
        <v>9.8088424200000013</v>
      </c>
      <c r="R528">
        <f t="shared" si="53"/>
        <v>0.126947</v>
      </c>
      <c r="S528">
        <f t="shared" si="54"/>
        <v>0.75160400000000005</v>
      </c>
      <c r="T528">
        <f t="shared" si="55"/>
        <v>0</v>
      </c>
      <c r="U528">
        <f t="shared" si="56"/>
        <v>0</v>
      </c>
    </row>
    <row r="529" spans="1:21" x14ac:dyDescent="0.3">
      <c r="A529" s="4">
        <v>527</v>
      </c>
      <c r="B529" s="4">
        <v>-96581408591</v>
      </c>
      <c r="C529" s="5">
        <v>7</v>
      </c>
      <c r="D529" s="5">
        <v>-5.2500000000000003E-3</v>
      </c>
      <c r="E529" s="5">
        <v>-8.4869999999999998E-3</v>
      </c>
      <c r="F529" s="5">
        <v>1009524</v>
      </c>
      <c r="G529" s="5">
        <v>0.18278900000000001</v>
      </c>
      <c r="H529" s="5">
        <v>1401418</v>
      </c>
      <c r="I529" s="5">
        <v>0</v>
      </c>
      <c r="J529" s="5">
        <v>0</v>
      </c>
      <c r="L529">
        <f t="shared" si="51"/>
        <v>527</v>
      </c>
      <c r="M529">
        <f>'Real Analysis'!$B$3+B529/1000000</f>
        <v>10.591409000000567</v>
      </c>
      <c r="N529">
        <f t="shared" si="52"/>
        <v>7</v>
      </c>
      <c r="O529">
        <f>IF(ABS(D529)&gt;1,D529/1000000,D529)*'Real Analysis'!$B$4</f>
        <v>-5.1502500000000007E-2</v>
      </c>
      <c r="P529">
        <f>IF(ABS(E529)&gt;1,E529/1000000,E529)*'Real Analysis'!$B$4</f>
        <v>-8.325747E-2</v>
      </c>
      <c r="Q529">
        <f>IF(ABS(F529)&gt;1,F529/1000000,F529)*'Real Analysis'!$B$4</f>
        <v>9.9034304400000011</v>
      </c>
      <c r="R529">
        <f t="shared" si="53"/>
        <v>0.18278900000000001</v>
      </c>
      <c r="S529">
        <f t="shared" si="54"/>
        <v>1.4014180000000001</v>
      </c>
      <c r="T529">
        <f t="shared" si="55"/>
        <v>0</v>
      </c>
      <c r="U529">
        <f t="shared" si="56"/>
        <v>0</v>
      </c>
    </row>
    <row r="530" spans="1:21" x14ac:dyDescent="0.3">
      <c r="A530" s="4">
        <v>528</v>
      </c>
      <c r="B530" s="4">
        <v>-96581391858</v>
      </c>
      <c r="C530" s="5">
        <v>7</v>
      </c>
      <c r="D530" s="5">
        <v>-6.0780000000000001E-3</v>
      </c>
      <c r="E530" s="5">
        <v>3.8363000000000001E-2</v>
      </c>
      <c r="F530" s="5">
        <v>1001578</v>
      </c>
      <c r="G530" s="5">
        <v>0.467339</v>
      </c>
      <c r="H530" s="5">
        <v>1972840</v>
      </c>
      <c r="I530" s="5">
        <v>0</v>
      </c>
      <c r="J530" s="5">
        <v>0</v>
      </c>
      <c r="L530">
        <f t="shared" si="51"/>
        <v>528</v>
      </c>
      <c r="M530">
        <f>'Real Analysis'!$B$3+B530/1000000</f>
        <v>10.608141999997315</v>
      </c>
      <c r="N530">
        <f t="shared" si="52"/>
        <v>7</v>
      </c>
      <c r="O530">
        <f>IF(ABS(D530)&gt;1,D530/1000000,D530)*'Real Analysis'!$B$4</f>
        <v>-5.9625180000000007E-2</v>
      </c>
      <c r="P530">
        <f>IF(ABS(E530)&gt;1,E530/1000000,E530)*'Real Analysis'!$B$4</f>
        <v>0.37634103000000002</v>
      </c>
      <c r="Q530">
        <f>IF(ABS(F530)&gt;1,F530/1000000,F530)*'Real Analysis'!$B$4</f>
        <v>9.8254801800000013</v>
      </c>
      <c r="R530">
        <f t="shared" si="53"/>
        <v>0.467339</v>
      </c>
      <c r="S530">
        <f t="shared" si="54"/>
        <v>1.9728399999999999</v>
      </c>
      <c r="T530">
        <f t="shared" si="55"/>
        <v>0</v>
      </c>
      <c r="U530">
        <f t="shared" si="56"/>
        <v>0</v>
      </c>
    </row>
    <row r="531" spans="1:21" x14ac:dyDescent="0.3">
      <c r="A531" s="4">
        <v>529</v>
      </c>
      <c r="B531" s="4">
        <v>-96581370212</v>
      </c>
      <c r="C531" s="5">
        <v>7</v>
      </c>
      <c r="D531" s="5">
        <v>3.3960000000000001E-3</v>
      </c>
      <c r="E531" s="5">
        <v>1.8450000000000001E-3</v>
      </c>
      <c r="F531" s="5">
        <v>1008376</v>
      </c>
      <c r="G531" s="5">
        <v>0.44439200000000001</v>
      </c>
      <c r="H531" s="5">
        <v>0.87052099999999999</v>
      </c>
      <c r="I531" s="5">
        <v>0</v>
      </c>
      <c r="J531" s="5">
        <v>0</v>
      </c>
      <c r="L531">
        <f t="shared" si="51"/>
        <v>529</v>
      </c>
      <c r="M531">
        <f>'Real Analysis'!$B$3+B531/1000000</f>
        <v>10.629788000005647</v>
      </c>
      <c r="N531">
        <f t="shared" si="52"/>
        <v>7</v>
      </c>
      <c r="O531">
        <f>IF(ABS(D531)&gt;1,D531/1000000,D531)*'Real Analysis'!$B$4</f>
        <v>3.3314760000000006E-2</v>
      </c>
      <c r="P531">
        <f>IF(ABS(E531)&gt;1,E531/1000000,E531)*'Real Analysis'!$B$4</f>
        <v>1.8099450000000003E-2</v>
      </c>
      <c r="Q531">
        <f>IF(ABS(F531)&gt;1,F531/1000000,F531)*'Real Analysis'!$B$4</f>
        <v>9.89216856</v>
      </c>
      <c r="R531">
        <f t="shared" si="53"/>
        <v>0.44439200000000001</v>
      </c>
      <c r="S531">
        <f t="shared" si="54"/>
        <v>0.87052099999999999</v>
      </c>
      <c r="T531">
        <f t="shared" si="55"/>
        <v>0</v>
      </c>
      <c r="U531">
        <f t="shared" si="56"/>
        <v>0</v>
      </c>
    </row>
    <row r="532" spans="1:21" x14ac:dyDescent="0.3">
      <c r="A532" s="4">
        <v>530</v>
      </c>
      <c r="B532" s="4">
        <v>-96581349003</v>
      </c>
      <c r="C532" s="5">
        <v>7</v>
      </c>
      <c r="D532" s="5">
        <v>1.3735000000000001E-2</v>
      </c>
      <c r="E532" s="5">
        <v>-2.6640000000000001E-3</v>
      </c>
      <c r="F532" s="5">
        <v>1009985</v>
      </c>
      <c r="G532" s="5">
        <v>0.95656200000000002</v>
      </c>
      <c r="H532" s="5">
        <v>0.90855699999999995</v>
      </c>
      <c r="I532" s="5">
        <v>0</v>
      </c>
      <c r="J532" s="5">
        <v>0</v>
      </c>
      <c r="L532">
        <f t="shared" si="51"/>
        <v>530</v>
      </c>
      <c r="M532">
        <f>'Real Analysis'!$B$3+B532/1000000</f>
        <v>10.650997000004281</v>
      </c>
      <c r="N532">
        <f t="shared" si="52"/>
        <v>7</v>
      </c>
      <c r="O532">
        <f>IF(ABS(D532)&gt;1,D532/1000000,D532)*'Real Analysis'!$B$4</f>
        <v>0.13474035000000001</v>
      </c>
      <c r="P532">
        <f>IF(ABS(E532)&gt;1,E532/1000000,E532)*'Real Analysis'!$B$4</f>
        <v>-2.6133840000000002E-2</v>
      </c>
      <c r="Q532">
        <f>IF(ABS(F532)&gt;1,F532/1000000,F532)*'Real Analysis'!$B$4</f>
        <v>9.9079528499999991</v>
      </c>
      <c r="R532">
        <f t="shared" si="53"/>
        <v>0.95656200000000002</v>
      </c>
      <c r="S532">
        <f t="shared" si="54"/>
        <v>0.90855699999999995</v>
      </c>
      <c r="T532">
        <f t="shared" si="55"/>
        <v>0</v>
      </c>
      <c r="U532">
        <f t="shared" si="56"/>
        <v>0</v>
      </c>
    </row>
    <row r="533" spans="1:21" x14ac:dyDescent="0.3">
      <c r="A533" s="4">
        <v>531</v>
      </c>
      <c r="B533" s="4">
        <v>-96581333870</v>
      </c>
      <c r="C533" s="5">
        <v>7</v>
      </c>
      <c r="D533" s="5">
        <v>-1.0577E-2</v>
      </c>
      <c r="E533" s="5">
        <v>2.4199999999999999E-2</v>
      </c>
      <c r="F533" s="5">
        <v>1009828</v>
      </c>
      <c r="G533" s="5">
        <v>1086849</v>
      </c>
      <c r="H533" s="5">
        <v>2151901</v>
      </c>
      <c r="I533" s="5">
        <v>0</v>
      </c>
      <c r="J533" s="5">
        <v>0</v>
      </c>
      <c r="L533">
        <f t="shared" si="51"/>
        <v>531</v>
      </c>
      <c r="M533">
        <f>'Real Analysis'!$B$3+B533/1000000</f>
        <v>10.666129999997793</v>
      </c>
      <c r="N533">
        <f t="shared" si="52"/>
        <v>7</v>
      </c>
      <c r="O533">
        <f>IF(ABS(D533)&gt;1,D533/1000000,D533)*'Real Analysis'!$B$4</f>
        <v>-0.10376037</v>
      </c>
      <c r="P533">
        <f>IF(ABS(E533)&gt;1,E533/1000000,E533)*'Real Analysis'!$B$4</f>
        <v>0.237402</v>
      </c>
      <c r="Q533">
        <f>IF(ABS(F533)&gt;1,F533/1000000,F533)*'Real Analysis'!$B$4</f>
        <v>9.9064126800000007</v>
      </c>
      <c r="R533">
        <f t="shared" si="53"/>
        <v>1.086849</v>
      </c>
      <c r="S533">
        <f t="shared" si="54"/>
        <v>2.1519010000000001</v>
      </c>
      <c r="T533">
        <f t="shared" si="55"/>
        <v>0</v>
      </c>
      <c r="U533">
        <f t="shared" si="56"/>
        <v>0</v>
      </c>
    </row>
    <row r="534" spans="1:21" x14ac:dyDescent="0.3">
      <c r="A534" s="4">
        <v>532</v>
      </c>
      <c r="B534" s="4">
        <v>-96581308491</v>
      </c>
      <c r="C534" s="5">
        <v>7</v>
      </c>
      <c r="D534" s="5">
        <v>-1.7610000000000001E-2</v>
      </c>
      <c r="E534" s="5">
        <v>3.2795999999999999E-2</v>
      </c>
      <c r="F534" s="5">
        <v>1006278</v>
      </c>
      <c r="G534" s="5">
        <v>0.379556</v>
      </c>
      <c r="H534" s="5">
        <v>1863908</v>
      </c>
      <c r="I534" s="5">
        <v>0</v>
      </c>
      <c r="J534" s="5">
        <v>0</v>
      </c>
      <c r="L534">
        <f t="shared" si="51"/>
        <v>532</v>
      </c>
      <c r="M534">
        <f>'Real Analysis'!$B$3+B534/1000000</f>
        <v>10.691508999996586</v>
      </c>
      <c r="N534">
        <f t="shared" si="52"/>
        <v>7</v>
      </c>
      <c r="O534">
        <f>IF(ABS(D534)&gt;1,D534/1000000,D534)*'Real Analysis'!$B$4</f>
        <v>-0.17275410000000002</v>
      </c>
      <c r="P534">
        <f>IF(ABS(E534)&gt;1,E534/1000000,E534)*'Real Analysis'!$B$4</f>
        <v>0.32172876</v>
      </c>
      <c r="Q534">
        <f>IF(ABS(F534)&gt;1,F534/1000000,F534)*'Real Analysis'!$B$4</f>
        <v>9.8715871800000006</v>
      </c>
      <c r="R534">
        <f t="shared" si="53"/>
        <v>0.379556</v>
      </c>
      <c r="S534">
        <f t="shared" si="54"/>
        <v>1.8639079999999999</v>
      </c>
      <c r="T534">
        <f t="shared" si="55"/>
        <v>0</v>
      </c>
      <c r="U534">
        <f t="shared" si="56"/>
        <v>0</v>
      </c>
    </row>
    <row r="535" spans="1:21" x14ac:dyDescent="0.3">
      <c r="A535" s="4">
        <v>533</v>
      </c>
      <c r="B535" s="4">
        <v>-96581288455</v>
      </c>
      <c r="C535" s="5">
        <v>7</v>
      </c>
      <c r="D535" s="5">
        <v>2.3140000000000001E-3</v>
      </c>
      <c r="E535" s="5">
        <v>2.1402999999999998E-2</v>
      </c>
      <c r="F535" s="5">
        <v>0.99995400000000001</v>
      </c>
      <c r="G535" s="5">
        <v>0.36909700000000001</v>
      </c>
      <c r="H535" s="5">
        <v>1085493</v>
      </c>
      <c r="I535" s="5">
        <v>0</v>
      </c>
      <c r="J535" s="5">
        <v>0</v>
      </c>
      <c r="L535">
        <f t="shared" si="51"/>
        <v>533</v>
      </c>
      <c r="M535">
        <f>'Real Analysis'!$B$3+B535/1000000</f>
        <v>10.711544999998296</v>
      </c>
      <c r="N535">
        <f t="shared" si="52"/>
        <v>7</v>
      </c>
      <c r="O535">
        <f>IF(ABS(D535)&gt;1,D535/1000000,D535)*'Real Analysis'!$B$4</f>
        <v>2.2700340000000003E-2</v>
      </c>
      <c r="P535">
        <f>IF(ABS(E535)&gt;1,E535/1000000,E535)*'Real Analysis'!$B$4</f>
        <v>0.20996343000000001</v>
      </c>
      <c r="Q535">
        <f>IF(ABS(F535)&gt;1,F535/1000000,F535)*'Real Analysis'!$B$4</f>
        <v>9.8095487400000003</v>
      </c>
      <c r="R535">
        <f t="shared" si="53"/>
        <v>0.36909700000000001</v>
      </c>
      <c r="S535">
        <f t="shared" si="54"/>
        <v>1.085493</v>
      </c>
      <c r="T535">
        <f t="shared" si="55"/>
        <v>0</v>
      </c>
      <c r="U535">
        <f t="shared" si="56"/>
        <v>0</v>
      </c>
    </row>
    <row r="536" spans="1:21" x14ac:dyDescent="0.3">
      <c r="A536" s="4">
        <v>534</v>
      </c>
      <c r="B536" s="4">
        <v>-96581268437</v>
      </c>
      <c r="C536" s="5">
        <v>7</v>
      </c>
      <c r="D536" s="5">
        <v>1.08E-4</v>
      </c>
      <c r="E536" s="5">
        <v>-6.3309999999999998E-3</v>
      </c>
      <c r="F536" s="5">
        <v>1008022</v>
      </c>
      <c r="G536" s="5">
        <v>8.0319000000000002E-2</v>
      </c>
      <c r="H536" s="5">
        <v>0.70723800000000003</v>
      </c>
      <c r="I536" s="5">
        <v>0</v>
      </c>
      <c r="J536" s="5">
        <v>0</v>
      </c>
      <c r="L536">
        <f t="shared" si="51"/>
        <v>534</v>
      </c>
      <c r="M536">
        <f>'Real Analysis'!$B$3+B536/1000000</f>
        <v>10.731562999993912</v>
      </c>
      <c r="N536">
        <f t="shared" si="52"/>
        <v>7</v>
      </c>
      <c r="O536">
        <f>IF(ABS(D536)&gt;1,D536/1000000,D536)*'Real Analysis'!$B$4</f>
        <v>1.05948E-3</v>
      </c>
      <c r="P536">
        <f>IF(ABS(E536)&gt;1,E536/1000000,E536)*'Real Analysis'!$B$4</f>
        <v>-6.210711E-2</v>
      </c>
      <c r="Q536">
        <f>IF(ABS(F536)&gt;1,F536/1000000,F536)*'Real Analysis'!$B$4</f>
        <v>9.8886958200000006</v>
      </c>
      <c r="R536">
        <f t="shared" si="53"/>
        <v>8.0319000000000002E-2</v>
      </c>
      <c r="S536">
        <f t="shared" si="54"/>
        <v>0.70723800000000003</v>
      </c>
      <c r="T536">
        <f t="shared" si="55"/>
        <v>0</v>
      </c>
      <c r="U536">
        <f t="shared" si="56"/>
        <v>0</v>
      </c>
    </row>
    <row r="537" spans="1:21" x14ac:dyDescent="0.3">
      <c r="A537" s="4">
        <v>535</v>
      </c>
      <c r="B537" s="4">
        <v>-96581247312</v>
      </c>
      <c r="C537" s="5">
        <v>7</v>
      </c>
      <c r="D537" s="5">
        <v>-1.9203000000000001E-2</v>
      </c>
      <c r="E537" s="5">
        <v>-2.64E-3</v>
      </c>
      <c r="F537" s="5">
        <v>1014876</v>
      </c>
      <c r="G537" s="5">
        <v>-0.57139200000000001</v>
      </c>
      <c r="H537" s="5">
        <v>1345529</v>
      </c>
      <c r="I537" s="5">
        <v>0</v>
      </c>
      <c r="J537" s="5">
        <v>0</v>
      </c>
      <c r="L537">
        <f t="shared" si="51"/>
        <v>535</v>
      </c>
      <c r="M537">
        <f>'Real Analysis'!$B$3+B537/1000000</f>
        <v>10.752687999993213</v>
      </c>
      <c r="N537">
        <f t="shared" si="52"/>
        <v>7</v>
      </c>
      <c r="O537">
        <f>IF(ABS(D537)&gt;1,D537/1000000,D537)*'Real Analysis'!$B$4</f>
        <v>-0.18838143000000002</v>
      </c>
      <c r="P537">
        <f>IF(ABS(E537)&gt;1,E537/1000000,E537)*'Real Analysis'!$B$4</f>
        <v>-2.5898400000000002E-2</v>
      </c>
      <c r="Q537">
        <f>IF(ABS(F537)&gt;1,F537/1000000,F537)*'Real Analysis'!$B$4</f>
        <v>9.9559335600000001</v>
      </c>
      <c r="R537">
        <f t="shared" si="53"/>
        <v>-0.57139200000000001</v>
      </c>
      <c r="S537">
        <f t="shared" si="54"/>
        <v>1.345529</v>
      </c>
      <c r="T537">
        <f t="shared" si="55"/>
        <v>0</v>
      </c>
      <c r="U537">
        <f t="shared" si="56"/>
        <v>0</v>
      </c>
    </row>
    <row r="538" spans="1:21" x14ac:dyDescent="0.3">
      <c r="A538" s="4">
        <v>536</v>
      </c>
      <c r="B538" s="4">
        <v>-96581231752</v>
      </c>
      <c r="C538" s="5">
        <v>7</v>
      </c>
      <c r="D538" s="5">
        <v>-8.881E-3</v>
      </c>
      <c r="E538" s="5">
        <v>2.7633000000000001E-2</v>
      </c>
      <c r="F538" s="5">
        <v>0.99695500000000004</v>
      </c>
      <c r="G538" s="5">
        <v>-0.36261900000000002</v>
      </c>
      <c r="H538" s="5">
        <v>1238399</v>
      </c>
      <c r="I538" s="5">
        <v>0</v>
      </c>
      <c r="J538" s="5">
        <v>0</v>
      </c>
      <c r="L538">
        <f t="shared" si="51"/>
        <v>536</v>
      </c>
      <c r="M538">
        <f>'Real Analysis'!$B$3+B538/1000000</f>
        <v>10.768247999993037</v>
      </c>
      <c r="N538">
        <f t="shared" si="52"/>
        <v>7</v>
      </c>
      <c r="O538">
        <f>IF(ABS(D538)&gt;1,D538/1000000,D538)*'Real Analysis'!$B$4</f>
        <v>-8.7122610000000003E-2</v>
      </c>
      <c r="P538">
        <f>IF(ABS(E538)&gt;1,E538/1000000,E538)*'Real Analysis'!$B$4</f>
        <v>0.27107973000000002</v>
      </c>
      <c r="Q538">
        <f>IF(ABS(F538)&gt;1,F538/1000000,F538)*'Real Analysis'!$B$4</f>
        <v>9.7801285500000006</v>
      </c>
      <c r="R538">
        <f t="shared" si="53"/>
        <v>-0.36261900000000002</v>
      </c>
      <c r="S538">
        <f t="shared" si="54"/>
        <v>1.238399</v>
      </c>
      <c r="T538">
        <f t="shared" si="55"/>
        <v>0</v>
      </c>
      <c r="U538">
        <f t="shared" si="56"/>
        <v>0</v>
      </c>
    </row>
    <row r="539" spans="1:21" x14ac:dyDescent="0.3">
      <c r="A539" s="4">
        <v>537</v>
      </c>
      <c r="B539" s="4">
        <v>-96581207809</v>
      </c>
      <c r="C539" s="5">
        <v>7</v>
      </c>
      <c r="D539" s="5">
        <v>1.9139999999999999E-3</v>
      </c>
      <c r="E539" s="5">
        <v>2.1493999999999999E-2</v>
      </c>
      <c r="F539" s="5">
        <v>0.99654100000000001</v>
      </c>
      <c r="G539" s="5">
        <v>-0.299846</v>
      </c>
      <c r="H539" s="5">
        <v>0.87799099999999997</v>
      </c>
      <c r="I539" s="5">
        <v>0</v>
      </c>
      <c r="J539" s="5">
        <v>0</v>
      </c>
      <c r="L539">
        <f t="shared" si="51"/>
        <v>537</v>
      </c>
      <c r="M539">
        <f>'Real Analysis'!$B$3+B539/1000000</f>
        <v>10.792191000000457</v>
      </c>
      <c r="N539">
        <f t="shared" si="52"/>
        <v>7</v>
      </c>
      <c r="O539">
        <f>IF(ABS(D539)&gt;1,D539/1000000,D539)*'Real Analysis'!$B$4</f>
        <v>1.8776339999999999E-2</v>
      </c>
      <c r="P539">
        <f>IF(ABS(E539)&gt;1,E539/1000000,E539)*'Real Analysis'!$B$4</f>
        <v>0.21085614</v>
      </c>
      <c r="Q539">
        <f>IF(ABS(F539)&gt;1,F539/1000000,F539)*'Real Analysis'!$B$4</f>
        <v>9.7760672100000008</v>
      </c>
      <c r="R539">
        <f t="shared" si="53"/>
        <v>-0.299846</v>
      </c>
      <c r="S539">
        <f t="shared" si="54"/>
        <v>0.87799099999999997</v>
      </c>
      <c r="T539">
        <f t="shared" si="55"/>
        <v>0</v>
      </c>
      <c r="U539">
        <f t="shared" si="56"/>
        <v>0</v>
      </c>
    </row>
    <row r="540" spans="1:21" x14ac:dyDescent="0.3">
      <c r="A540" s="4">
        <v>538</v>
      </c>
      <c r="B540" s="4">
        <v>-96581187662</v>
      </c>
      <c r="C540" s="5">
        <v>7</v>
      </c>
      <c r="D540" s="5">
        <v>-1.6073E-2</v>
      </c>
      <c r="E540" s="5">
        <v>-7.842E-3</v>
      </c>
      <c r="F540" s="5">
        <v>1013674</v>
      </c>
      <c r="G540" s="5">
        <v>-0.89210199999999995</v>
      </c>
      <c r="H540" s="5">
        <v>1112736</v>
      </c>
      <c r="I540" s="5">
        <v>0</v>
      </c>
      <c r="J540" s="5">
        <v>0</v>
      </c>
      <c r="L540">
        <f t="shared" si="51"/>
        <v>538</v>
      </c>
      <c r="M540">
        <f>'Real Analysis'!$B$3+B540/1000000</f>
        <v>10.812338000003365</v>
      </c>
      <c r="N540">
        <f t="shared" si="52"/>
        <v>7</v>
      </c>
      <c r="O540">
        <f>IF(ABS(D540)&gt;1,D540/1000000,D540)*'Real Analysis'!$B$4</f>
        <v>-0.15767613000000003</v>
      </c>
      <c r="P540">
        <f>IF(ABS(E540)&gt;1,E540/1000000,E540)*'Real Analysis'!$B$4</f>
        <v>-7.6930020000000002E-2</v>
      </c>
      <c r="Q540">
        <f>IF(ABS(F540)&gt;1,F540/1000000,F540)*'Real Analysis'!$B$4</f>
        <v>9.9441419399999997</v>
      </c>
      <c r="R540">
        <f t="shared" si="53"/>
        <v>-0.89210199999999995</v>
      </c>
      <c r="S540">
        <f t="shared" si="54"/>
        <v>1.1127359999999999</v>
      </c>
      <c r="T540">
        <f t="shared" si="55"/>
        <v>0</v>
      </c>
      <c r="U540">
        <f t="shared" si="56"/>
        <v>0</v>
      </c>
    </row>
    <row r="541" spans="1:21" x14ac:dyDescent="0.3">
      <c r="A541" s="4">
        <v>539</v>
      </c>
      <c r="B541" s="4">
        <v>-96581172552</v>
      </c>
      <c r="C541" s="5">
        <v>7</v>
      </c>
      <c r="D541" s="5">
        <v>-1.502E-2</v>
      </c>
      <c r="E541" s="5">
        <v>2.8680000000000001E-2</v>
      </c>
      <c r="F541" s="5">
        <v>1006412</v>
      </c>
      <c r="G541" s="5">
        <v>-0.38705499999999998</v>
      </c>
      <c r="H541" s="5">
        <v>1699447</v>
      </c>
      <c r="I541" s="5">
        <v>0</v>
      </c>
      <c r="J541" s="5">
        <v>0</v>
      </c>
      <c r="L541">
        <f t="shared" si="51"/>
        <v>539</v>
      </c>
      <c r="M541">
        <f>'Real Analysis'!$B$3+B541/1000000</f>
        <v>10.827447999996366</v>
      </c>
      <c r="N541">
        <f t="shared" si="52"/>
        <v>7</v>
      </c>
      <c r="O541">
        <f>IF(ABS(D541)&gt;1,D541/1000000,D541)*'Real Analysis'!$B$4</f>
        <v>-0.14734620000000001</v>
      </c>
      <c r="P541">
        <f>IF(ABS(E541)&gt;1,E541/1000000,E541)*'Real Analysis'!$B$4</f>
        <v>0.28135080000000001</v>
      </c>
      <c r="Q541">
        <f>IF(ABS(F541)&gt;1,F541/1000000,F541)*'Real Analysis'!$B$4</f>
        <v>9.8729017200000015</v>
      </c>
      <c r="R541">
        <f t="shared" si="53"/>
        <v>-0.38705499999999998</v>
      </c>
      <c r="S541">
        <f t="shared" si="54"/>
        <v>1.6994469999999999</v>
      </c>
      <c r="T541">
        <f t="shared" si="55"/>
        <v>0</v>
      </c>
      <c r="U541">
        <f t="shared" si="56"/>
        <v>0</v>
      </c>
    </row>
    <row r="542" spans="1:21" x14ac:dyDescent="0.3">
      <c r="A542" s="4">
        <v>540</v>
      </c>
      <c r="B542" s="4">
        <v>-96581152066</v>
      </c>
      <c r="C542" s="5">
        <v>7</v>
      </c>
      <c r="D542" s="5">
        <v>-2.611E-3</v>
      </c>
      <c r="E542" s="5">
        <v>-7.9050000000000006E-3</v>
      </c>
      <c r="F542" s="5">
        <v>1012946</v>
      </c>
      <c r="G542" s="5">
        <v>-0.52398</v>
      </c>
      <c r="H542" s="5">
        <v>0.92580700000000005</v>
      </c>
      <c r="I542" s="5">
        <v>0</v>
      </c>
      <c r="J542" s="5">
        <v>0</v>
      </c>
      <c r="L542">
        <f t="shared" si="51"/>
        <v>540</v>
      </c>
      <c r="M542">
        <f>'Real Analysis'!$B$3+B542/1000000</f>
        <v>10.847934000004898</v>
      </c>
      <c r="N542">
        <f t="shared" si="52"/>
        <v>7</v>
      </c>
      <c r="O542">
        <f>IF(ABS(D542)&gt;1,D542/1000000,D542)*'Real Analysis'!$B$4</f>
        <v>-2.561391E-2</v>
      </c>
      <c r="P542">
        <f>IF(ABS(E542)&gt;1,E542/1000000,E542)*'Real Analysis'!$B$4</f>
        <v>-7.7548050000000007E-2</v>
      </c>
      <c r="Q542">
        <f>IF(ABS(F542)&gt;1,F542/1000000,F542)*'Real Analysis'!$B$4</f>
        <v>9.9370002599999996</v>
      </c>
      <c r="R542">
        <f t="shared" si="53"/>
        <v>-0.52398</v>
      </c>
      <c r="S542">
        <f t="shared" si="54"/>
        <v>0.92580700000000005</v>
      </c>
      <c r="T542">
        <f t="shared" si="55"/>
        <v>0</v>
      </c>
      <c r="U542">
        <f t="shared" si="56"/>
        <v>0</v>
      </c>
    </row>
    <row r="543" spans="1:21" x14ac:dyDescent="0.3">
      <c r="A543" s="4">
        <v>541</v>
      </c>
      <c r="B543" s="4">
        <v>-96581130767</v>
      </c>
      <c r="C543" s="5">
        <v>7</v>
      </c>
      <c r="D543" s="5">
        <v>3.712E-3</v>
      </c>
      <c r="E543" s="5">
        <v>-3.6770000000000001E-3</v>
      </c>
      <c r="F543" s="5">
        <v>1008995</v>
      </c>
      <c r="G543" s="5">
        <v>-0.27529399999999998</v>
      </c>
      <c r="H543" s="5">
        <v>0.29739700000000002</v>
      </c>
      <c r="I543" s="5">
        <v>0</v>
      </c>
      <c r="J543" s="5">
        <v>0</v>
      </c>
      <c r="L543">
        <f t="shared" si="51"/>
        <v>541</v>
      </c>
      <c r="M543">
        <f>'Real Analysis'!$B$3+B543/1000000</f>
        <v>10.869233000004897</v>
      </c>
      <c r="N543">
        <f t="shared" si="52"/>
        <v>7</v>
      </c>
      <c r="O543">
        <f>IF(ABS(D543)&gt;1,D543/1000000,D543)*'Real Analysis'!$B$4</f>
        <v>3.6414720000000005E-2</v>
      </c>
      <c r="P543">
        <f>IF(ABS(E543)&gt;1,E543/1000000,E543)*'Real Analysis'!$B$4</f>
        <v>-3.6071370000000005E-2</v>
      </c>
      <c r="Q543">
        <f>IF(ABS(F543)&gt;1,F543/1000000,F543)*'Real Analysis'!$B$4</f>
        <v>9.8982409500000017</v>
      </c>
      <c r="R543">
        <f t="shared" si="53"/>
        <v>-0.27529399999999998</v>
      </c>
      <c r="S543">
        <f t="shared" si="54"/>
        <v>0.29739700000000002</v>
      </c>
      <c r="T543">
        <f t="shared" si="55"/>
        <v>0</v>
      </c>
      <c r="U543">
        <f t="shared" si="56"/>
        <v>0</v>
      </c>
    </row>
    <row r="544" spans="1:21" x14ac:dyDescent="0.3">
      <c r="A544" s="4">
        <v>542</v>
      </c>
      <c r="B544" s="4">
        <v>-96581107958</v>
      </c>
      <c r="C544" s="5">
        <v>7</v>
      </c>
      <c r="D544" s="5">
        <v>-1.1906E-2</v>
      </c>
      <c r="E544" s="5">
        <v>-3.4459999999999998E-3</v>
      </c>
      <c r="F544" s="5">
        <v>1016371</v>
      </c>
      <c r="G544" s="5">
        <v>-0.59220200000000001</v>
      </c>
      <c r="H544" s="5">
        <v>0.62780800000000003</v>
      </c>
      <c r="I544" s="5">
        <v>0</v>
      </c>
      <c r="J544" s="5">
        <v>0</v>
      </c>
      <c r="L544">
        <f t="shared" si="51"/>
        <v>542</v>
      </c>
      <c r="M544">
        <f>'Real Analysis'!$B$3+B544/1000000</f>
        <v>10.892042000006768</v>
      </c>
      <c r="N544">
        <f t="shared" si="52"/>
        <v>7</v>
      </c>
      <c r="O544">
        <f>IF(ABS(D544)&gt;1,D544/1000000,D544)*'Real Analysis'!$B$4</f>
        <v>-0.11679786</v>
      </c>
      <c r="P544">
        <f>IF(ABS(E544)&gt;1,E544/1000000,E544)*'Real Analysis'!$B$4</f>
        <v>-3.3805260000000004E-2</v>
      </c>
      <c r="Q544">
        <f>IF(ABS(F544)&gt;1,F544/1000000,F544)*'Real Analysis'!$B$4</f>
        <v>9.9705995099999996</v>
      </c>
      <c r="R544">
        <f t="shared" si="53"/>
        <v>-0.59220200000000001</v>
      </c>
      <c r="S544">
        <f t="shared" si="54"/>
        <v>0.62780800000000003</v>
      </c>
      <c r="T544">
        <f t="shared" si="55"/>
        <v>0</v>
      </c>
      <c r="U544">
        <f t="shared" si="56"/>
        <v>0</v>
      </c>
    </row>
    <row r="545" spans="1:21" x14ac:dyDescent="0.3">
      <c r="A545" s="4">
        <v>543</v>
      </c>
      <c r="B545" s="4">
        <v>-96581092511</v>
      </c>
      <c r="C545" s="5">
        <v>7</v>
      </c>
      <c r="D545" s="5">
        <v>-1.9633000000000001E-2</v>
      </c>
      <c r="E545" s="5">
        <v>1.9307000000000001E-2</v>
      </c>
      <c r="F545" s="5">
        <v>1011271</v>
      </c>
      <c r="G545" s="5">
        <v>-0.192686</v>
      </c>
      <c r="H545" s="5">
        <v>1326127</v>
      </c>
      <c r="I545" s="5">
        <v>0</v>
      </c>
      <c r="J545" s="5">
        <v>0</v>
      </c>
      <c r="L545">
        <f t="shared" si="51"/>
        <v>543</v>
      </c>
      <c r="M545">
        <f>'Real Analysis'!$B$3+B545/1000000</f>
        <v>10.907489000004716</v>
      </c>
      <c r="N545">
        <f t="shared" si="52"/>
        <v>7</v>
      </c>
      <c r="O545">
        <f>IF(ABS(D545)&gt;1,D545/1000000,D545)*'Real Analysis'!$B$4</f>
        <v>-0.19259973000000002</v>
      </c>
      <c r="P545">
        <f>IF(ABS(E545)&gt;1,E545/1000000,E545)*'Real Analysis'!$B$4</f>
        <v>0.18940167000000002</v>
      </c>
      <c r="Q545">
        <f>IF(ABS(F545)&gt;1,F545/1000000,F545)*'Real Analysis'!$B$4</f>
        <v>9.9205685100000007</v>
      </c>
      <c r="R545">
        <f t="shared" si="53"/>
        <v>-0.192686</v>
      </c>
      <c r="S545">
        <f t="shared" si="54"/>
        <v>1.3261270000000001</v>
      </c>
      <c r="T545">
        <f t="shared" si="55"/>
        <v>0</v>
      </c>
      <c r="U545">
        <f t="shared" si="56"/>
        <v>0</v>
      </c>
    </row>
    <row r="546" spans="1:21" x14ac:dyDescent="0.3">
      <c r="A546" s="4">
        <v>544</v>
      </c>
      <c r="B546" s="4">
        <v>-96581071505</v>
      </c>
      <c r="C546" s="5">
        <v>7</v>
      </c>
      <c r="D546" s="5">
        <v>2.2950000000000002E-3</v>
      </c>
      <c r="E546" s="5">
        <v>2.4708999999999998E-2</v>
      </c>
      <c r="F546" s="5">
        <v>1002724</v>
      </c>
      <c r="G546" s="5">
        <v>0.19816800000000001</v>
      </c>
      <c r="H546" s="5">
        <v>0.89660899999999999</v>
      </c>
      <c r="I546" s="5">
        <v>0</v>
      </c>
      <c r="J546" s="5">
        <v>0</v>
      </c>
      <c r="L546">
        <f t="shared" si="51"/>
        <v>544</v>
      </c>
      <c r="M546">
        <f>'Real Analysis'!$B$3+B546/1000000</f>
        <v>10.928495000000112</v>
      </c>
      <c r="N546">
        <f t="shared" si="52"/>
        <v>7</v>
      </c>
      <c r="O546">
        <f>IF(ABS(D546)&gt;1,D546/1000000,D546)*'Real Analysis'!$B$4</f>
        <v>2.2513950000000001E-2</v>
      </c>
      <c r="P546">
        <f>IF(ABS(E546)&gt;1,E546/1000000,E546)*'Real Analysis'!$B$4</f>
        <v>0.24239528999999999</v>
      </c>
      <c r="Q546">
        <f>IF(ABS(F546)&gt;1,F546/1000000,F546)*'Real Analysis'!$B$4</f>
        <v>9.8367224400000008</v>
      </c>
      <c r="R546">
        <f t="shared" si="53"/>
        <v>0.19816800000000001</v>
      </c>
      <c r="S546">
        <f t="shared" si="54"/>
        <v>0.89660899999999999</v>
      </c>
      <c r="T546">
        <f t="shared" si="55"/>
        <v>0</v>
      </c>
      <c r="U546">
        <f t="shared" si="56"/>
        <v>0</v>
      </c>
    </row>
    <row r="547" spans="1:21" x14ac:dyDescent="0.3">
      <c r="A547" s="4">
        <v>545</v>
      </c>
      <c r="B547" s="4">
        <v>-96581050536</v>
      </c>
      <c r="C547" s="5">
        <v>7</v>
      </c>
      <c r="D547" s="5">
        <v>1.2827E-2</v>
      </c>
      <c r="E547" s="5">
        <v>-5.5929999999999999E-3</v>
      </c>
      <c r="F547" s="5">
        <v>1000550</v>
      </c>
      <c r="G547" s="5">
        <v>0.17035</v>
      </c>
      <c r="H547" s="5">
        <v>0.16903399999999999</v>
      </c>
      <c r="I547" s="5">
        <v>0</v>
      </c>
      <c r="J547" s="5">
        <v>0</v>
      </c>
      <c r="L547">
        <f t="shared" si="51"/>
        <v>545</v>
      </c>
      <c r="M547">
        <f>'Real Analysis'!$B$3+B547/1000000</f>
        <v>10.949464000004809</v>
      </c>
      <c r="N547">
        <f t="shared" si="52"/>
        <v>7</v>
      </c>
      <c r="O547">
        <f>IF(ABS(D547)&gt;1,D547/1000000,D547)*'Real Analysis'!$B$4</f>
        <v>0.12583287000000001</v>
      </c>
      <c r="P547">
        <f>IF(ABS(E547)&gt;1,E547/1000000,E547)*'Real Analysis'!$B$4</f>
        <v>-5.4867329999999999E-2</v>
      </c>
      <c r="Q547">
        <f>IF(ABS(F547)&gt;1,F547/1000000,F547)*'Real Analysis'!$B$4</f>
        <v>9.8153955000000011</v>
      </c>
      <c r="R547">
        <f t="shared" si="53"/>
        <v>0.17035</v>
      </c>
      <c r="S547">
        <f t="shared" si="54"/>
        <v>0.16903399999999999</v>
      </c>
      <c r="T547">
        <f t="shared" si="55"/>
        <v>0</v>
      </c>
      <c r="U547">
        <f t="shared" si="56"/>
        <v>0</v>
      </c>
    </row>
    <row r="548" spans="1:21" x14ac:dyDescent="0.3">
      <c r="A548" s="4">
        <v>546</v>
      </c>
      <c r="B548" s="4">
        <v>-96581029225</v>
      </c>
      <c r="C548" s="5">
        <v>7</v>
      </c>
      <c r="D548" s="5">
        <v>-1.2485E-2</v>
      </c>
      <c r="E548" s="5">
        <v>-6.3160000000000004E-3</v>
      </c>
      <c r="F548" s="5">
        <v>1012521</v>
      </c>
      <c r="G548" s="5">
        <v>-3.1119000000000001E-2</v>
      </c>
      <c r="H548" s="5">
        <v>0.57418899999999995</v>
      </c>
      <c r="I548" s="5">
        <v>0</v>
      </c>
      <c r="J548" s="5">
        <v>0</v>
      </c>
      <c r="L548">
        <f t="shared" si="51"/>
        <v>546</v>
      </c>
      <c r="M548">
        <f>'Real Analysis'!$B$3+B548/1000000</f>
        <v>10.970774999994319</v>
      </c>
      <c r="N548">
        <f t="shared" si="52"/>
        <v>7</v>
      </c>
      <c r="O548">
        <f>IF(ABS(D548)&gt;1,D548/1000000,D548)*'Real Analysis'!$B$4</f>
        <v>-0.12247785</v>
      </c>
      <c r="P548">
        <f>IF(ABS(E548)&gt;1,E548/1000000,E548)*'Real Analysis'!$B$4</f>
        <v>-6.1959960000000008E-2</v>
      </c>
      <c r="Q548">
        <f>IF(ABS(F548)&gt;1,F548/1000000,F548)*'Real Analysis'!$B$4</f>
        <v>9.932831010000001</v>
      </c>
      <c r="R548">
        <f t="shared" si="53"/>
        <v>-3.1119000000000001E-2</v>
      </c>
      <c r="S548">
        <f t="shared" si="54"/>
        <v>0.57418899999999995</v>
      </c>
      <c r="T548">
        <f t="shared" si="55"/>
        <v>0</v>
      </c>
      <c r="U548">
        <f t="shared" si="56"/>
        <v>0</v>
      </c>
    </row>
    <row r="549" spans="1:21" x14ac:dyDescent="0.3">
      <c r="A549" s="4">
        <v>547</v>
      </c>
      <c r="B549" s="4">
        <v>-96581011510</v>
      </c>
      <c r="C549" s="5">
        <v>7</v>
      </c>
      <c r="D549" s="5">
        <v>-1.6483000000000001E-2</v>
      </c>
      <c r="E549" s="5">
        <v>2.3646E-2</v>
      </c>
      <c r="F549" s="5">
        <v>1004984</v>
      </c>
      <c r="G549" s="5">
        <v>0.533022</v>
      </c>
      <c r="H549" s="5">
        <v>1279127</v>
      </c>
      <c r="I549" s="5">
        <v>0</v>
      </c>
      <c r="J549" s="5">
        <v>0</v>
      </c>
      <c r="L549">
        <f t="shared" si="51"/>
        <v>547</v>
      </c>
      <c r="M549">
        <f>'Real Analysis'!$B$3+B549/1000000</f>
        <v>10.988490000003367</v>
      </c>
      <c r="N549">
        <f t="shared" si="52"/>
        <v>7</v>
      </c>
      <c r="O549">
        <f>IF(ABS(D549)&gt;1,D549/1000000,D549)*'Real Analysis'!$B$4</f>
        <v>-0.16169823000000003</v>
      </c>
      <c r="P549">
        <f>IF(ABS(E549)&gt;1,E549/1000000,E549)*'Real Analysis'!$B$4</f>
        <v>0.23196726000000001</v>
      </c>
      <c r="Q549">
        <f>IF(ABS(F549)&gt;1,F549/1000000,F549)*'Real Analysis'!$B$4</f>
        <v>9.8588930400000017</v>
      </c>
      <c r="R549">
        <f t="shared" si="53"/>
        <v>0.533022</v>
      </c>
      <c r="S549">
        <f t="shared" si="54"/>
        <v>1.2791269999999999</v>
      </c>
      <c r="T549">
        <f t="shared" si="55"/>
        <v>0</v>
      </c>
      <c r="U549">
        <f t="shared" si="56"/>
        <v>0</v>
      </c>
    </row>
    <row r="550" spans="1:21" x14ac:dyDescent="0.3">
      <c r="A550" s="4">
        <v>548</v>
      </c>
      <c r="B550" s="4">
        <v>-96580993111</v>
      </c>
      <c r="C550" s="5">
        <v>7</v>
      </c>
      <c r="D550" s="5">
        <v>1.2739E-2</v>
      </c>
      <c r="E550" s="5">
        <v>7.4840000000000002E-3</v>
      </c>
      <c r="F550" s="5">
        <v>1002855</v>
      </c>
      <c r="G550" s="5">
        <v>0.74910399999999999</v>
      </c>
      <c r="H550" s="5">
        <v>0.80721799999999999</v>
      </c>
      <c r="I550" s="5">
        <v>0</v>
      </c>
      <c r="J550" s="5">
        <v>0</v>
      </c>
      <c r="L550">
        <f t="shared" si="51"/>
        <v>548</v>
      </c>
      <c r="M550">
        <f>'Real Analysis'!$B$3+B550/1000000</f>
        <v>11.00688899999659</v>
      </c>
      <c r="N550">
        <f t="shared" si="52"/>
        <v>7</v>
      </c>
      <c r="O550">
        <f>IF(ABS(D550)&gt;1,D550/1000000,D550)*'Real Analysis'!$B$4</f>
        <v>0.12496959000000001</v>
      </c>
      <c r="P550">
        <f>IF(ABS(E550)&gt;1,E550/1000000,E550)*'Real Analysis'!$B$4</f>
        <v>7.3418040000000004E-2</v>
      </c>
      <c r="Q550">
        <f>IF(ABS(F550)&gt;1,F550/1000000,F550)*'Real Analysis'!$B$4</f>
        <v>9.8380075500000004</v>
      </c>
      <c r="R550">
        <f t="shared" si="53"/>
        <v>0.74910399999999999</v>
      </c>
      <c r="S550">
        <f t="shared" si="54"/>
        <v>0.80721799999999999</v>
      </c>
      <c r="T550">
        <f t="shared" si="55"/>
        <v>0</v>
      </c>
      <c r="U550">
        <f t="shared" si="56"/>
        <v>0</v>
      </c>
    </row>
    <row r="551" spans="1:21" x14ac:dyDescent="0.3">
      <c r="A551" s="4">
        <v>549</v>
      </c>
      <c r="B551" s="4">
        <v>-96580969880</v>
      </c>
      <c r="C551" s="5">
        <v>7</v>
      </c>
      <c r="D551" s="5">
        <v>4.7569999999999999E-3</v>
      </c>
      <c r="E551" s="5">
        <v>-3.2699999999999999E-3</v>
      </c>
      <c r="F551" s="5">
        <v>1003309</v>
      </c>
      <c r="G551" s="5">
        <v>-8.7776000000000007E-2</v>
      </c>
      <c r="H551" s="5">
        <v>0.490452</v>
      </c>
      <c r="I551" s="5">
        <v>0</v>
      </c>
      <c r="J551" s="5">
        <v>0</v>
      </c>
      <c r="L551">
        <f t="shared" si="51"/>
        <v>549</v>
      </c>
      <c r="M551">
        <f>'Real Analysis'!$B$3+B551/1000000</f>
        <v>11.030119999995804</v>
      </c>
      <c r="N551">
        <f t="shared" si="52"/>
        <v>7</v>
      </c>
      <c r="O551">
        <f>IF(ABS(D551)&gt;1,D551/1000000,D551)*'Real Analysis'!$B$4</f>
        <v>4.666617E-2</v>
      </c>
      <c r="P551">
        <f>IF(ABS(E551)&gt;1,E551/1000000,E551)*'Real Analysis'!$B$4</f>
        <v>-3.2078700000000002E-2</v>
      </c>
      <c r="Q551">
        <f>IF(ABS(F551)&gt;1,F551/1000000,F551)*'Real Analysis'!$B$4</f>
        <v>9.842461290000001</v>
      </c>
      <c r="R551">
        <f t="shared" si="53"/>
        <v>-8.7776000000000007E-2</v>
      </c>
      <c r="S551">
        <f t="shared" si="54"/>
        <v>0.490452</v>
      </c>
      <c r="T551">
        <f t="shared" si="55"/>
        <v>0</v>
      </c>
      <c r="U551">
        <f t="shared" si="56"/>
        <v>0</v>
      </c>
    </row>
    <row r="552" spans="1:21" x14ac:dyDescent="0.3">
      <c r="A552" s="4">
        <v>550</v>
      </c>
      <c r="B552" s="4">
        <v>-96580954681</v>
      </c>
      <c r="C552" s="5">
        <v>7</v>
      </c>
      <c r="D552" s="5">
        <v>-2.5593000000000001E-2</v>
      </c>
      <c r="E552" s="5">
        <v>1.9547999999999999E-2</v>
      </c>
      <c r="F552" s="5">
        <v>1014570</v>
      </c>
      <c r="G552" s="5">
        <v>-0.38762600000000003</v>
      </c>
      <c r="H552" s="5">
        <v>1350868</v>
      </c>
      <c r="I552" s="5">
        <v>0</v>
      </c>
      <c r="J552" s="5">
        <v>0</v>
      </c>
      <c r="L552">
        <f t="shared" si="51"/>
        <v>550</v>
      </c>
      <c r="M552">
        <f>'Real Analysis'!$B$3+B552/1000000</f>
        <v>11.045318999997107</v>
      </c>
      <c r="N552">
        <f t="shared" si="52"/>
        <v>7</v>
      </c>
      <c r="O552">
        <f>IF(ABS(D552)&gt;1,D552/1000000,D552)*'Real Analysis'!$B$4</f>
        <v>-0.25106733000000003</v>
      </c>
      <c r="P552">
        <f>IF(ABS(E552)&gt;1,E552/1000000,E552)*'Real Analysis'!$B$4</f>
        <v>0.19176588</v>
      </c>
      <c r="Q552">
        <f>IF(ABS(F552)&gt;1,F552/1000000,F552)*'Real Analysis'!$B$4</f>
        <v>9.9529317000000006</v>
      </c>
      <c r="R552">
        <f t="shared" si="53"/>
        <v>-0.38762600000000003</v>
      </c>
      <c r="S552">
        <f t="shared" si="54"/>
        <v>1.350868</v>
      </c>
      <c r="T552">
        <f t="shared" si="55"/>
        <v>0</v>
      </c>
      <c r="U552">
        <f t="shared" si="56"/>
        <v>0</v>
      </c>
    </row>
    <row r="553" spans="1:21" x14ac:dyDescent="0.3">
      <c r="A553" s="4">
        <v>551</v>
      </c>
      <c r="B553" s="4">
        <v>-96580929550</v>
      </c>
      <c r="C553" s="5">
        <v>7</v>
      </c>
      <c r="D553" s="5">
        <v>-8.5800000000000004E-4</v>
      </c>
      <c r="E553" s="5">
        <v>2.0175999999999999E-2</v>
      </c>
      <c r="F553" s="5">
        <v>1000876</v>
      </c>
      <c r="G553" s="5">
        <v>0.313527</v>
      </c>
      <c r="H553" s="5">
        <v>0.81702399999999997</v>
      </c>
      <c r="I553" s="5">
        <v>0</v>
      </c>
      <c r="J553" s="5">
        <v>0</v>
      </c>
      <c r="L553">
        <f t="shared" si="51"/>
        <v>551</v>
      </c>
      <c r="M553">
        <f>'Real Analysis'!$B$3+B553/1000000</f>
        <v>11.070449999999255</v>
      </c>
      <c r="N553">
        <f t="shared" si="52"/>
        <v>7</v>
      </c>
      <c r="O553">
        <f>IF(ABS(D553)&gt;1,D553/1000000,D553)*'Real Analysis'!$B$4</f>
        <v>-8.416980000000001E-3</v>
      </c>
      <c r="P553">
        <f>IF(ABS(E553)&gt;1,E553/1000000,E553)*'Real Analysis'!$B$4</f>
        <v>0.19792656</v>
      </c>
      <c r="Q553">
        <f>IF(ABS(F553)&gt;1,F553/1000000,F553)*'Real Analysis'!$B$4</f>
        <v>9.8185935600000018</v>
      </c>
      <c r="R553">
        <f t="shared" si="53"/>
        <v>0.313527</v>
      </c>
      <c r="S553">
        <f t="shared" si="54"/>
        <v>0.81702399999999997</v>
      </c>
      <c r="T553">
        <f t="shared" si="55"/>
        <v>0</v>
      </c>
      <c r="U553">
        <f t="shared" si="56"/>
        <v>0</v>
      </c>
    </row>
    <row r="554" spans="1:21" x14ac:dyDescent="0.3">
      <c r="A554" s="4">
        <v>552</v>
      </c>
      <c r="B554" s="4">
        <v>-96580910656</v>
      </c>
      <c r="C554" s="5">
        <v>7</v>
      </c>
      <c r="D554" s="5">
        <v>-3.9810000000000002E-3</v>
      </c>
      <c r="E554" s="5">
        <v>1.1446E-2</v>
      </c>
      <c r="F554" s="5">
        <v>1000157</v>
      </c>
      <c r="G554" s="5">
        <v>0.139901</v>
      </c>
      <c r="H554" s="5">
        <v>0.88461999999999996</v>
      </c>
      <c r="I554" s="5">
        <v>0</v>
      </c>
      <c r="J554" s="5">
        <v>0</v>
      </c>
      <c r="L554">
        <f t="shared" si="51"/>
        <v>552</v>
      </c>
      <c r="M554">
        <f>'Real Analysis'!$B$3+B554/1000000</f>
        <v>11.089344000007259</v>
      </c>
      <c r="N554">
        <f t="shared" si="52"/>
        <v>7</v>
      </c>
      <c r="O554">
        <f>IF(ABS(D554)&gt;1,D554/1000000,D554)*'Real Analysis'!$B$4</f>
        <v>-3.9053610000000002E-2</v>
      </c>
      <c r="P554">
        <f>IF(ABS(E554)&gt;1,E554/1000000,E554)*'Real Analysis'!$B$4</f>
        <v>0.11228526</v>
      </c>
      <c r="Q554">
        <f>IF(ABS(F554)&gt;1,F554/1000000,F554)*'Real Analysis'!$B$4</f>
        <v>9.8115401700000007</v>
      </c>
      <c r="R554">
        <f t="shared" si="53"/>
        <v>0.139901</v>
      </c>
      <c r="S554">
        <f t="shared" si="54"/>
        <v>0.88461999999999996</v>
      </c>
      <c r="T554">
        <f t="shared" si="55"/>
        <v>0</v>
      </c>
      <c r="U554">
        <f t="shared" si="56"/>
        <v>0</v>
      </c>
    </row>
    <row r="555" spans="1:21" x14ac:dyDescent="0.3">
      <c r="A555" s="4">
        <v>553</v>
      </c>
      <c r="B555" s="4">
        <v>-96580890647</v>
      </c>
      <c r="C555" s="5">
        <v>7</v>
      </c>
      <c r="D555" s="5">
        <v>4.5890000000000002E-3</v>
      </c>
      <c r="E555" s="5">
        <v>6.3420000000000004E-3</v>
      </c>
      <c r="F555" s="5">
        <v>1003726</v>
      </c>
      <c r="G555" s="5">
        <v>0.17699599999999999</v>
      </c>
      <c r="H555" s="5">
        <v>0.91925999999999997</v>
      </c>
      <c r="I555" s="5">
        <v>0</v>
      </c>
      <c r="J555" s="5">
        <v>0</v>
      </c>
      <c r="L555">
        <f t="shared" si="51"/>
        <v>553</v>
      </c>
      <c r="M555">
        <f>'Real Analysis'!$B$3+B555/1000000</f>
        <v>11.109353000007104</v>
      </c>
      <c r="N555">
        <f t="shared" si="52"/>
        <v>7</v>
      </c>
      <c r="O555">
        <f>IF(ABS(D555)&gt;1,D555/1000000,D555)*'Real Analysis'!$B$4</f>
        <v>4.5018090000000004E-2</v>
      </c>
      <c r="P555">
        <f>IF(ABS(E555)&gt;1,E555/1000000,E555)*'Real Analysis'!$B$4</f>
        <v>6.221502000000001E-2</v>
      </c>
      <c r="Q555">
        <f>IF(ABS(F555)&gt;1,F555/1000000,F555)*'Real Analysis'!$B$4</f>
        <v>9.8465520599999987</v>
      </c>
      <c r="R555">
        <f t="shared" si="53"/>
        <v>0.17699599999999999</v>
      </c>
      <c r="S555">
        <f t="shared" si="54"/>
        <v>0.91925999999999997</v>
      </c>
      <c r="T555">
        <f t="shared" si="55"/>
        <v>0</v>
      </c>
      <c r="U555">
        <f t="shared" si="56"/>
        <v>0</v>
      </c>
    </row>
    <row r="556" spans="1:21" x14ac:dyDescent="0.3">
      <c r="A556" s="4">
        <v>554</v>
      </c>
      <c r="B556" s="4">
        <v>-96580871249</v>
      </c>
      <c r="C556" s="5">
        <v>7</v>
      </c>
      <c r="D556" s="5">
        <v>2.5209999999999998E-3</v>
      </c>
      <c r="E556" s="5">
        <v>9.7799999999999992E-4</v>
      </c>
      <c r="F556" s="5">
        <v>1005989</v>
      </c>
      <c r="G556" s="5">
        <v>-0.115763</v>
      </c>
      <c r="H556" s="5">
        <v>0.58274499999999996</v>
      </c>
      <c r="I556" s="5">
        <v>0</v>
      </c>
      <c r="J556" s="5">
        <v>0</v>
      </c>
      <c r="L556">
        <f t="shared" si="51"/>
        <v>554</v>
      </c>
      <c r="M556">
        <f>'Real Analysis'!$B$3+B556/1000000</f>
        <v>11.128750999996555</v>
      </c>
      <c r="N556">
        <f t="shared" si="52"/>
        <v>7</v>
      </c>
      <c r="O556">
        <f>IF(ABS(D556)&gt;1,D556/1000000,D556)*'Real Analysis'!$B$4</f>
        <v>2.4731009999999998E-2</v>
      </c>
      <c r="P556">
        <f>IF(ABS(E556)&gt;1,E556/1000000,E556)*'Real Analysis'!$B$4</f>
        <v>9.594179999999999E-3</v>
      </c>
      <c r="Q556">
        <f>IF(ABS(F556)&gt;1,F556/1000000,F556)*'Real Analysis'!$B$4</f>
        <v>9.868752090000001</v>
      </c>
      <c r="R556">
        <f t="shared" si="53"/>
        <v>-0.115763</v>
      </c>
      <c r="S556">
        <f t="shared" si="54"/>
        <v>0.58274499999999996</v>
      </c>
      <c r="T556">
        <f t="shared" si="55"/>
        <v>0</v>
      </c>
      <c r="U556">
        <f t="shared" si="56"/>
        <v>0</v>
      </c>
    </row>
    <row r="557" spans="1:21" x14ac:dyDescent="0.3">
      <c r="A557" s="4">
        <v>555</v>
      </c>
      <c r="B557" s="4">
        <v>-96580848714</v>
      </c>
      <c r="C557" s="5">
        <v>7</v>
      </c>
      <c r="D557" s="5">
        <v>-1.3516E-2</v>
      </c>
      <c r="E557" s="5">
        <v>1.6149999999999999E-3</v>
      </c>
      <c r="F557" s="5">
        <v>1005599</v>
      </c>
      <c r="G557" s="5">
        <v>1.3625E-2</v>
      </c>
      <c r="H557" s="5">
        <v>0.80532700000000002</v>
      </c>
      <c r="I557" s="5">
        <v>0</v>
      </c>
      <c r="J557" s="5">
        <v>0</v>
      </c>
      <c r="L557">
        <f t="shared" si="51"/>
        <v>555</v>
      </c>
      <c r="M557">
        <f>'Real Analysis'!$B$3+B557/1000000</f>
        <v>11.151285999992979</v>
      </c>
      <c r="N557">
        <f t="shared" si="52"/>
        <v>7</v>
      </c>
      <c r="O557">
        <f>IF(ABS(D557)&gt;1,D557/1000000,D557)*'Real Analysis'!$B$4</f>
        <v>-0.13259196000000001</v>
      </c>
      <c r="P557">
        <f>IF(ABS(E557)&gt;1,E557/1000000,E557)*'Real Analysis'!$B$4</f>
        <v>1.584315E-2</v>
      </c>
      <c r="Q557">
        <f>IF(ABS(F557)&gt;1,F557/1000000,F557)*'Real Analysis'!$B$4</f>
        <v>9.8649261900000003</v>
      </c>
      <c r="R557">
        <f t="shared" si="53"/>
        <v>1.3625E-2</v>
      </c>
      <c r="S557">
        <f t="shared" si="54"/>
        <v>0.80532700000000002</v>
      </c>
      <c r="T557">
        <f t="shared" si="55"/>
        <v>0</v>
      </c>
      <c r="U557">
        <f t="shared" si="56"/>
        <v>0</v>
      </c>
    </row>
    <row r="558" spans="1:21" x14ac:dyDescent="0.3">
      <c r="A558" s="4">
        <v>556</v>
      </c>
      <c r="B558" s="4">
        <v>-96580828760</v>
      </c>
      <c r="C558" s="5">
        <v>7</v>
      </c>
      <c r="D558" s="5">
        <v>-7.3959999999999998E-3</v>
      </c>
      <c r="E558" s="5">
        <v>2.0392E-2</v>
      </c>
      <c r="F558" s="5">
        <v>1000016</v>
      </c>
      <c r="G558" s="5">
        <v>0.38086799999999998</v>
      </c>
      <c r="H558" s="5">
        <v>1161277</v>
      </c>
      <c r="I558" s="5">
        <v>0</v>
      </c>
      <c r="J558" s="5">
        <v>0</v>
      </c>
      <c r="L558">
        <f t="shared" si="51"/>
        <v>556</v>
      </c>
      <c r="M558">
        <f>'Real Analysis'!$B$3+B558/1000000</f>
        <v>11.171239999996033</v>
      </c>
      <c r="N558">
        <f t="shared" si="52"/>
        <v>7</v>
      </c>
      <c r="O558">
        <f>IF(ABS(D558)&gt;1,D558/1000000,D558)*'Real Analysis'!$B$4</f>
        <v>-7.2554759999999996E-2</v>
      </c>
      <c r="P558">
        <f>IF(ABS(E558)&gt;1,E558/1000000,E558)*'Real Analysis'!$B$4</f>
        <v>0.20004552</v>
      </c>
      <c r="Q558">
        <f>IF(ABS(F558)&gt;1,F558/1000000,F558)*'Real Analysis'!$B$4</f>
        <v>9.8101569600000005</v>
      </c>
      <c r="R558">
        <f t="shared" si="53"/>
        <v>0.38086799999999998</v>
      </c>
      <c r="S558">
        <f t="shared" si="54"/>
        <v>1.1612769999999999</v>
      </c>
      <c r="T558">
        <f t="shared" si="55"/>
        <v>0</v>
      </c>
      <c r="U558">
        <f t="shared" si="56"/>
        <v>0</v>
      </c>
    </row>
    <row r="559" spans="1:21" x14ac:dyDescent="0.3">
      <c r="A559" s="4">
        <v>557</v>
      </c>
      <c r="B559" s="4">
        <v>-96580807131</v>
      </c>
      <c r="C559" s="5">
        <v>7</v>
      </c>
      <c r="D559" s="5">
        <v>-1.6981E-2</v>
      </c>
      <c r="E559" s="5">
        <v>1.3793E-2</v>
      </c>
      <c r="F559" s="5">
        <v>1009566</v>
      </c>
      <c r="G559" s="5">
        <v>-0.41036</v>
      </c>
      <c r="H559" s="5">
        <v>0.92656000000000005</v>
      </c>
      <c r="I559" s="5">
        <v>0</v>
      </c>
      <c r="J559" s="5">
        <v>0</v>
      </c>
      <c r="L559">
        <f t="shared" si="51"/>
        <v>557</v>
      </c>
      <c r="M559">
        <f>'Real Analysis'!$B$3+B559/1000000</f>
        <v>11.192869000005885</v>
      </c>
      <c r="N559">
        <f t="shared" si="52"/>
        <v>7</v>
      </c>
      <c r="O559">
        <f>IF(ABS(D559)&gt;1,D559/1000000,D559)*'Real Analysis'!$B$4</f>
        <v>-0.16658360999999999</v>
      </c>
      <c r="P559">
        <f>IF(ABS(E559)&gt;1,E559/1000000,E559)*'Real Analysis'!$B$4</f>
        <v>0.13530933000000001</v>
      </c>
      <c r="Q559">
        <f>IF(ABS(F559)&gt;1,F559/1000000,F559)*'Real Analysis'!$B$4</f>
        <v>9.9038424599999999</v>
      </c>
      <c r="R559">
        <f t="shared" si="53"/>
        <v>-0.41036</v>
      </c>
      <c r="S559">
        <f t="shared" si="54"/>
        <v>0.92656000000000005</v>
      </c>
      <c r="T559">
        <f t="shared" si="55"/>
        <v>0</v>
      </c>
      <c r="U559">
        <f t="shared" si="56"/>
        <v>0</v>
      </c>
    </row>
    <row r="560" spans="1:21" x14ac:dyDescent="0.3">
      <c r="A560" s="4">
        <v>558</v>
      </c>
      <c r="B560" s="4">
        <v>-96580789231</v>
      </c>
      <c r="C560" s="5">
        <v>7</v>
      </c>
      <c r="D560" s="5">
        <v>1.8569999999999999E-3</v>
      </c>
      <c r="E560" s="5">
        <v>1.6586E-2</v>
      </c>
      <c r="F560" s="5">
        <v>1014107</v>
      </c>
      <c r="G560" s="5">
        <v>-0.35762500000000003</v>
      </c>
      <c r="H560" s="5">
        <v>0.72416000000000003</v>
      </c>
      <c r="I560" s="5">
        <v>0</v>
      </c>
      <c r="J560" s="5">
        <v>0</v>
      </c>
      <c r="L560">
        <f t="shared" si="51"/>
        <v>558</v>
      </c>
      <c r="M560">
        <f>'Real Analysis'!$B$3+B560/1000000</f>
        <v>11.210768999997526</v>
      </c>
      <c r="N560">
        <f t="shared" si="52"/>
        <v>7</v>
      </c>
      <c r="O560">
        <f>IF(ABS(D560)&gt;1,D560/1000000,D560)*'Real Analysis'!$B$4</f>
        <v>1.8217170000000001E-2</v>
      </c>
      <c r="P560">
        <f>IF(ABS(E560)&gt;1,E560/1000000,E560)*'Real Analysis'!$B$4</f>
        <v>0.16270866</v>
      </c>
      <c r="Q560">
        <f>IF(ABS(F560)&gt;1,F560/1000000,F560)*'Real Analysis'!$B$4</f>
        <v>9.948389670000001</v>
      </c>
      <c r="R560">
        <f t="shared" si="53"/>
        <v>-0.35762500000000003</v>
      </c>
      <c r="S560">
        <f t="shared" si="54"/>
        <v>0.72416000000000003</v>
      </c>
      <c r="T560">
        <f t="shared" si="55"/>
        <v>0</v>
      </c>
      <c r="U560">
        <f t="shared" si="56"/>
        <v>0</v>
      </c>
    </row>
    <row r="561" spans="1:21" x14ac:dyDescent="0.3">
      <c r="A561" s="4">
        <v>559</v>
      </c>
      <c r="B561" s="4">
        <v>-96580768642</v>
      </c>
      <c r="C561" s="5">
        <v>7</v>
      </c>
      <c r="D561" s="5">
        <v>1.2881E-2</v>
      </c>
      <c r="E561" s="5">
        <v>-2.581E-3</v>
      </c>
      <c r="F561" s="5">
        <v>0.98746800000000001</v>
      </c>
      <c r="G561" s="5">
        <v>0.15890199999999999</v>
      </c>
      <c r="H561" s="5">
        <v>0.59981099999999998</v>
      </c>
      <c r="I561" s="5">
        <v>0</v>
      </c>
      <c r="J561" s="5">
        <v>0</v>
      </c>
      <c r="L561">
        <f t="shared" si="51"/>
        <v>559</v>
      </c>
      <c r="M561">
        <f>'Real Analysis'!$B$3+B561/1000000</f>
        <v>11.231358000004548</v>
      </c>
      <c r="N561">
        <f t="shared" si="52"/>
        <v>7</v>
      </c>
      <c r="O561">
        <f>IF(ABS(D561)&gt;1,D561/1000000,D561)*'Real Analysis'!$B$4</f>
        <v>0.12636261000000001</v>
      </c>
      <c r="P561">
        <f>IF(ABS(E561)&gt;1,E561/1000000,E561)*'Real Analysis'!$B$4</f>
        <v>-2.5319609999999999E-2</v>
      </c>
      <c r="Q561">
        <f>IF(ABS(F561)&gt;1,F561/1000000,F561)*'Real Analysis'!$B$4</f>
        <v>9.6870610800000012</v>
      </c>
      <c r="R561">
        <f t="shared" si="53"/>
        <v>0.15890199999999999</v>
      </c>
      <c r="S561">
        <f t="shared" si="54"/>
        <v>0.59981099999999998</v>
      </c>
      <c r="T561">
        <f t="shared" si="55"/>
        <v>0</v>
      </c>
      <c r="U561">
        <f t="shared" si="56"/>
        <v>0</v>
      </c>
    </row>
    <row r="562" spans="1:21" x14ac:dyDescent="0.3">
      <c r="A562" s="4">
        <v>560</v>
      </c>
      <c r="B562" s="4">
        <v>-96580750287</v>
      </c>
      <c r="C562" s="5">
        <v>7</v>
      </c>
      <c r="D562" s="5">
        <v>-1.3856E-2</v>
      </c>
      <c r="E562" s="5">
        <v>1.64E-4</v>
      </c>
      <c r="F562" s="5">
        <v>1008007</v>
      </c>
      <c r="G562" s="5">
        <v>9.3219999999999997E-2</v>
      </c>
      <c r="H562" s="5">
        <v>0.86899099999999996</v>
      </c>
      <c r="I562" s="5">
        <v>0</v>
      </c>
      <c r="J562" s="5">
        <v>0</v>
      </c>
      <c r="L562">
        <f t="shared" si="51"/>
        <v>560</v>
      </c>
      <c r="M562">
        <f>'Real Analysis'!$B$3+B562/1000000</f>
        <v>11.249712999997428</v>
      </c>
      <c r="N562">
        <f t="shared" si="52"/>
        <v>7</v>
      </c>
      <c r="O562">
        <f>IF(ABS(D562)&gt;1,D562/1000000,D562)*'Real Analysis'!$B$4</f>
        <v>-0.13592736</v>
      </c>
      <c r="P562">
        <f>IF(ABS(E562)&gt;1,E562/1000000,E562)*'Real Analysis'!$B$4</f>
        <v>1.6088400000000001E-3</v>
      </c>
      <c r="Q562">
        <f>IF(ABS(F562)&gt;1,F562/1000000,F562)*'Real Analysis'!$B$4</f>
        <v>9.8885486700000023</v>
      </c>
      <c r="R562">
        <f t="shared" si="53"/>
        <v>9.3219999999999997E-2</v>
      </c>
      <c r="S562">
        <f t="shared" si="54"/>
        <v>0.86899099999999996</v>
      </c>
      <c r="T562">
        <f t="shared" si="55"/>
        <v>0</v>
      </c>
      <c r="U562">
        <f t="shared" si="56"/>
        <v>0</v>
      </c>
    </row>
    <row r="563" spans="1:21" x14ac:dyDescent="0.3">
      <c r="A563" s="4">
        <v>561</v>
      </c>
      <c r="B563" s="4">
        <v>-96580728856</v>
      </c>
      <c r="C563" s="5">
        <v>7</v>
      </c>
      <c r="D563" s="5">
        <v>-4.6509999999999998E-3</v>
      </c>
      <c r="E563" s="5">
        <v>3.1279000000000001E-2</v>
      </c>
      <c r="F563" s="5">
        <v>1031867</v>
      </c>
      <c r="G563" s="5">
        <v>-3.382E-3</v>
      </c>
      <c r="H563" s="5">
        <v>1307964</v>
      </c>
      <c r="I563" s="5">
        <v>0</v>
      </c>
      <c r="J563" s="5">
        <v>0</v>
      </c>
      <c r="L563">
        <f t="shared" si="51"/>
        <v>561</v>
      </c>
      <c r="M563">
        <f>'Real Analysis'!$B$3+B563/1000000</f>
        <v>11.271143999998458</v>
      </c>
      <c r="N563">
        <f t="shared" si="52"/>
        <v>7</v>
      </c>
      <c r="O563">
        <f>IF(ABS(D563)&gt;1,D563/1000000,D563)*'Real Analysis'!$B$4</f>
        <v>-4.5626310000000003E-2</v>
      </c>
      <c r="P563">
        <f>IF(ABS(E563)&gt;1,E563/1000000,E563)*'Real Analysis'!$B$4</f>
        <v>0.30684699000000004</v>
      </c>
      <c r="Q563">
        <f>IF(ABS(F563)&gt;1,F563/1000000,F563)*'Real Analysis'!$B$4</f>
        <v>10.122615270000001</v>
      </c>
      <c r="R563">
        <f t="shared" si="53"/>
        <v>-3.382E-3</v>
      </c>
      <c r="S563">
        <f t="shared" si="54"/>
        <v>1.3079639999999999</v>
      </c>
      <c r="T563">
        <f t="shared" si="55"/>
        <v>0</v>
      </c>
      <c r="U563">
        <f t="shared" si="56"/>
        <v>0</v>
      </c>
    </row>
    <row r="564" spans="1:21" x14ac:dyDescent="0.3">
      <c r="A564" s="4">
        <v>562</v>
      </c>
      <c r="B564" s="4">
        <v>-96580708454</v>
      </c>
      <c r="C564" s="5">
        <v>7</v>
      </c>
      <c r="D564" s="5">
        <v>-2.3893999999999999E-2</v>
      </c>
      <c r="E564" s="5">
        <v>-9.1399999999999999E-4</v>
      </c>
      <c r="F564" s="5">
        <v>0.99062700000000004</v>
      </c>
      <c r="G564" s="5">
        <v>-0.90625999999999995</v>
      </c>
      <c r="H564" s="5">
        <v>1021927</v>
      </c>
      <c r="I564" s="5">
        <v>0</v>
      </c>
      <c r="J564" s="5">
        <v>0</v>
      </c>
      <c r="L564">
        <f t="shared" si="51"/>
        <v>562</v>
      </c>
      <c r="M564">
        <f>'Real Analysis'!$B$3+B564/1000000</f>
        <v>11.291545999993104</v>
      </c>
      <c r="N564">
        <f t="shared" si="52"/>
        <v>7</v>
      </c>
      <c r="O564">
        <f>IF(ABS(D564)&gt;1,D564/1000000,D564)*'Real Analysis'!$B$4</f>
        <v>-0.23440014000000001</v>
      </c>
      <c r="P564">
        <f>IF(ABS(E564)&gt;1,E564/1000000,E564)*'Real Analysis'!$B$4</f>
        <v>-8.9663399999999997E-3</v>
      </c>
      <c r="Q564">
        <f>IF(ABS(F564)&gt;1,F564/1000000,F564)*'Real Analysis'!$B$4</f>
        <v>9.7180508700000008</v>
      </c>
      <c r="R564">
        <f t="shared" si="53"/>
        <v>-0.90625999999999995</v>
      </c>
      <c r="S564">
        <f t="shared" si="54"/>
        <v>1.021927</v>
      </c>
      <c r="T564">
        <f t="shared" si="55"/>
        <v>0</v>
      </c>
      <c r="U564">
        <f t="shared" si="56"/>
        <v>0</v>
      </c>
    </row>
    <row r="565" spans="1:21" x14ac:dyDescent="0.3">
      <c r="A565" s="4">
        <v>563</v>
      </c>
      <c r="B565" s="4">
        <v>-96580689558</v>
      </c>
      <c r="C565" s="5">
        <v>7</v>
      </c>
      <c r="D565" s="5">
        <v>-8.4829999999999992E-3</v>
      </c>
      <c r="E565" s="5">
        <v>-3.669E-3</v>
      </c>
      <c r="F565" s="5">
        <v>0.98900600000000005</v>
      </c>
      <c r="G565" s="5">
        <v>-0.210759</v>
      </c>
      <c r="H565" s="5">
        <v>0.98142499999999999</v>
      </c>
      <c r="I565" s="5">
        <v>0</v>
      </c>
      <c r="J565" s="5">
        <v>0</v>
      </c>
      <c r="L565">
        <f t="shared" si="51"/>
        <v>563</v>
      </c>
      <c r="M565">
        <f>'Real Analysis'!$B$3+B565/1000000</f>
        <v>11.310442000001785</v>
      </c>
      <c r="N565">
        <f t="shared" si="52"/>
        <v>7</v>
      </c>
      <c r="O565">
        <f>IF(ABS(D565)&gt;1,D565/1000000,D565)*'Real Analysis'!$B$4</f>
        <v>-8.321822999999999E-2</v>
      </c>
      <c r="P565">
        <f>IF(ABS(E565)&gt;1,E565/1000000,E565)*'Real Analysis'!$B$4</f>
        <v>-3.599289E-2</v>
      </c>
      <c r="Q565">
        <f>IF(ABS(F565)&gt;1,F565/1000000,F565)*'Real Analysis'!$B$4</f>
        <v>9.7021488600000012</v>
      </c>
      <c r="R565">
        <f t="shared" si="53"/>
        <v>-0.210759</v>
      </c>
      <c r="S565">
        <f t="shared" si="54"/>
        <v>0.98142499999999999</v>
      </c>
      <c r="T565">
        <f t="shared" si="55"/>
        <v>0</v>
      </c>
      <c r="U565">
        <f t="shared" si="56"/>
        <v>0</v>
      </c>
    </row>
    <row r="566" spans="1:21" x14ac:dyDescent="0.3">
      <c r="A566" s="4">
        <v>564</v>
      </c>
      <c r="B566" s="4">
        <v>-96580669996</v>
      </c>
      <c r="C566" s="5">
        <v>7</v>
      </c>
      <c r="D566" s="5">
        <v>2.1984E-2</v>
      </c>
      <c r="E566" s="5">
        <v>2.9444999999999999E-2</v>
      </c>
      <c r="F566" s="5">
        <v>1018167</v>
      </c>
      <c r="G566" s="5">
        <v>0.45301900000000001</v>
      </c>
      <c r="H566" s="5">
        <v>0.98947300000000005</v>
      </c>
      <c r="I566" s="5">
        <v>0</v>
      </c>
      <c r="J566" s="5">
        <v>0</v>
      </c>
      <c r="L566">
        <f t="shared" si="51"/>
        <v>564</v>
      </c>
      <c r="M566">
        <f>'Real Analysis'!$B$3+B566/1000000</f>
        <v>11.3300040000031</v>
      </c>
      <c r="N566">
        <f t="shared" si="52"/>
        <v>7</v>
      </c>
      <c r="O566">
        <f>IF(ABS(D566)&gt;1,D566/1000000,D566)*'Real Analysis'!$B$4</f>
        <v>0.21566304</v>
      </c>
      <c r="P566">
        <f>IF(ABS(E566)&gt;1,E566/1000000,E566)*'Real Analysis'!$B$4</f>
        <v>0.28885545000000001</v>
      </c>
      <c r="Q566">
        <f>IF(ABS(F566)&gt;1,F566/1000000,F566)*'Real Analysis'!$B$4</f>
        <v>9.9882182700000008</v>
      </c>
      <c r="R566">
        <f t="shared" si="53"/>
        <v>0.45301900000000001</v>
      </c>
      <c r="S566">
        <f t="shared" si="54"/>
        <v>0.98947300000000005</v>
      </c>
      <c r="T566">
        <f t="shared" si="55"/>
        <v>0</v>
      </c>
      <c r="U566">
        <f t="shared" si="56"/>
        <v>0</v>
      </c>
    </row>
    <row r="567" spans="1:21" x14ac:dyDescent="0.3">
      <c r="A567" s="4">
        <v>565</v>
      </c>
      <c r="B567" s="4">
        <v>-96580649565</v>
      </c>
      <c r="C567" s="5">
        <v>7</v>
      </c>
      <c r="D567" s="5">
        <v>-1.4907999999999999E-2</v>
      </c>
      <c r="E567" s="5">
        <v>6.1789999999999996E-3</v>
      </c>
      <c r="F567" s="5">
        <v>0.99259699999999995</v>
      </c>
      <c r="G567" s="5">
        <v>-0.19264500000000001</v>
      </c>
      <c r="H567" s="5">
        <v>1054542</v>
      </c>
      <c r="I567" s="5">
        <v>0</v>
      </c>
      <c r="J567" s="5">
        <v>0</v>
      </c>
      <c r="L567">
        <f t="shared" si="51"/>
        <v>565</v>
      </c>
      <c r="M567">
        <f>'Real Analysis'!$B$3+B567/1000000</f>
        <v>11.350435000000289</v>
      </c>
      <c r="N567">
        <f t="shared" si="52"/>
        <v>7</v>
      </c>
      <c r="O567">
        <f>IF(ABS(D567)&gt;1,D567/1000000,D567)*'Real Analysis'!$B$4</f>
        <v>-0.14624748000000001</v>
      </c>
      <c r="P567">
        <f>IF(ABS(E567)&gt;1,E567/1000000,E567)*'Real Analysis'!$B$4</f>
        <v>6.0615990000000002E-2</v>
      </c>
      <c r="Q567">
        <f>IF(ABS(F567)&gt;1,F567/1000000,F567)*'Real Analysis'!$B$4</f>
        <v>9.7373765700000003</v>
      </c>
      <c r="R567">
        <f t="shared" si="53"/>
        <v>-0.19264500000000001</v>
      </c>
      <c r="S567">
        <f t="shared" si="54"/>
        <v>1.0545420000000001</v>
      </c>
      <c r="T567">
        <f t="shared" si="55"/>
        <v>0</v>
      </c>
      <c r="U567">
        <f t="shared" si="56"/>
        <v>0</v>
      </c>
    </row>
    <row r="568" spans="1:21" x14ac:dyDescent="0.3">
      <c r="A568" s="4">
        <v>566</v>
      </c>
      <c r="B568" s="4">
        <v>-96580627928</v>
      </c>
      <c r="C568" s="5">
        <v>7</v>
      </c>
      <c r="D568" s="5">
        <v>-1.1205E-2</v>
      </c>
      <c r="E568" s="5">
        <v>1.0928999999999999E-2</v>
      </c>
      <c r="F568" s="5">
        <v>1006559</v>
      </c>
      <c r="G568" s="5">
        <v>-0.58171899999999999</v>
      </c>
      <c r="H568" s="5">
        <v>1132943</v>
      </c>
      <c r="I568" s="5">
        <v>0</v>
      </c>
      <c r="J568" s="5">
        <v>0</v>
      </c>
      <c r="L568">
        <f t="shared" si="51"/>
        <v>566</v>
      </c>
      <c r="M568">
        <f>'Real Analysis'!$B$3+B568/1000000</f>
        <v>11.372071999998298</v>
      </c>
      <c r="N568">
        <f t="shared" si="52"/>
        <v>7</v>
      </c>
      <c r="O568">
        <f>IF(ABS(D568)&gt;1,D568/1000000,D568)*'Real Analysis'!$B$4</f>
        <v>-0.10992105000000001</v>
      </c>
      <c r="P568">
        <f>IF(ABS(E568)&gt;1,E568/1000000,E568)*'Real Analysis'!$B$4</f>
        <v>0.10721348999999999</v>
      </c>
      <c r="Q568">
        <f>IF(ABS(F568)&gt;1,F568/1000000,F568)*'Real Analysis'!$B$4</f>
        <v>9.8743437900000011</v>
      </c>
      <c r="R568">
        <f t="shared" si="53"/>
        <v>-0.58171899999999999</v>
      </c>
      <c r="S568">
        <f t="shared" si="54"/>
        <v>1.132943</v>
      </c>
      <c r="T568">
        <f t="shared" si="55"/>
        <v>0</v>
      </c>
      <c r="U568">
        <f t="shared" si="56"/>
        <v>0</v>
      </c>
    </row>
    <row r="569" spans="1:21" x14ac:dyDescent="0.3">
      <c r="A569" s="4">
        <v>567</v>
      </c>
      <c r="B569" s="4">
        <v>-96580609223</v>
      </c>
      <c r="C569" s="5">
        <v>7</v>
      </c>
      <c r="D569" s="5">
        <v>-2.1743999999999999E-2</v>
      </c>
      <c r="E569" s="5">
        <v>4.2200000000000001E-4</v>
      </c>
      <c r="F569" s="5">
        <v>0.99373</v>
      </c>
      <c r="G569" s="5">
        <v>-1808562</v>
      </c>
      <c r="H569" s="5">
        <v>0.47714699999999999</v>
      </c>
      <c r="I569" s="5">
        <v>0</v>
      </c>
      <c r="J569" s="5">
        <v>0</v>
      </c>
      <c r="L569">
        <f t="shared" si="51"/>
        <v>567</v>
      </c>
      <c r="M569">
        <f>'Real Analysis'!$B$3+B569/1000000</f>
        <v>11.39077699999325</v>
      </c>
      <c r="N569">
        <f t="shared" si="52"/>
        <v>7</v>
      </c>
      <c r="O569">
        <f>IF(ABS(D569)&gt;1,D569/1000000,D569)*'Real Analysis'!$B$4</f>
        <v>-0.21330863999999999</v>
      </c>
      <c r="P569">
        <f>IF(ABS(E569)&gt;1,E569/1000000,E569)*'Real Analysis'!$B$4</f>
        <v>4.1398200000000007E-3</v>
      </c>
      <c r="Q569">
        <f>IF(ABS(F569)&gt;1,F569/1000000,F569)*'Real Analysis'!$B$4</f>
        <v>9.7484913000000013</v>
      </c>
      <c r="R569">
        <f t="shared" si="53"/>
        <v>-1.808562</v>
      </c>
      <c r="S569">
        <f t="shared" si="54"/>
        <v>0.47714699999999999</v>
      </c>
      <c r="T569">
        <f t="shared" si="55"/>
        <v>0</v>
      </c>
      <c r="U569">
        <f t="shared" si="56"/>
        <v>0</v>
      </c>
    </row>
    <row r="570" spans="1:21" x14ac:dyDescent="0.3">
      <c r="A570" s="4">
        <v>568</v>
      </c>
      <c r="B570" s="4">
        <v>-96580589481</v>
      </c>
      <c r="C570" s="5">
        <v>7</v>
      </c>
      <c r="D570" s="5">
        <v>-1.5626000000000001E-2</v>
      </c>
      <c r="E570" s="5">
        <v>-1.2903E-2</v>
      </c>
      <c r="F570" s="5">
        <v>1019140</v>
      </c>
      <c r="G570" s="5">
        <v>-2227742</v>
      </c>
      <c r="H570" s="5">
        <v>-0.421072</v>
      </c>
      <c r="I570" s="5">
        <v>0</v>
      </c>
      <c r="J570" s="5">
        <v>0</v>
      </c>
      <c r="L570">
        <f t="shared" si="51"/>
        <v>568</v>
      </c>
      <c r="M570">
        <f>'Real Analysis'!$B$3+B570/1000000</f>
        <v>11.410518999997294</v>
      </c>
      <c r="N570">
        <f t="shared" si="52"/>
        <v>7</v>
      </c>
      <c r="O570">
        <f>IF(ABS(D570)&gt;1,D570/1000000,D570)*'Real Analysis'!$B$4</f>
        <v>-0.15329106000000001</v>
      </c>
      <c r="P570">
        <f>IF(ABS(E570)&gt;1,E570/1000000,E570)*'Real Analysis'!$B$4</f>
        <v>-0.12657842999999999</v>
      </c>
      <c r="Q570">
        <f>IF(ABS(F570)&gt;1,F570/1000000,F570)*'Real Analysis'!$B$4</f>
        <v>9.9977634000000002</v>
      </c>
      <c r="R570">
        <f t="shared" si="53"/>
        <v>-2.2277420000000001</v>
      </c>
      <c r="S570">
        <f t="shared" si="54"/>
        <v>-0.421072</v>
      </c>
      <c r="T570">
        <f t="shared" si="55"/>
        <v>0</v>
      </c>
      <c r="U570">
        <f t="shared" si="56"/>
        <v>0</v>
      </c>
    </row>
    <row r="571" spans="1:21" x14ac:dyDescent="0.3">
      <c r="A571" s="4">
        <v>569</v>
      </c>
      <c r="B571" s="4">
        <v>-96580567570</v>
      </c>
      <c r="C571" s="5">
        <v>7</v>
      </c>
      <c r="D571" s="5">
        <v>-3.8219999999999999E-3</v>
      </c>
      <c r="E571" s="5">
        <v>8.1969999999999994E-3</v>
      </c>
      <c r="F571" s="5">
        <v>1000321</v>
      </c>
      <c r="G571" s="5">
        <v>-1884187</v>
      </c>
      <c r="H571" s="5">
        <v>-0.244223</v>
      </c>
      <c r="I571" s="5">
        <v>0</v>
      </c>
      <c r="J571" s="5">
        <v>0</v>
      </c>
      <c r="L571">
        <f t="shared" si="51"/>
        <v>569</v>
      </c>
      <c r="M571">
        <f>'Real Analysis'!$B$3+B571/1000000</f>
        <v>11.43243000000075</v>
      </c>
      <c r="N571">
        <f t="shared" si="52"/>
        <v>7</v>
      </c>
      <c r="O571">
        <f>IF(ABS(D571)&gt;1,D571/1000000,D571)*'Real Analysis'!$B$4</f>
        <v>-3.7493820000000004E-2</v>
      </c>
      <c r="P571">
        <f>IF(ABS(E571)&gt;1,E571/1000000,E571)*'Real Analysis'!$B$4</f>
        <v>8.0412570000000003E-2</v>
      </c>
      <c r="Q571">
        <f>IF(ABS(F571)&gt;1,F571/1000000,F571)*'Real Analysis'!$B$4</f>
        <v>9.8131490100000001</v>
      </c>
      <c r="R571">
        <f t="shared" si="53"/>
        <v>-1.8841870000000001</v>
      </c>
      <c r="S571">
        <f t="shared" si="54"/>
        <v>-0.244223</v>
      </c>
      <c r="T571">
        <f t="shared" si="55"/>
        <v>0</v>
      </c>
      <c r="U571">
        <f t="shared" si="56"/>
        <v>0</v>
      </c>
    </row>
    <row r="572" spans="1:21" x14ac:dyDescent="0.3">
      <c r="A572" s="4">
        <v>570</v>
      </c>
      <c r="B572" s="4">
        <v>-96580548375</v>
      </c>
      <c r="C572" s="5">
        <v>7</v>
      </c>
      <c r="D572" s="5">
        <v>-1.4199E-2</v>
      </c>
      <c r="E572" s="5">
        <v>2.1221E-2</v>
      </c>
      <c r="F572" s="5">
        <v>1009160</v>
      </c>
      <c r="G572" s="5">
        <v>-1663393</v>
      </c>
      <c r="H572" s="5">
        <v>0.33030199999999998</v>
      </c>
      <c r="I572" s="5">
        <v>0</v>
      </c>
      <c r="J572" s="5">
        <v>0</v>
      </c>
      <c r="L572">
        <f t="shared" si="51"/>
        <v>570</v>
      </c>
      <c r="M572">
        <f>'Real Analysis'!$B$3+B572/1000000</f>
        <v>11.451625000001513</v>
      </c>
      <c r="N572">
        <f t="shared" si="52"/>
        <v>7</v>
      </c>
      <c r="O572">
        <f>IF(ABS(D572)&gt;1,D572/1000000,D572)*'Real Analysis'!$B$4</f>
        <v>-0.13929219000000001</v>
      </c>
      <c r="P572">
        <f>IF(ABS(E572)&gt;1,E572/1000000,E572)*'Real Analysis'!$B$4</f>
        <v>0.20817801000000002</v>
      </c>
      <c r="Q572">
        <f>IF(ABS(F572)&gt;1,F572/1000000,F572)*'Real Analysis'!$B$4</f>
        <v>9.899859600000001</v>
      </c>
      <c r="R572">
        <f t="shared" si="53"/>
        <v>-1.6633929999999999</v>
      </c>
      <c r="S572">
        <f t="shared" si="54"/>
        <v>0.33030199999999998</v>
      </c>
      <c r="T572">
        <f t="shared" si="55"/>
        <v>0</v>
      </c>
      <c r="U572">
        <f t="shared" si="56"/>
        <v>0</v>
      </c>
    </row>
    <row r="573" spans="1:21" x14ac:dyDescent="0.3">
      <c r="A573" s="4">
        <v>571</v>
      </c>
      <c r="B573" s="4">
        <v>-96580528804</v>
      </c>
      <c r="C573" s="5">
        <v>7</v>
      </c>
      <c r="D573" s="5">
        <v>-4.7520000000000001E-3</v>
      </c>
      <c r="E573" s="5">
        <v>2.6499999999999999E-4</v>
      </c>
      <c r="F573" s="5">
        <v>1002009</v>
      </c>
      <c r="G573" s="5">
        <v>-0.76929700000000001</v>
      </c>
      <c r="H573" s="5">
        <v>0.54984599999999995</v>
      </c>
      <c r="I573" s="5">
        <v>0</v>
      </c>
      <c r="J573" s="5">
        <v>0</v>
      </c>
      <c r="L573">
        <f t="shared" si="51"/>
        <v>571</v>
      </c>
      <c r="M573">
        <f>'Real Analysis'!$B$3+B573/1000000</f>
        <v>11.471195999998599</v>
      </c>
      <c r="N573">
        <f t="shared" si="52"/>
        <v>7</v>
      </c>
      <c r="O573">
        <f>IF(ABS(D573)&gt;1,D573/1000000,D573)*'Real Analysis'!$B$4</f>
        <v>-4.6617120000000005E-2</v>
      </c>
      <c r="P573">
        <f>IF(ABS(E573)&gt;1,E573/1000000,E573)*'Real Analysis'!$B$4</f>
        <v>2.5996500000000002E-3</v>
      </c>
      <c r="Q573">
        <f>IF(ABS(F573)&gt;1,F573/1000000,F573)*'Real Analysis'!$B$4</f>
        <v>9.8297082899999992</v>
      </c>
      <c r="R573">
        <f t="shared" si="53"/>
        <v>-0.76929700000000001</v>
      </c>
      <c r="S573">
        <f t="shared" si="54"/>
        <v>0.54984599999999995</v>
      </c>
      <c r="T573">
        <f t="shared" si="55"/>
        <v>0</v>
      </c>
      <c r="U573">
        <f t="shared" si="56"/>
        <v>0</v>
      </c>
    </row>
    <row r="574" spans="1:21" x14ac:dyDescent="0.3">
      <c r="A574" s="4">
        <v>572</v>
      </c>
      <c r="B574" s="4">
        <v>-96580513971</v>
      </c>
      <c r="C574" s="5">
        <v>7</v>
      </c>
      <c r="D574" s="5">
        <v>3.689E-3</v>
      </c>
      <c r="E574" s="5">
        <v>9.9150000000000002E-3</v>
      </c>
      <c r="F574" s="5">
        <v>0.99402299999999999</v>
      </c>
      <c r="G574" s="5">
        <v>-0.143039</v>
      </c>
      <c r="H574" s="5">
        <v>0.66873499999999997</v>
      </c>
      <c r="I574" s="5">
        <v>0</v>
      </c>
      <c r="J574" s="5">
        <v>0</v>
      </c>
      <c r="L574">
        <f t="shared" si="51"/>
        <v>572</v>
      </c>
      <c r="M574">
        <f>'Real Analysis'!$B$3+B574/1000000</f>
        <v>11.486029000006965</v>
      </c>
      <c r="N574">
        <f t="shared" si="52"/>
        <v>7</v>
      </c>
      <c r="O574">
        <f>IF(ABS(D574)&gt;1,D574/1000000,D574)*'Real Analysis'!$B$4</f>
        <v>3.618909E-2</v>
      </c>
      <c r="P574">
        <f>IF(ABS(E574)&gt;1,E574/1000000,E574)*'Real Analysis'!$B$4</f>
        <v>9.726615000000001E-2</v>
      </c>
      <c r="Q574">
        <f>IF(ABS(F574)&gt;1,F574/1000000,F574)*'Real Analysis'!$B$4</f>
        <v>9.7513656300000005</v>
      </c>
      <c r="R574">
        <f t="shared" si="53"/>
        <v>-0.143039</v>
      </c>
      <c r="S574">
        <f t="shared" si="54"/>
        <v>0.66873499999999997</v>
      </c>
      <c r="T574">
        <f t="shared" si="55"/>
        <v>0</v>
      </c>
      <c r="U574">
        <f t="shared" si="56"/>
        <v>0</v>
      </c>
    </row>
    <row r="575" spans="1:21" x14ac:dyDescent="0.3">
      <c r="A575" s="4">
        <v>573</v>
      </c>
      <c r="B575" s="4">
        <v>-96580489881</v>
      </c>
      <c r="C575" s="5">
        <v>7</v>
      </c>
      <c r="D575" s="5">
        <v>-6.9239999999999996E-3</v>
      </c>
      <c r="E575" s="5">
        <v>1.7224E-2</v>
      </c>
      <c r="F575" s="5">
        <v>1008020</v>
      </c>
      <c r="G575" s="5">
        <v>7.7330999999999997E-2</v>
      </c>
      <c r="H575" s="5">
        <v>1286206</v>
      </c>
      <c r="I575" s="5">
        <v>0</v>
      </c>
      <c r="J575" s="5">
        <v>0</v>
      </c>
      <c r="L575">
        <f t="shared" si="51"/>
        <v>573</v>
      </c>
      <c r="M575">
        <f>'Real Analysis'!$B$3+B575/1000000</f>
        <v>11.510118999998667</v>
      </c>
      <c r="N575">
        <f t="shared" si="52"/>
        <v>7</v>
      </c>
      <c r="O575">
        <f>IF(ABS(D575)&gt;1,D575/1000000,D575)*'Real Analysis'!$B$4</f>
        <v>-6.7924440000000003E-2</v>
      </c>
      <c r="P575">
        <f>IF(ABS(E575)&gt;1,E575/1000000,E575)*'Real Analysis'!$B$4</f>
        <v>0.16896744</v>
      </c>
      <c r="Q575">
        <f>IF(ABS(F575)&gt;1,F575/1000000,F575)*'Real Analysis'!$B$4</f>
        <v>9.888676199999999</v>
      </c>
      <c r="R575">
        <f t="shared" si="53"/>
        <v>7.7330999999999997E-2</v>
      </c>
      <c r="S575">
        <f t="shared" si="54"/>
        <v>1.286206</v>
      </c>
      <c r="T575">
        <f t="shared" si="55"/>
        <v>0</v>
      </c>
      <c r="U575">
        <f t="shared" si="56"/>
        <v>0</v>
      </c>
    </row>
    <row r="576" spans="1:21" x14ac:dyDescent="0.3">
      <c r="A576" s="4">
        <v>574</v>
      </c>
      <c r="B576" s="4">
        <v>-96580471492</v>
      </c>
      <c r="C576" s="5">
        <v>7</v>
      </c>
      <c r="D576" s="5">
        <v>-1.6933E-2</v>
      </c>
      <c r="E576" s="5">
        <v>1.7357000000000001E-2</v>
      </c>
      <c r="F576" s="5">
        <v>1009266</v>
      </c>
      <c r="G576" s="5">
        <v>-0.303892</v>
      </c>
      <c r="H576" s="5">
        <v>1760290</v>
      </c>
      <c r="I576" s="5">
        <v>0</v>
      </c>
      <c r="J576" s="5">
        <v>0</v>
      </c>
      <c r="L576">
        <f t="shared" si="51"/>
        <v>574</v>
      </c>
      <c r="M576">
        <f>'Real Analysis'!$B$3+B576/1000000</f>
        <v>11.528508000003058</v>
      </c>
      <c r="N576">
        <f t="shared" si="52"/>
        <v>7</v>
      </c>
      <c r="O576">
        <f>IF(ABS(D576)&gt;1,D576/1000000,D576)*'Real Analysis'!$B$4</f>
        <v>-0.16611273000000001</v>
      </c>
      <c r="P576">
        <f>IF(ABS(E576)&gt;1,E576/1000000,E576)*'Real Analysis'!$B$4</f>
        <v>0.17027217000000003</v>
      </c>
      <c r="Q576">
        <f>IF(ABS(F576)&gt;1,F576/1000000,F576)*'Real Analysis'!$B$4</f>
        <v>9.9008994599999998</v>
      </c>
      <c r="R576">
        <f t="shared" si="53"/>
        <v>-0.303892</v>
      </c>
      <c r="S576">
        <f t="shared" si="54"/>
        <v>1.7602899999999999</v>
      </c>
      <c r="T576">
        <f t="shared" si="55"/>
        <v>0</v>
      </c>
      <c r="U576">
        <f t="shared" si="56"/>
        <v>0</v>
      </c>
    </row>
    <row r="577" spans="1:21" x14ac:dyDescent="0.3">
      <c r="A577" s="4">
        <v>575</v>
      </c>
      <c r="B577" s="4">
        <v>-96580448504</v>
      </c>
      <c r="C577" s="5">
        <v>7</v>
      </c>
      <c r="D577" s="5">
        <v>-3.617E-3</v>
      </c>
      <c r="E577" s="5">
        <v>3.1913999999999998E-2</v>
      </c>
      <c r="F577" s="5">
        <v>1000256</v>
      </c>
      <c r="G577" s="5">
        <v>0.34394200000000003</v>
      </c>
      <c r="H577" s="5">
        <v>2193621</v>
      </c>
      <c r="I577" s="5">
        <v>0</v>
      </c>
      <c r="J577" s="5">
        <v>0</v>
      </c>
      <c r="L577">
        <f t="shared" si="51"/>
        <v>575</v>
      </c>
      <c r="M577">
        <f>'Real Analysis'!$B$3+B577/1000000</f>
        <v>11.551496000000043</v>
      </c>
      <c r="N577">
        <f t="shared" si="52"/>
        <v>7</v>
      </c>
      <c r="O577">
        <f>IF(ABS(D577)&gt;1,D577/1000000,D577)*'Real Analysis'!$B$4</f>
        <v>-3.5482770000000004E-2</v>
      </c>
      <c r="P577">
        <f>IF(ABS(E577)&gt;1,E577/1000000,E577)*'Real Analysis'!$B$4</f>
        <v>0.31307634000000001</v>
      </c>
      <c r="Q577">
        <f>IF(ABS(F577)&gt;1,F577/1000000,F577)*'Real Analysis'!$B$4</f>
        <v>9.8125113600000002</v>
      </c>
      <c r="R577">
        <f t="shared" si="53"/>
        <v>0.34394200000000003</v>
      </c>
      <c r="S577">
        <f t="shared" si="54"/>
        <v>2.1936209999999998</v>
      </c>
      <c r="T577">
        <f t="shared" si="55"/>
        <v>0</v>
      </c>
      <c r="U577">
        <f t="shared" si="56"/>
        <v>0</v>
      </c>
    </row>
    <row r="578" spans="1:21" x14ac:dyDescent="0.3">
      <c r="A578" s="4">
        <v>576</v>
      </c>
      <c r="B578" s="4">
        <v>-96580428916</v>
      </c>
      <c r="C578" s="5">
        <v>7</v>
      </c>
      <c r="D578" s="5">
        <v>-1.3416000000000001E-2</v>
      </c>
      <c r="E578" s="5">
        <v>1.0376E-2</v>
      </c>
      <c r="F578" s="5">
        <v>1010117</v>
      </c>
      <c r="G578" s="5">
        <v>0.48863499999999999</v>
      </c>
      <c r="H578" s="5">
        <v>2972721</v>
      </c>
      <c r="I578" s="5">
        <v>0</v>
      </c>
      <c r="J578" s="5">
        <v>0</v>
      </c>
      <c r="L578">
        <f t="shared" si="51"/>
        <v>576</v>
      </c>
      <c r="M578">
        <f>'Real Analysis'!$B$3+B578/1000000</f>
        <v>11.571083999995608</v>
      </c>
      <c r="N578">
        <f t="shared" si="52"/>
        <v>7</v>
      </c>
      <c r="O578">
        <f>IF(ABS(D578)&gt;1,D578/1000000,D578)*'Real Analysis'!$B$4</f>
        <v>-0.13161096000000003</v>
      </c>
      <c r="P578">
        <f>IF(ABS(E578)&gt;1,E578/1000000,E578)*'Real Analysis'!$B$4</f>
        <v>0.10178856</v>
      </c>
      <c r="Q578">
        <f>IF(ABS(F578)&gt;1,F578/1000000,F578)*'Real Analysis'!$B$4</f>
        <v>9.9092477700000003</v>
      </c>
      <c r="R578">
        <f t="shared" si="53"/>
        <v>0.48863499999999999</v>
      </c>
      <c r="S578">
        <f t="shared" si="54"/>
        <v>2.9727209999999999</v>
      </c>
      <c r="T578">
        <f t="shared" si="55"/>
        <v>0</v>
      </c>
      <c r="U578">
        <f t="shared" si="56"/>
        <v>0</v>
      </c>
    </row>
    <row r="579" spans="1:21" x14ac:dyDescent="0.3">
      <c r="A579" s="4">
        <v>577</v>
      </c>
      <c r="B579" s="4">
        <v>-96580412107</v>
      </c>
      <c r="C579" s="5">
        <v>7</v>
      </c>
      <c r="D579" s="5">
        <v>-2.2717999999999999E-2</v>
      </c>
      <c r="E579" s="5">
        <v>3.5430000000000001E-3</v>
      </c>
      <c r="F579" s="5">
        <v>1014327</v>
      </c>
      <c r="G579" s="5">
        <v>-0.433031</v>
      </c>
      <c r="H579" s="5">
        <v>2707538</v>
      </c>
      <c r="I579" s="5">
        <v>0</v>
      </c>
      <c r="J579" s="5">
        <v>0</v>
      </c>
      <c r="L579">
        <f t="shared" ref="L579:L642" si="57">A579</f>
        <v>577</v>
      </c>
      <c r="M579">
        <f>'Real Analysis'!$B$3+B579/1000000</f>
        <v>11.587893000003533</v>
      </c>
      <c r="N579">
        <f t="shared" ref="N579:N642" si="58">C579</f>
        <v>7</v>
      </c>
      <c r="O579">
        <f>IF(ABS(D579)&gt;1,D579/1000000,D579)*'Real Analysis'!$B$4</f>
        <v>-0.22286358000000001</v>
      </c>
      <c r="P579">
        <f>IF(ABS(E579)&gt;1,E579/1000000,E579)*'Real Analysis'!$B$4</f>
        <v>3.4756830000000002E-2</v>
      </c>
      <c r="Q579">
        <f>IF(ABS(F579)&gt;1,F579/1000000,F579)*'Real Analysis'!$B$4</f>
        <v>9.9505478700000012</v>
      </c>
      <c r="R579">
        <f t="shared" ref="R579:R642" si="59">IF(ABS(G579)&gt;1,G579/1000000,G579)</f>
        <v>-0.433031</v>
      </c>
      <c r="S579">
        <f t="shared" ref="S579:S642" si="60">IF(ABS(H579)&gt;1,H579/1000000,H579)</f>
        <v>2.707538</v>
      </c>
      <c r="T579">
        <f t="shared" ref="T579:T642" si="61">IF(ABS(I579)&gt;1,I579/1000000,I579)</f>
        <v>0</v>
      </c>
      <c r="U579">
        <f t="shared" si="56"/>
        <v>0</v>
      </c>
    </row>
    <row r="580" spans="1:21" x14ac:dyDescent="0.3">
      <c r="A580" s="4">
        <v>578</v>
      </c>
      <c r="B580" s="4">
        <v>-96580388561</v>
      </c>
      <c r="C580" s="5">
        <v>7</v>
      </c>
      <c r="D580" s="5">
        <v>-1.9954E-2</v>
      </c>
      <c r="E580" s="5">
        <v>9.4490000000000008E-3</v>
      </c>
      <c r="F580" s="5">
        <v>0.98718300000000003</v>
      </c>
      <c r="G580" s="5">
        <v>-0.77148300000000003</v>
      </c>
      <c r="H580" s="5">
        <v>2445189</v>
      </c>
      <c r="I580" s="5">
        <v>0</v>
      </c>
      <c r="J580" s="5">
        <v>0</v>
      </c>
      <c r="L580">
        <f t="shared" si="57"/>
        <v>578</v>
      </c>
      <c r="M580">
        <f>'Real Analysis'!$B$3+B580/1000000</f>
        <v>11.611439000000246</v>
      </c>
      <c r="N580">
        <f t="shared" si="58"/>
        <v>7</v>
      </c>
      <c r="O580">
        <f>IF(ABS(D580)&gt;1,D580/1000000,D580)*'Real Analysis'!$B$4</f>
        <v>-0.19574874</v>
      </c>
      <c r="P580">
        <f>IF(ABS(E580)&gt;1,E580/1000000,E580)*'Real Analysis'!$B$4</f>
        <v>9.269469000000001E-2</v>
      </c>
      <c r="Q580">
        <f>IF(ABS(F580)&gt;1,F580/1000000,F580)*'Real Analysis'!$B$4</f>
        <v>9.6842652300000012</v>
      </c>
      <c r="R580">
        <f t="shared" si="59"/>
        <v>-0.77148300000000003</v>
      </c>
      <c r="S580">
        <f t="shared" si="60"/>
        <v>2.4451890000000001</v>
      </c>
      <c r="T580">
        <f t="shared" si="61"/>
        <v>0</v>
      </c>
      <c r="U580">
        <f t="shared" si="56"/>
        <v>0</v>
      </c>
    </row>
    <row r="581" spans="1:21" x14ac:dyDescent="0.3">
      <c r="A581" s="4">
        <v>579</v>
      </c>
      <c r="B581" s="4">
        <v>-96580367860</v>
      </c>
      <c r="C581" s="5">
        <v>7</v>
      </c>
      <c r="D581" s="5">
        <v>-5.7489999999999998E-3</v>
      </c>
      <c r="E581" s="5">
        <v>2.1963E-2</v>
      </c>
      <c r="F581" s="5">
        <v>1016363</v>
      </c>
      <c r="G581" s="5">
        <v>7.9640000000000006E-3</v>
      </c>
      <c r="H581" s="5">
        <v>2791724</v>
      </c>
      <c r="I581" s="5">
        <v>0</v>
      </c>
      <c r="J581" s="5">
        <v>0</v>
      </c>
      <c r="L581">
        <f t="shared" si="57"/>
        <v>579</v>
      </c>
      <c r="M581">
        <f>'Real Analysis'!$B$3+B581/1000000</f>
        <v>11.632140000001527</v>
      </c>
      <c r="N581">
        <f t="shared" si="58"/>
        <v>7</v>
      </c>
      <c r="O581">
        <f>IF(ABS(D581)&gt;1,D581/1000000,D581)*'Real Analysis'!$B$4</f>
        <v>-5.639769E-2</v>
      </c>
      <c r="P581">
        <f>IF(ABS(E581)&gt;1,E581/1000000,E581)*'Real Analysis'!$B$4</f>
        <v>0.21545703000000002</v>
      </c>
      <c r="Q581">
        <f>IF(ABS(F581)&gt;1,F581/1000000,F581)*'Real Analysis'!$B$4</f>
        <v>9.9705210300000005</v>
      </c>
      <c r="R581">
        <f t="shared" si="59"/>
        <v>7.9640000000000006E-3</v>
      </c>
      <c r="S581">
        <f t="shared" si="60"/>
        <v>2.7917239999999999</v>
      </c>
      <c r="T581">
        <f t="shared" si="61"/>
        <v>0</v>
      </c>
      <c r="U581">
        <f t="shared" si="56"/>
        <v>0</v>
      </c>
    </row>
    <row r="582" spans="1:21" x14ac:dyDescent="0.3">
      <c r="A582" s="4">
        <v>580</v>
      </c>
      <c r="B582" s="4">
        <v>-96580352660</v>
      </c>
      <c r="C582" s="5">
        <v>7</v>
      </c>
      <c r="D582" s="5">
        <v>-2.1746000000000001E-2</v>
      </c>
      <c r="E582" s="5">
        <v>-9.7310000000000001E-3</v>
      </c>
      <c r="F582" s="5">
        <v>1031163</v>
      </c>
      <c r="G582" s="5">
        <v>-0.57074800000000003</v>
      </c>
      <c r="H582" s="5">
        <v>1967260</v>
      </c>
      <c r="I582" s="5">
        <v>0</v>
      </c>
      <c r="J582" s="5">
        <v>0</v>
      </c>
      <c r="L582">
        <f t="shared" si="57"/>
        <v>580</v>
      </c>
      <c r="M582">
        <f>'Real Analysis'!$B$3+B582/1000000</f>
        <v>11.647339999995893</v>
      </c>
      <c r="N582">
        <f t="shared" si="58"/>
        <v>7</v>
      </c>
      <c r="O582">
        <f>IF(ABS(D582)&gt;1,D582/1000000,D582)*'Real Analysis'!$B$4</f>
        <v>-0.21332826000000002</v>
      </c>
      <c r="P582">
        <f>IF(ABS(E582)&gt;1,E582/1000000,E582)*'Real Analysis'!$B$4</f>
        <v>-9.5461110000000002E-2</v>
      </c>
      <c r="Q582">
        <f>IF(ABS(F582)&gt;1,F582/1000000,F582)*'Real Analysis'!$B$4</f>
        <v>10.115709030000001</v>
      </c>
      <c r="R582">
        <f t="shared" si="59"/>
        <v>-0.57074800000000003</v>
      </c>
      <c r="S582">
        <f t="shared" si="60"/>
        <v>1.96726</v>
      </c>
      <c r="T582">
        <f t="shared" si="61"/>
        <v>0</v>
      </c>
      <c r="U582">
        <f t="shared" si="56"/>
        <v>0</v>
      </c>
    </row>
    <row r="583" spans="1:21" x14ac:dyDescent="0.3">
      <c r="A583" s="4">
        <v>581</v>
      </c>
      <c r="B583" s="4">
        <v>-96580327451</v>
      </c>
      <c r="C583" s="5">
        <v>7</v>
      </c>
      <c r="D583" s="5">
        <v>-2.5661E-2</v>
      </c>
      <c r="E583" s="5">
        <v>2.4702000000000002E-2</v>
      </c>
      <c r="F583" s="5">
        <v>0.95201800000000003</v>
      </c>
      <c r="G583" s="5">
        <v>-1371108</v>
      </c>
      <c r="H583" s="5">
        <v>3443378</v>
      </c>
      <c r="I583" s="5">
        <v>0</v>
      </c>
      <c r="J583" s="5">
        <v>0</v>
      </c>
      <c r="L583">
        <f t="shared" si="57"/>
        <v>581</v>
      </c>
      <c r="M583">
        <f>'Real Analysis'!$B$3+B583/1000000</f>
        <v>11.672548999995342</v>
      </c>
      <c r="N583">
        <f t="shared" si="58"/>
        <v>7</v>
      </c>
      <c r="O583">
        <f>IF(ABS(D583)&gt;1,D583/1000000,D583)*'Real Analysis'!$B$4</f>
        <v>-0.25173441000000002</v>
      </c>
      <c r="P583">
        <f>IF(ABS(E583)&gt;1,E583/1000000,E583)*'Real Analysis'!$B$4</f>
        <v>0.24232662000000002</v>
      </c>
      <c r="Q583">
        <f>IF(ABS(F583)&gt;1,F583/1000000,F583)*'Real Analysis'!$B$4</f>
        <v>9.339296580000001</v>
      </c>
      <c r="R583">
        <f t="shared" si="59"/>
        <v>-1.371108</v>
      </c>
      <c r="S583">
        <f t="shared" si="60"/>
        <v>3.443378</v>
      </c>
      <c r="T583">
        <f t="shared" si="61"/>
        <v>0</v>
      </c>
      <c r="U583">
        <f t="shared" si="56"/>
        <v>0</v>
      </c>
    </row>
    <row r="584" spans="1:21" x14ac:dyDescent="0.3">
      <c r="A584" s="4">
        <v>582</v>
      </c>
      <c r="B584" s="4">
        <v>-96580312170</v>
      </c>
      <c r="C584" s="5">
        <v>7</v>
      </c>
      <c r="D584" s="5">
        <v>2.2662999999999999E-2</v>
      </c>
      <c r="E584" s="5">
        <v>2.7344E-2</v>
      </c>
      <c r="F584" s="5">
        <v>1003768</v>
      </c>
      <c r="G584" s="5">
        <v>0.13348399999999999</v>
      </c>
      <c r="H584" s="5">
        <v>3673962</v>
      </c>
      <c r="I584" s="5">
        <v>0</v>
      </c>
      <c r="J584" s="5">
        <v>0</v>
      </c>
      <c r="L584">
        <f t="shared" si="57"/>
        <v>582</v>
      </c>
      <c r="M584">
        <f>'Real Analysis'!$B$3+B584/1000000</f>
        <v>11.687829999995301</v>
      </c>
      <c r="N584">
        <f t="shared" si="58"/>
        <v>7</v>
      </c>
      <c r="O584">
        <f>IF(ABS(D584)&gt;1,D584/1000000,D584)*'Real Analysis'!$B$4</f>
        <v>0.22232403000000001</v>
      </c>
      <c r="P584">
        <f>IF(ABS(E584)&gt;1,E584/1000000,E584)*'Real Analysis'!$B$4</f>
        <v>0.26824464000000003</v>
      </c>
      <c r="Q584">
        <f>IF(ABS(F584)&gt;1,F584/1000000,F584)*'Real Analysis'!$B$4</f>
        <v>9.8469640800000011</v>
      </c>
      <c r="R584">
        <f t="shared" si="59"/>
        <v>0.13348399999999999</v>
      </c>
      <c r="S584">
        <f t="shared" si="60"/>
        <v>3.673962</v>
      </c>
      <c r="T584">
        <f t="shared" si="61"/>
        <v>0</v>
      </c>
      <c r="U584">
        <f t="shared" si="56"/>
        <v>0</v>
      </c>
    </row>
    <row r="585" spans="1:21" x14ac:dyDescent="0.3">
      <c r="A585" s="4">
        <v>583</v>
      </c>
      <c r="B585" s="4">
        <v>-96580290393</v>
      </c>
      <c r="C585" s="5">
        <v>7</v>
      </c>
      <c r="D585" s="5">
        <v>5.5449999999999996E-3</v>
      </c>
      <c r="E585" s="5">
        <v>-7.0179999999999999E-3</v>
      </c>
      <c r="F585" s="5">
        <v>1037138</v>
      </c>
      <c r="G585" s="5">
        <v>1307612</v>
      </c>
      <c r="H585" s="5">
        <v>2632320</v>
      </c>
      <c r="I585" s="5">
        <v>0</v>
      </c>
      <c r="J585" s="5">
        <v>0</v>
      </c>
      <c r="L585">
        <f t="shared" si="57"/>
        <v>583</v>
      </c>
      <c r="M585">
        <f>'Real Analysis'!$B$3+B585/1000000</f>
        <v>11.70960699999705</v>
      </c>
      <c r="N585">
        <f t="shared" si="58"/>
        <v>7</v>
      </c>
      <c r="O585">
        <f>IF(ABS(D585)&gt;1,D585/1000000,D585)*'Real Analysis'!$B$4</f>
        <v>5.4396449999999999E-2</v>
      </c>
      <c r="P585">
        <f>IF(ABS(E585)&gt;1,E585/1000000,E585)*'Real Analysis'!$B$4</f>
        <v>-6.8846580000000004E-2</v>
      </c>
      <c r="Q585">
        <f>IF(ABS(F585)&gt;1,F585/1000000,F585)*'Real Analysis'!$B$4</f>
        <v>10.17432378</v>
      </c>
      <c r="R585">
        <f t="shared" si="59"/>
        <v>1.307612</v>
      </c>
      <c r="S585">
        <f t="shared" si="60"/>
        <v>2.63232</v>
      </c>
      <c r="T585">
        <f t="shared" si="61"/>
        <v>0</v>
      </c>
      <c r="U585">
        <f t="shared" si="56"/>
        <v>0</v>
      </c>
    </row>
    <row r="586" spans="1:21" x14ac:dyDescent="0.3">
      <c r="A586" s="4">
        <v>584</v>
      </c>
      <c r="B586" s="4">
        <v>-96580266659</v>
      </c>
      <c r="C586" s="5">
        <v>7</v>
      </c>
      <c r="D586" s="5">
        <v>-1.8398000000000001E-2</v>
      </c>
      <c r="E586" s="5">
        <v>1.2097999999999999E-2</v>
      </c>
      <c r="F586" s="5">
        <v>0.98601799999999995</v>
      </c>
      <c r="G586" s="5">
        <v>-7.6361999999999999E-2</v>
      </c>
      <c r="H586" s="5">
        <v>1608957</v>
      </c>
      <c r="I586" s="5">
        <v>0</v>
      </c>
      <c r="J586" s="5">
        <v>0</v>
      </c>
      <c r="L586">
        <f t="shared" si="57"/>
        <v>584</v>
      </c>
      <c r="M586">
        <f>'Real Analysis'!$B$3+B586/1000000</f>
        <v>11.7333409999992</v>
      </c>
      <c r="N586">
        <f t="shared" si="58"/>
        <v>7</v>
      </c>
      <c r="O586">
        <f>IF(ABS(D586)&gt;1,D586/1000000,D586)*'Real Analysis'!$B$4</f>
        <v>-0.18048438000000003</v>
      </c>
      <c r="P586">
        <f>IF(ABS(E586)&gt;1,E586/1000000,E586)*'Real Analysis'!$B$4</f>
        <v>0.11868138</v>
      </c>
      <c r="Q586">
        <f>IF(ABS(F586)&gt;1,F586/1000000,F586)*'Real Analysis'!$B$4</f>
        <v>9.6728365800000002</v>
      </c>
      <c r="R586">
        <f t="shared" si="59"/>
        <v>-7.6361999999999999E-2</v>
      </c>
      <c r="S586">
        <f t="shared" si="60"/>
        <v>1.608957</v>
      </c>
      <c r="T586">
        <f t="shared" si="61"/>
        <v>0</v>
      </c>
      <c r="U586">
        <f t="shared" si="56"/>
        <v>0</v>
      </c>
    </row>
    <row r="587" spans="1:21" x14ac:dyDescent="0.3">
      <c r="A587" s="4">
        <v>585</v>
      </c>
      <c r="B587" s="4">
        <v>-96580251735</v>
      </c>
      <c r="C587" s="5">
        <v>7</v>
      </c>
      <c r="D587" s="5">
        <v>-1.0371E-2</v>
      </c>
      <c r="E587" s="5">
        <v>-1.6299999999999999E-3</v>
      </c>
      <c r="F587" s="5">
        <v>1019271</v>
      </c>
      <c r="G587" s="5">
        <v>-0.94702600000000003</v>
      </c>
      <c r="H587" s="5">
        <v>0.84191800000000006</v>
      </c>
      <c r="I587" s="5">
        <v>0</v>
      </c>
      <c r="J587" s="5">
        <v>0</v>
      </c>
      <c r="L587">
        <f t="shared" si="57"/>
        <v>585</v>
      </c>
      <c r="M587">
        <f>'Real Analysis'!$B$3+B587/1000000</f>
        <v>11.748265000001993</v>
      </c>
      <c r="N587">
        <f t="shared" si="58"/>
        <v>7</v>
      </c>
      <c r="O587">
        <f>IF(ABS(D587)&gt;1,D587/1000000,D587)*'Real Analysis'!$B$4</f>
        <v>-0.10173951000000001</v>
      </c>
      <c r="P587">
        <f>IF(ABS(E587)&gt;1,E587/1000000,E587)*'Real Analysis'!$B$4</f>
        <v>-1.5990299999999999E-2</v>
      </c>
      <c r="Q587">
        <f>IF(ABS(F587)&gt;1,F587/1000000,F587)*'Real Analysis'!$B$4</f>
        <v>9.9990485100000015</v>
      </c>
      <c r="R587">
        <f t="shared" si="59"/>
        <v>-0.94702600000000003</v>
      </c>
      <c r="S587">
        <f t="shared" si="60"/>
        <v>0.84191800000000006</v>
      </c>
      <c r="T587">
        <f t="shared" si="61"/>
        <v>0</v>
      </c>
      <c r="U587">
        <f t="shared" ref="U587:U650" si="62">J587/1000</f>
        <v>0</v>
      </c>
    </row>
    <row r="588" spans="1:21" x14ac:dyDescent="0.3">
      <c r="A588" s="4">
        <v>586</v>
      </c>
      <c r="B588" s="4">
        <v>-96580227559</v>
      </c>
      <c r="C588" s="5">
        <v>7</v>
      </c>
      <c r="D588" s="5">
        <v>-1.4288E-2</v>
      </c>
      <c r="E588" s="5">
        <v>1.5938000000000001E-2</v>
      </c>
      <c r="F588" s="5">
        <v>1004322</v>
      </c>
      <c r="G588" s="5">
        <v>-0.73538099999999995</v>
      </c>
      <c r="H588" s="5">
        <v>1056225</v>
      </c>
      <c r="I588" s="5">
        <v>0</v>
      </c>
      <c r="J588" s="5">
        <v>0</v>
      </c>
      <c r="L588">
        <f t="shared" si="57"/>
        <v>586</v>
      </c>
      <c r="M588">
        <f>'Real Analysis'!$B$3+B588/1000000</f>
        <v>11.772440999993705</v>
      </c>
      <c r="N588">
        <f t="shared" si="58"/>
        <v>7</v>
      </c>
      <c r="O588">
        <f>IF(ABS(D588)&gt;1,D588/1000000,D588)*'Real Analysis'!$B$4</f>
        <v>-0.14016528</v>
      </c>
      <c r="P588">
        <f>IF(ABS(E588)&gt;1,E588/1000000,E588)*'Real Analysis'!$B$4</f>
        <v>0.15635178000000002</v>
      </c>
      <c r="Q588">
        <f>IF(ABS(F588)&gt;1,F588/1000000,F588)*'Real Analysis'!$B$4</f>
        <v>9.8523988199999994</v>
      </c>
      <c r="R588">
        <f t="shared" si="59"/>
        <v>-0.73538099999999995</v>
      </c>
      <c r="S588">
        <f t="shared" si="60"/>
        <v>1.056225</v>
      </c>
      <c r="T588">
        <f t="shared" si="61"/>
        <v>0</v>
      </c>
      <c r="U588">
        <f t="shared" si="62"/>
        <v>0</v>
      </c>
    </row>
    <row r="589" spans="1:21" x14ac:dyDescent="0.3">
      <c r="A589" s="4">
        <v>587</v>
      </c>
      <c r="B589" s="4">
        <v>-96580206935</v>
      </c>
      <c r="C589" s="5">
        <v>7</v>
      </c>
      <c r="D589" s="5">
        <v>-1.5128000000000001E-2</v>
      </c>
      <c r="E589" s="5">
        <v>1.2279999999999999E-2</v>
      </c>
      <c r="F589" s="5">
        <v>0.981653</v>
      </c>
      <c r="G589" s="5">
        <v>-0.98027200000000003</v>
      </c>
      <c r="H589" s="5">
        <v>1157566</v>
      </c>
      <c r="I589" s="5">
        <v>0</v>
      </c>
      <c r="J589" s="5">
        <v>0</v>
      </c>
      <c r="L589">
        <f t="shared" si="57"/>
        <v>587</v>
      </c>
      <c r="M589">
        <f>'Real Analysis'!$B$3+B589/1000000</f>
        <v>11.793065000005299</v>
      </c>
      <c r="N589">
        <f t="shared" si="58"/>
        <v>7</v>
      </c>
      <c r="O589">
        <f>IF(ABS(D589)&gt;1,D589/1000000,D589)*'Real Analysis'!$B$4</f>
        <v>-0.14840568000000001</v>
      </c>
      <c r="P589">
        <f>IF(ABS(E589)&gt;1,E589/1000000,E589)*'Real Analysis'!$B$4</f>
        <v>0.1204668</v>
      </c>
      <c r="Q589">
        <f>IF(ABS(F589)&gt;1,F589/1000000,F589)*'Real Analysis'!$B$4</f>
        <v>9.6300159300000008</v>
      </c>
      <c r="R589">
        <f t="shared" si="59"/>
        <v>-0.98027200000000003</v>
      </c>
      <c r="S589">
        <f t="shared" si="60"/>
        <v>1.1575660000000001</v>
      </c>
      <c r="T589">
        <f t="shared" si="61"/>
        <v>0</v>
      </c>
      <c r="U589">
        <f t="shared" si="62"/>
        <v>0</v>
      </c>
    </row>
    <row r="590" spans="1:21" x14ac:dyDescent="0.3">
      <c r="A590" s="4">
        <v>588</v>
      </c>
      <c r="B590" s="4">
        <v>-96580191830</v>
      </c>
      <c r="C590" s="5">
        <v>7</v>
      </c>
      <c r="D590" s="5">
        <v>1.57E-3</v>
      </c>
      <c r="E590" s="5">
        <v>9.2720000000000007E-3</v>
      </c>
      <c r="F590" s="5">
        <v>1018977</v>
      </c>
      <c r="G590" s="5">
        <v>-0.704592</v>
      </c>
      <c r="H590" s="5">
        <v>1283704</v>
      </c>
      <c r="I590" s="5">
        <v>0</v>
      </c>
      <c r="J590" s="5">
        <v>0</v>
      </c>
      <c r="L590">
        <f t="shared" si="57"/>
        <v>588</v>
      </c>
      <c r="M590">
        <f>'Real Analysis'!$B$3+B590/1000000</f>
        <v>11.808170000003884</v>
      </c>
      <c r="N590">
        <f t="shared" si="58"/>
        <v>7</v>
      </c>
      <c r="O590">
        <f>IF(ABS(D590)&gt;1,D590/1000000,D590)*'Real Analysis'!$B$4</f>
        <v>1.5401700000000001E-2</v>
      </c>
      <c r="P590">
        <f>IF(ABS(E590)&gt;1,E590/1000000,E590)*'Real Analysis'!$B$4</f>
        <v>9.0958320000000009E-2</v>
      </c>
      <c r="Q590">
        <f>IF(ABS(F590)&gt;1,F590/1000000,F590)*'Real Analysis'!$B$4</f>
        <v>9.9961643700000007</v>
      </c>
      <c r="R590">
        <f t="shared" si="59"/>
        <v>-0.704592</v>
      </c>
      <c r="S590">
        <f t="shared" si="60"/>
        <v>1.283704</v>
      </c>
      <c r="T590">
        <f t="shared" si="61"/>
        <v>0</v>
      </c>
      <c r="U590">
        <f t="shared" si="62"/>
        <v>0</v>
      </c>
    </row>
    <row r="591" spans="1:21" x14ac:dyDescent="0.3">
      <c r="A591" s="4">
        <v>589</v>
      </c>
      <c r="B591" s="4">
        <v>-96580171197</v>
      </c>
      <c r="C591" s="5">
        <v>7</v>
      </c>
      <c r="D591" s="5">
        <v>-2.9420000000000002E-2</v>
      </c>
      <c r="E591" s="5">
        <v>1.0803E-2</v>
      </c>
      <c r="F591" s="5">
        <v>1045106</v>
      </c>
      <c r="G591" s="5">
        <v>-1561450</v>
      </c>
      <c r="H591" s="5">
        <v>1306648</v>
      </c>
      <c r="I591" s="5">
        <v>0</v>
      </c>
      <c r="J591" s="5">
        <v>0</v>
      </c>
      <c r="L591">
        <f t="shared" si="57"/>
        <v>589</v>
      </c>
      <c r="M591">
        <f>'Real Analysis'!$B$3+B591/1000000</f>
        <v>11.828802999996697</v>
      </c>
      <c r="N591">
        <f t="shared" si="58"/>
        <v>7</v>
      </c>
      <c r="O591">
        <f>IF(ABS(D591)&gt;1,D591/1000000,D591)*'Real Analysis'!$B$4</f>
        <v>-0.28861020000000004</v>
      </c>
      <c r="P591">
        <f>IF(ABS(E591)&gt;1,E591/1000000,E591)*'Real Analysis'!$B$4</f>
        <v>0.10597743000000001</v>
      </c>
      <c r="Q591">
        <f>IF(ABS(F591)&gt;1,F591/1000000,F591)*'Real Analysis'!$B$4</f>
        <v>10.252489860000001</v>
      </c>
      <c r="R591">
        <f t="shared" si="59"/>
        <v>-1.56145</v>
      </c>
      <c r="S591">
        <f t="shared" si="60"/>
        <v>1.306648</v>
      </c>
      <c r="T591">
        <f t="shared" si="61"/>
        <v>0</v>
      </c>
      <c r="U591">
        <f t="shared" si="62"/>
        <v>0</v>
      </c>
    </row>
    <row r="592" spans="1:21" x14ac:dyDescent="0.3">
      <c r="A592" s="4">
        <v>590</v>
      </c>
      <c r="B592" s="4">
        <v>-96580150146</v>
      </c>
      <c r="C592" s="5">
        <v>7</v>
      </c>
      <c r="D592" s="5">
        <v>-1.7905999999999998E-2</v>
      </c>
      <c r="E592" s="5">
        <v>8.8739999999999999E-3</v>
      </c>
      <c r="F592" s="5">
        <v>1018548</v>
      </c>
      <c r="G592" s="5">
        <v>-2342564</v>
      </c>
      <c r="H592" s="5">
        <v>1229861</v>
      </c>
      <c r="I592" s="5">
        <v>0</v>
      </c>
      <c r="J592" s="5">
        <v>0</v>
      </c>
      <c r="L592">
        <f t="shared" si="57"/>
        <v>590</v>
      </c>
      <c r="M592">
        <f>'Real Analysis'!$B$3+B592/1000000</f>
        <v>11.84985400000005</v>
      </c>
      <c r="N592">
        <f t="shared" si="58"/>
        <v>7</v>
      </c>
      <c r="O592">
        <f>IF(ABS(D592)&gt;1,D592/1000000,D592)*'Real Analysis'!$B$4</f>
        <v>-0.17565786</v>
      </c>
      <c r="P592">
        <f>IF(ABS(E592)&gt;1,E592/1000000,E592)*'Real Analysis'!$B$4</f>
        <v>8.705394000000001E-2</v>
      </c>
      <c r="Q592">
        <f>IF(ABS(F592)&gt;1,F592/1000000,F592)*'Real Analysis'!$B$4</f>
        <v>9.9919558800000008</v>
      </c>
      <c r="R592">
        <f t="shared" si="59"/>
        <v>-2.3425639999999999</v>
      </c>
      <c r="S592">
        <f t="shared" si="60"/>
        <v>1.2298610000000001</v>
      </c>
      <c r="T592">
        <f t="shared" si="61"/>
        <v>0</v>
      </c>
      <c r="U592">
        <f t="shared" si="62"/>
        <v>0</v>
      </c>
    </row>
    <row r="593" spans="1:21" x14ac:dyDescent="0.3">
      <c r="A593" s="4">
        <v>591</v>
      </c>
      <c r="B593" s="4">
        <v>-96580131626</v>
      </c>
      <c r="C593" s="5">
        <v>7</v>
      </c>
      <c r="D593" s="5">
        <v>1.124E-3</v>
      </c>
      <c r="E593" s="5">
        <v>-5.2400000000000005E-4</v>
      </c>
      <c r="F593" s="5">
        <v>1001824</v>
      </c>
      <c r="G593" s="5">
        <v>-0.68539000000000005</v>
      </c>
      <c r="H593" s="5">
        <v>1258823</v>
      </c>
      <c r="I593" s="5">
        <v>0</v>
      </c>
      <c r="J593" s="5">
        <v>0</v>
      </c>
      <c r="L593">
        <f t="shared" si="57"/>
        <v>591</v>
      </c>
      <c r="M593">
        <f>'Real Analysis'!$B$3+B593/1000000</f>
        <v>11.868373999997857</v>
      </c>
      <c r="N593">
        <f t="shared" si="58"/>
        <v>7</v>
      </c>
      <c r="O593">
        <f>IF(ABS(D593)&gt;1,D593/1000000,D593)*'Real Analysis'!$B$4</f>
        <v>1.102644E-2</v>
      </c>
      <c r="P593">
        <f>IF(ABS(E593)&gt;1,E593/1000000,E593)*'Real Analysis'!$B$4</f>
        <v>-5.1404400000000005E-3</v>
      </c>
      <c r="Q593">
        <f>IF(ABS(F593)&gt;1,F593/1000000,F593)*'Real Analysis'!$B$4</f>
        <v>9.8278934400000004</v>
      </c>
      <c r="R593">
        <f t="shared" si="59"/>
        <v>-0.68539000000000005</v>
      </c>
      <c r="S593">
        <f t="shared" si="60"/>
        <v>1.258823</v>
      </c>
      <c r="T593">
        <f t="shared" si="61"/>
        <v>0</v>
      </c>
      <c r="U593">
        <f t="shared" si="62"/>
        <v>0</v>
      </c>
    </row>
    <row r="594" spans="1:21" x14ac:dyDescent="0.3">
      <c r="A594" s="4">
        <v>592</v>
      </c>
      <c r="B594" s="4">
        <v>-96580111431</v>
      </c>
      <c r="C594" s="5">
        <v>7</v>
      </c>
      <c r="D594" s="5">
        <v>-2.5343999999999998E-2</v>
      </c>
      <c r="E594" s="5">
        <v>1.5727000000000001E-2</v>
      </c>
      <c r="F594" s="5">
        <v>0.98508300000000004</v>
      </c>
      <c r="G594" s="5">
        <v>-0.31691399999999997</v>
      </c>
      <c r="H594" s="5">
        <v>0.99543300000000001</v>
      </c>
      <c r="I594" s="5">
        <v>0</v>
      </c>
      <c r="J594" s="5">
        <v>0</v>
      </c>
      <c r="L594">
        <f t="shared" si="57"/>
        <v>592</v>
      </c>
      <c r="M594">
        <f>'Real Analysis'!$B$3+B594/1000000</f>
        <v>11.888569000002462</v>
      </c>
      <c r="N594">
        <f t="shared" si="58"/>
        <v>7</v>
      </c>
      <c r="O594">
        <f>IF(ABS(D594)&gt;1,D594/1000000,D594)*'Real Analysis'!$B$4</f>
        <v>-0.24862464000000001</v>
      </c>
      <c r="P594">
        <f>IF(ABS(E594)&gt;1,E594/1000000,E594)*'Real Analysis'!$B$4</f>
        <v>0.15428187000000002</v>
      </c>
      <c r="Q594">
        <f>IF(ABS(F594)&gt;1,F594/1000000,F594)*'Real Analysis'!$B$4</f>
        <v>9.6636642300000002</v>
      </c>
      <c r="R594">
        <f t="shared" si="59"/>
        <v>-0.31691399999999997</v>
      </c>
      <c r="S594">
        <f t="shared" si="60"/>
        <v>0.99543300000000001</v>
      </c>
      <c r="T594">
        <f t="shared" si="61"/>
        <v>0</v>
      </c>
      <c r="U594">
        <f t="shared" si="62"/>
        <v>0</v>
      </c>
    </row>
    <row r="595" spans="1:21" x14ac:dyDescent="0.3">
      <c r="A595" s="4">
        <v>593</v>
      </c>
      <c r="B595" s="4">
        <v>-96580089284</v>
      </c>
      <c r="C595" s="5">
        <v>7</v>
      </c>
      <c r="D595" s="5">
        <v>2.8240000000000001E-3</v>
      </c>
      <c r="E595" s="5">
        <v>-9.8759999999999994E-3</v>
      </c>
      <c r="F595" s="5">
        <v>1038452</v>
      </c>
      <c r="G595" s="5">
        <v>0.40892000000000001</v>
      </c>
      <c r="H595" s="5">
        <v>-0.66550200000000004</v>
      </c>
      <c r="I595" s="5">
        <v>0</v>
      </c>
      <c r="J595" s="5">
        <v>0</v>
      </c>
      <c r="L595">
        <f t="shared" si="57"/>
        <v>593</v>
      </c>
      <c r="M595">
        <f>'Real Analysis'!$B$3+B595/1000000</f>
        <v>11.910715999998502</v>
      </c>
      <c r="N595">
        <f t="shared" si="58"/>
        <v>7</v>
      </c>
      <c r="O595">
        <f>IF(ABS(D595)&gt;1,D595/1000000,D595)*'Real Analysis'!$B$4</f>
        <v>2.7703440000000003E-2</v>
      </c>
      <c r="P595">
        <f>IF(ABS(E595)&gt;1,E595/1000000,E595)*'Real Analysis'!$B$4</f>
        <v>-9.6883559999999994E-2</v>
      </c>
      <c r="Q595">
        <f>IF(ABS(F595)&gt;1,F595/1000000,F595)*'Real Analysis'!$B$4</f>
        <v>10.18721412</v>
      </c>
      <c r="R595">
        <f t="shared" si="59"/>
        <v>0.40892000000000001</v>
      </c>
      <c r="S595">
        <f t="shared" si="60"/>
        <v>-0.66550200000000004</v>
      </c>
      <c r="T595">
        <f t="shared" si="61"/>
        <v>0</v>
      </c>
      <c r="U595">
        <f t="shared" si="62"/>
        <v>0</v>
      </c>
    </row>
    <row r="596" spans="1:21" x14ac:dyDescent="0.3">
      <c r="A596" s="4">
        <v>594</v>
      </c>
      <c r="B596" s="4">
        <v>-96580070886</v>
      </c>
      <c r="C596" s="5">
        <v>7</v>
      </c>
      <c r="D596" s="5">
        <v>-1.4107E-2</v>
      </c>
      <c r="E596" s="5">
        <v>-4.7330000000000002E-3</v>
      </c>
      <c r="F596" s="5">
        <v>1027963</v>
      </c>
      <c r="G596" s="5">
        <v>1190732</v>
      </c>
      <c r="H596" s="5">
        <v>-1312039</v>
      </c>
      <c r="I596" s="5">
        <v>0</v>
      </c>
      <c r="J596" s="5">
        <v>0</v>
      </c>
      <c r="L596">
        <f t="shared" si="57"/>
        <v>594</v>
      </c>
      <c r="M596">
        <f>'Real Analysis'!$B$3+B596/1000000</f>
        <v>11.929113999998663</v>
      </c>
      <c r="N596">
        <f t="shared" si="58"/>
        <v>7</v>
      </c>
      <c r="O596">
        <f>IF(ABS(D596)&gt;1,D596/1000000,D596)*'Real Analysis'!$B$4</f>
        <v>-0.13838966999999999</v>
      </c>
      <c r="P596">
        <f>IF(ABS(E596)&gt;1,E596/1000000,E596)*'Real Analysis'!$B$4</f>
        <v>-4.6430730000000003E-2</v>
      </c>
      <c r="Q596">
        <f>IF(ABS(F596)&gt;1,F596/1000000,F596)*'Real Analysis'!$B$4</f>
        <v>10.084317029999999</v>
      </c>
      <c r="R596">
        <f t="shared" si="59"/>
        <v>1.1907319999999999</v>
      </c>
      <c r="S596">
        <f t="shared" si="60"/>
        <v>-1.312039</v>
      </c>
      <c r="T596">
        <f t="shared" si="61"/>
        <v>0</v>
      </c>
      <c r="U596">
        <f t="shared" si="62"/>
        <v>0</v>
      </c>
    </row>
    <row r="597" spans="1:21" x14ac:dyDescent="0.3">
      <c r="A597" s="4">
        <v>595</v>
      </c>
      <c r="B597" s="4">
        <v>-96580049570</v>
      </c>
      <c r="C597" s="5">
        <v>7</v>
      </c>
      <c r="D597" s="5">
        <v>-5.8895999999999997E-2</v>
      </c>
      <c r="E597" s="5">
        <v>4.4229999999999998E-3</v>
      </c>
      <c r="F597" s="5">
        <v>0.97070999999999996</v>
      </c>
      <c r="G597" s="5">
        <v>-0.141149</v>
      </c>
      <c r="H597" s="5">
        <v>-1003795</v>
      </c>
      <c r="I597" s="5">
        <v>0</v>
      </c>
      <c r="J597" s="5">
        <v>0</v>
      </c>
      <c r="L597">
        <f t="shared" si="57"/>
        <v>595</v>
      </c>
      <c r="M597">
        <f>'Real Analysis'!$B$3+B597/1000000</f>
        <v>11.950429999997141</v>
      </c>
      <c r="N597">
        <f t="shared" si="58"/>
        <v>7</v>
      </c>
      <c r="O597">
        <f>IF(ABS(D597)&gt;1,D597/1000000,D597)*'Real Analysis'!$B$4</f>
        <v>-0.57776976000000002</v>
      </c>
      <c r="P597">
        <f>IF(ABS(E597)&gt;1,E597/1000000,E597)*'Real Analysis'!$B$4</f>
        <v>4.3389629999999998E-2</v>
      </c>
      <c r="Q597">
        <f>IF(ABS(F597)&gt;1,F597/1000000,F597)*'Real Analysis'!$B$4</f>
        <v>9.5226650999999993</v>
      </c>
      <c r="R597">
        <f t="shared" si="59"/>
        <v>-0.141149</v>
      </c>
      <c r="S597">
        <f t="shared" si="60"/>
        <v>-1.003795</v>
      </c>
      <c r="T597">
        <f t="shared" si="61"/>
        <v>0</v>
      </c>
      <c r="U597">
        <f t="shared" si="62"/>
        <v>0</v>
      </c>
    </row>
    <row r="598" spans="1:21" x14ac:dyDescent="0.3">
      <c r="A598" s="4">
        <v>596</v>
      </c>
      <c r="B598" s="4">
        <v>-96580030186</v>
      </c>
      <c r="C598" s="5">
        <v>7</v>
      </c>
      <c r="D598" s="5">
        <v>-6.6969999999999998E-3</v>
      </c>
      <c r="E598" s="5">
        <v>-6.2100000000000002E-4</v>
      </c>
      <c r="F598" s="5">
        <v>1058795</v>
      </c>
      <c r="G598" s="5">
        <v>0.39383699999999999</v>
      </c>
      <c r="H598" s="5">
        <v>-0.72556600000000004</v>
      </c>
      <c r="I598" s="5">
        <v>0</v>
      </c>
      <c r="J598" s="5">
        <v>0</v>
      </c>
      <c r="L598">
        <f t="shared" si="57"/>
        <v>596</v>
      </c>
      <c r="M598">
        <f>'Real Analysis'!$B$3+B598/1000000</f>
        <v>11.969813999996404</v>
      </c>
      <c r="N598">
        <f t="shared" si="58"/>
        <v>7</v>
      </c>
      <c r="O598">
        <f>IF(ABS(D598)&gt;1,D598/1000000,D598)*'Real Analysis'!$B$4</f>
        <v>-6.5697569999999997E-2</v>
      </c>
      <c r="P598">
        <f>IF(ABS(E598)&gt;1,E598/1000000,E598)*'Real Analysis'!$B$4</f>
        <v>-6.0920100000000001E-3</v>
      </c>
      <c r="Q598">
        <f>IF(ABS(F598)&gt;1,F598/1000000,F598)*'Real Analysis'!$B$4</f>
        <v>10.38677895</v>
      </c>
      <c r="R598">
        <f t="shared" si="59"/>
        <v>0.39383699999999999</v>
      </c>
      <c r="S598">
        <f t="shared" si="60"/>
        <v>-0.72556600000000004</v>
      </c>
      <c r="T598">
        <f t="shared" si="61"/>
        <v>0</v>
      </c>
      <c r="U598">
        <f t="shared" si="62"/>
        <v>0</v>
      </c>
    </row>
    <row r="599" spans="1:21" x14ac:dyDescent="0.3">
      <c r="A599" s="4">
        <v>597</v>
      </c>
      <c r="B599" s="4">
        <v>-96580011250</v>
      </c>
      <c r="C599" s="5">
        <v>7</v>
      </c>
      <c r="D599" s="5">
        <v>-4.4179000000000003E-2</v>
      </c>
      <c r="E599" s="5">
        <v>-7.0130000000000001E-3</v>
      </c>
      <c r="F599" s="5">
        <v>1034887</v>
      </c>
      <c r="G599" s="5">
        <v>0.438114</v>
      </c>
      <c r="H599" s="5">
        <v>-1112261</v>
      </c>
      <c r="I599" s="5">
        <v>0</v>
      </c>
      <c r="J599" s="5">
        <v>0</v>
      </c>
      <c r="L599">
        <f t="shared" si="57"/>
        <v>597</v>
      </c>
      <c r="M599">
        <f>'Real Analysis'!$B$3+B599/1000000</f>
        <v>11.988750000004075</v>
      </c>
      <c r="N599">
        <f t="shared" si="58"/>
        <v>7</v>
      </c>
      <c r="O599">
        <f>IF(ABS(D599)&gt;1,D599/1000000,D599)*'Real Analysis'!$B$4</f>
        <v>-0.43339599000000006</v>
      </c>
      <c r="P599">
        <f>IF(ABS(E599)&gt;1,E599/1000000,E599)*'Real Analysis'!$B$4</f>
        <v>-6.879753000000001E-2</v>
      </c>
      <c r="Q599">
        <f>IF(ABS(F599)&gt;1,F599/1000000,F599)*'Real Analysis'!$B$4</f>
        <v>10.15224147</v>
      </c>
      <c r="R599">
        <f t="shared" si="59"/>
        <v>0.438114</v>
      </c>
      <c r="S599">
        <f t="shared" si="60"/>
        <v>-1.1122609999999999</v>
      </c>
      <c r="T599">
        <f t="shared" si="61"/>
        <v>0</v>
      </c>
      <c r="U599">
        <f t="shared" si="62"/>
        <v>0</v>
      </c>
    </row>
    <row r="600" spans="1:21" x14ac:dyDescent="0.3">
      <c r="A600" s="4">
        <v>598</v>
      </c>
      <c r="B600" s="4">
        <v>-96579990570</v>
      </c>
      <c r="C600" s="5">
        <v>7</v>
      </c>
      <c r="D600" s="5">
        <v>-5.5081999999999999E-2</v>
      </c>
      <c r="E600" s="5">
        <v>-9.1780000000000004E-3</v>
      </c>
      <c r="F600" s="5">
        <v>1068374</v>
      </c>
      <c r="G600" s="5">
        <v>9.9672999999999998E-2</v>
      </c>
      <c r="H600" s="5">
        <v>-1925891</v>
      </c>
      <c r="I600" s="5">
        <v>0</v>
      </c>
      <c r="J600" s="5">
        <v>0</v>
      </c>
      <c r="L600">
        <f t="shared" si="57"/>
        <v>598</v>
      </c>
      <c r="M600">
        <f>'Real Analysis'!$B$3+B600/1000000</f>
        <v>12.009430000005523</v>
      </c>
      <c r="N600">
        <f t="shared" si="58"/>
        <v>7</v>
      </c>
      <c r="O600">
        <f>IF(ABS(D600)&gt;1,D600/1000000,D600)*'Real Analysis'!$B$4</f>
        <v>-0.54035442</v>
      </c>
      <c r="P600">
        <f>IF(ABS(E600)&gt;1,E600/1000000,E600)*'Real Analysis'!$B$4</f>
        <v>-9.0036180000000007E-2</v>
      </c>
      <c r="Q600">
        <f>IF(ABS(F600)&gt;1,F600/1000000,F600)*'Real Analysis'!$B$4</f>
        <v>10.48074894</v>
      </c>
      <c r="R600">
        <f t="shared" si="59"/>
        <v>9.9672999999999998E-2</v>
      </c>
      <c r="S600">
        <f t="shared" si="60"/>
        <v>-1.925891</v>
      </c>
      <c r="T600">
        <f t="shared" si="61"/>
        <v>0</v>
      </c>
      <c r="U600">
        <f t="shared" si="62"/>
        <v>0</v>
      </c>
    </row>
    <row r="601" spans="1:21" x14ac:dyDescent="0.3">
      <c r="A601" s="4">
        <v>599</v>
      </c>
      <c r="B601" s="4">
        <v>-96579970818</v>
      </c>
      <c r="C601" s="5">
        <v>7</v>
      </c>
      <c r="D601" s="5">
        <v>-4.9207000000000001E-2</v>
      </c>
      <c r="E601" s="5">
        <v>-1.4499999999999999E-3</v>
      </c>
      <c r="F601" s="5">
        <v>1091253</v>
      </c>
      <c r="G601" s="5">
        <v>-9.1545000000000001E-2</v>
      </c>
      <c r="H601" s="5">
        <v>-1802288</v>
      </c>
      <c r="I601" s="5">
        <v>0</v>
      </c>
      <c r="J601" s="5">
        <v>0</v>
      </c>
      <c r="L601">
        <f t="shared" si="57"/>
        <v>599</v>
      </c>
      <c r="M601">
        <f>'Real Analysis'!$B$3+B601/1000000</f>
        <v>12.0291819999984</v>
      </c>
      <c r="N601">
        <f t="shared" si="58"/>
        <v>7</v>
      </c>
      <c r="O601">
        <f>IF(ABS(D601)&gt;1,D601/1000000,D601)*'Real Analysis'!$B$4</f>
        <v>-0.48272067000000002</v>
      </c>
      <c r="P601">
        <f>IF(ABS(E601)&gt;1,E601/1000000,E601)*'Real Analysis'!$B$4</f>
        <v>-1.4224499999999999E-2</v>
      </c>
      <c r="Q601">
        <f>IF(ABS(F601)&gt;1,F601/1000000,F601)*'Real Analysis'!$B$4</f>
        <v>10.705191930000002</v>
      </c>
      <c r="R601">
        <f t="shared" si="59"/>
        <v>-9.1545000000000001E-2</v>
      </c>
      <c r="S601">
        <f t="shared" si="60"/>
        <v>-1.8022879999999999</v>
      </c>
      <c r="T601">
        <f t="shared" si="61"/>
        <v>0</v>
      </c>
      <c r="U601">
        <f t="shared" si="62"/>
        <v>0</v>
      </c>
    </row>
    <row r="602" spans="1:21" x14ac:dyDescent="0.3">
      <c r="A602" s="4">
        <v>600</v>
      </c>
      <c r="B602" s="4">
        <v>-96579952044</v>
      </c>
      <c r="C602" s="5">
        <v>7</v>
      </c>
      <c r="D602" s="5">
        <v>-4.3607E-2</v>
      </c>
      <c r="E602" s="5">
        <v>9.9159999999999995E-3</v>
      </c>
      <c r="F602" s="5">
        <v>1084376</v>
      </c>
      <c r="G602" s="5">
        <v>0.66151700000000002</v>
      </c>
      <c r="H602" s="5">
        <v>-1276359</v>
      </c>
      <c r="I602" s="5">
        <v>0</v>
      </c>
      <c r="J602" s="5">
        <v>0</v>
      </c>
      <c r="L602">
        <f t="shared" si="57"/>
        <v>600</v>
      </c>
      <c r="M602">
        <f>'Real Analysis'!$B$3+B602/1000000</f>
        <v>12.047955999994883</v>
      </c>
      <c r="N602">
        <f t="shared" si="58"/>
        <v>7</v>
      </c>
      <c r="O602">
        <f>IF(ABS(D602)&gt;1,D602/1000000,D602)*'Real Analysis'!$B$4</f>
        <v>-0.42778467000000003</v>
      </c>
      <c r="P602">
        <f>IF(ABS(E602)&gt;1,E602/1000000,E602)*'Real Analysis'!$B$4</f>
        <v>9.7275959999999995E-2</v>
      </c>
      <c r="Q602">
        <f>IF(ABS(F602)&gt;1,F602/1000000,F602)*'Real Analysis'!$B$4</f>
        <v>10.637728560000001</v>
      </c>
      <c r="R602">
        <f t="shared" si="59"/>
        <v>0.66151700000000002</v>
      </c>
      <c r="S602">
        <f t="shared" si="60"/>
        <v>-1.276359</v>
      </c>
      <c r="T602">
        <f t="shared" si="61"/>
        <v>0</v>
      </c>
      <c r="U602">
        <f t="shared" si="62"/>
        <v>0</v>
      </c>
    </row>
    <row r="603" spans="1:21" x14ac:dyDescent="0.3">
      <c r="A603" s="4">
        <v>601</v>
      </c>
      <c r="B603" s="4">
        <v>-96579930344</v>
      </c>
      <c r="C603" s="5">
        <v>7</v>
      </c>
      <c r="D603" s="5">
        <v>-4.3836E-2</v>
      </c>
      <c r="E603" s="5">
        <v>1.4541999999999999E-2</v>
      </c>
      <c r="F603" s="5">
        <v>1094896</v>
      </c>
      <c r="G603" s="5">
        <v>2702491</v>
      </c>
      <c r="H603" s="5">
        <v>-1427807</v>
      </c>
      <c r="I603" s="5">
        <v>0</v>
      </c>
      <c r="J603" s="5">
        <v>0</v>
      </c>
      <c r="L603">
        <f t="shared" si="57"/>
        <v>601</v>
      </c>
      <c r="M603">
        <f>'Real Analysis'!$B$3+B603/1000000</f>
        <v>12.069656000006944</v>
      </c>
      <c r="N603">
        <f t="shared" si="58"/>
        <v>7</v>
      </c>
      <c r="O603">
        <f>IF(ABS(D603)&gt;1,D603/1000000,D603)*'Real Analysis'!$B$4</f>
        <v>-0.43003116000000002</v>
      </c>
      <c r="P603">
        <f>IF(ABS(E603)&gt;1,E603/1000000,E603)*'Real Analysis'!$B$4</f>
        <v>0.14265702</v>
      </c>
      <c r="Q603">
        <f>IF(ABS(F603)&gt;1,F603/1000000,F603)*'Real Analysis'!$B$4</f>
        <v>10.740929760000002</v>
      </c>
      <c r="R603">
        <f t="shared" si="59"/>
        <v>2.7024910000000002</v>
      </c>
      <c r="S603">
        <f t="shared" si="60"/>
        <v>-1.427807</v>
      </c>
      <c r="T603">
        <f t="shared" si="61"/>
        <v>0</v>
      </c>
      <c r="U603">
        <f t="shared" si="62"/>
        <v>0</v>
      </c>
    </row>
    <row r="604" spans="1:21" x14ac:dyDescent="0.3">
      <c r="A604" s="4">
        <v>602</v>
      </c>
      <c r="B604" s="4">
        <v>-96579908533</v>
      </c>
      <c r="C604" s="5">
        <v>7</v>
      </c>
      <c r="D604" s="5">
        <v>-5.0653999999999998E-2</v>
      </c>
      <c r="E604" s="5">
        <v>-2.0861999999999999E-2</v>
      </c>
      <c r="F604" s="5">
        <v>1097675</v>
      </c>
      <c r="G604" s="5">
        <v>4854916</v>
      </c>
      <c r="H604" s="5">
        <v>-4252278</v>
      </c>
      <c r="I604" s="5">
        <v>0</v>
      </c>
      <c r="J604" s="5">
        <v>0</v>
      </c>
      <c r="L604">
        <f t="shared" si="57"/>
        <v>602</v>
      </c>
      <c r="M604">
        <f>'Real Analysis'!$B$3+B604/1000000</f>
        <v>12.09146700000565</v>
      </c>
      <c r="N604">
        <f t="shared" si="58"/>
        <v>7</v>
      </c>
      <c r="O604">
        <f>IF(ABS(D604)&gt;1,D604/1000000,D604)*'Real Analysis'!$B$4</f>
        <v>-0.49691573999999999</v>
      </c>
      <c r="P604">
        <f>IF(ABS(E604)&gt;1,E604/1000000,E604)*'Real Analysis'!$B$4</f>
        <v>-0.20465622</v>
      </c>
      <c r="Q604">
        <f>IF(ABS(F604)&gt;1,F604/1000000,F604)*'Real Analysis'!$B$4</f>
        <v>10.76819175</v>
      </c>
      <c r="R604">
        <f t="shared" si="59"/>
        <v>4.8549160000000002</v>
      </c>
      <c r="S604">
        <f t="shared" si="60"/>
        <v>-4.2522779999999996</v>
      </c>
      <c r="T604">
        <f t="shared" si="61"/>
        <v>0</v>
      </c>
      <c r="U604">
        <f t="shared" si="62"/>
        <v>0</v>
      </c>
    </row>
    <row r="605" spans="1:21" x14ac:dyDescent="0.3">
      <c r="A605" s="4">
        <v>603</v>
      </c>
      <c r="B605" s="4">
        <v>-96579893758</v>
      </c>
      <c r="C605" s="5">
        <v>7</v>
      </c>
      <c r="D605" s="5">
        <v>-4.6432000000000001E-2</v>
      </c>
      <c r="E605" s="5">
        <v>-8.5959999999999995E-3</v>
      </c>
      <c r="F605" s="5">
        <v>1127269</v>
      </c>
      <c r="G605" s="5">
        <v>6625026</v>
      </c>
      <c r="H605" s="5">
        <v>-6412915</v>
      </c>
      <c r="I605" s="5">
        <v>0</v>
      </c>
      <c r="J605" s="5">
        <v>0</v>
      </c>
      <c r="L605">
        <f t="shared" si="57"/>
        <v>603</v>
      </c>
      <c r="M605">
        <f>'Real Analysis'!$B$3+B605/1000000</f>
        <v>12.106241999994381</v>
      </c>
      <c r="N605">
        <f t="shared" si="58"/>
        <v>7</v>
      </c>
      <c r="O605">
        <f>IF(ABS(D605)&gt;1,D605/1000000,D605)*'Real Analysis'!$B$4</f>
        <v>-0.45549792000000006</v>
      </c>
      <c r="P605">
        <f>IF(ABS(E605)&gt;1,E605/1000000,E605)*'Real Analysis'!$B$4</f>
        <v>-8.4326760000000001E-2</v>
      </c>
      <c r="Q605">
        <f>IF(ABS(F605)&gt;1,F605/1000000,F605)*'Real Analysis'!$B$4</f>
        <v>11.058508890000001</v>
      </c>
      <c r="R605">
        <f t="shared" si="59"/>
        <v>6.6250260000000001</v>
      </c>
      <c r="S605">
        <f t="shared" si="60"/>
        <v>-6.4129149999999999</v>
      </c>
      <c r="T605">
        <f t="shared" si="61"/>
        <v>0</v>
      </c>
      <c r="U605">
        <f t="shared" si="62"/>
        <v>0</v>
      </c>
    </row>
    <row r="606" spans="1:21" x14ac:dyDescent="0.3">
      <c r="A606" s="4">
        <v>604</v>
      </c>
      <c r="B606" s="4">
        <v>-96579870010</v>
      </c>
      <c r="C606" s="5">
        <v>7</v>
      </c>
      <c r="D606" s="5">
        <v>-6.0109000000000003E-2</v>
      </c>
      <c r="E606" s="5">
        <v>-7.5890000000000003E-3</v>
      </c>
      <c r="F606" s="5">
        <v>1140245</v>
      </c>
      <c r="G606" s="5">
        <v>9636412</v>
      </c>
      <c r="H606" s="5">
        <v>-8862646</v>
      </c>
      <c r="I606" s="5">
        <v>0</v>
      </c>
      <c r="J606" s="5">
        <v>0</v>
      </c>
      <c r="L606">
        <f t="shared" si="57"/>
        <v>604</v>
      </c>
      <c r="M606">
        <f>'Real Analysis'!$B$3+B606/1000000</f>
        <v>12.129990000001271</v>
      </c>
      <c r="N606">
        <f t="shared" si="58"/>
        <v>7</v>
      </c>
      <c r="O606">
        <f>IF(ABS(D606)&gt;1,D606/1000000,D606)*'Real Analysis'!$B$4</f>
        <v>-0.58966929000000001</v>
      </c>
      <c r="P606">
        <f>IF(ABS(E606)&gt;1,E606/1000000,E606)*'Real Analysis'!$B$4</f>
        <v>-7.4448090000000008E-2</v>
      </c>
      <c r="Q606">
        <f>IF(ABS(F606)&gt;1,F606/1000000,F606)*'Real Analysis'!$B$4</f>
        <v>11.18580345</v>
      </c>
      <c r="R606">
        <f t="shared" si="59"/>
        <v>9.636412</v>
      </c>
      <c r="S606">
        <f t="shared" si="60"/>
        <v>-8.8626459999999998</v>
      </c>
      <c r="T606">
        <f t="shared" si="61"/>
        <v>0</v>
      </c>
      <c r="U606">
        <f t="shared" si="62"/>
        <v>0</v>
      </c>
    </row>
    <row r="607" spans="1:21" x14ac:dyDescent="0.3">
      <c r="A607" s="4">
        <v>605</v>
      </c>
      <c r="B607" s="4">
        <v>-96579847613</v>
      </c>
      <c r="C607" s="5">
        <v>7</v>
      </c>
      <c r="D607" s="5">
        <v>-7.4658000000000002E-2</v>
      </c>
      <c r="E607" s="5">
        <v>-1.4649999999999999E-3</v>
      </c>
      <c r="F607" s="5">
        <v>1144422</v>
      </c>
      <c r="G607" s="5">
        <v>11319544</v>
      </c>
      <c r="H607" s="5">
        <v>-9863202</v>
      </c>
      <c r="I607" s="5">
        <v>0</v>
      </c>
      <c r="J607" s="5">
        <v>0</v>
      </c>
      <c r="L607">
        <f t="shared" si="57"/>
        <v>605</v>
      </c>
      <c r="M607">
        <f>'Real Analysis'!$B$3+B607/1000000</f>
        <v>12.152386999994633</v>
      </c>
      <c r="N607">
        <f t="shared" si="58"/>
        <v>7</v>
      </c>
      <c r="O607">
        <f>IF(ABS(D607)&gt;1,D607/1000000,D607)*'Real Analysis'!$B$4</f>
        <v>-0.73239498000000003</v>
      </c>
      <c r="P607">
        <f>IF(ABS(E607)&gt;1,E607/1000000,E607)*'Real Analysis'!$B$4</f>
        <v>-1.437165E-2</v>
      </c>
      <c r="Q607">
        <f>IF(ABS(F607)&gt;1,F607/1000000,F607)*'Real Analysis'!$B$4</f>
        <v>11.226779820000001</v>
      </c>
      <c r="R607">
        <f t="shared" si="59"/>
        <v>11.319544</v>
      </c>
      <c r="S607">
        <f t="shared" si="60"/>
        <v>-9.8632019999999994</v>
      </c>
      <c r="T607">
        <f t="shared" si="61"/>
        <v>0</v>
      </c>
      <c r="U607">
        <f t="shared" si="62"/>
        <v>0</v>
      </c>
    </row>
    <row r="608" spans="1:21" x14ac:dyDescent="0.3">
      <c r="A608" s="4">
        <v>606</v>
      </c>
      <c r="B608" s="4">
        <v>-96579824998</v>
      </c>
      <c r="C608" s="5">
        <v>7</v>
      </c>
      <c r="D608" s="5">
        <v>-7.1166999999999994E-2</v>
      </c>
      <c r="E608" s="5">
        <v>3.3119999999999998E-3</v>
      </c>
      <c r="F608" s="5">
        <v>1136370</v>
      </c>
      <c r="G608" s="5">
        <v>14335101</v>
      </c>
      <c r="H608" s="5">
        <v>-9916224</v>
      </c>
      <c r="I608" s="5">
        <v>0</v>
      </c>
      <c r="J608" s="5">
        <v>0</v>
      </c>
      <c r="L608">
        <f t="shared" si="57"/>
        <v>606</v>
      </c>
      <c r="M608">
        <f>'Real Analysis'!$B$3+B608/1000000</f>
        <v>12.175002000003587</v>
      </c>
      <c r="N608">
        <f t="shared" si="58"/>
        <v>7</v>
      </c>
      <c r="O608">
        <f>IF(ABS(D608)&gt;1,D608/1000000,D608)*'Real Analysis'!$B$4</f>
        <v>-0.69814827000000002</v>
      </c>
      <c r="P608">
        <f>IF(ABS(E608)&gt;1,E608/1000000,E608)*'Real Analysis'!$B$4</f>
        <v>3.2490720000000001E-2</v>
      </c>
      <c r="Q608">
        <f>IF(ABS(F608)&gt;1,F608/1000000,F608)*'Real Analysis'!$B$4</f>
        <v>11.147789700000002</v>
      </c>
      <c r="R608">
        <f t="shared" si="59"/>
        <v>14.335101</v>
      </c>
      <c r="S608">
        <f t="shared" si="60"/>
        <v>-9.9162239999999997</v>
      </c>
      <c r="T608">
        <f t="shared" si="61"/>
        <v>0</v>
      </c>
      <c r="U608">
        <f t="shared" si="62"/>
        <v>0</v>
      </c>
    </row>
    <row r="609" spans="1:21" x14ac:dyDescent="0.3">
      <c r="A609" s="4">
        <v>607</v>
      </c>
      <c r="B609" s="4">
        <v>-96579812921</v>
      </c>
      <c r="C609" s="5">
        <v>7</v>
      </c>
      <c r="D609" s="5">
        <v>-5.7457000000000001E-2</v>
      </c>
      <c r="E609" s="5">
        <v>1.2805E-2</v>
      </c>
      <c r="F609" s="5">
        <v>1126537</v>
      </c>
      <c r="G609" s="5">
        <v>16238665</v>
      </c>
      <c r="H609" s="5">
        <v>-9905953</v>
      </c>
      <c r="I609" s="5">
        <v>0</v>
      </c>
      <c r="J609" s="5">
        <v>0</v>
      </c>
      <c r="L609">
        <f t="shared" si="57"/>
        <v>607</v>
      </c>
      <c r="M609">
        <f>'Real Analysis'!$B$3+B609/1000000</f>
        <v>12.18707899999572</v>
      </c>
      <c r="N609">
        <f t="shared" si="58"/>
        <v>7</v>
      </c>
      <c r="O609">
        <f>IF(ABS(D609)&gt;1,D609/1000000,D609)*'Real Analysis'!$B$4</f>
        <v>-0.56365317000000004</v>
      </c>
      <c r="P609">
        <f>IF(ABS(E609)&gt;1,E609/1000000,E609)*'Real Analysis'!$B$4</f>
        <v>0.12561705000000001</v>
      </c>
      <c r="Q609">
        <f>IF(ABS(F609)&gt;1,F609/1000000,F609)*'Real Analysis'!$B$4</f>
        <v>11.051327969999999</v>
      </c>
      <c r="R609">
        <f t="shared" si="59"/>
        <v>16.238665000000001</v>
      </c>
      <c r="S609">
        <f t="shared" si="60"/>
        <v>-9.9059530000000002</v>
      </c>
      <c r="T609">
        <f t="shared" si="61"/>
        <v>0</v>
      </c>
      <c r="U609">
        <f t="shared" si="62"/>
        <v>0</v>
      </c>
    </row>
    <row r="610" spans="1:21" x14ac:dyDescent="0.3">
      <c r="A610" s="4">
        <v>608</v>
      </c>
      <c r="B610" s="4">
        <v>-96579788864</v>
      </c>
      <c r="C610" s="5">
        <v>7</v>
      </c>
      <c r="D610" s="5">
        <v>-4.2909000000000003E-2</v>
      </c>
      <c r="E610" s="5">
        <v>2.5776E-2</v>
      </c>
      <c r="F610" s="5">
        <v>1127946</v>
      </c>
      <c r="G610" s="5">
        <v>20623869</v>
      </c>
      <c r="H610" s="5">
        <v>-9032866</v>
      </c>
      <c r="I610" s="5">
        <v>0</v>
      </c>
      <c r="J610" s="5">
        <v>0</v>
      </c>
      <c r="L610">
        <f t="shared" si="57"/>
        <v>608</v>
      </c>
      <c r="M610">
        <f>'Real Analysis'!$B$3+B610/1000000</f>
        <v>12.211135999998078</v>
      </c>
      <c r="N610">
        <f t="shared" si="58"/>
        <v>7</v>
      </c>
      <c r="O610">
        <f>IF(ABS(D610)&gt;1,D610/1000000,D610)*'Real Analysis'!$B$4</f>
        <v>-0.42093729000000008</v>
      </c>
      <c r="P610">
        <f>IF(ABS(E610)&gt;1,E610/1000000,E610)*'Real Analysis'!$B$4</f>
        <v>0.25286256000000001</v>
      </c>
      <c r="Q610">
        <f>IF(ABS(F610)&gt;1,F610/1000000,F610)*'Real Analysis'!$B$4</f>
        <v>11.065150259999999</v>
      </c>
      <c r="R610">
        <f t="shared" si="59"/>
        <v>20.623868999999999</v>
      </c>
      <c r="S610">
        <f t="shared" si="60"/>
        <v>-9.0328660000000003</v>
      </c>
      <c r="T610">
        <f t="shared" si="61"/>
        <v>0</v>
      </c>
      <c r="U610">
        <f t="shared" si="62"/>
        <v>0</v>
      </c>
    </row>
    <row r="611" spans="1:21" x14ac:dyDescent="0.3">
      <c r="A611" s="4">
        <v>609</v>
      </c>
      <c r="B611" s="4">
        <v>-96579769323</v>
      </c>
      <c r="C611" s="5">
        <v>7</v>
      </c>
      <c r="D611" s="5">
        <v>-2.2054000000000001E-2</v>
      </c>
      <c r="E611" s="5">
        <v>1.0788000000000001E-2</v>
      </c>
      <c r="F611" s="5">
        <v>1126508</v>
      </c>
      <c r="G611" s="5">
        <v>27406324</v>
      </c>
      <c r="H611" s="5">
        <v>-8852044</v>
      </c>
      <c r="I611" s="5">
        <v>0</v>
      </c>
      <c r="J611" s="5">
        <v>0</v>
      </c>
      <c r="L611">
        <f t="shared" si="57"/>
        <v>609</v>
      </c>
      <c r="M611">
        <f>'Real Analysis'!$B$3+B611/1000000</f>
        <v>12.230676999999559</v>
      </c>
      <c r="N611">
        <f t="shared" si="58"/>
        <v>7</v>
      </c>
      <c r="O611">
        <f>IF(ABS(D611)&gt;1,D611/1000000,D611)*'Real Analysis'!$B$4</f>
        <v>-0.21634974000000001</v>
      </c>
      <c r="P611">
        <f>IF(ABS(E611)&gt;1,E611/1000000,E611)*'Real Analysis'!$B$4</f>
        <v>0.10583028000000001</v>
      </c>
      <c r="Q611">
        <f>IF(ABS(F611)&gt;1,F611/1000000,F611)*'Real Analysis'!$B$4</f>
        <v>11.051043480000001</v>
      </c>
      <c r="R611">
        <f t="shared" si="59"/>
        <v>27.406324000000001</v>
      </c>
      <c r="S611">
        <f t="shared" si="60"/>
        <v>-8.8520439999999994</v>
      </c>
      <c r="T611">
        <f t="shared" si="61"/>
        <v>0</v>
      </c>
      <c r="U611">
        <f t="shared" si="62"/>
        <v>0</v>
      </c>
    </row>
    <row r="612" spans="1:21" x14ac:dyDescent="0.3">
      <c r="A612" s="4">
        <v>610</v>
      </c>
      <c r="B612" s="4">
        <v>-96579748955</v>
      </c>
      <c r="C612" s="5">
        <v>7</v>
      </c>
      <c r="D612" s="5">
        <v>-2.6570000000000001E-3</v>
      </c>
      <c r="E612" s="5">
        <v>7.7169999999999999E-3</v>
      </c>
      <c r="F612" s="5">
        <v>1117419</v>
      </c>
      <c r="G612" s="5">
        <v>33379238</v>
      </c>
      <c r="H612" s="5">
        <v>-9549729</v>
      </c>
      <c r="I612" s="5">
        <v>0</v>
      </c>
      <c r="J612" s="5">
        <v>0</v>
      </c>
      <c r="L612">
        <f t="shared" si="57"/>
        <v>610</v>
      </c>
      <c r="M612">
        <f>'Real Analysis'!$B$3+B612/1000000</f>
        <v>12.251044999997248</v>
      </c>
      <c r="N612">
        <f t="shared" si="58"/>
        <v>7</v>
      </c>
      <c r="O612">
        <f>IF(ABS(D612)&gt;1,D612/1000000,D612)*'Real Analysis'!$B$4</f>
        <v>-2.6065170000000002E-2</v>
      </c>
      <c r="P612">
        <f>IF(ABS(E612)&gt;1,E612/1000000,E612)*'Real Analysis'!$B$4</f>
        <v>7.5703770000000004E-2</v>
      </c>
      <c r="Q612">
        <f>IF(ABS(F612)&gt;1,F612/1000000,F612)*'Real Analysis'!$B$4</f>
        <v>10.961880389999999</v>
      </c>
      <c r="R612">
        <f t="shared" si="59"/>
        <v>33.379238000000001</v>
      </c>
      <c r="S612">
        <f t="shared" si="60"/>
        <v>-9.5497289999999992</v>
      </c>
      <c r="T612">
        <f t="shared" si="61"/>
        <v>0</v>
      </c>
      <c r="U612">
        <f t="shared" si="62"/>
        <v>0</v>
      </c>
    </row>
    <row r="613" spans="1:21" x14ac:dyDescent="0.3">
      <c r="A613" s="4">
        <v>611</v>
      </c>
      <c r="B613" s="4">
        <v>-96579729058</v>
      </c>
      <c r="C613" s="5">
        <v>7</v>
      </c>
      <c r="D613" s="5">
        <v>-5.04E-4</v>
      </c>
      <c r="E613" s="5">
        <v>1.3266E-2</v>
      </c>
      <c r="F613" s="5">
        <v>1154672</v>
      </c>
      <c r="G613" s="5">
        <v>37822540</v>
      </c>
      <c r="H613" s="5">
        <v>-10316187</v>
      </c>
      <c r="I613" s="5">
        <v>0</v>
      </c>
      <c r="J613" s="5">
        <v>0</v>
      </c>
      <c r="L613">
        <f t="shared" si="57"/>
        <v>611</v>
      </c>
      <c r="M613">
        <f>'Real Analysis'!$B$3+B613/1000000</f>
        <v>12.270942000002833</v>
      </c>
      <c r="N613">
        <f t="shared" si="58"/>
        <v>7</v>
      </c>
      <c r="O613">
        <f>IF(ABS(D613)&gt;1,D613/1000000,D613)*'Real Analysis'!$B$4</f>
        <v>-4.9442399999999999E-3</v>
      </c>
      <c r="P613">
        <f>IF(ABS(E613)&gt;1,E613/1000000,E613)*'Real Analysis'!$B$4</f>
        <v>0.13013946000000001</v>
      </c>
      <c r="Q613">
        <f>IF(ABS(F613)&gt;1,F613/1000000,F613)*'Real Analysis'!$B$4</f>
        <v>11.32733232</v>
      </c>
      <c r="R613">
        <f t="shared" si="59"/>
        <v>37.822539999999996</v>
      </c>
      <c r="S613">
        <f t="shared" si="60"/>
        <v>-10.316186999999999</v>
      </c>
      <c r="T613">
        <f t="shared" si="61"/>
        <v>0</v>
      </c>
      <c r="U613">
        <f t="shared" si="62"/>
        <v>0</v>
      </c>
    </row>
    <row r="614" spans="1:21" x14ac:dyDescent="0.3">
      <c r="A614" s="4">
        <v>612</v>
      </c>
      <c r="B614" s="4">
        <v>-96579707923</v>
      </c>
      <c r="C614" s="5">
        <v>7</v>
      </c>
      <c r="D614" s="5">
        <v>-4.0099999999999999E-4</v>
      </c>
      <c r="E614" s="5">
        <v>3.2052999999999998E-2</v>
      </c>
      <c r="F614" s="5">
        <v>1163114</v>
      </c>
      <c r="G614" s="5">
        <v>40975079</v>
      </c>
      <c r="H614" s="5">
        <v>-9268445</v>
      </c>
      <c r="I614" s="5">
        <v>0</v>
      </c>
      <c r="J614" s="5">
        <v>0</v>
      </c>
      <c r="L614">
        <f t="shared" si="57"/>
        <v>612</v>
      </c>
      <c r="M614">
        <f>'Real Analysis'!$B$3+B614/1000000</f>
        <v>12.29207700000552</v>
      </c>
      <c r="N614">
        <f t="shared" si="58"/>
        <v>7</v>
      </c>
      <c r="O614">
        <f>IF(ABS(D614)&gt;1,D614/1000000,D614)*'Real Analysis'!$B$4</f>
        <v>-3.9338100000000003E-3</v>
      </c>
      <c r="P614">
        <f>IF(ABS(E614)&gt;1,E614/1000000,E614)*'Real Analysis'!$B$4</f>
        <v>0.31443992999999998</v>
      </c>
      <c r="Q614">
        <f>IF(ABS(F614)&gt;1,F614/1000000,F614)*'Real Analysis'!$B$4</f>
        <v>11.410148340000001</v>
      </c>
      <c r="R614">
        <f t="shared" si="59"/>
        <v>40.975079000000001</v>
      </c>
      <c r="S614">
        <f t="shared" si="60"/>
        <v>-9.2684449999999998</v>
      </c>
      <c r="T614">
        <f t="shared" si="61"/>
        <v>0</v>
      </c>
      <c r="U614">
        <f t="shared" si="62"/>
        <v>0</v>
      </c>
    </row>
    <row r="615" spans="1:21" x14ac:dyDescent="0.3">
      <c r="A615" s="4">
        <v>613</v>
      </c>
      <c r="B615" s="4">
        <v>-96579694028</v>
      </c>
      <c r="C615" s="5">
        <v>7</v>
      </c>
      <c r="D615" s="5">
        <v>-4.81E-3</v>
      </c>
      <c r="E615" s="5">
        <v>4.2931999999999998E-2</v>
      </c>
      <c r="F615" s="5">
        <v>1145980</v>
      </c>
      <c r="G615" s="5">
        <v>42183685</v>
      </c>
      <c r="H615" s="5">
        <v>-7916175</v>
      </c>
      <c r="I615" s="5">
        <v>0</v>
      </c>
      <c r="J615" s="5">
        <v>0</v>
      </c>
      <c r="L615">
        <f t="shared" si="57"/>
        <v>613</v>
      </c>
      <c r="M615">
        <f>'Real Analysis'!$B$3+B615/1000000</f>
        <v>12.30597200000193</v>
      </c>
      <c r="N615">
        <f t="shared" si="58"/>
        <v>7</v>
      </c>
      <c r="O615">
        <f>IF(ABS(D615)&gt;1,D615/1000000,D615)*'Real Analysis'!$B$4</f>
        <v>-4.7186100000000002E-2</v>
      </c>
      <c r="P615">
        <f>IF(ABS(E615)&gt;1,E615/1000000,E615)*'Real Analysis'!$B$4</f>
        <v>0.42116292</v>
      </c>
      <c r="Q615">
        <f>IF(ABS(F615)&gt;1,F615/1000000,F615)*'Real Analysis'!$B$4</f>
        <v>11.2420638</v>
      </c>
      <c r="R615">
        <f t="shared" si="59"/>
        <v>42.183684999999997</v>
      </c>
      <c r="S615">
        <f t="shared" si="60"/>
        <v>-7.916175</v>
      </c>
      <c r="T615">
        <f t="shared" si="61"/>
        <v>0</v>
      </c>
      <c r="U615">
        <f t="shared" si="62"/>
        <v>0</v>
      </c>
    </row>
    <row r="616" spans="1:21" x14ac:dyDescent="0.3">
      <c r="A616" s="4">
        <v>614</v>
      </c>
      <c r="B616" s="4">
        <v>-96579669978</v>
      </c>
      <c r="C616" s="5">
        <v>7</v>
      </c>
      <c r="D616" s="5">
        <v>-4.4120000000000001E-3</v>
      </c>
      <c r="E616" s="5">
        <v>2.7729E-2</v>
      </c>
      <c r="F616" s="5">
        <v>1131945</v>
      </c>
      <c r="G616" s="5">
        <v>42453766</v>
      </c>
      <c r="H616" s="5">
        <v>-6893060</v>
      </c>
      <c r="I616" s="5">
        <v>0</v>
      </c>
      <c r="J616" s="5">
        <v>0</v>
      </c>
      <c r="L616">
        <f t="shared" si="57"/>
        <v>614</v>
      </c>
      <c r="M616">
        <f>'Real Analysis'!$B$3+B616/1000000</f>
        <v>12.330021999994642</v>
      </c>
      <c r="N616">
        <f t="shared" si="58"/>
        <v>7</v>
      </c>
      <c r="O616">
        <f>IF(ABS(D616)&gt;1,D616/1000000,D616)*'Real Analysis'!$B$4</f>
        <v>-4.3281720000000003E-2</v>
      </c>
      <c r="P616">
        <f>IF(ABS(E616)&gt;1,E616/1000000,E616)*'Real Analysis'!$B$4</f>
        <v>0.27202149000000003</v>
      </c>
      <c r="Q616">
        <f>IF(ABS(F616)&gt;1,F616/1000000,F616)*'Real Analysis'!$B$4</f>
        <v>11.104380450000001</v>
      </c>
      <c r="R616">
        <f t="shared" si="59"/>
        <v>42.453766000000002</v>
      </c>
      <c r="S616">
        <f t="shared" si="60"/>
        <v>-6.8930600000000002</v>
      </c>
      <c r="T616">
        <f t="shared" si="61"/>
        <v>0</v>
      </c>
      <c r="U616">
        <f t="shared" si="62"/>
        <v>0</v>
      </c>
    </row>
    <row r="617" spans="1:21" x14ac:dyDescent="0.3">
      <c r="A617" s="4">
        <v>615</v>
      </c>
      <c r="B617" s="4">
        <v>-96579660535</v>
      </c>
      <c r="C617" s="5">
        <v>7</v>
      </c>
      <c r="D617" s="5">
        <v>-6.0980000000000001E-3</v>
      </c>
      <c r="E617" s="5">
        <v>2.9391E-2</v>
      </c>
      <c r="F617" s="5">
        <v>1132579</v>
      </c>
      <c r="G617" s="5">
        <v>42882755</v>
      </c>
      <c r="H617" s="5">
        <v>-6680788</v>
      </c>
      <c r="I617" s="5">
        <v>0</v>
      </c>
      <c r="J617" s="5">
        <v>0</v>
      </c>
      <c r="L617">
        <f t="shared" si="57"/>
        <v>615</v>
      </c>
      <c r="M617">
        <f>'Real Analysis'!$B$3+B617/1000000</f>
        <v>12.33946499999729</v>
      </c>
      <c r="N617">
        <f t="shared" si="58"/>
        <v>7</v>
      </c>
      <c r="O617">
        <f>IF(ABS(D617)&gt;1,D617/1000000,D617)*'Real Analysis'!$B$4</f>
        <v>-5.9821380000000007E-2</v>
      </c>
      <c r="P617">
        <f>IF(ABS(E617)&gt;1,E617/1000000,E617)*'Real Analysis'!$B$4</f>
        <v>0.28832571000000001</v>
      </c>
      <c r="Q617">
        <f>IF(ABS(F617)&gt;1,F617/1000000,F617)*'Real Analysis'!$B$4</f>
        <v>11.110599990000001</v>
      </c>
      <c r="R617">
        <f t="shared" si="59"/>
        <v>42.882755000000003</v>
      </c>
      <c r="S617">
        <f t="shared" si="60"/>
        <v>-6.6807879999999997</v>
      </c>
      <c r="T617">
        <f t="shared" si="61"/>
        <v>0</v>
      </c>
      <c r="U617">
        <f t="shared" si="62"/>
        <v>0</v>
      </c>
    </row>
    <row r="618" spans="1:21" x14ac:dyDescent="0.3">
      <c r="A618" s="4">
        <v>616</v>
      </c>
      <c r="B618" s="4">
        <v>-96578648210</v>
      </c>
      <c r="C618" s="5">
        <v>3</v>
      </c>
      <c r="D618" s="5">
        <v>-1.0474000000000001E-2</v>
      </c>
      <c r="E618" s="5">
        <v>3.5157000000000001E-2</v>
      </c>
      <c r="F618" s="5">
        <v>0.92213100000000003</v>
      </c>
      <c r="G618" s="5">
        <v>291616882</v>
      </c>
      <c r="H618" s="5">
        <v>-115314064</v>
      </c>
      <c r="I618" s="5">
        <v>0</v>
      </c>
      <c r="J618" s="5">
        <v>421</v>
      </c>
      <c r="L618">
        <f t="shared" si="57"/>
        <v>616</v>
      </c>
      <c r="M618">
        <f>'Real Analysis'!$B$3+B618/1000000</f>
        <v>13.351790000000619</v>
      </c>
      <c r="N618">
        <f t="shared" si="58"/>
        <v>3</v>
      </c>
      <c r="O618">
        <f>IF(ABS(D618)&gt;1,D618/1000000,D618)*'Real Analysis'!$B$4</f>
        <v>-0.10274994000000001</v>
      </c>
      <c r="P618">
        <f>IF(ABS(E618)&gt;1,E618/1000000,E618)*'Real Analysis'!$B$4</f>
        <v>0.34489017000000005</v>
      </c>
      <c r="Q618">
        <f>IF(ABS(F618)&gt;1,F618/1000000,F618)*'Real Analysis'!$B$4</f>
        <v>9.0461051100000009</v>
      </c>
      <c r="R618">
        <f t="shared" si="59"/>
        <v>291.61688199999998</v>
      </c>
      <c r="S618">
        <f t="shared" si="60"/>
        <v>-115.314064</v>
      </c>
      <c r="T618">
        <f t="shared" si="61"/>
        <v>0</v>
      </c>
      <c r="U618">
        <f t="shared" si="62"/>
        <v>0.42099999999999999</v>
      </c>
    </row>
    <row r="619" spans="1:21" x14ac:dyDescent="0.3">
      <c r="A619" s="4">
        <v>617</v>
      </c>
      <c r="B619" s="4">
        <v>-96578628140</v>
      </c>
      <c r="C619" s="5">
        <v>3</v>
      </c>
      <c r="D619" s="5">
        <v>9.3000000000000005E-4</v>
      </c>
      <c r="E619" s="5">
        <v>1.6431999999999999E-2</v>
      </c>
      <c r="F619" s="5">
        <v>0.91820999999999997</v>
      </c>
      <c r="G619" s="5">
        <v>299116974</v>
      </c>
      <c r="H619" s="5">
        <v>-114051529</v>
      </c>
      <c r="I619" s="5">
        <v>0</v>
      </c>
      <c r="J619" s="5">
        <v>418</v>
      </c>
      <c r="L619">
        <f t="shared" si="57"/>
        <v>617</v>
      </c>
      <c r="M619">
        <f>'Real Analysis'!$B$3+B619/1000000</f>
        <v>13.371859999999288</v>
      </c>
      <c r="N619">
        <f t="shared" si="58"/>
        <v>3</v>
      </c>
      <c r="O619">
        <f>IF(ABS(D619)&gt;1,D619/1000000,D619)*'Real Analysis'!$B$4</f>
        <v>9.1233000000000009E-3</v>
      </c>
      <c r="P619">
        <f>IF(ABS(E619)&gt;1,E619/1000000,E619)*'Real Analysis'!$B$4</f>
        <v>0.16119791999999999</v>
      </c>
      <c r="Q619">
        <f>IF(ABS(F619)&gt;1,F619/1000000,F619)*'Real Analysis'!$B$4</f>
        <v>9.0076400999999997</v>
      </c>
      <c r="R619">
        <f t="shared" si="59"/>
        <v>299.11697400000003</v>
      </c>
      <c r="S619">
        <f t="shared" si="60"/>
        <v>-114.051529</v>
      </c>
      <c r="T619">
        <f t="shared" si="61"/>
        <v>0</v>
      </c>
      <c r="U619">
        <f t="shared" si="62"/>
        <v>0.41799999999999998</v>
      </c>
    </row>
    <row r="620" spans="1:21" x14ac:dyDescent="0.3">
      <c r="A620" s="4">
        <v>618</v>
      </c>
      <c r="B620" s="4">
        <v>-96578611136</v>
      </c>
      <c r="C620" s="5">
        <v>3</v>
      </c>
      <c r="D620" s="5">
        <v>-9.3620000000000005E-3</v>
      </c>
      <c r="E620" s="5">
        <v>1.3521999999999999E-2</v>
      </c>
      <c r="F620" s="5">
        <v>0.93265600000000004</v>
      </c>
      <c r="G620" s="5">
        <v>304668030</v>
      </c>
      <c r="H620" s="5">
        <v>-121379555</v>
      </c>
      <c r="I620" s="5">
        <v>0</v>
      </c>
      <c r="J620" s="5">
        <v>414</v>
      </c>
      <c r="L620">
        <f t="shared" si="57"/>
        <v>618</v>
      </c>
      <c r="M620">
        <f>'Real Analysis'!$B$3+B620/1000000</f>
        <v>13.388863999993191</v>
      </c>
      <c r="N620">
        <f t="shared" si="58"/>
        <v>3</v>
      </c>
      <c r="O620">
        <f>IF(ABS(D620)&gt;1,D620/1000000,D620)*'Real Analysis'!$B$4</f>
        <v>-9.1841220000000015E-2</v>
      </c>
      <c r="P620">
        <f>IF(ABS(E620)&gt;1,E620/1000000,E620)*'Real Analysis'!$B$4</f>
        <v>0.13265082</v>
      </c>
      <c r="Q620">
        <f>IF(ABS(F620)&gt;1,F620/1000000,F620)*'Real Analysis'!$B$4</f>
        <v>9.1493553600000013</v>
      </c>
      <c r="R620">
        <f t="shared" si="59"/>
        <v>304.66802999999999</v>
      </c>
      <c r="S620">
        <f t="shared" si="60"/>
        <v>-121.379555</v>
      </c>
      <c r="T620">
        <f t="shared" si="61"/>
        <v>0</v>
      </c>
      <c r="U620">
        <f t="shared" si="62"/>
        <v>0.41399999999999998</v>
      </c>
    </row>
    <row r="621" spans="1:21" x14ac:dyDescent="0.3">
      <c r="A621" s="4">
        <v>619</v>
      </c>
      <c r="B621" s="4">
        <v>-96578592605</v>
      </c>
      <c r="C621" s="5">
        <v>3</v>
      </c>
      <c r="D621" s="5">
        <v>-2.9204000000000001E-2</v>
      </c>
      <c r="E621" s="5">
        <v>2.9080999999999999E-2</v>
      </c>
      <c r="F621" s="5">
        <v>0.94398800000000005</v>
      </c>
      <c r="G621" s="5">
        <v>310518127</v>
      </c>
      <c r="H621" s="5">
        <v>-134922897</v>
      </c>
      <c r="I621" s="5">
        <v>0</v>
      </c>
      <c r="J621" s="5">
        <v>408</v>
      </c>
      <c r="L621">
        <f t="shared" si="57"/>
        <v>619</v>
      </c>
      <c r="M621">
        <f>'Real Analysis'!$B$3+B621/1000000</f>
        <v>13.407395000001998</v>
      </c>
      <c r="N621">
        <f t="shared" si="58"/>
        <v>3</v>
      </c>
      <c r="O621">
        <f>IF(ABS(D621)&gt;1,D621/1000000,D621)*'Real Analysis'!$B$4</f>
        <v>-0.28649124000000004</v>
      </c>
      <c r="P621">
        <f>IF(ABS(E621)&gt;1,E621/1000000,E621)*'Real Analysis'!$B$4</f>
        <v>0.28528460999999999</v>
      </c>
      <c r="Q621">
        <f>IF(ABS(F621)&gt;1,F621/1000000,F621)*'Real Analysis'!$B$4</f>
        <v>9.2605222800000018</v>
      </c>
      <c r="R621">
        <f t="shared" si="59"/>
        <v>310.51812699999999</v>
      </c>
      <c r="S621">
        <f t="shared" si="60"/>
        <v>-134.92289700000001</v>
      </c>
      <c r="T621">
        <f t="shared" si="61"/>
        <v>0</v>
      </c>
      <c r="U621">
        <f t="shared" si="62"/>
        <v>0.40799999999999997</v>
      </c>
    </row>
    <row r="622" spans="1:21" x14ac:dyDescent="0.3">
      <c r="A622" s="4">
        <v>620</v>
      </c>
      <c r="B622" s="4">
        <v>-96578570125</v>
      </c>
      <c r="C622" s="5">
        <v>3</v>
      </c>
      <c r="D622" s="5">
        <v>-1.5424999999999999E-2</v>
      </c>
      <c r="E622" s="5">
        <v>2.9165E-2</v>
      </c>
      <c r="F622" s="5">
        <v>0.93878099999999998</v>
      </c>
      <c r="G622" s="5">
        <v>302003143</v>
      </c>
      <c r="H622" s="5">
        <v>-131617325</v>
      </c>
      <c r="I622" s="5">
        <v>0</v>
      </c>
      <c r="J622" s="5">
        <v>404</v>
      </c>
      <c r="L622">
        <f t="shared" si="57"/>
        <v>620</v>
      </c>
      <c r="M622">
        <f>'Real Analysis'!$B$3+B622/1000000</f>
        <v>13.42987500000163</v>
      </c>
      <c r="N622">
        <f t="shared" si="58"/>
        <v>3</v>
      </c>
      <c r="O622">
        <f>IF(ABS(D622)&gt;1,D622/1000000,D622)*'Real Analysis'!$B$4</f>
        <v>-0.15131925000000002</v>
      </c>
      <c r="P622">
        <f>IF(ABS(E622)&gt;1,E622/1000000,E622)*'Real Analysis'!$B$4</f>
        <v>0.28610865000000002</v>
      </c>
      <c r="Q622">
        <f>IF(ABS(F622)&gt;1,F622/1000000,F622)*'Real Analysis'!$B$4</f>
        <v>9.2094416100000007</v>
      </c>
      <c r="R622">
        <f t="shared" si="59"/>
        <v>302.00314300000002</v>
      </c>
      <c r="S622">
        <f t="shared" si="60"/>
        <v>-131.61732499999999</v>
      </c>
      <c r="T622">
        <f t="shared" si="61"/>
        <v>0</v>
      </c>
      <c r="U622">
        <f t="shared" si="62"/>
        <v>0.40400000000000003</v>
      </c>
    </row>
    <row r="623" spans="1:21" x14ac:dyDescent="0.3">
      <c r="A623" s="4">
        <v>621</v>
      </c>
      <c r="B623" s="4">
        <v>-96578549125</v>
      </c>
      <c r="C623" s="5">
        <v>3</v>
      </c>
      <c r="D623" s="5">
        <v>-1.2854000000000001E-2</v>
      </c>
      <c r="E623" s="5">
        <v>1.1349999999999999E-3</v>
      </c>
      <c r="F623" s="5">
        <v>0.94509699999999996</v>
      </c>
      <c r="G623" s="5">
        <v>296260132</v>
      </c>
      <c r="H623" s="5">
        <v>-92352753</v>
      </c>
      <c r="I623" s="5">
        <v>0</v>
      </c>
      <c r="J623" s="5">
        <v>399</v>
      </c>
      <c r="L623">
        <f t="shared" si="57"/>
        <v>621</v>
      </c>
      <c r="M623">
        <f>'Real Analysis'!$B$3+B623/1000000</f>
        <v>13.450874999994994</v>
      </c>
      <c r="N623">
        <f t="shared" si="58"/>
        <v>3</v>
      </c>
      <c r="O623">
        <f>IF(ABS(D623)&gt;1,D623/1000000,D623)*'Real Analysis'!$B$4</f>
        <v>-0.12609774000000001</v>
      </c>
      <c r="P623">
        <f>IF(ABS(E623)&gt;1,E623/1000000,E623)*'Real Analysis'!$B$4</f>
        <v>1.1134349999999999E-2</v>
      </c>
      <c r="Q623">
        <f>IF(ABS(F623)&gt;1,F623/1000000,F623)*'Real Analysis'!$B$4</f>
        <v>9.2714015700000001</v>
      </c>
      <c r="R623">
        <f t="shared" si="59"/>
        <v>296.260132</v>
      </c>
      <c r="S623">
        <f t="shared" si="60"/>
        <v>-92.352753000000007</v>
      </c>
      <c r="T623">
        <f t="shared" si="61"/>
        <v>0</v>
      </c>
      <c r="U623">
        <f t="shared" si="62"/>
        <v>0.39900000000000002</v>
      </c>
    </row>
    <row r="624" spans="1:21" x14ac:dyDescent="0.3">
      <c r="A624" s="4">
        <v>622</v>
      </c>
      <c r="B624" s="4">
        <v>-96578532380</v>
      </c>
      <c r="C624" s="5">
        <v>3</v>
      </c>
      <c r="D624" s="5">
        <v>-2.5505E-2</v>
      </c>
      <c r="E624" s="5">
        <v>1.5904999999999999E-2</v>
      </c>
      <c r="F624" s="5">
        <v>0.96102299999999996</v>
      </c>
      <c r="G624" s="5">
        <v>297648407</v>
      </c>
      <c r="H624" s="5">
        <v>-90317848</v>
      </c>
      <c r="I624" s="5">
        <v>0</v>
      </c>
      <c r="J624" s="5">
        <v>394</v>
      </c>
      <c r="L624">
        <f t="shared" si="57"/>
        <v>622</v>
      </c>
      <c r="M624">
        <f>'Real Analysis'!$B$3+B624/1000000</f>
        <v>13.467619999995804</v>
      </c>
      <c r="N624">
        <f t="shared" si="58"/>
        <v>3</v>
      </c>
      <c r="O624">
        <f>IF(ABS(D624)&gt;1,D624/1000000,D624)*'Real Analysis'!$B$4</f>
        <v>-0.25020405000000001</v>
      </c>
      <c r="P624">
        <f>IF(ABS(E624)&gt;1,E624/1000000,E624)*'Real Analysis'!$B$4</f>
        <v>0.15602805</v>
      </c>
      <c r="Q624">
        <f>IF(ABS(F624)&gt;1,F624/1000000,F624)*'Real Analysis'!$B$4</f>
        <v>9.4276356299999993</v>
      </c>
      <c r="R624">
        <f t="shared" si="59"/>
        <v>297.64840700000002</v>
      </c>
      <c r="S624">
        <f t="shared" si="60"/>
        <v>-90.317847999999998</v>
      </c>
      <c r="T624">
        <f t="shared" si="61"/>
        <v>0</v>
      </c>
      <c r="U624">
        <f t="shared" si="62"/>
        <v>0.39400000000000002</v>
      </c>
    </row>
    <row r="625" spans="1:21" x14ac:dyDescent="0.3">
      <c r="A625" s="4">
        <v>623</v>
      </c>
      <c r="B625" s="4">
        <v>-96578511221</v>
      </c>
      <c r="C625" s="5">
        <v>3</v>
      </c>
      <c r="D625" s="5">
        <v>-1.7403999999999999E-2</v>
      </c>
      <c r="E625" s="5">
        <v>3.2469999999999999E-2</v>
      </c>
      <c r="F625" s="5">
        <v>0.95189100000000004</v>
      </c>
      <c r="G625" s="5">
        <v>296125000</v>
      </c>
      <c r="H625" s="5">
        <v>-81342911</v>
      </c>
      <c r="I625" s="5">
        <v>0</v>
      </c>
      <c r="J625" s="5">
        <v>389</v>
      </c>
      <c r="L625">
        <f t="shared" si="57"/>
        <v>623</v>
      </c>
      <c r="M625">
        <f>'Real Analysis'!$B$3+B625/1000000</f>
        <v>13.488779000006616</v>
      </c>
      <c r="N625">
        <f t="shared" si="58"/>
        <v>3</v>
      </c>
      <c r="O625">
        <f>IF(ABS(D625)&gt;1,D625/1000000,D625)*'Real Analysis'!$B$4</f>
        <v>-0.17073324000000001</v>
      </c>
      <c r="P625">
        <f>IF(ABS(E625)&gt;1,E625/1000000,E625)*'Real Analysis'!$B$4</f>
        <v>0.3185307</v>
      </c>
      <c r="Q625">
        <f>IF(ABS(F625)&gt;1,F625/1000000,F625)*'Real Analysis'!$B$4</f>
        <v>9.338050710000001</v>
      </c>
      <c r="R625">
        <f t="shared" si="59"/>
        <v>296.125</v>
      </c>
      <c r="S625">
        <f t="shared" si="60"/>
        <v>-81.342911000000001</v>
      </c>
      <c r="T625">
        <f t="shared" si="61"/>
        <v>0</v>
      </c>
      <c r="U625">
        <f t="shared" si="62"/>
        <v>0.38900000000000001</v>
      </c>
    </row>
    <row r="626" spans="1:21" x14ac:dyDescent="0.3">
      <c r="A626" s="4">
        <v>624</v>
      </c>
      <c r="B626" s="4">
        <v>-96578492236</v>
      </c>
      <c r="C626" s="5">
        <v>3</v>
      </c>
      <c r="D626" s="5">
        <v>-1.92E-3</v>
      </c>
      <c r="E626" s="5">
        <v>2.5912999999999999E-2</v>
      </c>
      <c r="F626" s="5">
        <v>0.95683300000000004</v>
      </c>
      <c r="G626" s="5">
        <v>298783569</v>
      </c>
      <c r="H626" s="5">
        <v>-114591492</v>
      </c>
      <c r="I626" s="5">
        <v>0</v>
      </c>
      <c r="J626" s="5">
        <v>382</v>
      </c>
      <c r="L626">
        <f t="shared" si="57"/>
        <v>624</v>
      </c>
      <c r="M626">
        <f>'Real Analysis'!$B$3+B626/1000000</f>
        <v>13.507763999994495</v>
      </c>
      <c r="N626">
        <f t="shared" si="58"/>
        <v>3</v>
      </c>
      <c r="O626">
        <f>IF(ABS(D626)&gt;1,D626/1000000,D626)*'Real Analysis'!$B$4</f>
        <v>-1.88352E-2</v>
      </c>
      <c r="P626">
        <f>IF(ABS(E626)&gt;1,E626/1000000,E626)*'Real Analysis'!$B$4</f>
        <v>0.25420652999999999</v>
      </c>
      <c r="Q626">
        <f>IF(ABS(F626)&gt;1,F626/1000000,F626)*'Real Analysis'!$B$4</f>
        <v>9.3865317300000015</v>
      </c>
      <c r="R626">
        <f t="shared" si="59"/>
        <v>298.783569</v>
      </c>
      <c r="S626">
        <f t="shared" si="60"/>
        <v>-114.591492</v>
      </c>
      <c r="T626">
        <f t="shared" si="61"/>
        <v>0</v>
      </c>
      <c r="U626">
        <f t="shared" si="62"/>
        <v>0.38200000000000001</v>
      </c>
    </row>
    <row r="627" spans="1:21" x14ac:dyDescent="0.3">
      <c r="A627" s="4">
        <v>625</v>
      </c>
      <c r="B627" s="4">
        <v>-96578471160</v>
      </c>
      <c r="C627" s="5">
        <v>3</v>
      </c>
      <c r="D627" s="5">
        <v>-7.6559999999999996E-3</v>
      </c>
      <c r="E627" s="5">
        <v>1.112E-2</v>
      </c>
      <c r="F627" s="5">
        <v>0.96966300000000005</v>
      </c>
      <c r="G627" s="5">
        <v>296891022</v>
      </c>
      <c r="H627" s="5">
        <v>-104894890</v>
      </c>
      <c r="I627" s="5">
        <v>0</v>
      </c>
      <c r="J627" s="5">
        <v>377</v>
      </c>
      <c r="L627">
        <f t="shared" si="57"/>
        <v>625</v>
      </c>
      <c r="M627">
        <f>'Real Analysis'!$B$3+B627/1000000</f>
        <v>13.528839999999036</v>
      </c>
      <c r="N627">
        <f t="shared" si="58"/>
        <v>3</v>
      </c>
      <c r="O627">
        <f>IF(ABS(D627)&gt;1,D627/1000000,D627)*'Real Analysis'!$B$4</f>
        <v>-7.5105359999999996E-2</v>
      </c>
      <c r="P627">
        <f>IF(ABS(E627)&gt;1,E627/1000000,E627)*'Real Analysis'!$B$4</f>
        <v>0.10908720000000001</v>
      </c>
      <c r="Q627">
        <f>IF(ABS(F627)&gt;1,F627/1000000,F627)*'Real Analysis'!$B$4</f>
        <v>9.5123940300000012</v>
      </c>
      <c r="R627">
        <f t="shared" si="59"/>
        <v>296.89102200000002</v>
      </c>
      <c r="S627">
        <f t="shared" si="60"/>
        <v>-104.89489</v>
      </c>
      <c r="T627">
        <f t="shared" si="61"/>
        <v>0</v>
      </c>
      <c r="U627">
        <f t="shared" si="62"/>
        <v>0.377</v>
      </c>
    </row>
    <row r="628" spans="1:21" x14ac:dyDescent="0.3">
      <c r="A628" s="4">
        <v>626</v>
      </c>
      <c r="B628" s="4">
        <v>-96578450112</v>
      </c>
      <c r="C628" s="5">
        <v>3</v>
      </c>
      <c r="D628" s="5">
        <v>-2.1294E-2</v>
      </c>
      <c r="E628" s="5">
        <v>1.9338000000000001E-2</v>
      </c>
      <c r="F628" s="5">
        <v>0.97491099999999997</v>
      </c>
      <c r="G628" s="5">
        <v>288661804</v>
      </c>
      <c r="H628" s="5">
        <v>-100083000</v>
      </c>
      <c r="I628" s="5">
        <v>0</v>
      </c>
      <c r="J628" s="5">
        <v>370</v>
      </c>
      <c r="L628">
        <f t="shared" si="57"/>
        <v>626</v>
      </c>
      <c r="M628">
        <f>'Real Analysis'!$B$3+B628/1000000</f>
        <v>13.549887999994098</v>
      </c>
      <c r="N628">
        <f t="shared" si="58"/>
        <v>3</v>
      </c>
      <c r="O628">
        <f>IF(ABS(D628)&gt;1,D628/1000000,D628)*'Real Analysis'!$B$4</f>
        <v>-0.20889414000000001</v>
      </c>
      <c r="P628">
        <f>IF(ABS(E628)&gt;1,E628/1000000,E628)*'Real Analysis'!$B$4</f>
        <v>0.18970578000000002</v>
      </c>
      <c r="Q628">
        <f>IF(ABS(F628)&gt;1,F628/1000000,F628)*'Real Analysis'!$B$4</f>
        <v>9.5638769099999994</v>
      </c>
      <c r="R628">
        <f t="shared" si="59"/>
        <v>288.66180400000002</v>
      </c>
      <c r="S628">
        <f t="shared" si="60"/>
        <v>-100.083</v>
      </c>
      <c r="T628">
        <f t="shared" si="61"/>
        <v>0</v>
      </c>
      <c r="U628">
        <f t="shared" si="62"/>
        <v>0.37</v>
      </c>
    </row>
    <row r="629" spans="1:21" x14ac:dyDescent="0.3">
      <c r="A629" s="4">
        <v>627</v>
      </c>
      <c r="B629" s="4">
        <v>-96578431725</v>
      </c>
      <c r="C629" s="5">
        <v>3</v>
      </c>
      <c r="D629" s="5">
        <v>-3.7680000000000001E-3</v>
      </c>
      <c r="E629" s="5">
        <v>2.8646000000000001E-2</v>
      </c>
      <c r="F629" s="5">
        <v>0.98464700000000005</v>
      </c>
      <c r="G629" s="5">
        <v>282134338</v>
      </c>
      <c r="H629" s="5">
        <v>-96988213</v>
      </c>
      <c r="I629" s="5">
        <v>0</v>
      </c>
      <c r="J629" s="5">
        <v>365</v>
      </c>
      <c r="L629">
        <f t="shared" si="57"/>
        <v>627</v>
      </c>
      <c r="M629">
        <f>'Real Analysis'!$B$3+B629/1000000</f>
        <v>13.568274999997811</v>
      </c>
      <c r="N629">
        <f t="shared" si="58"/>
        <v>3</v>
      </c>
      <c r="O629">
        <f>IF(ABS(D629)&gt;1,D629/1000000,D629)*'Real Analysis'!$B$4</f>
        <v>-3.6964080000000003E-2</v>
      </c>
      <c r="P629">
        <f>IF(ABS(E629)&gt;1,E629/1000000,E629)*'Real Analysis'!$B$4</f>
        <v>0.28101726000000005</v>
      </c>
      <c r="Q629">
        <f>IF(ABS(F629)&gt;1,F629/1000000,F629)*'Real Analysis'!$B$4</f>
        <v>9.6593870700000011</v>
      </c>
      <c r="R629">
        <f t="shared" si="59"/>
        <v>282.13433800000001</v>
      </c>
      <c r="S629">
        <f t="shared" si="60"/>
        <v>-96.988213000000002</v>
      </c>
      <c r="T629">
        <f t="shared" si="61"/>
        <v>0</v>
      </c>
      <c r="U629">
        <f t="shared" si="62"/>
        <v>0.36499999999999999</v>
      </c>
    </row>
    <row r="630" spans="1:21" x14ac:dyDescent="0.3">
      <c r="A630" s="4">
        <v>628</v>
      </c>
      <c r="B630" s="4">
        <v>-96578415049</v>
      </c>
      <c r="C630" s="5">
        <v>3</v>
      </c>
      <c r="D630" s="5">
        <v>-6.3299999999999999E-4</v>
      </c>
      <c r="E630" s="5">
        <v>1.3767E-2</v>
      </c>
      <c r="F630" s="5">
        <v>0.97634699999999996</v>
      </c>
      <c r="G630" s="5">
        <v>280563354</v>
      </c>
      <c r="H630" s="5">
        <v>-96094017</v>
      </c>
      <c r="I630" s="5">
        <v>0</v>
      </c>
      <c r="J630" s="5">
        <v>359</v>
      </c>
      <c r="L630">
        <f t="shared" si="57"/>
        <v>628</v>
      </c>
      <c r="M630">
        <f>'Real Analysis'!$B$3+B630/1000000</f>
        <v>13.584950999997091</v>
      </c>
      <c r="N630">
        <f t="shared" si="58"/>
        <v>3</v>
      </c>
      <c r="O630">
        <f>IF(ABS(D630)&gt;1,D630/1000000,D630)*'Real Analysis'!$B$4</f>
        <v>-6.2097300000000001E-3</v>
      </c>
      <c r="P630">
        <f>IF(ABS(E630)&gt;1,E630/1000000,E630)*'Real Analysis'!$B$4</f>
        <v>0.13505427</v>
      </c>
      <c r="Q630">
        <f>IF(ABS(F630)&gt;1,F630/1000000,F630)*'Real Analysis'!$B$4</f>
        <v>9.5779640700000002</v>
      </c>
      <c r="R630">
        <f t="shared" si="59"/>
        <v>280.563354</v>
      </c>
      <c r="S630">
        <f t="shared" si="60"/>
        <v>-96.094016999999994</v>
      </c>
      <c r="T630">
        <f t="shared" si="61"/>
        <v>0</v>
      </c>
      <c r="U630">
        <f t="shared" si="62"/>
        <v>0.35899999999999999</v>
      </c>
    </row>
    <row r="631" spans="1:21" x14ac:dyDescent="0.3">
      <c r="A631" s="4">
        <v>629</v>
      </c>
      <c r="B631" s="4">
        <v>-96578391308</v>
      </c>
      <c r="C631" s="5">
        <v>3</v>
      </c>
      <c r="D631" s="5">
        <v>-1.1853000000000001E-2</v>
      </c>
      <c r="E631" s="5">
        <v>1.3723000000000001E-2</v>
      </c>
      <c r="F631" s="5">
        <v>1003767</v>
      </c>
      <c r="G631" s="5">
        <v>280165314</v>
      </c>
      <c r="H631" s="5">
        <v>-82955765</v>
      </c>
      <c r="I631" s="5">
        <v>0</v>
      </c>
      <c r="J631" s="5">
        <v>352</v>
      </c>
      <c r="L631">
        <f t="shared" si="57"/>
        <v>629</v>
      </c>
      <c r="M631">
        <f>'Real Analysis'!$B$3+B631/1000000</f>
        <v>13.608691999994335</v>
      </c>
      <c r="N631">
        <f t="shared" si="58"/>
        <v>3</v>
      </c>
      <c r="O631">
        <f>IF(ABS(D631)&gt;1,D631/1000000,D631)*'Real Analysis'!$B$4</f>
        <v>-0.11627793000000002</v>
      </c>
      <c r="P631">
        <f>IF(ABS(E631)&gt;1,E631/1000000,E631)*'Real Analysis'!$B$4</f>
        <v>0.13462263000000002</v>
      </c>
      <c r="Q631">
        <f>IF(ABS(F631)&gt;1,F631/1000000,F631)*'Real Analysis'!$B$4</f>
        <v>9.8469542700000012</v>
      </c>
      <c r="R631">
        <f t="shared" si="59"/>
        <v>280.16531400000002</v>
      </c>
      <c r="S631">
        <f t="shared" si="60"/>
        <v>-82.955765</v>
      </c>
      <c r="T631">
        <f t="shared" si="61"/>
        <v>0</v>
      </c>
      <c r="U631">
        <f t="shared" si="62"/>
        <v>0.35199999999999998</v>
      </c>
    </row>
    <row r="632" spans="1:21" x14ac:dyDescent="0.3">
      <c r="A632" s="4">
        <v>630</v>
      </c>
      <c r="B632" s="4">
        <v>-96578368114</v>
      </c>
      <c r="C632" s="5">
        <v>3</v>
      </c>
      <c r="D632" s="5">
        <v>-2.8729000000000001E-2</v>
      </c>
      <c r="E632" s="5">
        <v>2.2630999999999998E-2</v>
      </c>
      <c r="F632" s="5">
        <v>0.99754699999999996</v>
      </c>
      <c r="G632" s="5">
        <v>285785187</v>
      </c>
      <c r="H632" s="5">
        <v>-78666840</v>
      </c>
      <c r="I632" s="5">
        <v>0</v>
      </c>
      <c r="J632" s="5">
        <v>345</v>
      </c>
      <c r="L632">
        <f t="shared" si="57"/>
        <v>630</v>
      </c>
      <c r="M632">
        <f>'Real Analysis'!$B$3+B632/1000000</f>
        <v>13.631886000002851</v>
      </c>
      <c r="N632">
        <f t="shared" si="58"/>
        <v>3</v>
      </c>
      <c r="O632">
        <f>IF(ABS(D632)&gt;1,D632/1000000,D632)*'Real Analysis'!$B$4</f>
        <v>-0.28183149000000002</v>
      </c>
      <c r="P632">
        <f>IF(ABS(E632)&gt;1,E632/1000000,E632)*'Real Analysis'!$B$4</f>
        <v>0.22201010999999998</v>
      </c>
      <c r="Q632">
        <f>IF(ABS(F632)&gt;1,F632/1000000,F632)*'Real Analysis'!$B$4</f>
        <v>9.78593607</v>
      </c>
      <c r="R632">
        <f t="shared" si="59"/>
        <v>285.78518700000001</v>
      </c>
      <c r="S632">
        <f t="shared" si="60"/>
        <v>-78.666839999999993</v>
      </c>
      <c r="T632">
        <f t="shared" si="61"/>
        <v>0</v>
      </c>
      <c r="U632">
        <f t="shared" si="62"/>
        <v>0.34499999999999997</v>
      </c>
    </row>
    <row r="633" spans="1:21" x14ac:dyDescent="0.3">
      <c r="A633" s="4">
        <v>631</v>
      </c>
      <c r="B633" s="4">
        <v>-96578348743</v>
      </c>
      <c r="C633" s="5">
        <v>3</v>
      </c>
      <c r="D633" s="5">
        <v>-4.9769999999999997E-3</v>
      </c>
      <c r="E633" s="5">
        <v>3.5230999999999998E-2</v>
      </c>
      <c r="F633" s="5">
        <v>1004435</v>
      </c>
      <c r="G633" s="5">
        <v>291204834</v>
      </c>
      <c r="H633" s="5">
        <v>-81165344</v>
      </c>
      <c r="I633" s="5">
        <v>0</v>
      </c>
      <c r="J633" s="5">
        <v>339</v>
      </c>
      <c r="L633">
        <f t="shared" si="57"/>
        <v>631</v>
      </c>
      <c r="M633">
        <f>'Real Analysis'!$B$3+B633/1000000</f>
        <v>13.651257000004989</v>
      </c>
      <c r="N633">
        <f t="shared" si="58"/>
        <v>3</v>
      </c>
      <c r="O633">
        <f>IF(ABS(D633)&gt;1,D633/1000000,D633)*'Real Analysis'!$B$4</f>
        <v>-4.8824369999999999E-2</v>
      </c>
      <c r="P633">
        <f>IF(ABS(E633)&gt;1,E633/1000000,E633)*'Real Analysis'!$B$4</f>
        <v>0.34561610999999998</v>
      </c>
      <c r="Q633">
        <f>IF(ABS(F633)&gt;1,F633/1000000,F633)*'Real Analysis'!$B$4</f>
        <v>9.853507350000001</v>
      </c>
      <c r="R633">
        <f t="shared" si="59"/>
        <v>291.20483400000001</v>
      </c>
      <c r="S633">
        <f t="shared" si="60"/>
        <v>-81.165344000000005</v>
      </c>
      <c r="T633">
        <f t="shared" si="61"/>
        <v>0</v>
      </c>
      <c r="U633">
        <f t="shared" si="62"/>
        <v>0.33900000000000002</v>
      </c>
    </row>
    <row r="634" spans="1:21" x14ac:dyDescent="0.3">
      <c r="A634" s="4">
        <v>632</v>
      </c>
      <c r="B634" s="4">
        <v>-96578329335</v>
      </c>
      <c r="C634" s="5">
        <v>3</v>
      </c>
      <c r="D634" s="5">
        <v>3.7499999999999999E-3</v>
      </c>
      <c r="E634" s="5">
        <v>2.5582000000000001E-2</v>
      </c>
      <c r="F634" s="5">
        <v>1026276</v>
      </c>
      <c r="G634" s="5">
        <v>312832916</v>
      </c>
      <c r="H634" s="5">
        <v>-82926239</v>
      </c>
      <c r="I634" s="5">
        <v>0</v>
      </c>
      <c r="J634" s="5">
        <v>331</v>
      </c>
      <c r="L634">
        <f t="shared" si="57"/>
        <v>632</v>
      </c>
      <c r="M634">
        <f>'Real Analysis'!$B$3+B634/1000000</f>
        <v>13.670664999997825</v>
      </c>
      <c r="N634">
        <f t="shared" si="58"/>
        <v>3</v>
      </c>
      <c r="O634">
        <f>IF(ABS(D634)&gt;1,D634/1000000,D634)*'Real Analysis'!$B$4</f>
        <v>3.6787500000000001E-2</v>
      </c>
      <c r="P634">
        <f>IF(ABS(E634)&gt;1,E634/1000000,E634)*'Real Analysis'!$B$4</f>
        <v>0.25095942000000004</v>
      </c>
      <c r="Q634">
        <f>IF(ABS(F634)&gt;1,F634/1000000,F634)*'Real Analysis'!$B$4</f>
        <v>10.06776756</v>
      </c>
      <c r="R634">
        <f t="shared" si="59"/>
        <v>312.83291600000001</v>
      </c>
      <c r="S634">
        <f t="shared" si="60"/>
        <v>-82.926238999999995</v>
      </c>
      <c r="T634">
        <f t="shared" si="61"/>
        <v>0</v>
      </c>
      <c r="U634">
        <f t="shared" si="62"/>
        <v>0.33100000000000002</v>
      </c>
    </row>
    <row r="635" spans="1:21" x14ac:dyDescent="0.3">
      <c r="A635" s="4">
        <v>633</v>
      </c>
      <c r="B635" s="4">
        <v>-96578309772</v>
      </c>
      <c r="C635" s="5">
        <v>3</v>
      </c>
      <c r="D635" s="5">
        <v>-5.6519999999999999E-3</v>
      </c>
      <c r="E635" s="5">
        <v>2.0906000000000001E-2</v>
      </c>
      <c r="F635" s="5">
        <v>1025306</v>
      </c>
      <c r="G635" s="5">
        <v>320378967</v>
      </c>
      <c r="H635" s="5">
        <v>-74497688</v>
      </c>
      <c r="I635" s="5">
        <v>0</v>
      </c>
      <c r="J635" s="5">
        <v>325</v>
      </c>
      <c r="L635">
        <f t="shared" si="57"/>
        <v>633</v>
      </c>
      <c r="M635">
        <f>'Real Analysis'!$B$3+B635/1000000</f>
        <v>13.690228000006755</v>
      </c>
      <c r="N635">
        <f t="shared" si="58"/>
        <v>3</v>
      </c>
      <c r="O635">
        <f>IF(ABS(D635)&gt;1,D635/1000000,D635)*'Real Analysis'!$B$4</f>
        <v>-5.5446120000000002E-2</v>
      </c>
      <c r="P635">
        <f>IF(ABS(E635)&gt;1,E635/1000000,E635)*'Real Analysis'!$B$4</f>
        <v>0.20508786000000001</v>
      </c>
      <c r="Q635">
        <f>IF(ABS(F635)&gt;1,F635/1000000,F635)*'Real Analysis'!$B$4</f>
        <v>10.05825186</v>
      </c>
      <c r="R635">
        <f t="shared" si="59"/>
        <v>320.37896699999999</v>
      </c>
      <c r="S635">
        <f t="shared" si="60"/>
        <v>-74.497687999999997</v>
      </c>
      <c r="T635">
        <f t="shared" si="61"/>
        <v>0</v>
      </c>
      <c r="U635">
        <f t="shared" si="62"/>
        <v>0.32500000000000001</v>
      </c>
    </row>
    <row r="636" spans="1:21" x14ac:dyDescent="0.3">
      <c r="A636" s="4">
        <v>634</v>
      </c>
      <c r="B636" s="4">
        <v>-96578292595</v>
      </c>
      <c r="C636" s="5">
        <v>3</v>
      </c>
      <c r="D636" s="5">
        <v>-2.0419E-2</v>
      </c>
      <c r="E636" s="5">
        <v>2.359E-2</v>
      </c>
      <c r="F636" s="5">
        <v>1023742</v>
      </c>
      <c r="G636" s="5">
        <v>325388794</v>
      </c>
      <c r="H636" s="5">
        <v>-66219246</v>
      </c>
      <c r="I636" s="5">
        <v>0</v>
      </c>
      <c r="J636" s="5">
        <v>319</v>
      </c>
      <c r="L636">
        <f t="shared" si="57"/>
        <v>634</v>
      </c>
      <c r="M636">
        <f>'Real Analysis'!$B$3+B636/1000000</f>
        <v>13.707404999993742</v>
      </c>
      <c r="N636">
        <f t="shared" si="58"/>
        <v>3</v>
      </c>
      <c r="O636">
        <f>IF(ABS(D636)&gt;1,D636/1000000,D636)*'Real Analysis'!$B$4</f>
        <v>-0.20031039</v>
      </c>
      <c r="P636">
        <f>IF(ABS(E636)&gt;1,E636/1000000,E636)*'Real Analysis'!$B$4</f>
        <v>0.23141790000000001</v>
      </c>
      <c r="Q636">
        <f>IF(ABS(F636)&gt;1,F636/1000000,F636)*'Real Analysis'!$B$4</f>
        <v>10.04290902</v>
      </c>
      <c r="R636">
        <f t="shared" si="59"/>
        <v>325.38879400000002</v>
      </c>
      <c r="S636">
        <f t="shared" si="60"/>
        <v>-66.219245999999998</v>
      </c>
      <c r="T636">
        <f t="shared" si="61"/>
        <v>0</v>
      </c>
      <c r="U636">
        <f t="shared" si="62"/>
        <v>0.31900000000000001</v>
      </c>
    </row>
    <row r="637" spans="1:21" x14ac:dyDescent="0.3">
      <c r="A637" s="4">
        <v>635</v>
      </c>
      <c r="B637" s="4">
        <v>-96578270215</v>
      </c>
      <c r="C637" s="5">
        <v>3</v>
      </c>
      <c r="D637" s="5">
        <v>3.7209999999999999E-3</v>
      </c>
      <c r="E637" s="5">
        <v>2.4622999999999999E-2</v>
      </c>
      <c r="F637" s="5">
        <v>1017965</v>
      </c>
      <c r="G637" s="5">
        <v>335154816</v>
      </c>
      <c r="H637" s="5">
        <v>-61036945</v>
      </c>
      <c r="I637" s="5">
        <v>0</v>
      </c>
      <c r="J637" s="5">
        <v>311</v>
      </c>
      <c r="L637">
        <f t="shared" si="57"/>
        <v>635</v>
      </c>
      <c r="M637">
        <f>'Real Analysis'!$B$3+B637/1000000</f>
        <v>13.729785000003176</v>
      </c>
      <c r="N637">
        <f t="shared" si="58"/>
        <v>3</v>
      </c>
      <c r="O637">
        <f>IF(ABS(D637)&gt;1,D637/1000000,D637)*'Real Analysis'!$B$4</f>
        <v>3.6503010000000002E-2</v>
      </c>
      <c r="P637">
        <f>IF(ABS(E637)&gt;1,E637/1000000,E637)*'Real Analysis'!$B$4</f>
        <v>0.24155162999999999</v>
      </c>
      <c r="Q637">
        <f>IF(ABS(F637)&gt;1,F637/1000000,F637)*'Real Analysis'!$B$4</f>
        <v>9.9862366500000004</v>
      </c>
      <c r="R637">
        <f t="shared" si="59"/>
        <v>335.15481599999998</v>
      </c>
      <c r="S637">
        <f t="shared" si="60"/>
        <v>-61.036945000000003</v>
      </c>
      <c r="T637">
        <f t="shared" si="61"/>
        <v>0</v>
      </c>
      <c r="U637">
        <f t="shared" si="62"/>
        <v>0.311</v>
      </c>
    </row>
    <row r="638" spans="1:21" x14ac:dyDescent="0.3">
      <c r="A638" s="4">
        <v>636</v>
      </c>
      <c r="B638" s="4">
        <v>-96578249501</v>
      </c>
      <c r="C638" s="5">
        <v>3</v>
      </c>
      <c r="D638" s="5">
        <v>-2.3699999999999999E-4</v>
      </c>
      <c r="E638" s="5">
        <v>7.6689999999999996E-3</v>
      </c>
      <c r="F638" s="5">
        <v>1026013</v>
      </c>
      <c r="G638" s="5">
        <v>354071106</v>
      </c>
      <c r="H638" s="5">
        <v>-69731430</v>
      </c>
      <c r="I638" s="5">
        <v>0</v>
      </c>
      <c r="J638" s="5">
        <v>304</v>
      </c>
      <c r="L638">
        <f t="shared" si="57"/>
        <v>636</v>
      </c>
      <c r="M638">
        <f>'Real Analysis'!$B$3+B638/1000000</f>
        <v>13.750499000001582</v>
      </c>
      <c r="N638">
        <f t="shared" si="58"/>
        <v>3</v>
      </c>
      <c r="O638">
        <f>IF(ABS(D638)&gt;1,D638/1000000,D638)*'Real Analysis'!$B$4</f>
        <v>-2.32497E-3</v>
      </c>
      <c r="P638">
        <f>IF(ABS(E638)&gt;1,E638/1000000,E638)*'Real Analysis'!$B$4</f>
        <v>7.5232889999999997E-2</v>
      </c>
      <c r="Q638">
        <f>IF(ABS(F638)&gt;1,F638/1000000,F638)*'Real Analysis'!$B$4</f>
        <v>10.065187530000001</v>
      </c>
      <c r="R638">
        <f t="shared" si="59"/>
        <v>354.07110599999999</v>
      </c>
      <c r="S638">
        <f t="shared" si="60"/>
        <v>-69.731430000000003</v>
      </c>
      <c r="T638">
        <f t="shared" si="61"/>
        <v>0</v>
      </c>
      <c r="U638">
        <f t="shared" si="62"/>
        <v>0.30399999999999999</v>
      </c>
    </row>
    <row r="639" spans="1:21" x14ac:dyDescent="0.3">
      <c r="A639" s="4">
        <v>637</v>
      </c>
      <c r="B639" s="4">
        <v>-96578230988</v>
      </c>
      <c r="C639" s="5">
        <v>3</v>
      </c>
      <c r="D639" s="5">
        <v>-1.6678999999999999E-2</v>
      </c>
      <c r="E639" s="5">
        <v>9.8230000000000001E-3</v>
      </c>
      <c r="F639" s="5">
        <v>1038483</v>
      </c>
      <c r="G639" s="5">
        <v>368119934</v>
      </c>
      <c r="H639" s="5">
        <v>-58784218</v>
      </c>
      <c r="I639" s="5">
        <v>0</v>
      </c>
      <c r="J639" s="5">
        <v>299</v>
      </c>
      <c r="L639">
        <f t="shared" si="57"/>
        <v>637</v>
      </c>
      <c r="M639">
        <f>'Real Analysis'!$B$3+B639/1000000</f>
        <v>13.769012000004295</v>
      </c>
      <c r="N639">
        <f t="shared" si="58"/>
        <v>3</v>
      </c>
      <c r="O639">
        <f>IF(ABS(D639)&gt;1,D639/1000000,D639)*'Real Analysis'!$B$4</f>
        <v>-0.16362098999999999</v>
      </c>
      <c r="P639">
        <f>IF(ABS(E639)&gt;1,E639/1000000,E639)*'Real Analysis'!$B$4</f>
        <v>9.6363630000000006E-2</v>
      </c>
      <c r="Q639">
        <f>IF(ABS(F639)&gt;1,F639/1000000,F639)*'Real Analysis'!$B$4</f>
        <v>10.18751823</v>
      </c>
      <c r="R639">
        <f t="shared" si="59"/>
        <v>368.119934</v>
      </c>
      <c r="S639">
        <f t="shared" si="60"/>
        <v>-58.784218000000003</v>
      </c>
      <c r="T639">
        <f t="shared" si="61"/>
        <v>0</v>
      </c>
      <c r="U639">
        <f t="shared" si="62"/>
        <v>0.29899999999999999</v>
      </c>
    </row>
    <row r="640" spans="1:21" x14ac:dyDescent="0.3">
      <c r="A640" s="4">
        <v>638</v>
      </c>
      <c r="B640" s="4">
        <v>-96578206029</v>
      </c>
      <c r="C640" s="5">
        <v>3</v>
      </c>
      <c r="D640" s="5">
        <v>1.2005E-2</v>
      </c>
      <c r="E640" s="5">
        <v>1.7693E-2</v>
      </c>
      <c r="F640" s="5">
        <v>1033649</v>
      </c>
      <c r="G640" s="5">
        <v>394583923</v>
      </c>
      <c r="H640" s="5">
        <v>-121861931</v>
      </c>
      <c r="I640" s="5">
        <v>0</v>
      </c>
      <c r="J640" s="5">
        <v>291</v>
      </c>
      <c r="L640">
        <f t="shared" si="57"/>
        <v>638</v>
      </c>
      <c r="M640">
        <f>'Real Analysis'!$B$3+B640/1000000</f>
        <v>13.793971000006422</v>
      </c>
      <c r="N640">
        <f t="shared" si="58"/>
        <v>3</v>
      </c>
      <c r="O640">
        <f>IF(ABS(D640)&gt;1,D640/1000000,D640)*'Real Analysis'!$B$4</f>
        <v>0.11776905</v>
      </c>
      <c r="P640">
        <f>IF(ABS(E640)&gt;1,E640/1000000,E640)*'Real Analysis'!$B$4</f>
        <v>0.17356833000000002</v>
      </c>
      <c r="Q640">
        <f>IF(ABS(F640)&gt;1,F640/1000000,F640)*'Real Analysis'!$B$4</f>
        <v>10.14009669</v>
      </c>
      <c r="R640">
        <f t="shared" si="59"/>
        <v>394.58392300000003</v>
      </c>
      <c r="S640">
        <f t="shared" si="60"/>
        <v>-121.861931</v>
      </c>
      <c r="T640">
        <f t="shared" si="61"/>
        <v>0</v>
      </c>
      <c r="U640">
        <f t="shared" si="62"/>
        <v>0.29099999999999998</v>
      </c>
    </row>
    <row r="641" spans="1:21" x14ac:dyDescent="0.3">
      <c r="A641" s="4">
        <v>639</v>
      </c>
      <c r="B641" s="4">
        <v>-96578190436</v>
      </c>
      <c r="C641" s="5">
        <v>3</v>
      </c>
      <c r="D641" s="5">
        <v>-9.672E-3</v>
      </c>
      <c r="E641" s="5">
        <v>-2.2650000000000001E-3</v>
      </c>
      <c r="F641" s="5">
        <v>1042065</v>
      </c>
      <c r="G641" s="5">
        <v>400609863</v>
      </c>
      <c r="H641" s="5">
        <v>-90944153</v>
      </c>
      <c r="I641" s="5">
        <v>0</v>
      </c>
      <c r="J641" s="5">
        <v>287</v>
      </c>
      <c r="L641">
        <f t="shared" si="57"/>
        <v>639</v>
      </c>
      <c r="M641">
        <f>'Real Analysis'!$B$3+B641/1000000</f>
        <v>13.809563999995589</v>
      </c>
      <c r="N641">
        <f t="shared" si="58"/>
        <v>3</v>
      </c>
      <c r="O641">
        <f>IF(ABS(D641)&gt;1,D641/1000000,D641)*'Real Analysis'!$B$4</f>
        <v>-9.4882320000000006E-2</v>
      </c>
      <c r="P641">
        <f>IF(ABS(E641)&gt;1,E641/1000000,E641)*'Real Analysis'!$B$4</f>
        <v>-2.2219650000000001E-2</v>
      </c>
      <c r="Q641">
        <f>IF(ABS(F641)&gt;1,F641/1000000,F641)*'Real Analysis'!$B$4</f>
        <v>10.22265765</v>
      </c>
      <c r="R641">
        <f t="shared" si="59"/>
        <v>400.60986300000002</v>
      </c>
      <c r="S641">
        <f t="shared" si="60"/>
        <v>-90.944153</v>
      </c>
      <c r="T641">
        <f t="shared" si="61"/>
        <v>0</v>
      </c>
      <c r="U641">
        <f t="shared" si="62"/>
        <v>0.28699999999999998</v>
      </c>
    </row>
    <row r="642" spans="1:21" x14ac:dyDescent="0.3">
      <c r="A642" s="4">
        <v>640</v>
      </c>
      <c r="B642" s="4">
        <v>-96578168285</v>
      </c>
      <c r="C642" s="5">
        <v>3</v>
      </c>
      <c r="D642" s="5">
        <v>-2.0965999999999999E-2</v>
      </c>
      <c r="E642" s="5">
        <v>8.9479999999999994E-3</v>
      </c>
      <c r="F642" s="5">
        <v>1052363</v>
      </c>
      <c r="G642" s="5">
        <v>402577667</v>
      </c>
      <c r="H642" s="5">
        <v>-57551796</v>
      </c>
      <c r="I642" s="5">
        <v>0</v>
      </c>
      <c r="J642" s="5">
        <v>281</v>
      </c>
      <c r="L642">
        <f t="shared" si="57"/>
        <v>640</v>
      </c>
      <c r="M642">
        <f>'Real Analysis'!$B$3+B642/1000000</f>
        <v>13.831714999992982</v>
      </c>
      <c r="N642">
        <f t="shared" si="58"/>
        <v>3</v>
      </c>
      <c r="O642">
        <f>IF(ABS(D642)&gt;1,D642/1000000,D642)*'Real Analysis'!$B$4</f>
        <v>-0.20567646000000001</v>
      </c>
      <c r="P642">
        <f>IF(ABS(E642)&gt;1,E642/1000000,E642)*'Real Analysis'!$B$4</f>
        <v>8.7779880000000005E-2</v>
      </c>
      <c r="Q642">
        <f>IF(ABS(F642)&gt;1,F642/1000000,F642)*'Real Analysis'!$B$4</f>
        <v>10.323681029999999</v>
      </c>
      <c r="R642">
        <f t="shared" si="59"/>
        <v>402.57766700000002</v>
      </c>
      <c r="S642">
        <f t="shared" si="60"/>
        <v>-57.551796000000003</v>
      </c>
      <c r="T642">
        <f t="shared" si="61"/>
        <v>0</v>
      </c>
      <c r="U642">
        <f t="shared" si="62"/>
        <v>0.28100000000000003</v>
      </c>
    </row>
    <row r="643" spans="1:21" x14ac:dyDescent="0.3">
      <c r="A643" s="4">
        <v>641</v>
      </c>
      <c r="B643" s="4">
        <v>-96578149622</v>
      </c>
      <c r="C643" s="5">
        <v>3</v>
      </c>
      <c r="D643" s="5">
        <v>-7.0569999999999999E-3</v>
      </c>
      <c r="E643" s="5">
        <v>3.1876000000000002E-2</v>
      </c>
      <c r="F643" s="5">
        <v>1040991</v>
      </c>
      <c r="G643" s="5">
        <v>409259155</v>
      </c>
      <c r="H643" s="5">
        <v>-22220613</v>
      </c>
      <c r="I643" s="5">
        <v>0</v>
      </c>
      <c r="J643" s="5">
        <v>277</v>
      </c>
      <c r="L643">
        <f t="shared" ref="L643:L706" si="63">A643</f>
        <v>641</v>
      </c>
      <c r="M643">
        <f>'Real Analysis'!$B$3+B643/1000000</f>
        <v>13.85037800000282</v>
      </c>
      <c r="N643">
        <f t="shared" ref="N643:N706" si="64">C643</f>
        <v>3</v>
      </c>
      <c r="O643">
        <f>IF(ABS(D643)&gt;1,D643/1000000,D643)*'Real Analysis'!$B$4</f>
        <v>-6.9229170000000007E-2</v>
      </c>
      <c r="P643">
        <f>IF(ABS(E643)&gt;1,E643/1000000,E643)*'Real Analysis'!$B$4</f>
        <v>0.31270356000000005</v>
      </c>
      <c r="Q643">
        <f>IF(ABS(F643)&gt;1,F643/1000000,F643)*'Real Analysis'!$B$4</f>
        <v>10.21212171</v>
      </c>
      <c r="R643">
        <f t="shared" ref="R643:R706" si="65">IF(ABS(G643)&gt;1,G643/1000000,G643)</f>
        <v>409.25915500000002</v>
      </c>
      <c r="S643">
        <f t="shared" ref="S643:S706" si="66">IF(ABS(H643)&gt;1,H643/1000000,H643)</f>
        <v>-22.220613</v>
      </c>
      <c r="T643">
        <f t="shared" ref="T643:T706" si="67">IF(ABS(I643)&gt;1,I643/1000000,I643)</f>
        <v>0</v>
      </c>
      <c r="U643">
        <f t="shared" si="62"/>
        <v>0.27700000000000002</v>
      </c>
    </row>
    <row r="644" spans="1:21" x14ac:dyDescent="0.3">
      <c r="A644" s="4">
        <v>642</v>
      </c>
      <c r="B644" s="4">
        <v>-96578129248</v>
      </c>
      <c r="C644" s="5">
        <v>3</v>
      </c>
      <c r="D644" s="5">
        <v>-1.0302E-2</v>
      </c>
      <c r="E644" s="5">
        <v>8.2550000000000002E-3</v>
      </c>
      <c r="F644" s="5">
        <v>1049098</v>
      </c>
      <c r="G644" s="5">
        <v>414918030</v>
      </c>
      <c r="H644" s="5">
        <v>2471282</v>
      </c>
      <c r="I644" s="5">
        <v>0</v>
      </c>
      <c r="J644" s="5">
        <v>271</v>
      </c>
      <c r="L644">
        <f t="shared" si="63"/>
        <v>642</v>
      </c>
      <c r="M644">
        <f>'Real Analysis'!$B$3+B644/1000000</f>
        <v>13.87075200000254</v>
      </c>
      <c r="N644">
        <f t="shared" si="64"/>
        <v>3</v>
      </c>
      <c r="O644">
        <f>IF(ABS(D644)&gt;1,D644/1000000,D644)*'Real Analysis'!$B$4</f>
        <v>-0.10106262000000001</v>
      </c>
      <c r="P644">
        <f>IF(ABS(E644)&gt;1,E644/1000000,E644)*'Real Analysis'!$B$4</f>
        <v>8.0981549999999999E-2</v>
      </c>
      <c r="Q644">
        <f>IF(ABS(F644)&gt;1,F644/1000000,F644)*'Real Analysis'!$B$4</f>
        <v>10.291651380000001</v>
      </c>
      <c r="R644">
        <f t="shared" si="65"/>
        <v>414.91802999999999</v>
      </c>
      <c r="S644">
        <f t="shared" si="66"/>
        <v>2.471282</v>
      </c>
      <c r="T644">
        <f t="shared" si="67"/>
        <v>0</v>
      </c>
      <c r="U644">
        <f t="shared" si="62"/>
        <v>0.27100000000000002</v>
      </c>
    </row>
    <row r="645" spans="1:21" x14ac:dyDescent="0.3">
      <c r="A645" s="4">
        <v>643</v>
      </c>
      <c r="B645" s="4">
        <v>-96578110192</v>
      </c>
      <c r="C645" s="5">
        <v>3</v>
      </c>
      <c r="D645" s="5">
        <v>-1.8107999999999999E-2</v>
      </c>
      <c r="E645" s="5">
        <v>6.8830000000000002E-3</v>
      </c>
      <c r="F645" s="5">
        <v>1055998</v>
      </c>
      <c r="G645" s="5">
        <v>417542694</v>
      </c>
      <c r="H645" s="5">
        <v>24952841</v>
      </c>
      <c r="I645" s="5">
        <v>0</v>
      </c>
      <c r="J645" s="5">
        <v>266</v>
      </c>
      <c r="L645">
        <f t="shared" si="63"/>
        <v>643</v>
      </c>
      <c r="M645">
        <f>'Real Analysis'!$B$3+B645/1000000</f>
        <v>13.889808000007179</v>
      </c>
      <c r="N645">
        <f t="shared" si="64"/>
        <v>3</v>
      </c>
      <c r="O645">
        <f>IF(ABS(D645)&gt;1,D645/1000000,D645)*'Real Analysis'!$B$4</f>
        <v>-0.17763947999999999</v>
      </c>
      <c r="P645">
        <f>IF(ABS(E645)&gt;1,E645/1000000,E645)*'Real Analysis'!$B$4</f>
        <v>6.7522230000000003E-2</v>
      </c>
      <c r="Q645">
        <f>IF(ABS(F645)&gt;1,F645/1000000,F645)*'Real Analysis'!$B$4</f>
        <v>10.359340380000001</v>
      </c>
      <c r="R645">
        <f t="shared" si="65"/>
        <v>417.54269399999998</v>
      </c>
      <c r="S645">
        <f t="shared" si="66"/>
        <v>24.952840999999999</v>
      </c>
      <c r="T645">
        <f t="shared" si="67"/>
        <v>0</v>
      </c>
      <c r="U645">
        <f t="shared" si="62"/>
        <v>0.26600000000000001</v>
      </c>
    </row>
    <row r="646" spans="1:21" x14ac:dyDescent="0.3">
      <c r="A646" s="4">
        <v>644</v>
      </c>
      <c r="B646" s="4">
        <v>-96578090186</v>
      </c>
      <c r="C646" s="5">
        <v>3</v>
      </c>
      <c r="D646" s="5">
        <v>2.0830000000000002E-3</v>
      </c>
      <c r="E646" s="5">
        <v>2.6189E-2</v>
      </c>
      <c r="F646" s="5">
        <v>1056632</v>
      </c>
      <c r="G646" s="5">
        <v>407776886</v>
      </c>
      <c r="H646" s="5">
        <v>29288475</v>
      </c>
      <c r="I646" s="5">
        <v>0</v>
      </c>
      <c r="J646" s="5">
        <v>262</v>
      </c>
      <c r="L646">
        <f t="shared" si="63"/>
        <v>644</v>
      </c>
      <c r="M646">
        <f>'Real Analysis'!$B$3+B646/1000000</f>
        <v>13.909813999998732</v>
      </c>
      <c r="N646">
        <f t="shared" si="64"/>
        <v>3</v>
      </c>
      <c r="O646">
        <f>IF(ABS(D646)&gt;1,D646/1000000,D646)*'Real Analysis'!$B$4</f>
        <v>2.0434230000000005E-2</v>
      </c>
      <c r="P646">
        <f>IF(ABS(E646)&gt;1,E646/1000000,E646)*'Real Analysis'!$B$4</f>
        <v>0.25691409000000004</v>
      </c>
      <c r="Q646">
        <f>IF(ABS(F646)&gt;1,F646/1000000,F646)*'Real Analysis'!$B$4</f>
        <v>10.365559920000001</v>
      </c>
      <c r="R646">
        <f t="shared" si="65"/>
        <v>407.77688599999999</v>
      </c>
      <c r="S646">
        <f t="shared" si="66"/>
        <v>29.288474999999998</v>
      </c>
      <c r="T646">
        <f t="shared" si="67"/>
        <v>0</v>
      </c>
      <c r="U646">
        <f t="shared" si="62"/>
        <v>0.26200000000000001</v>
      </c>
    </row>
    <row r="647" spans="1:21" x14ac:dyDescent="0.3">
      <c r="A647" s="4">
        <v>645</v>
      </c>
      <c r="B647" s="4">
        <v>-96578067373</v>
      </c>
      <c r="C647" s="5">
        <v>3</v>
      </c>
      <c r="D647" s="5">
        <v>1.304E-2</v>
      </c>
      <c r="E647" s="5">
        <v>2.2703000000000001E-2</v>
      </c>
      <c r="F647" s="5">
        <v>1064546</v>
      </c>
      <c r="G647" s="5">
        <v>388465485</v>
      </c>
      <c r="H647" s="5">
        <v>52677616</v>
      </c>
      <c r="I647" s="5">
        <v>0</v>
      </c>
      <c r="J647" s="5">
        <v>258</v>
      </c>
      <c r="L647">
        <f t="shared" si="63"/>
        <v>645</v>
      </c>
      <c r="M647">
        <f>'Real Analysis'!$B$3+B647/1000000</f>
        <v>13.932627000001958</v>
      </c>
      <c r="N647">
        <f t="shared" si="64"/>
        <v>3</v>
      </c>
      <c r="O647">
        <f>IF(ABS(D647)&gt;1,D647/1000000,D647)*'Real Analysis'!$B$4</f>
        <v>0.12792239999999999</v>
      </c>
      <c r="P647">
        <f>IF(ABS(E647)&gt;1,E647/1000000,E647)*'Real Analysis'!$B$4</f>
        <v>0.22271643000000002</v>
      </c>
      <c r="Q647">
        <f>IF(ABS(F647)&gt;1,F647/1000000,F647)*'Real Analysis'!$B$4</f>
        <v>10.443196260000001</v>
      </c>
      <c r="R647">
        <f t="shared" si="65"/>
        <v>388.465485</v>
      </c>
      <c r="S647">
        <f t="shared" si="66"/>
        <v>52.677616</v>
      </c>
      <c r="T647">
        <f t="shared" si="67"/>
        <v>0</v>
      </c>
      <c r="U647">
        <f t="shared" si="62"/>
        <v>0.25800000000000001</v>
      </c>
    </row>
    <row r="648" spans="1:21" x14ac:dyDescent="0.3">
      <c r="A648" s="4">
        <v>646</v>
      </c>
      <c r="B648" s="4">
        <v>-96578049893</v>
      </c>
      <c r="C648" s="5">
        <v>3</v>
      </c>
      <c r="D648" s="5">
        <v>2.1659999999999999E-2</v>
      </c>
      <c r="E648" s="5">
        <v>9.2280000000000001E-3</v>
      </c>
      <c r="F648" s="5">
        <v>1069041</v>
      </c>
      <c r="G648" s="5">
        <v>385374573</v>
      </c>
      <c r="H648" s="5">
        <v>71758934</v>
      </c>
      <c r="I648" s="5">
        <v>0</v>
      </c>
      <c r="J648" s="5">
        <v>256</v>
      </c>
      <c r="L648">
        <f t="shared" si="63"/>
        <v>646</v>
      </c>
      <c r="M648">
        <f>'Real Analysis'!$B$3+B648/1000000</f>
        <v>13.950106999996933</v>
      </c>
      <c r="N648">
        <f t="shared" si="64"/>
        <v>3</v>
      </c>
      <c r="O648">
        <f>IF(ABS(D648)&gt;1,D648/1000000,D648)*'Real Analysis'!$B$4</f>
        <v>0.2124846</v>
      </c>
      <c r="P648">
        <f>IF(ABS(E648)&gt;1,E648/1000000,E648)*'Real Analysis'!$B$4</f>
        <v>9.0526680000000012E-2</v>
      </c>
      <c r="Q648">
        <f>IF(ABS(F648)&gt;1,F648/1000000,F648)*'Real Analysis'!$B$4</f>
        <v>10.48729221</v>
      </c>
      <c r="R648">
        <f t="shared" si="65"/>
        <v>385.374573</v>
      </c>
      <c r="S648">
        <f t="shared" si="66"/>
        <v>71.758933999999996</v>
      </c>
      <c r="T648">
        <f t="shared" si="67"/>
        <v>0</v>
      </c>
      <c r="U648">
        <f t="shared" si="62"/>
        <v>0.25600000000000001</v>
      </c>
    </row>
    <row r="649" spans="1:21" x14ac:dyDescent="0.3">
      <c r="A649" s="4">
        <v>647</v>
      </c>
      <c r="B649" s="4">
        <v>-96578029682</v>
      </c>
      <c r="C649" s="5">
        <v>3</v>
      </c>
      <c r="D649" s="5">
        <v>5.9059999999999998E-3</v>
      </c>
      <c r="E649" s="5">
        <v>9.1920000000000005E-3</v>
      </c>
      <c r="F649" s="5">
        <v>1085933</v>
      </c>
      <c r="G649" s="5">
        <v>388047394</v>
      </c>
      <c r="H649" s="5">
        <v>73817795</v>
      </c>
      <c r="I649" s="5">
        <v>0</v>
      </c>
      <c r="J649" s="5">
        <v>251</v>
      </c>
      <c r="L649">
        <f t="shared" si="63"/>
        <v>647</v>
      </c>
      <c r="M649">
        <f>'Real Analysis'!$B$3+B649/1000000</f>
        <v>13.970318000006955</v>
      </c>
      <c r="N649">
        <f t="shared" si="64"/>
        <v>3</v>
      </c>
      <c r="O649">
        <f>IF(ABS(D649)&gt;1,D649/1000000,D649)*'Real Analysis'!$B$4</f>
        <v>5.7937860000000001E-2</v>
      </c>
      <c r="P649">
        <f>IF(ABS(E649)&gt;1,E649/1000000,E649)*'Real Analysis'!$B$4</f>
        <v>9.0173520000000007E-2</v>
      </c>
      <c r="Q649">
        <f>IF(ABS(F649)&gt;1,F649/1000000,F649)*'Real Analysis'!$B$4</f>
        <v>10.653002730000001</v>
      </c>
      <c r="R649">
        <f t="shared" si="65"/>
        <v>388.047394</v>
      </c>
      <c r="S649">
        <f t="shared" si="66"/>
        <v>73.817795000000004</v>
      </c>
      <c r="T649">
        <f t="shared" si="67"/>
        <v>0</v>
      </c>
      <c r="U649">
        <f t="shared" si="62"/>
        <v>0.251</v>
      </c>
    </row>
    <row r="650" spans="1:21" x14ac:dyDescent="0.3">
      <c r="A650" s="4">
        <v>648</v>
      </c>
      <c r="B650" s="4">
        <v>-96578007340</v>
      </c>
      <c r="C650" s="5">
        <v>3</v>
      </c>
      <c r="D650" s="5">
        <v>-4.1200000000000004E-3</v>
      </c>
      <c r="E650" s="5">
        <v>2.3715E-2</v>
      </c>
      <c r="F650" s="5">
        <v>1086350</v>
      </c>
      <c r="G650" s="5">
        <v>381469421</v>
      </c>
      <c r="H650" s="5">
        <v>73198730</v>
      </c>
      <c r="I650" s="5">
        <v>0</v>
      </c>
      <c r="J650" s="5">
        <v>249</v>
      </c>
      <c r="L650">
        <f t="shared" si="63"/>
        <v>648</v>
      </c>
      <c r="M650">
        <f>'Real Analysis'!$B$3+B650/1000000</f>
        <v>13.992660000003525</v>
      </c>
      <c r="N650">
        <f t="shared" si="64"/>
        <v>3</v>
      </c>
      <c r="O650">
        <f>IF(ABS(D650)&gt;1,D650/1000000,D650)*'Real Analysis'!$B$4</f>
        <v>-4.0417200000000007E-2</v>
      </c>
      <c r="P650">
        <f>IF(ABS(E650)&gt;1,E650/1000000,E650)*'Real Analysis'!$B$4</f>
        <v>0.23264415000000002</v>
      </c>
      <c r="Q650">
        <f>IF(ABS(F650)&gt;1,F650/1000000,F650)*'Real Analysis'!$B$4</f>
        <v>10.6570935</v>
      </c>
      <c r="R650">
        <f t="shared" si="65"/>
        <v>381.46942100000001</v>
      </c>
      <c r="S650">
        <f t="shared" si="66"/>
        <v>73.198729999999998</v>
      </c>
      <c r="T650">
        <f t="shared" si="67"/>
        <v>0</v>
      </c>
      <c r="U650">
        <f t="shared" si="62"/>
        <v>0.249</v>
      </c>
    </row>
    <row r="651" spans="1:21" x14ac:dyDescent="0.3">
      <c r="A651" s="4">
        <v>649</v>
      </c>
      <c r="B651" s="4">
        <v>-96577985406</v>
      </c>
      <c r="C651" s="5">
        <v>3</v>
      </c>
      <c r="D651" s="5">
        <v>6.587E-3</v>
      </c>
      <c r="E651" s="5">
        <v>1.2839E-2</v>
      </c>
      <c r="F651" s="5">
        <v>1100828</v>
      </c>
      <c r="G651" s="5">
        <v>387658264</v>
      </c>
      <c r="H651" s="5">
        <v>33350639</v>
      </c>
      <c r="I651" s="5">
        <v>0</v>
      </c>
      <c r="J651" s="5">
        <v>244</v>
      </c>
      <c r="L651">
        <f t="shared" si="63"/>
        <v>649</v>
      </c>
      <c r="M651">
        <f>'Real Analysis'!$B$3+B651/1000000</f>
        <v>14.01459399999294</v>
      </c>
      <c r="N651">
        <f t="shared" si="64"/>
        <v>3</v>
      </c>
      <c r="O651">
        <f>IF(ABS(D651)&gt;1,D651/1000000,D651)*'Real Analysis'!$B$4</f>
        <v>6.4618469999999997E-2</v>
      </c>
      <c r="P651">
        <f>IF(ABS(E651)&gt;1,E651/1000000,E651)*'Real Analysis'!$B$4</f>
        <v>0.12595059</v>
      </c>
      <c r="Q651">
        <f>IF(ABS(F651)&gt;1,F651/1000000,F651)*'Real Analysis'!$B$4</f>
        <v>10.79912268</v>
      </c>
      <c r="R651">
        <f t="shared" si="65"/>
        <v>387.65826399999997</v>
      </c>
      <c r="S651">
        <f t="shared" si="66"/>
        <v>33.350639000000001</v>
      </c>
      <c r="T651">
        <f t="shared" si="67"/>
        <v>0</v>
      </c>
      <c r="U651">
        <f t="shared" ref="U651:U714" si="68">J651/1000</f>
        <v>0.24399999999999999</v>
      </c>
    </row>
    <row r="652" spans="1:21" x14ac:dyDescent="0.3">
      <c r="A652" s="4">
        <v>650</v>
      </c>
      <c r="B652" s="4">
        <v>-96577974357</v>
      </c>
      <c r="C652" s="5">
        <v>3</v>
      </c>
      <c r="D652" s="5">
        <v>-1.516E-3</v>
      </c>
      <c r="E652" s="5">
        <v>2.761E-3</v>
      </c>
      <c r="F652" s="5">
        <v>1106740</v>
      </c>
      <c r="G652" s="5">
        <v>395728577</v>
      </c>
      <c r="H652" s="5">
        <v>31714296</v>
      </c>
      <c r="I652" s="5">
        <v>0</v>
      </c>
      <c r="J652" s="5">
        <v>244</v>
      </c>
      <c r="L652">
        <f t="shared" si="63"/>
        <v>650</v>
      </c>
      <c r="M652">
        <f>'Real Analysis'!$B$3+B652/1000000</f>
        <v>14.025643000000855</v>
      </c>
      <c r="N652">
        <f t="shared" si="64"/>
        <v>3</v>
      </c>
      <c r="O652">
        <f>IF(ABS(D652)&gt;1,D652/1000000,D652)*'Real Analysis'!$B$4</f>
        <v>-1.487196E-2</v>
      </c>
      <c r="P652">
        <f>IF(ABS(E652)&gt;1,E652/1000000,E652)*'Real Analysis'!$B$4</f>
        <v>2.7085410000000001E-2</v>
      </c>
      <c r="Q652">
        <f>IF(ABS(F652)&gt;1,F652/1000000,F652)*'Real Analysis'!$B$4</f>
        <v>10.857119400000002</v>
      </c>
      <c r="R652">
        <f t="shared" si="65"/>
        <v>395.72857699999997</v>
      </c>
      <c r="S652">
        <f t="shared" si="66"/>
        <v>31.714296000000001</v>
      </c>
      <c r="T652">
        <f t="shared" si="67"/>
        <v>0</v>
      </c>
      <c r="U652">
        <f t="shared" si="68"/>
        <v>0.24399999999999999</v>
      </c>
    </row>
    <row r="653" spans="1:21" x14ac:dyDescent="0.3">
      <c r="A653" s="4">
        <v>651</v>
      </c>
      <c r="B653" s="4">
        <v>-96577948510</v>
      </c>
      <c r="C653" s="5">
        <v>3</v>
      </c>
      <c r="D653" s="5">
        <v>2.8170000000000001E-3</v>
      </c>
      <c r="E653" s="5">
        <v>1.4893E-2</v>
      </c>
      <c r="F653" s="5">
        <v>1085290</v>
      </c>
      <c r="G653" s="5">
        <v>403997986</v>
      </c>
      <c r="H653" s="5">
        <v>42524303</v>
      </c>
      <c r="I653" s="5">
        <v>0</v>
      </c>
      <c r="J653" s="5">
        <v>239</v>
      </c>
      <c r="L653">
        <f t="shared" si="63"/>
        <v>651</v>
      </c>
      <c r="M653">
        <f>'Real Analysis'!$B$3+B653/1000000</f>
        <v>14.051489999998012</v>
      </c>
      <c r="N653">
        <f t="shared" si="64"/>
        <v>3</v>
      </c>
      <c r="O653">
        <f>IF(ABS(D653)&gt;1,D653/1000000,D653)*'Real Analysis'!$B$4</f>
        <v>2.7634770000000003E-2</v>
      </c>
      <c r="P653">
        <f>IF(ABS(E653)&gt;1,E653/1000000,E653)*'Real Analysis'!$B$4</f>
        <v>0.14610033</v>
      </c>
      <c r="Q653">
        <f>IF(ABS(F653)&gt;1,F653/1000000,F653)*'Real Analysis'!$B$4</f>
        <v>10.646694900000002</v>
      </c>
      <c r="R653">
        <f t="shared" si="65"/>
        <v>403.99798600000003</v>
      </c>
      <c r="S653">
        <f t="shared" si="66"/>
        <v>42.524303000000003</v>
      </c>
      <c r="T653">
        <f t="shared" si="67"/>
        <v>0</v>
      </c>
      <c r="U653">
        <f t="shared" si="68"/>
        <v>0.23899999999999999</v>
      </c>
    </row>
    <row r="654" spans="1:21" x14ac:dyDescent="0.3">
      <c r="A654" s="4">
        <v>652</v>
      </c>
      <c r="B654" s="4">
        <v>-96577927106</v>
      </c>
      <c r="C654" s="5">
        <v>3</v>
      </c>
      <c r="D654" s="5">
        <v>-1.9668000000000001E-2</v>
      </c>
      <c r="E654" s="5">
        <v>9.2429999999999995E-3</v>
      </c>
      <c r="F654" s="5">
        <v>1082314</v>
      </c>
      <c r="G654" s="5">
        <v>430041077</v>
      </c>
      <c r="H654" s="5">
        <v>71139511</v>
      </c>
      <c r="I654" s="5">
        <v>0</v>
      </c>
      <c r="J654" s="5">
        <v>239</v>
      </c>
      <c r="L654">
        <f t="shared" si="63"/>
        <v>652</v>
      </c>
      <c r="M654">
        <f>'Real Analysis'!$B$3+B654/1000000</f>
        <v>14.072893999997177</v>
      </c>
      <c r="N654">
        <f t="shared" si="64"/>
        <v>3</v>
      </c>
      <c r="O654">
        <f>IF(ABS(D654)&gt;1,D654/1000000,D654)*'Real Analysis'!$B$4</f>
        <v>-0.19294308000000002</v>
      </c>
      <c r="P654">
        <f>IF(ABS(E654)&gt;1,E654/1000000,E654)*'Real Analysis'!$B$4</f>
        <v>9.0673829999999997E-2</v>
      </c>
      <c r="Q654">
        <f>IF(ABS(F654)&gt;1,F654/1000000,F654)*'Real Analysis'!$B$4</f>
        <v>10.617500340000001</v>
      </c>
      <c r="R654">
        <f t="shared" si="65"/>
        <v>430.04107699999997</v>
      </c>
      <c r="S654">
        <f t="shared" si="66"/>
        <v>71.139510999999999</v>
      </c>
      <c r="T654">
        <f t="shared" si="67"/>
        <v>0</v>
      </c>
      <c r="U654">
        <f t="shared" si="68"/>
        <v>0.23899999999999999</v>
      </c>
    </row>
    <row r="655" spans="1:21" x14ac:dyDescent="0.3">
      <c r="A655" s="4">
        <v>653</v>
      </c>
      <c r="B655" s="4">
        <v>-96577908238</v>
      </c>
      <c r="C655" s="5">
        <v>3</v>
      </c>
      <c r="D655" s="5">
        <v>-1.9269999999999999E-2</v>
      </c>
      <c r="E655" s="5">
        <v>1.8547999999999999E-2</v>
      </c>
      <c r="F655" s="5">
        <v>1103782</v>
      </c>
      <c r="G655" s="5">
        <v>455020111</v>
      </c>
      <c r="H655" s="5">
        <v>42646553</v>
      </c>
      <c r="I655" s="5">
        <v>0</v>
      </c>
      <c r="J655" s="5">
        <v>236</v>
      </c>
      <c r="L655">
        <f t="shared" si="63"/>
        <v>653</v>
      </c>
      <c r="M655">
        <f>'Real Analysis'!$B$3+B655/1000000</f>
        <v>14.091761999996379</v>
      </c>
      <c r="N655">
        <f t="shared" si="64"/>
        <v>3</v>
      </c>
      <c r="O655">
        <f>IF(ABS(D655)&gt;1,D655/1000000,D655)*'Real Analysis'!$B$4</f>
        <v>-0.1890387</v>
      </c>
      <c r="P655">
        <f>IF(ABS(E655)&gt;1,E655/1000000,E655)*'Real Analysis'!$B$4</f>
        <v>0.18195587999999999</v>
      </c>
      <c r="Q655">
        <f>IF(ABS(F655)&gt;1,F655/1000000,F655)*'Real Analysis'!$B$4</f>
        <v>10.828101420000001</v>
      </c>
      <c r="R655">
        <f t="shared" si="65"/>
        <v>455.02011099999999</v>
      </c>
      <c r="S655">
        <f t="shared" si="66"/>
        <v>42.646552999999997</v>
      </c>
      <c r="T655">
        <f t="shared" si="67"/>
        <v>0</v>
      </c>
      <c r="U655">
        <f t="shared" si="68"/>
        <v>0.23599999999999999</v>
      </c>
    </row>
    <row r="656" spans="1:21" x14ac:dyDescent="0.3">
      <c r="A656" s="4">
        <v>654</v>
      </c>
      <c r="B656" s="4">
        <v>-96577888642</v>
      </c>
      <c r="C656" s="5">
        <v>3</v>
      </c>
      <c r="D656" s="5">
        <v>4.0039999999999997E-3</v>
      </c>
      <c r="E656" s="5">
        <v>3.5611999999999998E-2</v>
      </c>
      <c r="F656" s="5">
        <v>1105442</v>
      </c>
      <c r="G656" s="5">
        <v>492278992</v>
      </c>
      <c r="H656" s="5">
        <v>35670609</v>
      </c>
      <c r="I656" s="5">
        <v>0</v>
      </c>
      <c r="J656" s="5">
        <v>235</v>
      </c>
      <c r="L656">
        <f t="shared" si="63"/>
        <v>654</v>
      </c>
      <c r="M656">
        <f>'Real Analysis'!$B$3+B656/1000000</f>
        <v>14.111357999994652</v>
      </c>
      <c r="N656">
        <f t="shared" si="64"/>
        <v>3</v>
      </c>
      <c r="O656">
        <f>IF(ABS(D656)&gt;1,D656/1000000,D656)*'Real Analysis'!$B$4</f>
        <v>3.927924E-2</v>
      </c>
      <c r="P656">
        <f>IF(ABS(E656)&gt;1,E656/1000000,E656)*'Real Analysis'!$B$4</f>
        <v>0.34935371999999998</v>
      </c>
      <c r="Q656">
        <f>IF(ABS(F656)&gt;1,F656/1000000,F656)*'Real Analysis'!$B$4</f>
        <v>10.844386020000002</v>
      </c>
      <c r="R656">
        <f t="shared" si="65"/>
        <v>492.27899200000002</v>
      </c>
      <c r="S656">
        <f t="shared" si="66"/>
        <v>35.670608999999999</v>
      </c>
      <c r="T656">
        <f t="shared" si="67"/>
        <v>0</v>
      </c>
      <c r="U656">
        <f t="shared" si="68"/>
        <v>0.23499999999999999</v>
      </c>
    </row>
    <row r="657" spans="1:21" x14ac:dyDescent="0.3">
      <c r="A657" s="4">
        <v>655</v>
      </c>
      <c r="B657" s="4">
        <v>-96577872098</v>
      </c>
      <c r="C657" s="5">
        <v>3</v>
      </c>
      <c r="D657" s="5">
        <v>8.4060000000000003E-3</v>
      </c>
      <c r="E657" s="5">
        <v>1.6683E-2</v>
      </c>
      <c r="F657" s="5">
        <v>1090053</v>
      </c>
      <c r="G657" s="5">
        <v>511068848</v>
      </c>
      <c r="H657" s="5">
        <v>36148224</v>
      </c>
      <c r="I657" s="5">
        <v>0</v>
      </c>
      <c r="J657" s="5">
        <v>234</v>
      </c>
      <c r="L657">
        <f t="shared" si="63"/>
        <v>655</v>
      </c>
      <c r="M657">
        <f>'Real Analysis'!$B$3+B657/1000000</f>
        <v>14.127901999992901</v>
      </c>
      <c r="N657">
        <f t="shared" si="64"/>
        <v>3</v>
      </c>
      <c r="O657">
        <f>IF(ABS(D657)&gt;1,D657/1000000,D657)*'Real Analysis'!$B$4</f>
        <v>8.2462860000000013E-2</v>
      </c>
      <c r="P657">
        <f>IF(ABS(E657)&gt;1,E657/1000000,E657)*'Real Analysis'!$B$4</f>
        <v>0.16366023000000002</v>
      </c>
      <c r="Q657">
        <f>IF(ABS(F657)&gt;1,F657/1000000,F657)*'Real Analysis'!$B$4</f>
        <v>10.693419929999999</v>
      </c>
      <c r="R657">
        <f t="shared" si="65"/>
        <v>511.068848</v>
      </c>
      <c r="S657">
        <f t="shared" si="66"/>
        <v>36.148223999999999</v>
      </c>
      <c r="T657">
        <f t="shared" si="67"/>
        <v>0</v>
      </c>
      <c r="U657">
        <f t="shared" si="68"/>
        <v>0.23400000000000001</v>
      </c>
    </row>
    <row r="658" spans="1:21" x14ac:dyDescent="0.3">
      <c r="A658" s="4">
        <v>656</v>
      </c>
      <c r="B658" s="4">
        <v>-96577853802</v>
      </c>
      <c r="C658" s="5">
        <v>3</v>
      </c>
      <c r="D658" s="5">
        <v>-2.3240000000000001E-3</v>
      </c>
      <c r="E658" s="5">
        <v>5.62E-4</v>
      </c>
      <c r="F658" s="5">
        <v>1099422</v>
      </c>
      <c r="G658" s="5">
        <v>539510559</v>
      </c>
      <c r="H658" s="5">
        <v>38104687</v>
      </c>
      <c r="I658" s="5">
        <v>0</v>
      </c>
      <c r="J658" s="5">
        <v>234</v>
      </c>
      <c r="L658">
        <f t="shared" si="63"/>
        <v>656</v>
      </c>
      <c r="M658">
        <f>'Real Analysis'!$B$3+B658/1000000</f>
        <v>14.146198000002187</v>
      </c>
      <c r="N658">
        <f t="shared" si="64"/>
        <v>3</v>
      </c>
      <c r="O658">
        <f>IF(ABS(D658)&gt;1,D658/1000000,D658)*'Real Analysis'!$B$4</f>
        <v>-2.2798440000000003E-2</v>
      </c>
      <c r="P658">
        <f>IF(ABS(E658)&gt;1,E658/1000000,E658)*'Real Analysis'!$B$4</f>
        <v>5.5132200000000001E-3</v>
      </c>
      <c r="Q658">
        <f>IF(ABS(F658)&gt;1,F658/1000000,F658)*'Real Analysis'!$B$4</f>
        <v>10.785329819999999</v>
      </c>
      <c r="R658">
        <f t="shared" si="65"/>
        <v>539.51055899999994</v>
      </c>
      <c r="S658">
        <f t="shared" si="66"/>
        <v>38.104686999999998</v>
      </c>
      <c r="T658">
        <f t="shared" si="67"/>
        <v>0</v>
      </c>
      <c r="U658">
        <f t="shared" si="68"/>
        <v>0.23400000000000001</v>
      </c>
    </row>
    <row r="659" spans="1:21" x14ac:dyDescent="0.3">
      <c r="A659" s="4">
        <v>657</v>
      </c>
      <c r="B659" s="4">
        <v>-96577833494</v>
      </c>
      <c r="C659" s="5">
        <v>3</v>
      </c>
      <c r="D659" s="5">
        <v>-1.1285999999999999E-2</v>
      </c>
      <c r="E659" s="5">
        <v>-7.293E-3</v>
      </c>
      <c r="F659" s="5">
        <v>1109396</v>
      </c>
      <c r="G659" s="5">
        <v>580228088</v>
      </c>
      <c r="H659" s="5">
        <v>45295376</v>
      </c>
      <c r="I659" s="5">
        <v>0</v>
      </c>
      <c r="J659" s="5">
        <v>231</v>
      </c>
      <c r="L659">
        <f t="shared" si="63"/>
        <v>657</v>
      </c>
      <c r="M659">
        <f>'Real Analysis'!$B$3+B659/1000000</f>
        <v>14.166505999994115</v>
      </c>
      <c r="N659">
        <f t="shared" si="64"/>
        <v>3</v>
      </c>
      <c r="O659">
        <f>IF(ABS(D659)&gt;1,D659/1000000,D659)*'Real Analysis'!$B$4</f>
        <v>-0.11071565999999999</v>
      </c>
      <c r="P659">
        <f>IF(ABS(E659)&gt;1,E659/1000000,E659)*'Real Analysis'!$B$4</f>
        <v>-7.1544330000000003E-2</v>
      </c>
      <c r="Q659">
        <f>IF(ABS(F659)&gt;1,F659/1000000,F659)*'Real Analysis'!$B$4</f>
        <v>10.883174760000001</v>
      </c>
      <c r="R659">
        <f t="shared" si="65"/>
        <v>580.22808799999996</v>
      </c>
      <c r="S659">
        <f t="shared" si="66"/>
        <v>45.295375999999997</v>
      </c>
      <c r="T659">
        <f t="shared" si="67"/>
        <v>0</v>
      </c>
      <c r="U659">
        <f t="shared" si="68"/>
        <v>0.23100000000000001</v>
      </c>
    </row>
    <row r="660" spans="1:21" x14ac:dyDescent="0.3">
      <c r="A660" s="4">
        <v>658</v>
      </c>
      <c r="B660" s="4">
        <v>-96577808268</v>
      </c>
      <c r="C660" s="5">
        <v>3</v>
      </c>
      <c r="D660" s="5">
        <v>-5.13E-4</v>
      </c>
      <c r="E660" s="5">
        <v>2.1742999999999998E-2</v>
      </c>
      <c r="F660" s="5">
        <v>1099638</v>
      </c>
      <c r="G660" s="5">
        <v>608643433</v>
      </c>
      <c r="H660" s="5">
        <v>55234421</v>
      </c>
      <c r="I660" s="5">
        <v>0</v>
      </c>
      <c r="J660" s="5">
        <v>229</v>
      </c>
      <c r="L660">
        <f t="shared" si="63"/>
        <v>658</v>
      </c>
      <c r="M660">
        <f>'Real Analysis'!$B$3+B660/1000000</f>
        <v>14.191732000006596</v>
      </c>
      <c r="N660">
        <f t="shared" si="64"/>
        <v>3</v>
      </c>
      <c r="O660">
        <f>IF(ABS(D660)&gt;1,D660/1000000,D660)*'Real Analysis'!$B$4</f>
        <v>-5.0325300000000003E-3</v>
      </c>
      <c r="P660">
        <f>IF(ABS(E660)&gt;1,E660/1000000,E660)*'Real Analysis'!$B$4</f>
        <v>0.21329882999999999</v>
      </c>
      <c r="Q660">
        <f>IF(ABS(F660)&gt;1,F660/1000000,F660)*'Real Analysis'!$B$4</f>
        <v>10.78744878</v>
      </c>
      <c r="R660">
        <f t="shared" si="65"/>
        <v>608.64343299999996</v>
      </c>
      <c r="S660">
        <f t="shared" si="66"/>
        <v>55.234420999999998</v>
      </c>
      <c r="T660">
        <f t="shared" si="67"/>
        <v>0</v>
      </c>
      <c r="U660">
        <f t="shared" si="68"/>
        <v>0.22900000000000001</v>
      </c>
    </row>
    <row r="661" spans="1:21" x14ac:dyDescent="0.3">
      <c r="A661" s="4">
        <v>659</v>
      </c>
      <c r="B661" s="4">
        <v>-96577788016</v>
      </c>
      <c r="C661" s="5">
        <v>3</v>
      </c>
      <c r="D661" s="5">
        <v>-9.1400000000000006E-3</v>
      </c>
      <c r="E661" s="5">
        <v>-3.1050000000000001E-3</v>
      </c>
      <c r="F661" s="5">
        <v>1118111</v>
      </c>
      <c r="G661" s="5">
        <v>629288574</v>
      </c>
      <c r="H661" s="5">
        <v>34172005</v>
      </c>
      <c r="I661" s="5">
        <v>0</v>
      </c>
      <c r="J661" s="5">
        <v>227</v>
      </c>
      <c r="L661">
        <f t="shared" si="63"/>
        <v>659</v>
      </c>
      <c r="M661">
        <f>'Real Analysis'!$B$3+B661/1000000</f>
        <v>14.211983999994118</v>
      </c>
      <c r="N661">
        <f t="shared" si="64"/>
        <v>3</v>
      </c>
      <c r="O661">
        <f>IF(ABS(D661)&gt;1,D661/1000000,D661)*'Real Analysis'!$B$4</f>
        <v>-8.9663400000000004E-2</v>
      </c>
      <c r="P661">
        <f>IF(ABS(E661)&gt;1,E661/1000000,E661)*'Real Analysis'!$B$4</f>
        <v>-3.0460050000000002E-2</v>
      </c>
      <c r="Q661">
        <f>IF(ABS(F661)&gt;1,F661/1000000,F661)*'Real Analysis'!$B$4</f>
        <v>10.968668910000002</v>
      </c>
      <c r="R661">
        <f t="shared" si="65"/>
        <v>629.28857400000004</v>
      </c>
      <c r="S661">
        <f t="shared" si="66"/>
        <v>34.172004999999999</v>
      </c>
      <c r="T661">
        <f t="shared" si="67"/>
        <v>0</v>
      </c>
      <c r="U661">
        <f t="shared" si="68"/>
        <v>0.22700000000000001</v>
      </c>
    </row>
    <row r="662" spans="1:21" x14ac:dyDescent="0.3">
      <c r="A662" s="4">
        <v>660</v>
      </c>
      <c r="B662" s="4">
        <v>-96577771449</v>
      </c>
      <c r="C662" s="5">
        <v>3</v>
      </c>
      <c r="D662" s="5">
        <v>-4.6398000000000002E-2</v>
      </c>
      <c r="E662" s="5">
        <v>1.6591000000000002E-2</v>
      </c>
      <c r="F662" s="5">
        <v>1120367</v>
      </c>
      <c r="G662" s="5">
        <v>620688232</v>
      </c>
      <c r="H662" s="5">
        <v>31590799</v>
      </c>
      <c r="I662" s="5">
        <v>0</v>
      </c>
      <c r="J662" s="5">
        <v>229</v>
      </c>
      <c r="L662">
        <f t="shared" si="63"/>
        <v>660</v>
      </c>
      <c r="M662">
        <f>'Real Analysis'!$B$3+B662/1000000</f>
        <v>14.228550999992876</v>
      </c>
      <c r="N662">
        <f t="shared" si="64"/>
        <v>3</v>
      </c>
      <c r="O662">
        <f>IF(ABS(D662)&gt;1,D662/1000000,D662)*'Real Analysis'!$B$4</f>
        <v>-0.45516438000000004</v>
      </c>
      <c r="P662">
        <f>IF(ABS(E662)&gt;1,E662/1000000,E662)*'Real Analysis'!$B$4</f>
        <v>0.16275771000000003</v>
      </c>
      <c r="Q662">
        <f>IF(ABS(F662)&gt;1,F662/1000000,F662)*'Real Analysis'!$B$4</f>
        <v>10.990800269999999</v>
      </c>
      <c r="R662">
        <f t="shared" si="65"/>
        <v>620.68823199999997</v>
      </c>
      <c r="S662">
        <f t="shared" si="66"/>
        <v>31.590799000000001</v>
      </c>
      <c r="T662">
        <f t="shared" si="67"/>
        <v>0</v>
      </c>
      <c r="U662">
        <f t="shared" si="68"/>
        <v>0.22900000000000001</v>
      </c>
    </row>
    <row r="663" spans="1:21" x14ac:dyDescent="0.3">
      <c r="A663" s="4">
        <v>661</v>
      </c>
      <c r="B663" s="4">
        <v>-96577752711</v>
      </c>
      <c r="C663" s="5">
        <v>3</v>
      </c>
      <c r="D663" s="5">
        <v>-0.56014699999999995</v>
      </c>
      <c r="E663" s="5">
        <v>-2.5690000000000001E-3</v>
      </c>
      <c r="F663" s="5">
        <v>1067202</v>
      </c>
      <c r="G663" s="5">
        <v>606516541</v>
      </c>
      <c r="H663" s="5">
        <v>37683926</v>
      </c>
      <c r="I663" s="5">
        <v>0</v>
      </c>
      <c r="J663" s="5">
        <v>227</v>
      </c>
      <c r="L663">
        <f t="shared" si="63"/>
        <v>661</v>
      </c>
      <c r="M663">
        <f>'Real Analysis'!$B$3+B663/1000000</f>
        <v>14.247289000006276</v>
      </c>
      <c r="N663">
        <f t="shared" si="64"/>
        <v>3</v>
      </c>
      <c r="O663">
        <f>IF(ABS(D663)&gt;1,D663/1000000,D663)*'Real Analysis'!$B$4</f>
        <v>-5.4950420700000002</v>
      </c>
      <c r="P663">
        <f>IF(ABS(E663)&gt;1,E663/1000000,E663)*'Real Analysis'!$B$4</f>
        <v>-2.5201890000000001E-2</v>
      </c>
      <c r="Q663">
        <f>IF(ABS(F663)&gt;1,F663/1000000,F663)*'Real Analysis'!$B$4</f>
        <v>10.46925162</v>
      </c>
      <c r="R663">
        <f t="shared" si="65"/>
        <v>606.51654099999996</v>
      </c>
      <c r="S663">
        <f t="shared" si="66"/>
        <v>37.683926</v>
      </c>
      <c r="T663">
        <f t="shared" si="67"/>
        <v>0</v>
      </c>
      <c r="U663">
        <f t="shared" si="68"/>
        <v>0.22700000000000001</v>
      </c>
    </row>
    <row r="664" spans="1:21" x14ac:dyDescent="0.3">
      <c r="A664" s="4">
        <v>662</v>
      </c>
      <c r="B664" s="4">
        <v>-96577729497</v>
      </c>
      <c r="C664" s="5">
        <v>3</v>
      </c>
      <c r="D664" s="5">
        <v>-1175141</v>
      </c>
      <c r="E664" s="5">
        <v>-0.183558</v>
      </c>
      <c r="F664" s="5">
        <v>1007107</v>
      </c>
      <c r="G664" s="5">
        <v>494269043</v>
      </c>
      <c r="H664" s="5">
        <v>47865696</v>
      </c>
      <c r="I664" s="5">
        <v>0</v>
      </c>
      <c r="J664" s="5">
        <v>226</v>
      </c>
      <c r="L664">
        <f t="shared" si="63"/>
        <v>662</v>
      </c>
      <c r="M664">
        <f>'Real Analysis'!$B$3+B664/1000000</f>
        <v>14.270503000007011</v>
      </c>
      <c r="N664">
        <f t="shared" si="64"/>
        <v>3</v>
      </c>
      <c r="O664">
        <f>IF(ABS(D664)&gt;1,D664/1000000,D664)*'Real Analysis'!$B$4</f>
        <v>-11.52813321</v>
      </c>
      <c r="P664">
        <f>IF(ABS(E664)&gt;1,E664/1000000,E664)*'Real Analysis'!$B$4</f>
        <v>-1.80070398</v>
      </c>
      <c r="Q664">
        <f>IF(ABS(F664)&gt;1,F664/1000000,F664)*'Real Analysis'!$B$4</f>
        <v>9.8797196700000001</v>
      </c>
      <c r="R664">
        <f t="shared" si="65"/>
        <v>494.26904300000001</v>
      </c>
      <c r="S664">
        <f t="shared" si="66"/>
        <v>47.865696</v>
      </c>
      <c r="T664">
        <f t="shared" si="67"/>
        <v>0</v>
      </c>
      <c r="U664">
        <f t="shared" si="68"/>
        <v>0.22600000000000001</v>
      </c>
    </row>
    <row r="665" spans="1:21" x14ac:dyDescent="0.3">
      <c r="A665" s="4">
        <v>663</v>
      </c>
      <c r="B665" s="4">
        <v>-96577708927</v>
      </c>
      <c r="C665" s="5">
        <v>3</v>
      </c>
      <c r="D665" s="5">
        <v>-1099270</v>
      </c>
      <c r="E665" s="5">
        <v>-0.22980200000000001</v>
      </c>
      <c r="F665" s="5">
        <v>1021658</v>
      </c>
      <c r="G665" s="5">
        <v>365375153</v>
      </c>
      <c r="H665" s="5">
        <v>21144272</v>
      </c>
      <c r="I665" s="5">
        <v>0</v>
      </c>
      <c r="J665" s="5">
        <v>224</v>
      </c>
      <c r="L665">
        <f t="shared" si="63"/>
        <v>663</v>
      </c>
      <c r="M665">
        <f>'Real Analysis'!$B$3+B665/1000000</f>
        <v>14.291073000000324</v>
      </c>
      <c r="N665">
        <f t="shared" si="64"/>
        <v>3</v>
      </c>
      <c r="O665">
        <f>IF(ABS(D665)&gt;1,D665/1000000,D665)*'Real Analysis'!$B$4</f>
        <v>-10.7838387</v>
      </c>
      <c r="P665">
        <f>IF(ABS(E665)&gt;1,E665/1000000,E665)*'Real Analysis'!$B$4</f>
        <v>-2.2543576200000004</v>
      </c>
      <c r="Q665">
        <f>IF(ABS(F665)&gt;1,F665/1000000,F665)*'Real Analysis'!$B$4</f>
        <v>10.022464980000001</v>
      </c>
      <c r="R665">
        <f t="shared" si="65"/>
        <v>365.37515300000001</v>
      </c>
      <c r="S665">
        <f t="shared" si="66"/>
        <v>21.144272000000001</v>
      </c>
      <c r="T665">
        <f t="shared" si="67"/>
        <v>0</v>
      </c>
      <c r="U665">
        <f t="shared" si="68"/>
        <v>0.224</v>
      </c>
    </row>
    <row r="666" spans="1:21" x14ac:dyDescent="0.3">
      <c r="A666" s="4">
        <v>664</v>
      </c>
      <c r="B666" s="4">
        <v>-96577688291</v>
      </c>
      <c r="C666" s="5">
        <v>3</v>
      </c>
      <c r="D666" s="5">
        <v>-0.53555299999999995</v>
      </c>
      <c r="E666" s="5">
        <v>-5.6047E-2</v>
      </c>
      <c r="F666" s="5">
        <v>1011482</v>
      </c>
      <c r="G666" s="5">
        <v>294118317</v>
      </c>
      <c r="H666" s="5">
        <v>-7680930</v>
      </c>
      <c r="I666" s="5">
        <v>0</v>
      </c>
      <c r="J666" s="5">
        <v>223</v>
      </c>
      <c r="L666">
        <f t="shared" si="63"/>
        <v>664</v>
      </c>
      <c r="M666">
        <f>'Real Analysis'!$B$3+B666/1000000</f>
        <v>14.311709000001429</v>
      </c>
      <c r="N666">
        <f t="shared" si="64"/>
        <v>3</v>
      </c>
      <c r="O666">
        <f>IF(ABS(D666)&gt;1,D666/1000000,D666)*'Real Analysis'!$B$4</f>
        <v>-5.2537749299999996</v>
      </c>
      <c r="P666">
        <f>IF(ABS(E666)&gt;1,E666/1000000,E666)*'Real Analysis'!$B$4</f>
        <v>-0.54982107000000002</v>
      </c>
      <c r="Q666">
        <f>IF(ABS(F666)&gt;1,F666/1000000,F666)*'Real Analysis'!$B$4</f>
        <v>9.9226384200000002</v>
      </c>
      <c r="R666">
        <f t="shared" si="65"/>
        <v>294.11831699999999</v>
      </c>
      <c r="S666">
        <f t="shared" si="66"/>
        <v>-7.68093</v>
      </c>
      <c r="T666">
        <f t="shared" si="67"/>
        <v>0</v>
      </c>
      <c r="U666">
        <f t="shared" si="68"/>
        <v>0.223</v>
      </c>
    </row>
    <row r="667" spans="1:21" x14ac:dyDescent="0.3">
      <c r="A667" s="4">
        <v>665</v>
      </c>
      <c r="B667" s="4">
        <v>-96577669588</v>
      </c>
      <c r="C667" s="5">
        <v>3</v>
      </c>
      <c r="D667" s="5">
        <v>-0.38812400000000002</v>
      </c>
      <c r="E667" s="5">
        <v>0.11885999999999999</v>
      </c>
      <c r="F667" s="5">
        <v>0.96106899999999995</v>
      </c>
      <c r="G667" s="5">
        <v>255109848</v>
      </c>
      <c r="H667" s="5">
        <v>-9643256</v>
      </c>
      <c r="I667" s="5">
        <v>0</v>
      </c>
      <c r="J667" s="5">
        <v>221</v>
      </c>
      <c r="L667">
        <f t="shared" si="63"/>
        <v>665</v>
      </c>
      <c r="M667">
        <f>'Real Analysis'!$B$3+B667/1000000</f>
        <v>14.330411999995704</v>
      </c>
      <c r="N667">
        <f t="shared" si="64"/>
        <v>3</v>
      </c>
      <c r="O667">
        <f>IF(ABS(D667)&gt;1,D667/1000000,D667)*'Real Analysis'!$B$4</f>
        <v>-3.8074964400000004</v>
      </c>
      <c r="P667">
        <f>IF(ABS(E667)&gt;1,E667/1000000,E667)*'Real Analysis'!$B$4</f>
        <v>1.1660166000000001</v>
      </c>
      <c r="Q667">
        <f>IF(ABS(F667)&gt;1,F667/1000000,F667)*'Real Analysis'!$B$4</f>
        <v>9.4280868899999994</v>
      </c>
      <c r="R667">
        <f t="shared" si="65"/>
        <v>255.109848</v>
      </c>
      <c r="S667">
        <f t="shared" si="66"/>
        <v>-9.6432559999999992</v>
      </c>
      <c r="T667">
        <f t="shared" si="67"/>
        <v>0</v>
      </c>
      <c r="U667">
        <f t="shared" si="68"/>
        <v>0.221</v>
      </c>
    </row>
    <row r="668" spans="1:21" x14ac:dyDescent="0.3">
      <c r="A668" s="4">
        <v>666</v>
      </c>
      <c r="B668" s="4">
        <v>-96577652150</v>
      </c>
      <c r="C668" s="5">
        <v>3</v>
      </c>
      <c r="D668" s="5">
        <v>-0.37118000000000001</v>
      </c>
      <c r="E668" s="5">
        <v>0.11923599999999999</v>
      </c>
      <c r="F668" s="5">
        <v>0.98707599999999995</v>
      </c>
      <c r="G668" s="5">
        <v>218403961</v>
      </c>
      <c r="H668" s="5">
        <v>-1856749</v>
      </c>
      <c r="I668" s="5">
        <v>0</v>
      </c>
      <c r="J668" s="5">
        <v>226</v>
      </c>
      <c r="L668">
        <f t="shared" si="63"/>
        <v>666</v>
      </c>
      <c r="M668">
        <f>'Real Analysis'!$B$3+B668/1000000</f>
        <v>14.347850000005565</v>
      </c>
      <c r="N668">
        <f t="shared" si="64"/>
        <v>3</v>
      </c>
      <c r="O668">
        <f>IF(ABS(D668)&gt;1,D668/1000000,D668)*'Real Analysis'!$B$4</f>
        <v>-3.6412758000000003</v>
      </c>
      <c r="P668">
        <f>IF(ABS(E668)&gt;1,E668/1000000,E668)*'Real Analysis'!$B$4</f>
        <v>1.1697051599999999</v>
      </c>
      <c r="Q668">
        <f>IF(ABS(F668)&gt;1,F668/1000000,F668)*'Real Analysis'!$B$4</f>
        <v>9.6832155600000007</v>
      </c>
      <c r="R668">
        <f t="shared" si="65"/>
        <v>218.40396100000001</v>
      </c>
      <c r="S668">
        <f t="shared" si="66"/>
        <v>-1.856749</v>
      </c>
      <c r="T668">
        <f t="shared" si="67"/>
        <v>0</v>
      </c>
      <c r="U668">
        <f t="shared" si="68"/>
        <v>0.22600000000000001</v>
      </c>
    </row>
    <row r="669" spans="1:21" x14ac:dyDescent="0.3">
      <c r="A669" s="4">
        <v>667</v>
      </c>
      <c r="B669" s="4">
        <v>-96577630269</v>
      </c>
      <c r="C669" s="5">
        <v>3</v>
      </c>
      <c r="D669" s="5">
        <v>-0.102102</v>
      </c>
      <c r="E669" s="5">
        <v>2.7212E-2</v>
      </c>
      <c r="F669" s="5">
        <v>1024923</v>
      </c>
      <c r="G669" s="5">
        <v>201389069</v>
      </c>
      <c r="H669" s="5">
        <v>1673456</v>
      </c>
      <c r="I669" s="5">
        <v>0</v>
      </c>
      <c r="J669" s="5">
        <v>225</v>
      </c>
      <c r="L669">
        <f t="shared" si="63"/>
        <v>667</v>
      </c>
      <c r="M669">
        <f>'Real Analysis'!$B$3+B669/1000000</f>
        <v>14.369730999998865</v>
      </c>
      <c r="N669">
        <f t="shared" si="64"/>
        <v>3</v>
      </c>
      <c r="O669">
        <f>IF(ABS(D669)&gt;1,D669/1000000,D669)*'Real Analysis'!$B$4</f>
        <v>-1.00162062</v>
      </c>
      <c r="P669">
        <f>IF(ABS(E669)&gt;1,E669/1000000,E669)*'Real Analysis'!$B$4</f>
        <v>0.26694972</v>
      </c>
      <c r="Q669">
        <f>IF(ABS(F669)&gt;1,F669/1000000,F669)*'Real Analysis'!$B$4</f>
        <v>10.054494630000001</v>
      </c>
      <c r="R669">
        <f t="shared" si="65"/>
        <v>201.38906900000001</v>
      </c>
      <c r="S669">
        <f t="shared" si="66"/>
        <v>1.6734560000000001</v>
      </c>
      <c r="T669">
        <f t="shared" si="67"/>
        <v>0</v>
      </c>
      <c r="U669">
        <f t="shared" si="68"/>
        <v>0.22500000000000001</v>
      </c>
    </row>
    <row r="670" spans="1:21" x14ac:dyDescent="0.3">
      <c r="A670" s="4">
        <v>668</v>
      </c>
      <c r="B670" s="4">
        <v>-96577610189</v>
      </c>
      <c r="C670" s="5">
        <v>3</v>
      </c>
      <c r="D670" s="5">
        <v>3.6784999999999998E-2</v>
      </c>
      <c r="E670" s="5">
        <v>-1.4899000000000001E-2</v>
      </c>
      <c r="F670" s="5">
        <v>1003069</v>
      </c>
      <c r="G670" s="5">
        <v>204237885</v>
      </c>
      <c r="H670" s="5">
        <v>0.702627</v>
      </c>
      <c r="I670" s="5">
        <v>0</v>
      </c>
      <c r="J670" s="5">
        <v>224</v>
      </c>
      <c r="L670">
        <f t="shared" si="63"/>
        <v>668</v>
      </c>
      <c r="M670">
        <f>'Real Analysis'!$B$3+B670/1000000</f>
        <v>14.389811000000918</v>
      </c>
      <c r="N670">
        <f t="shared" si="64"/>
        <v>3</v>
      </c>
      <c r="O670">
        <f>IF(ABS(D670)&gt;1,D670/1000000,D670)*'Real Analysis'!$B$4</f>
        <v>0.36086085000000001</v>
      </c>
      <c r="P670">
        <f>IF(ABS(E670)&gt;1,E670/1000000,E670)*'Real Analysis'!$B$4</f>
        <v>-0.14615919000000002</v>
      </c>
      <c r="Q670">
        <f>IF(ABS(F670)&gt;1,F670/1000000,F670)*'Real Analysis'!$B$4</f>
        <v>9.8401068900000013</v>
      </c>
      <c r="R670">
        <f t="shared" si="65"/>
        <v>204.23788500000001</v>
      </c>
      <c r="S670">
        <f t="shared" si="66"/>
        <v>0.702627</v>
      </c>
      <c r="T670">
        <f t="shared" si="67"/>
        <v>0</v>
      </c>
      <c r="U670">
        <f t="shared" si="68"/>
        <v>0.224</v>
      </c>
    </row>
    <row r="671" spans="1:21" x14ac:dyDescent="0.3">
      <c r="A671" s="4">
        <v>669</v>
      </c>
      <c r="B671" s="4">
        <v>-96577606951</v>
      </c>
      <c r="C671" s="5">
        <v>3</v>
      </c>
      <c r="D671" s="5">
        <v>2.3782999999999999E-2</v>
      </c>
      <c r="E671" s="5">
        <v>-1.797E-3</v>
      </c>
      <c r="F671" s="5">
        <v>0.99915600000000004</v>
      </c>
      <c r="G671" s="5">
        <v>155196777</v>
      </c>
      <c r="H671" s="5">
        <v>2725485</v>
      </c>
      <c r="I671" s="5">
        <v>0</v>
      </c>
      <c r="J671" s="5">
        <v>223</v>
      </c>
      <c r="L671">
        <f t="shared" si="63"/>
        <v>669</v>
      </c>
      <c r="M671">
        <f>'Real Analysis'!$B$3+B671/1000000</f>
        <v>14.393049000005703</v>
      </c>
      <c r="N671">
        <f t="shared" si="64"/>
        <v>3</v>
      </c>
      <c r="O671">
        <f>IF(ABS(D671)&gt;1,D671/1000000,D671)*'Real Analysis'!$B$4</f>
        <v>0.23331123000000001</v>
      </c>
      <c r="P671">
        <f>IF(ABS(E671)&gt;1,E671/1000000,E671)*'Real Analysis'!$B$4</f>
        <v>-1.762857E-2</v>
      </c>
      <c r="Q671">
        <f>IF(ABS(F671)&gt;1,F671/1000000,F671)*'Real Analysis'!$B$4</f>
        <v>9.8017203600000009</v>
      </c>
      <c r="R671">
        <f t="shared" si="65"/>
        <v>155.196777</v>
      </c>
      <c r="S671">
        <f t="shared" si="66"/>
        <v>2.7254849999999999</v>
      </c>
      <c r="T671">
        <f t="shared" si="67"/>
        <v>0</v>
      </c>
      <c r="U671">
        <f t="shared" si="68"/>
        <v>0.223</v>
      </c>
    </row>
    <row r="672" spans="1:21" x14ac:dyDescent="0.3">
      <c r="A672" s="4">
        <v>670</v>
      </c>
      <c r="B672" s="4">
        <v>-96577579297</v>
      </c>
      <c r="C672" s="5">
        <v>3</v>
      </c>
      <c r="D672" s="5">
        <v>1.5661999999999999E-2</v>
      </c>
      <c r="E672" s="5">
        <v>-5.5510000000000004E-3</v>
      </c>
      <c r="F672" s="5">
        <v>0.99783299999999997</v>
      </c>
      <c r="G672" s="5">
        <v>110910568</v>
      </c>
      <c r="H672" s="5">
        <v>4656344</v>
      </c>
      <c r="I672" s="5">
        <v>0</v>
      </c>
      <c r="J672" s="5">
        <v>223</v>
      </c>
      <c r="L672">
        <f t="shared" si="63"/>
        <v>670</v>
      </c>
      <c r="M672">
        <f>'Real Analysis'!$B$3+B672/1000000</f>
        <v>14.420702999996138</v>
      </c>
      <c r="N672">
        <f t="shared" si="64"/>
        <v>3</v>
      </c>
      <c r="O672">
        <f>IF(ABS(D672)&gt;1,D672/1000000,D672)*'Real Analysis'!$B$4</f>
        <v>0.15364422</v>
      </c>
      <c r="P672">
        <f>IF(ABS(E672)&gt;1,E672/1000000,E672)*'Real Analysis'!$B$4</f>
        <v>-5.4455310000000007E-2</v>
      </c>
      <c r="Q672">
        <f>IF(ABS(F672)&gt;1,F672/1000000,F672)*'Real Analysis'!$B$4</f>
        <v>9.7887417299999999</v>
      </c>
      <c r="R672">
        <f t="shared" si="65"/>
        <v>110.910568</v>
      </c>
      <c r="S672">
        <f t="shared" si="66"/>
        <v>4.6563439999999998</v>
      </c>
      <c r="T672">
        <f t="shared" si="67"/>
        <v>0</v>
      </c>
      <c r="U672">
        <f t="shared" si="68"/>
        <v>0.223</v>
      </c>
    </row>
    <row r="673" spans="1:21" x14ac:dyDescent="0.3">
      <c r="A673" s="4">
        <v>671</v>
      </c>
      <c r="B673" s="4">
        <v>-96577551632</v>
      </c>
      <c r="C673" s="5">
        <v>3</v>
      </c>
      <c r="D673" s="5">
        <v>4.3215000000000003E-2</v>
      </c>
      <c r="E673" s="5">
        <v>-1.9220999999999999E-2</v>
      </c>
      <c r="F673" s="5">
        <v>0.98177199999999998</v>
      </c>
      <c r="G673" s="5">
        <v>-159091690</v>
      </c>
      <c r="H673" s="5">
        <v>44632755</v>
      </c>
      <c r="I673" s="5">
        <v>0</v>
      </c>
      <c r="J673" s="5">
        <v>226</v>
      </c>
      <c r="L673">
        <f t="shared" si="63"/>
        <v>671</v>
      </c>
      <c r="M673">
        <f>'Real Analysis'!$B$3+B673/1000000</f>
        <v>14.448367999997572</v>
      </c>
      <c r="N673">
        <f t="shared" si="64"/>
        <v>3</v>
      </c>
      <c r="O673">
        <f>IF(ABS(D673)&gt;1,D673/1000000,D673)*'Real Analysis'!$B$4</f>
        <v>0.42393915000000004</v>
      </c>
      <c r="P673">
        <f>IF(ABS(E673)&gt;1,E673/1000000,E673)*'Real Analysis'!$B$4</f>
        <v>-0.18855801</v>
      </c>
      <c r="Q673">
        <f>IF(ABS(F673)&gt;1,F673/1000000,F673)*'Real Analysis'!$B$4</f>
        <v>9.6311833199999999</v>
      </c>
      <c r="R673">
        <f t="shared" si="65"/>
        <v>-159.09169</v>
      </c>
      <c r="S673">
        <f t="shared" si="66"/>
        <v>44.632755000000003</v>
      </c>
      <c r="T673">
        <f t="shared" si="67"/>
        <v>0</v>
      </c>
      <c r="U673">
        <f t="shared" si="68"/>
        <v>0.22600000000000001</v>
      </c>
    </row>
    <row r="674" spans="1:21" x14ac:dyDescent="0.3">
      <c r="A674" s="4">
        <v>672</v>
      </c>
      <c r="B674" s="4">
        <v>-96577531614</v>
      </c>
      <c r="C674" s="5">
        <v>3</v>
      </c>
      <c r="D674" s="5">
        <v>3.4187000000000002E-2</v>
      </c>
      <c r="E674" s="5">
        <v>-6.0800000000000003E-3</v>
      </c>
      <c r="F674" s="5">
        <v>0.98451299999999997</v>
      </c>
      <c r="G674" s="5">
        <v>-209048813</v>
      </c>
      <c r="H674" s="5">
        <v>32414288</v>
      </c>
      <c r="I674" s="5">
        <v>0</v>
      </c>
      <c r="J674" s="5">
        <v>226</v>
      </c>
      <c r="L674">
        <f t="shared" si="63"/>
        <v>672</v>
      </c>
      <c r="M674">
        <f>'Real Analysis'!$B$3+B674/1000000</f>
        <v>14.468385999993188</v>
      </c>
      <c r="N674">
        <f t="shared" si="64"/>
        <v>3</v>
      </c>
      <c r="O674">
        <f>IF(ABS(D674)&gt;1,D674/1000000,D674)*'Real Analysis'!$B$4</f>
        <v>0.33537447000000004</v>
      </c>
      <c r="P674">
        <f>IF(ABS(E674)&gt;1,E674/1000000,E674)*'Real Analysis'!$B$4</f>
        <v>-5.9644800000000005E-2</v>
      </c>
      <c r="Q674">
        <f>IF(ABS(F674)&gt;1,F674/1000000,F674)*'Real Analysis'!$B$4</f>
        <v>9.6580725300000001</v>
      </c>
      <c r="R674">
        <f t="shared" si="65"/>
        <v>-209.048813</v>
      </c>
      <c r="S674">
        <f t="shared" si="66"/>
        <v>32.414287999999999</v>
      </c>
      <c r="T674">
        <f t="shared" si="67"/>
        <v>0</v>
      </c>
      <c r="U674">
        <f t="shared" si="68"/>
        <v>0.22600000000000001</v>
      </c>
    </row>
    <row r="675" spans="1:21" x14ac:dyDescent="0.3">
      <c r="A675" s="4">
        <v>673</v>
      </c>
      <c r="B675" s="4">
        <v>-96577509672</v>
      </c>
      <c r="C675" s="5">
        <v>3</v>
      </c>
      <c r="D675" s="5">
        <v>4.3735000000000003E-2</v>
      </c>
      <c r="E675" s="5">
        <v>7.7619999999999998E-3</v>
      </c>
      <c r="F675" s="5">
        <v>1018855</v>
      </c>
      <c r="G675" s="5">
        <v>-239280304</v>
      </c>
      <c r="H675" s="5">
        <v>22125214</v>
      </c>
      <c r="I675" s="5">
        <v>0</v>
      </c>
      <c r="J675" s="5">
        <v>225</v>
      </c>
      <c r="L675">
        <f t="shared" si="63"/>
        <v>673</v>
      </c>
      <c r="M675">
        <f>'Real Analysis'!$B$3+B675/1000000</f>
        <v>14.490327999999863</v>
      </c>
      <c r="N675">
        <f t="shared" si="64"/>
        <v>3</v>
      </c>
      <c r="O675">
        <f>IF(ABS(D675)&gt;1,D675/1000000,D675)*'Real Analysis'!$B$4</f>
        <v>0.42904035000000007</v>
      </c>
      <c r="P675">
        <f>IF(ABS(E675)&gt;1,E675/1000000,E675)*'Real Analysis'!$B$4</f>
        <v>7.614522E-2</v>
      </c>
      <c r="Q675">
        <f>IF(ABS(F675)&gt;1,F675/1000000,F675)*'Real Analysis'!$B$4</f>
        <v>9.9949675500000019</v>
      </c>
      <c r="R675">
        <f t="shared" si="65"/>
        <v>-239.280304</v>
      </c>
      <c r="S675">
        <f t="shared" si="66"/>
        <v>22.125214</v>
      </c>
      <c r="T675">
        <f t="shared" si="67"/>
        <v>0</v>
      </c>
      <c r="U675">
        <f t="shared" si="68"/>
        <v>0.22500000000000001</v>
      </c>
    </row>
    <row r="676" spans="1:21" x14ac:dyDescent="0.3">
      <c r="A676" s="4">
        <v>674</v>
      </c>
      <c r="B676" s="4">
        <v>-96577494028</v>
      </c>
      <c r="C676" s="5">
        <v>3</v>
      </c>
      <c r="D676" s="5">
        <v>4.1993000000000003E-2</v>
      </c>
      <c r="E676" s="5">
        <v>2.1694000000000001E-2</v>
      </c>
      <c r="F676" s="5">
        <v>1043273</v>
      </c>
      <c r="G676" s="5">
        <v>-253795044</v>
      </c>
      <c r="H676" s="5">
        <v>35749271</v>
      </c>
      <c r="I676" s="5">
        <v>0</v>
      </c>
      <c r="J676" s="5">
        <v>224</v>
      </c>
      <c r="L676">
        <f t="shared" si="63"/>
        <v>674</v>
      </c>
      <c r="M676">
        <f>'Real Analysis'!$B$3+B676/1000000</f>
        <v>14.505971999999019</v>
      </c>
      <c r="N676">
        <f t="shared" si="64"/>
        <v>3</v>
      </c>
      <c r="O676">
        <f>IF(ABS(D676)&gt;1,D676/1000000,D676)*'Real Analysis'!$B$4</f>
        <v>0.41195133000000006</v>
      </c>
      <c r="P676">
        <f>IF(ABS(E676)&gt;1,E676/1000000,E676)*'Real Analysis'!$B$4</f>
        <v>0.21281814000000002</v>
      </c>
      <c r="Q676">
        <f>IF(ABS(F676)&gt;1,F676/1000000,F676)*'Real Analysis'!$B$4</f>
        <v>10.23450813</v>
      </c>
      <c r="R676">
        <f t="shared" si="65"/>
        <v>-253.79504399999999</v>
      </c>
      <c r="S676">
        <f t="shared" si="66"/>
        <v>35.749271</v>
      </c>
      <c r="T676">
        <f t="shared" si="67"/>
        <v>0</v>
      </c>
      <c r="U676">
        <f t="shared" si="68"/>
        <v>0.224</v>
      </c>
    </row>
    <row r="677" spans="1:21" x14ac:dyDescent="0.3">
      <c r="A677" s="4">
        <v>675</v>
      </c>
      <c r="B677" s="4">
        <v>-96577469423</v>
      </c>
      <c r="C677" s="5">
        <v>3</v>
      </c>
      <c r="D677" s="5">
        <v>4.0254999999999999E-2</v>
      </c>
      <c r="E677" s="5">
        <v>1.9488999999999999E-2</v>
      </c>
      <c r="F677" s="5">
        <v>1059957</v>
      </c>
      <c r="G677" s="5">
        <v>-263581116</v>
      </c>
      <c r="H677" s="5">
        <v>48749359</v>
      </c>
      <c r="I677" s="5">
        <v>0</v>
      </c>
      <c r="J677" s="5">
        <v>223</v>
      </c>
      <c r="L677">
        <f t="shared" si="63"/>
        <v>675</v>
      </c>
      <c r="M677">
        <f>'Real Analysis'!$B$3+B677/1000000</f>
        <v>14.53057699999772</v>
      </c>
      <c r="N677">
        <f t="shared" si="64"/>
        <v>3</v>
      </c>
      <c r="O677">
        <f>IF(ABS(D677)&gt;1,D677/1000000,D677)*'Real Analysis'!$B$4</f>
        <v>0.39490154999999999</v>
      </c>
      <c r="P677">
        <f>IF(ABS(E677)&gt;1,E677/1000000,E677)*'Real Analysis'!$B$4</f>
        <v>0.19118709</v>
      </c>
      <c r="Q677">
        <f>IF(ABS(F677)&gt;1,F677/1000000,F677)*'Real Analysis'!$B$4</f>
        <v>10.398178170000001</v>
      </c>
      <c r="R677">
        <f t="shared" si="65"/>
        <v>-263.58111600000001</v>
      </c>
      <c r="S677">
        <f t="shared" si="66"/>
        <v>48.749358999999998</v>
      </c>
      <c r="T677">
        <f t="shared" si="67"/>
        <v>0</v>
      </c>
      <c r="U677">
        <f t="shared" si="68"/>
        <v>0.223</v>
      </c>
    </row>
    <row r="678" spans="1:21" x14ac:dyDescent="0.3">
      <c r="A678" s="4">
        <v>676</v>
      </c>
      <c r="B678" s="4">
        <v>-96577449820</v>
      </c>
      <c r="C678" s="5">
        <v>3</v>
      </c>
      <c r="D678" s="5">
        <v>3.6372000000000002E-2</v>
      </c>
      <c r="E678" s="5">
        <v>1.9538E-2</v>
      </c>
      <c r="F678" s="5">
        <v>1045601</v>
      </c>
      <c r="G678" s="5">
        <v>-264658356</v>
      </c>
      <c r="H678" s="5">
        <v>48693169</v>
      </c>
      <c r="I678" s="5">
        <v>0</v>
      </c>
      <c r="J678" s="5">
        <v>222</v>
      </c>
      <c r="L678">
        <f t="shared" si="63"/>
        <v>676</v>
      </c>
      <c r="M678">
        <f>'Real Analysis'!$B$3+B678/1000000</f>
        <v>14.550180000005639</v>
      </c>
      <c r="N678">
        <f t="shared" si="64"/>
        <v>3</v>
      </c>
      <c r="O678">
        <f>IF(ABS(D678)&gt;1,D678/1000000,D678)*'Real Analysis'!$B$4</f>
        <v>0.35680932000000004</v>
      </c>
      <c r="P678">
        <f>IF(ABS(E678)&gt;1,E678/1000000,E678)*'Real Analysis'!$B$4</f>
        <v>0.19166778000000001</v>
      </c>
      <c r="Q678">
        <f>IF(ABS(F678)&gt;1,F678/1000000,F678)*'Real Analysis'!$B$4</f>
        <v>10.25734581</v>
      </c>
      <c r="R678">
        <f t="shared" si="65"/>
        <v>-264.65835600000003</v>
      </c>
      <c r="S678">
        <f t="shared" si="66"/>
        <v>48.693168999999997</v>
      </c>
      <c r="T678">
        <f t="shared" si="67"/>
        <v>0</v>
      </c>
      <c r="U678">
        <f t="shared" si="68"/>
        <v>0.222</v>
      </c>
    </row>
    <row r="679" spans="1:21" x14ac:dyDescent="0.3">
      <c r="A679" s="4">
        <v>677</v>
      </c>
      <c r="B679" s="4">
        <v>-96577425757</v>
      </c>
      <c r="C679" s="5">
        <v>3</v>
      </c>
      <c r="D679" s="5">
        <v>3.2747999999999999E-2</v>
      </c>
      <c r="E679" s="5">
        <v>1.0888E-2</v>
      </c>
      <c r="F679" s="5">
        <v>1042198</v>
      </c>
      <c r="G679" s="5">
        <v>-235392029</v>
      </c>
      <c r="H679" s="5">
        <v>58786156</v>
      </c>
      <c r="I679" s="5">
        <v>0</v>
      </c>
      <c r="J679" s="5">
        <v>222</v>
      </c>
      <c r="L679">
        <f t="shared" si="63"/>
        <v>677</v>
      </c>
      <c r="M679">
        <f>'Real Analysis'!$B$3+B679/1000000</f>
        <v>14.574242999995477</v>
      </c>
      <c r="N679">
        <f t="shared" si="64"/>
        <v>3</v>
      </c>
      <c r="O679">
        <f>IF(ABS(D679)&gt;1,D679/1000000,D679)*'Real Analysis'!$B$4</f>
        <v>0.32125788</v>
      </c>
      <c r="P679">
        <f>IF(ABS(E679)&gt;1,E679/1000000,E679)*'Real Analysis'!$B$4</f>
        <v>0.10681128000000001</v>
      </c>
      <c r="Q679">
        <f>IF(ABS(F679)&gt;1,F679/1000000,F679)*'Real Analysis'!$B$4</f>
        <v>10.22396238</v>
      </c>
      <c r="R679">
        <f t="shared" si="65"/>
        <v>-235.39202900000001</v>
      </c>
      <c r="S679">
        <f t="shared" si="66"/>
        <v>58.786155999999998</v>
      </c>
      <c r="T679">
        <f t="shared" si="67"/>
        <v>0</v>
      </c>
      <c r="U679">
        <f t="shared" si="68"/>
        <v>0.222</v>
      </c>
    </row>
    <row r="680" spans="1:21" x14ac:dyDescent="0.3">
      <c r="A680" s="4">
        <v>678</v>
      </c>
      <c r="B680" s="4">
        <v>-96577410351</v>
      </c>
      <c r="C680" s="5">
        <v>3</v>
      </c>
      <c r="D680" s="5">
        <v>4.0882000000000002E-2</v>
      </c>
      <c r="E680" s="5">
        <v>1.0735E-2</v>
      </c>
      <c r="F680" s="5">
        <v>1041947</v>
      </c>
      <c r="G680" s="5">
        <v>-225181961</v>
      </c>
      <c r="H680" s="5">
        <v>70689285</v>
      </c>
      <c r="I680" s="5">
        <v>0</v>
      </c>
      <c r="J680" s="5">
        <v>228</v>
      </c>
      <c r="L680">
        <f t="shared" si="63"/>
        <v>678</v>
      </c>
      <c r="M680">
        <f>'Real Analysis'!$B$3+B680/1000000</f>
        <v>14.589649000001373</v>
      </c>
      <c r="N680">
        <f t="shared" si="64"/>
        <v>3</v>
      </c>
      <c r="O680">
        <f>IF(ABS(D680)&gt;1,D680/1000000,D680)*'Real Analysis'!$B$4</f>
        <v>0.40105242000000002</v>
      </c>
      <c r="P680">
        <f>IF(ABS(E680)&gt;1,E680/1000000,E680)*'Real Analysis'!$B$4</f>
        <v>0.10531035</v>
      </c>
      <c r="Q680">
        <f>IF(ABS(F680)&gt;1,F680/1000000,F680)*'Real Analysis'!$B$4</f>
        <v>10.221500069999999</v>
      </c>
      <c r="R680">
        <f t="shared" si="65"/>
        <v>-225.181961</v>
      </c>
      <c r="S680">
        <f t="shared" si="66"/>
        <v>70.689284999999998</v>
      </c>
      <c r="T680">
        <f t="shared" si="67"/>
        <v>0</v>
      </c>
      <c r="U680">
        <f t="shared" si="68"/>
        <v>0.22800000000000001</v>
      </c>
    </row>
    <row r="681" spans="1:21" x14ac:dyDescent="0.3">
      <c r="A681" s="4">
        <v>679</v>
      </c>
      <c r="B681" s="4">
        <v>-96577388698</v>
      </c>
      <c r="C681" s="5">
        <v>3</v>
      </c>
      <c r="D681" s="5">
        <v>4.0245000000000003E-2</v>
      </c>
      <c r="E681" s="5">
        <v>1.8901000000000001E-2</v>
      </c>
      <c r="F681" s="5">
        <v>1056672</v>
      </c>
      <c r="G681" s="5">
        <v>-214866470</v>
      </c>
      <c r="H681" s="5">
        <v>71576942</v>
      </c>
      <c r="I681" s="5">
        <v>0</v>
      </c>
      <c r="J681" s="5">
        <v>227</v>
      </c>
      <c r="L681">
        <f t="shared" si="63"/>
        <v>679</v>
      </c>
      <c r="M681">
        <f>'Real Analysis'!$B$3+B681/1000000</f>
        <v>14.611302000004798</v>
      </c>
      <c r="N681">
        <f t="shared" si="64"/>
        <v>3</v>
      </c>
      <c r="O681">
        <f>IF(ABS(D681)&gt;1,D681/1000000,D681)*'Real Analysis'!$B$4</f>
        <v>0.39480345000000006</v>
      </c>
      <c r="P681">
        <f>IF(ABS(E681)&gt;1,E681/1000000,E681)*'Real Analysis'!$B$4</f>
        <v>0.18541881000000002</v>
      </c>
      <c r="Q681">
        <f>IF(ABS(F681)&gt;1,F681/1000000,F681)*'Real Analysis'!$B$4</f>
        <v>10.365952320000002</v>
      </c>
      <c r="R681">
        <f t="shared" si="65"/>
        <v>-214.86646999999999</v>
      </c>
      <c r="S681">
        <f t="shared" si="66"/>
        <v>71.576942000000003</v>
      </c>
      <c r="T681">
        <f t="shared" si="67"/>
        <v>0</v>
      </c>
      <c r="U681">
        <f t="shared" si="68"/>
        <v>0.22700000000000001</v>
      </c>
    </row>
    <row r="682" spans="1:21" x14ac:dyDescent="0.3">
      <c r="A682" s="4">
        <v>680</v>
      </c>
      <c r="B682" s="4">
        <v>-96577370712</v>
      </c>
      <c r="C682" s="5">
        <v>3</v>
      </c>
      <c r="D682" s="5">
        <v>3.6832999999999998E-2</v>
      </c>
      <c r="E682" s="5">
        <v>2.7950000000000002E-3</v>
      </c>
      <c r="F682" s="5">
        <v>1050315</v>
      </c>
      <c r="G682" s="5">
        <v>-206478104</v>
      </c>
      <c r="H682" s="5">
        <v>65717140</v>
      </c>
      <c r="I682" s="5">
        <v>0</v>
      </c>
      <c r="J682" s="5">
        <v>227</v>
      </c>
      <c r="L682">
        <f t="shared" si="63"/>
        <v>680</v>
      </c>
      <c r="M682">
        <f>'Real Analysis'!$B$3+B682/1000000</f>
        <v>14.62928799999645</v>
      </c>
      <c r="N682">
        <f t="shared" si="64"/>
        <v>3</v>
      </c>
      <c r="O682">
        <f>IF(ABS(D682)&gt;1,D682/1000000,D682)*'Real Analysis'!$B$4</f>
        <v>0.36133173000000002</v>
      </c>
      <c r="P682">
        <f>IF(ABS(E682)&gt;1,E682/1000000,E682)*'Real Analysis'!$B$4</f>
        <v>2.7418950000000004E-2</v>
      </c>
      <c r="Q682">
        <f>IF(ABS(F682)&gt;1,F682/1000000,F682)*'Real Analysis'!$B$4</f>
        <v>10.303590150000002</v>
      </c>
      <c r="R682">
        <f t="shared" si="65"/>
        <v>-206.478104</v>
      </c>
      <c r="S682">
        <f t="shared" si="66"/>
        <v>65.717140000000001</v>
      </c>
      <c r="T682">
        <f t="shared" si="67"/>
        <v>0</v>
      </c>
      <c r="U682">
        <f t="shared" si="68"/>
        <v>0.22700000000000001</v>
      </c>
    </row>
    <row r="683" spans="1:21" x14ac:dyDescent="0.3">
      <c r="A683" s="4">
        <v>681</v>
      </c>
      <c r="B683" s="4">
        <v>-96577350751</v>
      </c>
      <c r="C683" s="5">
        <v>3</v>
      </c>
      <c r="D683" s="5">
        <v>3.1061999999999999E-2</v>
      </c>
      <c r="E683" s="5">
        <v>-2.0599999999999999E-4</v>
      </c>
      <c r="F683" s="5">
        <v>1033584</v>
      </c>
      <c r="G683" s="5">
        <v>-190616043</v>
      </c>
      <c r="H683" s="5">
        <v>51757961</v>
      </c>
      <c r="I683" s="5">
        <v>0</v>
      </c>
      <c r="J683" s="5">
        <v>226</v>
      </c>
      <c r="L683">
        <f t="shared" si="63"/>
        <v>681</v>
      </c>
      <c r="M683">
        <f>'Real Analysis'!$B$3+B683/1000000</f>
        <v>14.649248999994597</v>
      </c>
      <c r="N683">
        <f t="shared" si="64"/>
        <v>3</v>
      </c>
      <c r="O683">
        <f>IF(ABS(D683)&gt;1,D683/1000000,D683)*'Real Analysis'!$B$4</f>
        <v>0.30471821999999998</v>
      </c>
      <c r="P683">
        <f>IF(ABS(E683)&gt;1,E683/1000000,E683)*'Real Analysis'!$B$4</f>
        <v>-2.0208600000000002E-3</v>
      </c>
      <c r="Q683">
        <f>IF(ABS(F683)&gt;1,F683/1000000,F683)*'Real Analysis'!$B$4</f>
        <v>10.13945904</v>
      </c>
      <c r="R683">
        <f t="shared" si="65"/>
        <v>-190.61604299999999</v>
      </c>
      <c r="S683">
        <f t="shared" si="66"/>
        <v>51.757961000000002</v>
      </c>
      <c r="T683">
        <f t="shared" si="67"/>
        <v>0</v>
      </c>
      <c r="U683">
        <f t="shared" si="68"/>
        <v>0.22600000000000001</v>
      </c>
    </row>
    <row r="684" spans="1:21" x14ac:dyDescent="0.3">
      <c r="A684" s="4">
        <v>682</v>
      </c>
      <c r="B684" s="4">
        <v>-96577330373</v>
      </c>
      <c r="C684" s="5">
        <v>3</v>
      </c>
      <c r="D684" s="5">
        <v>1.6063000000000001E-2</v>
      </c>
      <c r="E684" s="5">
        <v>2.3324999999999999E-2</v>
      </c>
      <c r="F684" s="5">
        <v>1016343</v>
      </c>
      <c r="G684" s="5">
        <v>-174497086</v>
      </c>
      <c r="H684" s="5">
        <v>41377563</v>
      </c>
      <c r="I684" s="5">
        <v>0</v>
      </c>
      <c r="J684" s="5">
        <v>230</v>
      </c>
      <c r="L684">
        <f t="shared" si="63"/>
        <v>682</v>
      </c>
      <c r="M684">
        <f>'Real Analysis'!$B$3+B684/1000000</f>
        <v>14.669626999995671</v>
      </c>
      <c r="N684">
        <f t="shared" si="64"/>
        <v>3</v>
      </c>
      <c r="O684">
        <f>IF(ABS(D684)&gt;1,D684/1000000,D684)*'Real Analysis'!$B$4</f>
        <v>0.15757803000000001</v>
      </c>
      <c r="P684">
        <f>IF(ABS(E684)&gt;1,E684/1000000,E684)*'Real Analysis'!$B$4</f>
        <v>0.22881825</v>
      </c>
      <c r="Q684">
        <f>IF(ABS(F684)&gt;1,F684/1000000,F684)*'Real Analysis'!$B$4</f>
        <v>9.9703248300000009</v>
      </c>
      <c r="R684">
        <f t="shared" si="65"/>
        <v>-174.497086</v>
      </c>
      <c r="S684">
        <f t="shared" si="66"/>
        <v>41.377563000000002</v>
      </c>
      <c r="T684">
        <f t="shared" si="67"/>
        <v>0</v>
      </c>
      <c r="U684">
        <f t="shared" si="68"/>
        <v>0.23</v>
      </c>
    </row>
    <row r="685" spans="1:21" x14ac:dyDescent="0.3">
      <c r="A685" s="4">
        <v>683</v>
      </c>
      <c r="B685" s="4">
        <v>-96577309810</v>
      </c>
      <c r="C685" s="5">
        <v>3</v>
      </c>
      <c r="D685" s="5">
        <v>3.0200999999999999E-2</v>
      </c>
      <c r="E685" s="5">
        <v>2.5113E-2</v>
      </c>
      <c r="F685" s="5">
        <v>1005980</v>
      </c>
      <c r="G685" s="5">
        <v>-163876236</v>
      </c>
      <c r="H685" s="5">
        <v>30708401</v>
      </c>
      <c r="I685" s="5">
        <v>0</v>
      </c>
      <c r="J685" s="5">
        <v>230</v>
      </c>
      <c r="L685">
        <f t="shared" si="63"/>
        <v>683</v>
      </c>
      <c r="M685">
        <f>'Real Analysis'!$B$3+B685/1000000</f>
        <v>14.690189999993891</v>
      </c>
      <c r="N685">
        <f t="shared" si="64"/>
        <v>3</v>
      </c>
      <c r="O685">
        <f>IF(ABS(D685)&gt;1,D685/1000000,D685)*'Real Analysis'!$B$4</f>
        <v>0.29627181000000002</v>
      </c>
      <c r="P685">
        <f>IF(ABS(E685)&gt;1,E685/1000000,E685)*'Real Analysis'!$B$4</f>
        <v>0.24635853000000002</v>
      </c>
      <c r="Q685">
        <f>IF(ABS(F685)&gt;1,F685/1000000,F685)*'Real Analysis'!$B$4</f>
        <v>9.868663800000002</v>
      </c>
      <c r="R685">
        <f t="shared" si="65"/>
        <v>-163.87623600000001</v>
      </c>
      <c r="S685">
        <f t="shared" si="66"/>
        <v>30.708400999999999</v>
      </c>
      <c r="T685">
        <f t="shared" si="67"/>
        <v>0</v>
      </c>
      <c r="U685">
        <f t="shared" si="68"/>
        <v>0.23</v>
      </c>
    </row>
    <row r="686" spans="1:21" x14ac:dyDescent="0.3">
      <c r="A686" s="4">
        <v>684</v>
      </c>
      <c r="B686" s="4">
        <v>-96577290195</v>
      </c>
      <c r="C686" s="5">
        <v>3</v>
      </c>
      <c r="D686" s="5">
        <v>1.9864E-2</v>
      </c>
      <c r="E686" s="5">
        <v>5.7499999999999999E-4</v>
      </c>
      <c r="F686" s="5">
        <v>1012305</v>
      </c>
      <c r="G686" s="5">
        <v>-151050812</v>
      </c>
      <c r="H686" s="5">
        <v>22310520</v>
      </c>
      <c r="I686" s="5">
        <v>0</v>
      </c>
      <c r="J686" s="5">
        <v>232</v>
      </c>
      <c r="L686">
        <f t="shared" si="63"/>
        <v>684</v>
      </c>
      <c r="M686">
        <f>'Real Analysis'!$B$3+B686/1000000</f>
        <v>14.709805000005872</v>
      </c>
      <c r="N686">
        <f t="shared" si="64"/>
        <v>3</v>
      </c>
      <c r="O686">
        <f>IF(ABS(D686)&gt;1,D686/1000000,D686)*'Real Analysis'!$B$4</f>
        <v>0.19486584000000001</v>
      </c>
      <c r="P686">
        <f>IF(ABS(E686)&gt;1,E686/1000000,E686)*'Real Analysis'!$B$4</f>
        <v>5.6407499999999999E-3</v>
      </c>
      <c r="Q686">
        <f>IF(ABS(F686)&gt;1,F686/1000000,F686)*'Real Analysis'!$B$4</f>
        <v>9.9307120500000003</v>
      </c>
      <c r="R686">
        <f t="shared" si="65"/>
        <v>-151.05081200000001</v>
      </c>
      <c r="S686">
        <f t="shared" si="66"/>
        <v>22.31052</v>
      </c>
      <c r="T686">
        <f t="shared" si="67"/>
        <v>0</v>
      </c>
      <c r="U686">
        <f t="shared" si="68"/>
        <v>0.23200000000000001</v>
      </c>
    </row>
    <row r="687" spans="1:21" x14ac:dyDescent="0.3">
      <c r="A687" s="4">
        <v>685</v>
      </c>
      <c r="B687" s="4">
        <v>-96577268983</v>
      </c>
      <c r="C687" s="5">
        <v>3</v>
      </c>
      <c r="D687" s="5">
        <v>2.3503E-2</v>
      </c>
      <c r="E687" s="5">
        <v>2.9863000000000001E-2</v>
      </c>
      <c r="F687" s="5">
        <v>1005570</v>
      </c>
      <c r="G687" s="5">
        <v>-137819519</v>
      </c>
      <c r="H687" s="5">
        <v>-6763387</v>
      </c>
      <c r="I687" s="5">
        <v>0</v>
      </c>
      <c r="J687" s="5">
        <v>232</v>
      </c>
      <c r="L687">
        <f t="shared" si="63"/>
        <v>685</v>
      </c>
      <c r="M687">
        <f>'Real Analysis'!$B$3+B687/1000000</f>
        <v>14.731016999998246</v>
      </c>
      <c r="N687">
        <f t="shared" si="64"/>
        <v>3</v>
      </c>
      <c r="O687">
        <f>IF(ABS(D687)&gt;1,D687/1000000,D687)*'Real Analysis'!$B$4</f>
        <v>0.23056443000000001</v>
      </c>
      <c r="P687">
        <f>IF(ABS(E687)&gt;1,E687/1000000,E687)*'Real Analysis'!$B$4</f>
        <v>0.29295603000000003</v>
      </c>
      <c r="Q687">
        <f>IF(ABS(F687)&gt;1,F687/1000000,F687)*'Real Analysis'!$B$4</f>
        <v>9.8646417000000017</v>
      </c>
      <c r="R687">
        <f t="shared" si="65"/>
        <v>-137.81951900000001</v>
      </c>
      <c r="S687">
        <f t="shared" si="66"/>
        <v>-6.7633869999999998</v>
      </c>
      <c r="T687">
        <f t="shared" si="67"/>
        <v>0</v>
      </c>
      <c r="U687">
        <f t="shared" si="68"/>
        <v>0.23200000000000001</v>
      </c>
    </row>
    <row r="688" spans="1:21" x14ac:dyDescent="0.3">
      <c r="A688" s="4">
        <v>686</v>
      </c>
      <c r="B688" s="4">
        <v>-96577253190</v>
      </c>
      <c r="C688" s="5">
        <v>3</v>
      </c>
      <c r="D688" s="5">
        <v>4.5081999999999997E-2</v>
      </c>
      <c r="E688" s="5">
        <v>2.7612000000000001E-2</v>
      </c>
      <c r="F688" s="5">
        <v>0.99139999999999995</v>
      </c>
      <c r="G688" s="5">
        <v>-123393517</v>
      </c>
      <c r="H688" s="5">
        <v>-22772850</v>
      </c>
      <c r="I688" s="5">
        <v>0</v>
      </c>
      <c r="J688" s="5">
        <v>233</v>
      </c>
      <c r="L688">
        <f t="shared" si="63"/>
        <v>686</v>
      </c>
      <c r="M688">
        <f>'Real Analysis'!$B$3+B688/1000000</f>
        <v>14.746809999996913</v>
      </c>
      <c r="N688">
        <f t="shared" si="64"/>
        <v>3</v>
      </c>
      <c r="O688">
        <f>IF(ABS(D688)&gt;1,D688/1000000,D688)*'Real Analysis'!$B$4</f>
        <v>0.44225441999999998</v>
      </c>
      <c r="P688">
        <f>IF(ABS(E688)&gt;1,E688/1000000,E688)*'Real Analysis'!$B$4</f>
        <v>0.27087372000000004</v>
      </c>
      <c r="Q688">
        <f>IF(ABS(F688)&gt;1,F688/1000000,F688)*'Real Analysis'!$B$4</f>
        <v>9.7256339999999994</v>
      </c>
      <c r="R688">
        <f t="shared" si="65"/>
        <v>-123.393517</v>
      </c>
      <c r="S688">
        <f t="shared" si="66"/>
        <v>-22.772849999999998</v>
      </c>
      <c r="T688">
        <f t="shared" si="67"/>
        <v>0</v>
      </c>
      <c r="U688">
        <f t="shared" si="68"/>
        <v>0.23300000000000001</v>
      </c>
    </row>
    <row r="689" spans="1:21" x14ac:dyDescent="0.3">
      <c r="A689" s="4">
        <v>687</v>
      </c>
      <c r="B689" s="4">
        <v>-96577229848</v>
      </c>
      <c r="C689" s="5">
        <v>3</v>
      </c>
      <c r="D689" s="5">
        <v>3.2495999999999997E-2</v>
      </c>
      <c r="E689" s="5">
        <v>6.6509999999999998E-3</v>
      </c>
      <c r="F689" s="5">
        <v>1002438</v>
      </c>
      <c r="G689" s="5">
        <v>-100448845</v>
      </c>
      <c r="H689" s="5">
        <v>-23597574</v>
      </c>
      <c r="I689" s="5">
        <v>0</v>
      </c>
      <c r="J689" s="5">
        <v>233</v>
      </c>
      <c r="L689">
        <f t="shared" si="63"/>
        <v>687</v>
      </c>
      <c r="M689">
        <f>'Real Analysis'!$B$3+B689/1000000</f>
        <v>14.770151999997324</v>
      </c>
      <c r="N689">
        <f t="shared" si="64"/>
        <v>3</v>
      </c>
      <c r="O689">
        <f>IF(ABS(D689)&gt;1,D689/1000000,D689)*'Real Analysis'!$B$4</f>
        <v>0.31878575999999997</v>
      </c>
      <c r="P689">
        <f>IF(ABS(E689)&gt;1,E689/1000000,E689)*'Real Analysis'!$B$4</f>
        <v>6.5246310000000002E-2</v>
      </c>
      <c r="Q689">
        <f>IF(ABS(F689)&gt;1,F689/1000000,F689)*'Real Analysis'!$B$4</f>
        <v>9.8339167799999991</v>
      </c>
      <c r="R689">
        <f t="shared" si="65"/>
        <v>-100.44884500000001</v>
      </c>
      <c r="S689">
        <f t="shared" si="66"/>
        <v>-23.597574000000002</v>
      </c>
      <c r="T689">
        <f t="shared" si="67"/>
        <v>0</v>
      </c>
      <c r="U689">
        <f t="shared" si="68"/>
        <v>0.23300000000000001</v>
      </c>
    </row>
    <row r="690" spans="1:21" x14ac:dyDescent="0.3">
      <c r="A690" s="4">
        <v>688</v>
      </c>
      <c r="B690" s="4">
        <v>-96577209356</v>
      </c>
      <c r="C690" s="5">
        <v>3</v>
      </c>
      <c r="D690" s="5">
        <v>-2.6150000000000001E-3</v>
      </c>
      <c r="E690" s="5">
        <v>2.2023999999999998E-2</v>
      </c>
      <c r="F690" s="5">
        <v>0.98817100000000002</v>
      </c>
      <c r="G690" s="5">
        <v>-83813560</v>
      </c>
      <c r="H690" s="5">
        <v>-29837877</v>
      </c>
      <c r="I690" s="5">
        <v>0</v>
      </c>
      <c r="J690" s="5">
        <v>232</v>
      </c>
      <c r="L690">
        <f t="shared" si="63"/>
        <v>688</v>
      </c>
      <c r="M690">
        <f>'Real Analysis'!$B$3+B690/1000000</f>
        <v>14.790643999993335</v>
      </c>
      <c r="N690">
        <f t="shared" si="64"/>
        <v>3</v>
      </c>
      <c r="O690">
        <f>IF(ABS(D690)&gt;1,D690/1000000,D690)*'Real Analysis'!$B$4</f>
        <v>-2.5653150000000003E-2</v>
      </c>
      <c r="P690">
        <f>IF(ABS(E690)&gt;1,E690/1000000,E690)*'Real Analysis'!$B$4</f>
        <v>0.21605543999999999</v>
      </c>
      <c r="Q690">
        <f>IF(ABS(F690)&gt;1,F690/1000000,F690)*'Real Analysis'!$B$4</f>
        <v>9.6939575100000006</v>
      </c>
      <c r="R690">
        <f t="shared" si="65"/>
        <v>-83.813559999999995</v>
      </c>
      <c r="S690">
        <f t="shared" si="66"/>
        <v>-29.837876999999999</v>
      </c>
      <c r="T690">
        <f t="shared" si="67"/>
        <v>0</v>
      </c>
      <c r="U690">
        <f t="shared" si="68"/>
        <v>0.23200000000000001</v>
      </c>
    </row>
    <row r="691" spans="1:21" x14ac:dyDescent="0.3">
      <c r="A691" s="4">
        <v>689</v>
      </c>
      <c r="B691" s="4">
        <v>-96577189431</v>
      </c>
      <c r="C691" s="5">
        <v>3</v>
      </c>
      <c r="D691" s="5">
        <v>2.7556000000000001E-2</v>
      </c>
      <c r="E691" s="5">
        <v>2.7924999999999998E-2</v>
      </c>
      <c r="F691" s="5">
        <v>0.98425499999999999</v>
      </c>
      <c r="G691" s="5">
        <v>-68128914</v>
      </c>
      <c r="H691" s="5">
        <v>-4246759</v>
      </c>
      <c r="I691" s="5">
        <v>0</v>
      </c>
      <c r="J691" s="5">
        <v>232</v>
      </c>
      <c r="L691">
        <f t="shared" si="63"/>
        <v>689</v>
      </c>
      <c r="M691">
        <f>'Real Analysis'!$B$3+B691/1000000</f>
        <v>14.810568999993848</v>
      </c>
      <c r="N691">
        <f t="shared" si="64"/>
        <v>3</v>
      </c>
      <c r="O691">
        <f>IF(ABS(D691)&gt;1,D691/1000000,D691)*'Real Analysis'!$B$4</f>
        <v>0.27032436000000004</v>
      </c>
      <c r="P691">
        <f>IF(ABS(E691)&gt;1,E691/1000000,E691)*'Real Analysis'!$B$4</f>
        <v>0.27394425</v>
      </c>
      <c r="Q691">
        <f>IF(ABS(F691)&gt;1,F691/1000000,F691)*'Real Analysis'!$B$4</f>
        <v>9.6555415500000006</v>
      </c>
      <c r="R691">
        <f t="shared" si="65"/>
        <v>-68.128913999999995</v>
      </c>
      <c r="S691">
        <f t="shared" si="66"/>
        <v>-4.246759</v>
      </c>
      <c r="T691">
        <f t="shared" si="67"/>
        <v>0</v>
      </c>
      <c r="U691">
        <f t="shared" si="68"/>
        <v>0.23200000000000001</v>
      </c>
    </row>
    <row r="692" spans="1:21" x14ac:dyDescent="0.3">
      <c r="A692" s="4">
        <v>690</v>
      </c>
      <c r="B692" s="4">
        <v>-96577167601</v>
      </c>
      <c r="C692" s="5">
        <v>3</v>
      </c>
      <c r="D692" s="5">
        <v>2.2098E-2</v>
      </c>
      <c r="E692" s="5">
        <v>-1.0169999999999999E-3</v>
      </c>
      <c r="F692" s="5">
        <v>0.99531700000000001</v>
      </c>
      <c r="G692" s="5">
        <v>-49821766</v>
      </c>
      <c r="H692" s="5">
        <v>0.679234</v>
      </c>
      <c r="I692" s="5">
        <v>0</v>
      </c>
      <c r="J692" s="5">
        <v>234</v>
      </c>
      <c r="L692">
        <f t="shared" si="63"/>
        <v>690</v>
      </c>
      <c r="M692">
        <f>'Real Analysis'!$B$3+B692/1000000</f>
        <v>14.832399000006262</v>
      </c>
      <c r="N692">
        <f t="shared" si="64"/>
        <v>3</v>
      </c>
      <c r="O692">
        <f>IF(ABS(D692)&gt;1,D692/1000000,D692)*'Real Analysis'!$B$4</f>
        <v>0.21678138</v>
      </c>
      <c r="P692">
        <f>IF(ABS(E692)&gt;1,E692/1000000,E692)*'Real Analysis'!$B$4</f>
        <v>-9.9767699999999994E-3</v>
      </c>
      <c r="Q692">
        <f>IF(ABS(F692)&gt;1,F692/1000000,F692)*'Real Analysis'!$B$4</f>
        <v>9.7640597700000011</v>
      </c>
      <c r="R692">
        <f t="shared" si="65"/>
        <v>-49.821765999999997</v>
      </c>
      <c r="S692">
        <f t="shared" si="66"/>
        <v>0.679234</v>
      </c>
      <c r="T692">
        <f t="shared" si="67"/>
        <v>0</v>
      </c>
      <c r="U692">
        <f t="shared" si="68"/>
        <v>0.23400000000000001</v>
      </c>
    </row>
    <row r="693" spans="1:21" x14ac:dyDescent="0.3">
      <c r="A693" s="4">
        <v>691</v>
      </c>
      <c r="B693" s="4">
        <v>-96577146738</v>
      </c>
      <c r="C693" s="5">
        <v>3</v>
      </c>
      <c r="D693" s="5">
        <v>1.6777E-2</v>
      </c>
      <c r="E693" s="5">
        <v>-7.097E-3</v>
      </c>
      <c r="F693" s="5">
        <v>0.99107000000000001</v>
      </c>
      <c r="G693" s="5">
        <v>-31217854</v>
      </c>
      <c r="H693" s="5">
        <v>-8678508</v>
      </c>
      <c r="I693" s="5">
        <v>0</v>
      </c>
      <c r="J693" s="5">
        <v>234</v>
      </c>
      <c r="L693">
        <f t="shared" si="63"/>
        <v>691</v>
      </c>
      <c r="M693">
        <f>'Real Analysis'!$B$3+B693/1000000</f>
        <v>14.853262000004179</v>
      </c>
      <c r="N693">
        <f t="shared" si="64"/>
        <v>3</v>
      </c>
      <c r="O693">
        <f>IF(ABS(D693)&gt;1,D693/1000000,D693)*'Real Analysis'!$B$4</f>
        <v>0.16458237000000001</v>
      </c>
      <c r="P693">
        <f>IF(ABS(E693)&gt;1,E693/1000000,E693)*'Real Analysis'!$B$4</f>
        <v>-6.9621570000000008E-2</v>
      </c>
      <c r="Q693">
        <f>IF(ABS(F693)&gt;1,F693/1000000,F693)*'Real Analysis'!$B$4</f>
        <v>9.7223967000000009</v>
      </c>
      <c r="R693">
        <f t="shared" si="65"/>
        <v>-31.217853999999999</v>
      </c>
      <c r="S693">
        <f t="shared" si="66"/>
        <v>-8.6785080000000008</v>
      </c>
      <c r="T693">
        <f t="shared" si="67"/>
        <v>0</v>
      </c>
      <c r="U693">
        <f t="shared" si="68"/>
        <v>0.23400000000000001</v>
      </c>
    </row>
    <row r="694" spans="1:21" x14ac:dyDescent="0.3">
      <c r="A694" s="4">
        <v>692</v>
      </c>
      <c r="B694" s="4">
        <v>-96577129472</v>
      </c>
      <c r="C694" s="5">
        <v>3</v>
      </c>
      <c r="D694" s="5">
        <v>2.3125E-2</v>
      </c>
      <c r="E694" s="5">
        <v>-6.986E-3</v>
      </c>
      <c r="F694" s="5">
        <v>0.99783699999999997</v>
      </c>
      <c r="G694" s="5">
        <v>-14708376</v>
      </c>
      <c r="H694" s="5">
        <v>-10282964</v>
      </c>
      <c r="I694" s="5">
        <v>0</v>
      </c>
      <c r="J694" s="5">
        <v>235</v>
      </c>
      <c r="L694">
        <f t="shared" si="63"/>
        <v>692</v>
      </c>
      <c r="M694">
        <f>'Real Analysis'!$B$3+B694/1000000</f>
        <v>14.870527999999467</v>
      </c>
      <c r="N694">
        <f t="shared" si="64"/>
        <v>3</v>
      </c>
      <c r="O694">
        <f>IF(ABS(D694)&gt;1,D694/1000000,D694)*'Real Analysis'!$B$4</f>
        <v>0.22685625000000001</v>
      </c>
      <c r="P694">
        <f>IF(ABS(E694)&gt;1,E694/1000000,E694)*'Real Analysis'!$B$4</f>
        <v>-6.8532660000000009E-2</v>
      </c>
      <c r="Q694">
        <f>IF(ABS(F694)&gt;1,F694/1000000,F694)*'Real Analysis'!$B$4</f>
        <v>9.7887809699999995</v>
      </c>
      <c r="R694">
        <f t="shared" si="65"/>
        <v>-14.708375999999999</v>
      </c>
      <c r="S694">
        <f t="shared" si="66"/>
        <v>-10.282964</v>
      </c>
      <c r="T694">
        <f t="shared" si="67"/>
        <v>0</v>
      </c>
      <c r="U694">
        <f t="shared" si="68"/>
        <v>0.23499999999999999</v>
      </c>
    </row>
    <row r="695" spans="1:21" x14ac:dyDescent="0.3">
      <c r="A695" s="4">
        <v>693</v>
      </c>
      <c r="B695" s="4">
        <v>-96577107739</v>
      </c>
      <c r="C695" s="5">
        <v>3</v>
      </c>
      <c r="D695" s="5">
        <v>2.2484000000000001E-2</v>
      </c>
      <c r="E695" s="5">
        <v>1.472E-3</v>
      </c>
      <c r="F695" s="5">
        <v>1006676</v>
      </c>
      <c r="G695" s="5">
        <v>-7600632</v>
      </c>
      <c r="H695" s="5">
        <v>-25045986</v>
      </c>
      <c r="I695" s="5">
        <v>0</v>
      </c>
      <c r="J695" s="5">
        <v>234</v>
      </c>
      <c r="L695">
        <f t="shared" si="63"/>
        <v>693</v>
      </c>
      <c r="M695">
        <f>'Real Analysis'!$B$3+B695/1000000</f>
        <v>14.892261000000872</v>
      </c>
      <c r="N695">
        <f t="shared" si="64"/>
        <v>3</v>
      </c>
      <c r="O695">
        <f>IF(ABS(D695)&gt;1,D695/1000000,D695)*'Real Analysis'!$B$4</f>
        <v>0.22056804000000002</v>
      </c>
      <c r="P695">
        <f>IF(ABS(E695)&gt;1,E695/1000000,E695)*'Real Analysis'!$B$4</f>
        <v>1.4440320000000001E-2</v>
      </c>
      <c r="Q695">
        <f>IF(ABS(F695)&gt;1,F695/1000000,F695)*'Real Analysis'!$B$4</f>
        <v>9.8754915600000004</v>
      </c>
      <c r="R695">
        <f t="shared" si="65"/>
        <v>-7.6006320000000001</v>
      </c>
      <c r="S695">
        <f t="shared" si="66"/>
        <v>-25.045985999999999</v>
      </c>
      <c r="T695">
        <f t="shared" si="67"/>
        <v>0</v>
      </c>
      <c r="U695">
        <f t="shared" si="68"/>
        <v>0.23400000000000001</v>
      </c>
    </row>
    <row r="696" spans="1:21" x14ac:dyDescent="0.3">
      <c r="A696" s="4">
        <v>694</v>
      </c>
      <c r="B696" s="4">
        <v>-96577087018</v>
      </c>
      <c r="C696" s="5">
        <v>3</v>
      </c>
      <c r="D696" s="5">
        <v>1.8683000000000002E-2</v>
      </c>
      <c r="E696" s="5">
        <v>4.3309999999999998E-3</v>
      </c>
      <c r="F696" s="5">
        <v>1020259</v>
      </c>
      <c r="G696" s="5">
        <v>7065637</v>
      </c>
      <c r="H696" s="5">
        <v>32957668</v>
      </c>
      <c r="I696" s="5">
        <v>0</v>
      </c>
      <c r="J696" s="5">
        <v>235</v>
      </c>
      <c r="L696">
        <f t="shared" si="63"/>
        <v>694</v>
      </c>
      <c r="M696">
        <f>'Real Analysis'!$B$3+B696/1000000</f>
        <v>14.912981999994372</v>
      </c>
      <c r="N696">
        <f t="shared" si="64"/>
        <v>3</v>
      </c>
      <c r="O696">
        <f>IF(ABS(D696)&gt;1,D696/1000000,D696)*'Real Analysis'!$B$4</f>
        <v>0.18328023000000002</v>
      </c>
      <c r="P696">
        <f>IF(ABS(E696)&gt;1,E696/1000000,E696)*'Real Analysis'!$B$4</f>
        <v>4.2487110000000002E-2</v>
      </c>
      <c r="Q696">
        <f>IF(ABS(F696)&gt;1,F696/1000000,F696)*'Real Analysis'!$B$4</f>
        <v>10.008740790000001</v>
      </c>
      <c r="R696">
        <f t="shared" si="65"/>
        <v>7.0656369999999997</v>
      </c>
      <c r="S696">
        <f t="shared" si="66"/>
        <v>32.957667999999998</v>
      </c>
      <c r="T696">
        <f t="shared" si="67"/>
        <v>0</v>
      </c>
      <c r="U696">
        <f t="shared" si="68"/>
        <v>0.23499999999999999</v>
      </c>
    </row>
    <row r="697" spans="1:21" x14ac:dyDescent="0.3">
      <c r="A697" s="4">
        <v>695</v>
      </c>
      <c r="B697" s="4">
        <v>-96577068856</v>
      </c>
      <c r="C697" s="5">
        <v>3</v>
      </c>
      <c r="D697" s="5">
        <v>1.9924000000000001E-2</v>
      </c>
      <c r="E697" s="5">
        <v>8.8140000000000007E-3</v>
      </c>
      <c r="F697" s="5">
        <v>1005150</v>
      </c>
      <c r="G697" s="5">
        <v>27437782</v>
      </c>
      <c r="H697" s="5">
        <v>65936066</v>
      </c>
      <c r="I697" s="5">
        <v>0</v>
      </c>
      <c r="J697" s="5">
        <v>235</v>
      </c>
      <c r="L697">
        <f t="shared" si="63"/>
        <v>695</v>
      </c>
      <c r="M697">
        <f>'Real Analysis'!$B$3+B697/1000000</f>
        <v>14.93114400000195</v>
      </c>
      <c r="N697">
        <f t="shared" si="64"/>
        <v>3</v>
      </c>
      <c r="O697">
        <f>IF(ABS(D697)&gt;1,D697/1000000,D697)*'Real Analysis'!$B$4</f>
        <v>0.19545444000000001</v>
      </c>
      <c r="P697">
        <f>IF(ABS(E697)&gt;1,E697/1000000,E697)*'Real Analysis'!$B$4</f>
        <v>8.6465340000000016E-2</v>
      </c>
      <c r="Q697">
        <f>IF(ABS(F697)&gt;1,F697/1000000,F697)*'Real Analysis'!$B$4</f>
        <v>9.8605215000000008</v>
      </c>
      <c r="R697">
        <f t="shared" si="65"/>
        <v>27.437781999999999</v>
      </c>
      <c r="S697">
        <f t="shared" si="66"/>
        <v>65.936065999999997</v>
      </c>
      <c r="T697">
        <f t="shared" si="67"/>
        <v>0</v>
      </c>
      <c r="U697">
        <f t="shared" si="68"/>
        <v>0.23499999999999999</v>
      </c>
    </row>
    <row r="698" spans="1:21" x14ac:dyDescent="0.3">
      <c r="A698" s="4">
        <v>696</v>
      </c>
      <c r="B698" s="4">
        <v>-96577047703</v>
      </c>
      <c r="C698" s="5">
        <v>3</v>
      </c>
      <c r="D698" s="5">
        <v>2.0607E-2</v>
      </c>
      <c r="E698" s="5">
        <v>-1.1235999999999999E-2</v>
      </c>
      <c r="F698" s="5">
        <v>0.99998299999999996</v>
      </c>
      <c r="G698" s="5">
        <v>31630476</v>
      </c>
      <c r="H698" s="5">
        <v>129666748</v>
      </c>
      <c r="I698" s="5">
        <v>0</v>
      </c>
      <c r="J698" s="5">
        <v>236</v>
      </c>
      <c r="L698">
        <f t="shared" si="63"/>
        <v>696</v>
      </c>
      <c r="M698">
        <f>'Real Analysis'!$B$3+B698/1000000</f>
        <v>14.952296999996179</v>
      </c>
      <c r="N698">
        <f t="shared" si="64"/>
        <v>3</v>
      </c>
      <c r="O698">
        <f>IF(ABS(D698)&gt;1,D698/1000000,D698)*'Real Analysis'!$B$4</f>
        <v>0.20215467000000001</v>
      </c>
      <c r="P698">
        <f>IF(ABS(E698)&gt;1,E698/1000000,E698)*'Real Analysis'!$B$4</f>
        <v>-0.11022516</v>
      </c>
      <c r="Q698">
        <f>IF(ABS(F698)&gt;1,F698/1000000,F698)*'Real Analysis'!$B$4</f>
        <v>9.8098332300000006</v>
      </c>
      <c r="R698">
        <f t="shared" si="65"/>
        <v>31.630476000000002</v>
      </c>
      <c r="S698">
        <f t="shared" si="66"/>
        <v>129.66674800000001</v>
      </c>
      <c r="T698">
        <f t="shared" si="67"/>
        <v>0</v>
      </c>
      <c r="U698">
        <f t="shared" si="68"/>
        <v>0.23599999999999999</v>
      </c>
    </row>
    <row r="699" spans="1:21" x14ac:dyDescent="0.3">
      <c r="A699" s="4">
        <v>697</v>
      </c>
      <c r="B699" s="4">
        <v>-96577041867</v>
      </c>
      <c r="C699" s="5">
        <v>3</v>
      </c>
      <c r="D699" s="5">
        <v>1.7101000000000002E-2</v>
      </c>
      <c r="E699" s="5">
        <v>-1.8575999999999999E-2</v>
      </c>
      <c r="F699" s="5">
        <v>1002513</v>
      </c>
      <c r="G699" s="5">
        <v>33351093</v>
      </c>
      <c r="H699" s="5">
        <v>128970444</v>
      </c>
      <c r="I699" s="5">
        <v>0</v>
      </c>
      <c r="J699" s="5">
        <v>236</v>
      </c>
      <c r="L699">
        <f t="shared" si="63"/>
        <v>697</v>
      </c>
      <c r="M699">
        <f>'Real Analysis'!$B$3+B699/1000000</f>
        <v>14.958132999992813</v>
      </c>
      <c r="N699">
        <f t="shared" si="64"/>
        <v>3</v>
      </c>
      <c r="O699">
        <f>IF(ABS(D699)&gt;1,D699/1000000,D699)*'Real Analysis'!$B$4</f>
        <v>0.16776081000000004</v>
      </c>
      <c r="P699">
        <f>IF(ABS(E699)&gt;1,E699/1000000,E699)*'Real Analysis'!$B$4</f>
        <v>-0.18223055999999999</v>
      </c>
      <c r="Q699">
        <f>IF(ABS(F699)&gt;1,F699/1000000,F699)*'Real Analysis'!$B$4</f>
        <v>9.8346525299999996</v>
      </c>
      <c r="R699">
        <f t="shared" si="65"/>
        <v>33.351092999999999</v>
      </c>
      <c r="S699">
        <f t="shared" si="66"/>
        <v>128.97044399999999</v>
      </c>
      <c r="T699">
        <f t="shared" si="67"/>
        <v>0</v>
      </c>
      <c r="U699">
        <f t="shared" si="68"/>
        <v>0.23599999999999999</v>
      </c>
    </row>
    <row r="700" spans="1:21" x14ac:dyDescent="0.3">
      <c r="A700" s="4">
        <v>698</v>
      </c>
      <c r="B700" s="4">
        <v>-96577009319</v>
      </c>
      <c r="C700" s="5">
        <v>3</v>
      </c>
      <c r="D700" s="5">
        <v>1.6025000000000001E-2</v>
      </c>
      <c r="E700" s="5">
        <v>-8.8540000000000008E-3</v>
      </c>
      <c r="F700" s="5">
        <v>1007656</v>
      </c>
      <c r="G700" s="5">
        <v>51812439</v>
      </c>
      <c r="H700" s="5">
        <v>163905014</v>
      </c>
      <c r="I700" s="5">
        <v>0</v>
      </c>
      <c r="J700" s="5">
        <v>236</v>
      </c>
      <c r="L700">
        <f t="shared" si="63"/>
        <v>698</v>
      </c>
      <c r="M700">
        <f>'Real Analysis'!$B$3+B700/1000000</f>
        <v>14.990680999995675</v>
      </c>
      <c r="N700">
        <f t="shared" si="64"/>
        <v>3</v>
      </c>
      <c r="O700">
        <f>IF(ABS(D700)&gt;1,D700/1000000,D700)*'Real Analysis'!$B$4</f>
        <v>0.15720525000000002</v>
      </c>
      <c r="P700">
        <f>IF(ABS(E700)&gt;1,E700/1000000,E700)*'Real Analysis'!$B$4</f>
        <v>-8.6857740000000017E-2</v>
      </c>
      <c r="Q700">
        <f>IF(ABS(F700)&gt;1,F700/1000000,F700)*'Real Analysis'!$B$4</f>
        <v>9.8851053600000007</v>
      </c>
      <c r="R700">
        <f t="shared" si="65"/>
        <v>51.812438999999998</v>
      </c>
      <c r="S700">
        <f t="shared" si="66"/>
        <v>163.90501399999999</v>
      </c>
      <c r="T700">
        <f t="shared" si="67"/>
        <v>0</v>
      </c>
      <c r="U700">
        <f t="shared" si="68"/>
        <v>0.23599999999999999</v>
      </c>
    </row>
    <row r="701" spans="1:21" x14ac:dyDescent="0.3">
      <c r="A701" s="4">
        <v>699</v>
      </c>
      <c r="B701" s="4">
        <v>-96576988853</v>
      </c>
      <c r="C701" s="5">
        <v>3</v>
      </c>
      <c r="D701" s="5">
        <v>8.8039999999999993E-3</v>
      </c>
      <c r="E701" s="5">
        <v>-9.953E-3</v>
      </c>
      <c r="F701" s="5">
        <v>1031408</v>
      </c>
      <c r="G701" s="5">
        <v>75998734</v>
      </c>
      <c r="H701" s="5">
        <v>179243164</v>
      </c>
      <c r="I701" s="5">
        <v>0</v>
      </c>
      <c r="J701" s="5">
        <v>235</v>
      </c>
      <c r="L701">
        <f t="shared" si="63"/>
        <v>699</v>
      </c>
      <c r="M701">
        <f>'Real Analysis'!$B$3+B701/1000000</f>
        <v>15.011146999997436</v>
      </c>
      <c r="N701">
        <f t="shared" si="64"/>
        <v>3</v>
      </c>
      <c r="O701">
        <f>IF(ABS(D701)&gt;1,D701/1000000,D701)*'Real Analysis'!$B$4</f>
        <v>8.6367239999999998E-2</v>
      </c>
      <c r="P701">
        <f>IF(ABS(E701)&gt;1,E701/1000000,E701)*'Real Analysis'!$B$4</f>
        <v>-9.7638929999999999E-2</v>
      </c>
      <c r="Q701">
        <f>IF(ABS(F701)&gt;1,F701/1000000,F701)*'Real Analysis'!$B$4</f>
        <v>10.118112480000001</v>
      </c>
      <c r="R701">
        <f t="shared" si="65"/>
        <v>75.998733999999999</v>
      </c>
      <c r="S701">
        <f t="shared" si="66"/>
        <v>179.24316400000001</v>
      </c>
      <c r="T701">
        <f t="shared" si="67"/>
        <v>0</v>
      </c>
      <c r="U701">
        <f t="shared" si="68"/>
        <v>0.23499999999999999</v>
      </c>
    </row>
    <row r="702" spans="1:21" x14ac:dyDescent="0.3">
      <c r="A702" s="4">
        <v>700</v>
      </c>
      <c r="B702" s="4">
        <v>-96576967472</v>
      </c>
      <c r="C702" s="5">
        <v>3</v>
      </c>
      <c r="D702" s="5">
        <v>1.0539E-2</v>
      </c>
      <c r="E702" s="5">
        <v>2.8400999999999999E-2</v>
      </c>
      <c r="F702" s="5">
        <v>1049821</v>
      </c>
      <c r="G702" s="5">
        <v>65814972</v>
      </c>
      <c r="H702" s="5">
        <v>200698410</v>
      </c>
      <c r="I702" s="5">
        <v>0</v>
      </c>
      <c r="J702" s="5">
        <v>235</v>
      </c>
      <c r="L702">
        <f t="shared" si="63"/>
        <v>700</v>
      </c>
      <c r="M702">
        <f>'Real Analysis'!$B$3+B702/1000000</f>
        <v>15.032527999996091</v>
      </c>
      <c r="N702">
        <f t="shared" si="64"/>
        <v>3</v>
      </c>
      <c r="O702">
        <f>IF(ABS(D702)&gt;1,D702/1000000,D702)*'Real Analysis'!$B$4</f>
        <v>0.10338759</v>
      </c>
      <c r="P702">
        <f>IF(ABS(E702)&gt;1,E702/1000000,E702)*'Real Analysis'!$B$4</f>
        <v>0.27861381000000002</v>
      </c>
      <c r="Q702">
        <f>IF(ABS(F702)&gt;1,F702/1000000,F702)*'Real Analysis'!$B$4</f>
        <v>10.29874401</v>
      </c>
      <c r="R702">
        <f t="shared" si="65"/>
        <v>65.814971999999997</v>
      </c>
      <c r="S702">
        <f t="shared" si="66"/>
        <v>200.69841</v>
      </c>
      <c r="T702">
        <f t="shared" si="67"/>
        <v>0</v>
      </c>
      <c r="U702">
        <f t="shared" si="68"/>
        <v>0.23499999999999999</v>
      </c>
    </row>
    <row r="703" spans="1:21" x14ac:dyDescent="0.3">
      <c r="A703" s="4">
        <v>701</v>
      </c>
      <c r="B703" s="4">
        <v>-96576951860</v>
      </c>
      <c r="C703" s="5">
        <v>3</v>
      </c>
      <c r="D703" s="5">
        <v>2.0962000000000001E-2</v>
      </c>
      <c r="E703" s="5">
        <v>2.8709999999999999E-2</v>
      </c>
      <c r="F703" s="5">
        <v>1028928</v>
      </c>
      <c r="G703" s="5">
        <v>57807201</v>
      </c>
      <c r="H703" s="5">
        <v>271101501</v>
      </c>
      <c r="I703" s="5">
        <v>0</v>
      </c>
      <c r="J703" s="5">
        <v>235</v>
      </c>
      <c r="L703">
        <f t="shared" si="63"/>
        <v>701</v>
      </c>
      <c r="M703">
        <f>'Real Analysis'!$B$3+B703/1000000</f>
        <v>15.048139999998966</v>
      </c>
      <c r="N703">
        <f t="shared" si="64"/>
        <v>3</v>
      </c>
      <c r="O703">
        <f>IF(ABS(D703)&gt;1,D703/1000000,D703)*'Real Analysis'!$B$4</f>
        <v>0.20563722000000004</v>
      </c>
      <c r="P703">
        <f>IF(ABS(E703)&gt;1,E703/1000000,E703)*'Real Analysis'!$B$4</f>
        <v>0.28164509999999998</v>
      </c>
      <c r="Q703">
        <f>IF(ABS(F703)&gt;1,F703/1000000,F703)*'Real Analysis'!$B$4</f>
        <v>10.093783680000001</v>
      </c>
      <c r="R703">
        <f t="shared" si="65"/>
        <v>57.807200999999999</v>
      </c>
      <c r="S703">
        <f t="shared" si="66"/>
        <v>271.10150099999998</v>
      </c>
      <c r="T703">
        <f t="shared" si="67"/>
        <v>0</v>
      </c>
      <c r="U703">
        <f t="shared" si="68"/>
        <v>0.23499999999999999</v>
      </c>
    </row>
    <row r="704" spans="1:21" x14ac:dyDescent="0.3">
      <c r="A704" s="4">
        <v>702</v>
      </c>
      <c r="B704" s="4">
        <v>-96576933346</v>
      </c>
      <c r="C704" s="5">
        <v>3</v>
      </c>
      <c r="D704" s="5">
        <v>1.7309000000000001E-2</v>
      </c>
      <c r="E704" s="5">
        <v>7.6509999999999998E-3</v>
      </c>
      <c r="F704" s="5">
        <v>1015282</v>
      </c>
      <c r="G704" s="5">
        <v>52396557</v>
      </c>
      <c r="H704" s="5">
        <v>302883728</v>
      </c>
      <c r="I704" s="5">
        <v>0</v>
      </c>
      <c r="J704" s="5">
        <v>235</v>
      </c>
      <c r="L704">
        <f t="shared" si="63"/>
        <v>702</v>
      </c>
      <c r="M704">
        <f>'Real Analysis'!$B$3+B704/1000000</f>
        <v>15.066653999994742</v>
      </c>
      <c r="N704">
        <f t="shared" si="64"/>
        <v>3</v>
      </c>
      <c r="O704">
        <f>IF(ABS(D704)&gt;1,D704/1000000,D704)*'Real Analysis'!$B$4</f>
        <v>0.16980129000000002</v>
      </c>
      <c r="P704">
        <f>IF(ABS(E704)&gt;1,E704/1000000,E704)*'Real Analysis'!$B$4</f>
        <v>7.5056310000000001E-2</v>
      </c>
      <c r="Q704">
        <f>IF(ABS(F704)&gt;1,F704/1000000,F704)*'Real Analysis'!$B$4</f>
        <v>9.9599164200000008</v>
      </c>
      <c r="R704">
        <f t="shared" si="65"/>
        <v>52.396557000000001</v>
      </c>
      <c r="S704">
        <f t="shared" si="66"/>
        <v>302.88372800000002</v>
      </c>
      <c r="T704">
        <f t="shared" si="67"/>
        <v>0</v>
      </c>
      <c r="U704">
        <f t="shared" si="68"/>
        <v>0.23499999999999999</v>
      </c>
    </row>
    <row r="705" spans="1:21" x14ac:dyDescent="0.3">
      <c r="A705" s="4">
        <v>703</v>
      </c>
      <c r="B705" s="4">
        <v>-96576921722</v>
      </c>
      <c r="C705" s="5">
        <v>3</v>
      </c>
      <c r="D705" s="5">
        <v>1.8918999999999998E-2</v>
      </c>
      <c r="E705" s="5">
        <v>-7.62E-3</v>
      </c>
      <c r="F705" s="5">
        <v>1012109</v>
      </c>
      <c r="G705" s="5">
        <v>63915676</v>
      </c>
      <c r="H705" s="5">
        <v>255438141</v>
      </c>
      <c r="I705" s="5">
        <v>0</v>
      </c>
      <c r="J705" s="5">
        <v>235</v>
      </c>
      <c r="L705">
        <f t="shared" si="63"/>
        <v>703</v>
      </c>
      <c r="M705">
        <f>'Real Analysis'!$B$3+B705/1000000</f>
        <v>15.078278000000864</v>
      </c>
      <c r="N705">
        <f t="shared" si="64"/>
        <v>3</v>
      </c>
      <c r="O705">
        <f>IF(ABS(D705)&gt;1,D705/1000000,D705)*'Real Analysis'!$B$4</f>
        <v>0.18559539</v>
      </c>
      <c r="P705">
        <f>IF(ABS(E705)&gt;1,E705/1000000,E705)*'Real Analysis'!$B$4</f>
        <v>-7.4752200000000005E-2</v>
      </c>
      <c r="Q705">
        <f>IF(ABS(F705)&gt;1,F705/1000000,F705)*'Real Analysis'!$B$4</f>
        <v>9.9287892899999992</v>
      </c>
      <c r="R705">
        <f t="shared" si="65"/>
        <v>63.915675999999998</v>
      </c>
      <c r="S705">
        <f t="shared" si="66"/>
        <v>255.438141</v>
      </c>
      <c r="T705">
        <f t="shared" si="67"/>
        <v>0</v>
      </c>
      <c r="U705">
        <f t="shared" si="68"/>
        <v>0.23499999999999999</v>
      </c>
    </row>
    <row r="706" spans="1:21" x14ac:dyDescent="0.3">
      <c r="A706" s="4">
        <v>704</v>
      </c>
      <c r="B706" s="4">
        <v>-96576890475</v>
      </c>
      <c r="C706" s="5">
        <v>3</v>
      </c>
      <c r="D706" s="5">
        <v>3.0043E-2</v>
      </c>
      <c r="E706" s="5">
        <v>-1.9109999999999999E-3</v>
      </c>
      <c r="F706" s="5">
        <v>1019884</v>
      </c>
      <c r="G706" s="5">
        <v>89629959</v>
      </c>
      <c r="H706" s="5">
        <v>163210739</v>
      </c>
      <c r="I706" s="5">
        <v>0</v>
      </c>
      <c r="J706" s="5">
        <v>235</v>
      </c>
      <c r="L706">
        <f t="shared" si="63"/>
        <v>704</v>
      </c>
      <c r="M706">
        <f>'Real Analysis'!$B$3+B706/1000000</f>
        <v>15.109525000007125</v>
      </c>
      <c r="N706">
        <f t="shared" si="64"/>
        <v>3</v>
      </c>
      <c r="O706">
        <f>IF(ABS(D706)&gt;1,D706/1000000,D706)*'Real Analysis'!$B$4</f>
        <v>0.29472183000000002</v>
      </c>
      <c r="P706">
        <f>IF(ABS(E706)&gt;1,E706/1000000,E706)*'Real Analysis'!$B$4</f>
        <v>-1.8746910000000002E-2</v>
      </c>
      <c r="Q706">
        <f>IF(ABS(F706)&gt;1,F706/1000000,F706)*'Real Analysis'!$B$4</f>
        <v>10.00506204</v>
      </c>
      <c r="R706">
        <f t="shared" si="65"/>
        <v>89.629958999999999</v>
      </c>
      <c r="S706">
        <f t="shared" si="66"/>
        <v>163.21073899999999</v>
      </c>
      <c r="T706">
        <f t="shared" si="67"/>
        <v>0</v>
      </c>
      <c r="U706">
        <f t="shared" si="68"/>
        <v>0.23499999999999999</v>
      </c>
    </row>
    <row r="707" spans="1:21" x14ac:dyDescent="0.3">
      <c r="A707" s="4">
        <v>705</v>
      </c>
      <c r="B707" s="4">
        <v>-96576870562</v>
      </c>
      <c r="C707" s="5">
        <v>3</v>
      </c>
      <c r="D707" s="5">
        <v>9.8340000000000007E-3</v>
      </c>
      <c r="E707" s="5">
        <v>1.5027E-2</v>
      </c>
      <c r="F707" s="5">
        <v>1038041</v>
      </c>
      <c r="G707" s="5">
        <v>125904999</v>
      </c>
      <c r="H707" s="5">
        <v>107185295</v>
      </c>
      <c r="I707" s="5">
        <v>0</v>
      </c>
      <c r="J707" s="5">
        <v>235</v>
      </c>
      <c r="L707">
        <f t="shared" ref="L707:L770" si="69">A707</f>
        <v>705</v>
      </c>
      <c r="M707">
        <f>'Real Analysis'!$B$3+B707/1000000</f>
        <v>15.129438000003574</v>
      </c>
      <c r="N707">
        <f t="shared" ref="N707:N770" si="70">C707</f>
        <v>3</v>
      </c>
      <c r="O707">
        <f>IF(ABS(D707)&gt;1,D707/1000000,D707)*'Real Analysis'!$B$4</f>
        <v>9.6471540000000008E-2</v>
      </c>
      <c r="P707">
        <f>IF(ABS(E707)&gt;1,E707/1000000,E707)*'Real Analysis'!$B$4</f>
        <v>0.14741487</v>
      </c>
      <c r="Q707">
        <f>IF(ABS(F707)&gt;1,F707/1000000,F707)*'Real Analysis'!$B$4</f>
        <v>10.18318221</v>
      </c>
      <c r="R707">
        <f t="shared" ref="R707:R770" si="71">IF(ABS(G707)&gt;1,G707/1000000,G707)</f>
        <v>125.904999</v>
      </c>
      <c r="S707">
        <f t="shared" ref="S707:S770" si="72">IF(ABS(H707)&gt;1,H707/1000000,H707)</f>
        <v>107.185295</v>
      </c>
      <c r="T707">
        <f t="shared" ref="T707:T770" si="73">IF(ABS(I707)&gt;1,I707/1000000,I707)</f>
        <v>0</v>
      </c>
      <c r="U707">
        <f t="shared" si="68"/>
        <v>0.23499999999999999</v>
      </c>
    </row>
    <row r="708" spans="1:21" x14ac:dyDescent="0.3">
      <c r="A708" s="4">
        <v>706</v>
      </c>
      <c r="B708" s="4">
        <v>-96576850624</v>
      </c>
      <c r="C708" s="5">
        <v>3</v>
      </c>
      <c r="D708" s="5">
        <v>4.2906E-2</v>
      </c>
      <c r="E708" s="5">
        <v>2.2880999999999999E-2</v>
      </c>
      <c r="F708" s="5">
        <v>1040818</v>
      </c>
      <c r="G708" s="5">
        <v>146058655</v>
      </c>
      <c r="H708" s="5">
        <v>92556168</v>
      </c>
      <c r="I708" s="5">
        <v>0</v>
      </c>
      <c r="J708" s="5">
        <v>237</v>
      </c>
      <c r="L708">
        <f t="shared" si="69"/>
        <v>706</v>
      </c>
      <c r="M708">
        <f>'Real Analysis'!$B$3+B708/1000000</f>
        <v>15.149376000001212</v>
      </c>
      <c r="N708">
        <f t="shared" si="70"/>
        <v>3</v>
      </c>
      <c r="O708">
        <f>IF(ABS(D708)&gt;1,D708/1000000,D708)*'Real Analysis'!$B$4</f>
        <v>0.42090786000000002</v>
      </c>
      <c r="P708">
        <f>IF(ABS(E708)&gt;1,E708/1000000,E708)*'Real Analysis'!$B$4</f>
        <v>0.22446261000000001</v>
      </c>
      <c r="Q708">
        <f>IF(ABS(F708)&gt;1,F708/1000000,F708)*'Real Analysis'!$B$4</f>
        <v>10.210424580000002</v>
      </c>
      <c r="R708">
        <f t="shared" si="71"/>
        <v>146.05865499999999</v>
      </c>
      <c r="S708">
        <f t="shared" si="72"/>
        <v>92.556168</v>
      </c>
      <c r="T708">
        <f t="shared" si="73"/>
        <v>0</v>
      </c>
      <c r="U708">
        <f t="shared" si="68"/>
        <v>0.23699999999999999</v>
      </c>
    </row>
    <row r="709" spans="1:21" x14ac:dyDescent="0.3">
      <c r="A709" s="4">
        <v>707</v>
      </c>
      <c r="B709" s="4">
        <v>-96576828026</v>
      </c>
      <c r="C709" s="5">
        <v>3</v>
      </c>
      <c r="D709" s="5">
        <v>3.4596000000000002E-2</v>
      </c>
      <c r="E709" s="5">
        <v>-4.5250000000000004E-3</v>
      </c>
      <c r="F709" s="5">
        <v>1039100</v>
      </c>
      <c r="G709" s="5">
        <v>178755081</v>
      </c>
      <c r="H709" s="5">
        <v>85394363</v>
      </c>
      <c r="I709" s="5">
        <v>0</v>
      </c>
      <c r="J709" s="5">
        <v>237</v>
      </c>
      <c r="L709">
        <f t="shared" si="69"/>
        <v>707</v>
      </c>
      <c r="M709">
        <f>'Real Analysis'!$B$3+B709/1000000</f>
        <v>15.171973999997135</v>
      </c>
      <c r="N709">
        <f t="shared" si="70"/>
        <v>3</v>
      </c>
      <c r="O709">
        <f>IF(ABS(D709)&gt;1,D709/1000000,D709)*'Real Analysis'!$B$4</f>
        <v>0.33938676000000001</v>
      </c>
      <c r="P709">
        <f>IF(ABS(E709)&gt;1,E709/1000000,E709)*'Real Analysis'!$B$4</f>
        <v>-4.4390250000000006E-2</v>
      </c>
      <c r="Q709">
        <f>IF(ABS(F709)&gt;1,F709/1000000,F709)*'Real Analysis'!$B$4</f>
        <v>10.193571</v>
      </c>
      <c r="R709">
        <f t="shared" si="71"/>
        <v>178.75508099999999</v>
      </c>
      <c r="S709">
        <f t="shared" si="72"/>
        <v>85.394362999999998</v>
      </c>
      <c r="T709">
        <f t="shared" si="73"/>
        <v>0</v>
      </c>
      <c r="U709">
        <f t="shared" si="68"/>
        <v>0.23699999999999999</v>
      </c>
    </row>
    <row r="710" spans="1:21" x14ac:dyDescent="0.3">
      <c r="A710" s="4">
        <v>708</v>
      </c>
      <c r="B710" s="4">
        <v>-96576812339</v>
      </c>
      <c r="C710" s="5">
        <v>3</v>
      </c>
      <c r="D710" s="5">
        <v>1.4323000000000001E-2</v>
      </c>
      <c r="E710" s="5">
        <v>5.8170000000000001E-3</v>
      </c>
      <c r="F710" s="5">
        <v>1019520</v>
      </c>
      <c r="G710" s="5">
        <v>186964081</v>
      </c>
      <c r="H710" s="5">
        <v>57468208</v>
      </c>
      <c r="I710" s="5">
        <v>0</v>
      </c>
      <c r="J710" s="5">
        <v>238</v>
      </c>
      <c r="L710">
        <f t="shared" si="69"/>
        <v>708</v>
      </c>
      <c r="M710">
        <f>'Real Analysis'!$B$3+B710/1000000</f>
        <v>15.187661000003573</v>
      </c>
      <c r="N710">
        <f t="shared" si="70"/>
        <v>3</v>
      </c>
      <c r="O710">
        <f>IF(ABS(D710)&gt;1,D710/1000000,D710)*'Real Analysis'!$B$4</f>
        <v>0.14050863000000002</v>
      </c>
      <c r="P710">
        <f>IF(ABS(E710)&gt;1,E710/1000000,E710)*'Real Analysis'!$B$4</f>
        <v>5.7064770000000001E-2</v>
      </c>
      <c r="Q710">
        <f>IF(ABS(F710)&gt;1,F710/1000000,F710)*'Real Analysis'!$B$4</f>
        <v>10.0014912</v>
      </c>
      <c r="R710">
        <f t="shared" si="71"/>
        <v>186.96408099999999</v>
      </c>
      <c r="S710">
        <f t="shared" si="72"/>
        <v>57.468207999999997</v>
      </c>
      <c r="T710">
        <f t="shared" si="73"/>
        <v>0</v>
      </c>
      <c r="U710">
        <f t="shared" si="68"/>
        <v>0.23799999999999999</v>
      </c>
    </row>
    <row r="711" spans="1:21" x14ac:dyDescent="0.3">
      <c r="A711" s="4">
        <v>709</v>
      </c>
      <c r="B711" s="4">
        <v>-96576789402</v>
      </c>
      <c r="C711" s="5">
        <v>3</v>
      </c>
      <c r="D711" s="5">
        <v>1.2456999999999999E-2</v>
      </c>
      <c r="E711" s="5">
        <v>3.0474999999999999E-2</v>
      </c>
      <c r="F711" s="5">
        <v>1019384</v>
      </c>
      <c r="G711" s="5">
        <v>199505508</v>
      </c>
      <c r="H711" s="5">
        <v>65299202</v>
      </c>
      <c r="I711" s="5">
        <v>0</v>
      </c>
      <c r="J711" s="5">
        <v>238</v>
      </c>
      <c r="L711">
        <f t="shared" si="69"/>
        <v>709</v>
      </c>
      <c r="M711">
        <f>'Real Analysis'!$B$3+B711/1000000</f>
        <v>15.21059800000512</v>
      </c>
      <c r="N711">
        <f t="shared" si="70"/>
        <v>3</v>
      </c>
      <c r="O711">
        <f>IF(ABS(D711)&gt;1,D711/1000000,D711)*'Real Analysis'!$B$4</f>
        <v>0.12220317</v>
      </c>
      <c r="P711">
        <f>IF(ABS(E711)&gt;1,E711/1000000,E711)*'Real Analysis'!$B$4</f>
        <v>0.29895975000000002</v>
      </c>
      <c r="Q711">
        <f>IF(ABS(F711)&gt;1,F711/1000000,F711)*'Real Analysis'!$B$4</f>
        <v>10.000157040000001</v>
      </c>
      <c r="R711">
        <f t="shared" si="71"/>
        <v>199.50550799999999</v>
      </c>
      <c r="S711">
        <f t="shared" si="72"/>
        <v>65.299201999999994</v>
      </c>
      <c r="T711">
        <f t="shared" si="73"/>
        <v>0</v>
      </c>
      <c r="U711">
        <f t="shared" si="68"/>
        <v>0.23799999999999999</v>
      </c>
    </row>
    <row r="712" spans="1:21" x14ac:dyDescent="0.3">
      <c r="A712" s="4">
        <v>710</v>
      </c>
      <c r="B712" s="4">
        <v>-96576772241</v>
      </c>
      <c r="C712" s="5">
        <v>3</v>
      </c>
      <c r="D712" s="5">
        <v>3.2301000000000003E-2</v>
      </c>
      <c r="E712" s="5">
        <v>5.5789999999999998E-3</v>
      </c>
      <c r="F712" s="5">
        <v>1019796</v>
      </c>
      <c r="G712" s="5">
        <v>220776932</v>
      </c>
      <c r="H712" s="5">
        <v>36341812</v>
      </c>
      <c r="I712" s="5">
        <v>0</v>
      </c>
      <c r="J712" s="5">
        <v>238</v>
      </c>
      <c r="L712">
        <f t="shared" si="69"/>
        <v>710</v>
      </c>
      <c r="M712">
        <f>'Real Analysis'!$B$3+B712/1000000</f>
        <v>15.227759000001242</v>
      </c>
      <c r="N712">
        <f t="shared" si="70"/>
        <v>3</v>
      </c>
      <c r="O712">
        <f>IF(ABS(D712)&gt;1,D712/1000000,D712)*'Real Analysis'!$B$4</f>
        <v>0.31687281000000006</v>
      </c>
      <c r="P712">
        <f>IF(ABS(E712)&gt;1,E712/1000000,E712)*'Real Analysis'!$B$4</f>
        <v>5.4729989999999999E-2</v>
      </c>
      <c r="Q712">
        <f>IF(ABS(F712)&gt;1,F712/1000000,F712)*'Real Analysis'!$B$4</f>
        <v>10.00419876</v>
      </c>
      <c r="R712">
        <f t="shared" si="71"/>
        <v>220.77693199999999</v>
      </c>
      <c r="S712">
        <f t="shared" si="72"/>
        <v>36.341811999999997</v>
      </c>
      <c r="T712">
        <f t="shared" si="73"/>
        <v>0</v>
      </c>
      <c r="U712">
        <f t="shared" si="68"/>
        <v>0.23799999999999999</v>
      </c>
    </row>
    <row r="713" spans="1:21" x14ac:dyDescent="0.3">
      <c r="A713" s="4">
        <v>711</v>
      </c>
      <c r="B713" s="4">
        <v>-96576755867</v>
      </c>
      <c r="C713" s="5">
        <v>3</v>
      </c>
      <c r="D713" s="5">
        <v>1.2848999999999999E-2</v>
      </c>
      <c r="E713" s="5">
        <v>8.5999999999999998E-4</v>
      </c>
      <c r="F713" s="5">
        <v>1008111</v>
      </c>
      <c r="G713" s="5">
        <v>237093201</v>
      </c>
      <c r="H713" s="5">
        <v>34029888</v>
      </c>
      <c r="I713" s="5">
        <v>0</v>
      </c>
      <c r="J713" s="5">
        <v>239</v>
      </c>
      <c r="L713">
        <f t="shared" si="69"/>
        <v>711</v>
      </c>
      <c r="M713">
        <f>'Real Analysis'!$B$3+B713/1000000</f>
        <v>15.244133000000147</v>
      </c>
      <c r="N713">
        <f t="shared" si="70"/>
        <v>3</v>
      </c>
      <c r="O713">
        <f>IF(ABS(D713)&gt;1,D713/1000000,D713)*'Real Analysis'!$B$4</f>
        <v>0.12604868999999999</v>
      </c>
      <c r="P713">
        <f>IF(ABS(E713)&gt;1,E713/1000000,E713)*'Real Analysis'!$B$4</f>
        <v>8.4366000000000007E-3</v>
      </c>
      <c r="Q713">
        <f>IF(ABS(F713)&gt;1,F713/1000000,F713)*'Real Analysis'!$B$4</f>
        <v>9.8895689099999995</v>
      </c>
      <c r="R713">
        <f t="shared" si="71"/>
        <v>237.09320099999999</v>
      </c>
      <c r="S713">
        <f t="shared" si="72"/>
        <v>34.029888</v>
      </c>
      <c r="T713">
        <f t="shared" si="73"/>
        <v>0</v>
      </c>
      <c r="U713">
        <f t="shared" si="68"/>
        <v>0.23899999999999999</v>
      </c>
    </row>
    <row r="714" spans="1:21" x14ac:dyDescent="0.3">
      <c r="A714" s="4">
        <v>712</v>
      </c>
      <c r="B714" s="4">
        <v>-96576730479</v>
      </c>
      <c r="C714" s="5">
        <v>3</v>
      </c>
      <c r="D714" s="5">
        <v>1.3746E-2</v>
      </c>
      <c r="E714" s="5">
        <v>1.2761E-2</v>
      </c>
      <c r="F714" s="5">
        <v>1016765</v>
      </c>
      <c r="G714" s="5">
        <v>243181839</v>
      </c>
      <c r="H714" s="5">
        <v>39525764</v>
      </c>
      <c r="I714" s="5">
        <v>0</v>
      </c>
      <c r="J714" s="5">
        <v>239</v>
      </c>
      <c r="L714">
        <f t="shared" si="69"/>
        <v>712</v>
      </c>
      <c r="M714">
        <f>'Real Analysis'!$B$3+B714/1000000</f>
        <v>15.269520999994711</v>
      </c>
      <c r="N714">
        <f t="shared" si="70"/>
        <v>3</v>
      </c>
      <c r="O714">
        <f>IF(ABS(D714)&gt;1,D714/1000000,D714)*'Real Analysis'!$B$4</f>
        <v>0.13484826</v>
      </c>
      <c r="P714">
        <f>IF(ABS(E714)&gt;1,E714/1000000,E714)*'Real Analysis'!$B$4</f>
        <v>0.12518541</v>
      </c>
      <c r="Q714">
        <f>IF(ABS(F714)&gt;1,F714/1000000,F714)*'Real Analysis'!$B$4</f>
        <v>9.9744646499999998</v>
      </c>
      <c r="R714">
        <f t="shared" si="71"/>
        <v>243.181839</v>
      </c>
      <c r="S714">
        <f t="shared" si="72"/>
        <v>39.525764000000002</v>
      </c>
      <c r="T714">
        <f t="shared" si="73"/>
        <v>0</v>
      </c>
      <c r="U714">
        <f t="shared" si="68"/>
        <v>0.23899999999999999</v>
      </c>
    </row>
    <row r="715" spans="1:21" x14ac:dyDescent="0.3">
      <c r="A715" s="4">
        <v>713</v>
      </c>
      <c r="B715" s="4">
        <v>-96576719675</v>
      </c>
      <c r="C715" s="5">
        <v>3</v>
      </c>
      <c r="D715" s="5">
        <v>1.5599999999999999E-2</v>
      </c>
      <c r="E715" s="5">
        <v>1.4706E-2</v>
      </c>
      <c r="F715" s="5">
        <v>1016400</v>
      </c>
      <c r="G715" s="5">
        <v>246047897</v>
      </c>
      <c r="H715" s="5">
        <v>40288963</v>
      </c>
      <c r="I715" s="5">
        <v>0</v>
      </c>
      <c r="J715" s="5">
        <v>239</v>
      </c>
      <c r="L715">
        <f t="shared" si="69"/>
        <v>713</v>
      </c>
      <c r="M715">
        <f>'Real Analysis'!$B$3+B715/1000000</f>
        <v>15.280324999999721</v>
      </c>
      <c r="N715">
        <f t="shared" si="70"/>
        <v>3</v>
      </c>
      <c r="O715">
        <f>IF(ABS(D715)&gt;1,D715/1000000,D715)*'Real Analysis'!$B$4</f>
        <v>0.15303600000000001</v>
      </c>
      <c r="P715">
        <f>IF(ABS(E715)&gt;1,E715/1000000,E715)*'Real Analysis'!$B$4</f>
        <v>0.14426586000000002</v>
      </c>
      <c r="Q715">
        <f>IF(ABS(F715)&gt;1,F715/1000000,F715)*'Real Analysis'!$B$4</f>
        <v>9.9708839999999999</v>
      </c>
      <c r="R715">
        <f t="shared" si="71"/>
        <v>246.04789700000001</v>
      </c>
      <c r="S715">
        <f t="shared" si="72"/>
        <v>40.288963000000003</v>
      </c>
      <c r="T715">
        <f t="shared" si="73"/>
        <v>0</v>
      </c>
      <c r="U715">
        <f t="shared" ref="U715:U778" si="74">J715/1000</f>
        <v>0.23899999999999999</v>
      </c>
    </row>
    <row r="716" spans="1:21" x14ac:dyDescent="0.3">
      <c r="A716" s="4">
        <v>714</v>
      </c>
      <c r="B716" s="4">
        <v>-96576694449</v>
      </c>
      <c r="C716" s="5">
        <v>3</v>
      </c>
      <c r="D716" s="5">
        <v>2.1634E-2</v>
      </c>
      <c r="E716" s="5">
        <v>1.159E-2</v>
      </c>
      <c r="F716" s="5">
        <v>1034812</v>
      </c>
      <c r="G716" s="5">
        <v>277767639</v>
      </c>
      <c r="H716" s="5">
        <v>23121536</v>
      </c>
      <c r="I716" s="5">
        <v>0</v>
      </c>
      <c r="J716" s="5">
        <v>239</v>
      </c>
      <c r="L716">
        <f t="shared" si="69"/>
        <v>714</v>
      </c>
      <c r="M716">
        <f>'Real Analysis'!$B$3+B716/1000000</f>
        <v>15.305550999997649</v>
      </c>
      <c r="N716">
        <f t="shared" si="70"/>
        <v>3</v>
      </c>
      <c r="O716">
        <f>IF(ABS(D716)&gt;1,D716/1000000,D716)*'Real Analysis'!$B$4</f>
        <v>0.21222954000000002</v>
      </c>
      <c r="P716">
        <f>IF(ABS(E716)&gt;1,E716/1000000,E716)*'Real Analysis'!$B$4</f>
        <v>0.1136979</v>
      </c>
      <c r="Q716">
        <f>IF(ABS(F716)&gt;1,F716/1000000,F716)*'Real Analysis'!$B$4</f>
        <v>10.151505720000001</v>
      </c>
      <c r="R716">
        <f t="shared" si="71"/>
        <v>277.76763899999997</v>
      </c>
      <c r="S716">
        <f t="shared" si="72"/>
        <v>23.121535999999999</v>
      </c>
      <c r="T716">
        <f t="shared" si="73"/>
        <v>0</v>
      </c>
      <c r="U716">
        <f t="shared" si="74"/>
        <v>0.23899999999999999</v>
      </c>
    </row>
    <row r="717" spans="1:21" x14ac:dyDescent="0.3">
      <c r="A717" s="4">
        <v>715</v>
      </c>
      <c r="B717" s="4">
        <v>-96576668110</v>
      </c>
      <c r="C717" s="5">
        <v>3</v>
      </c>
      <c r="D717" s="5">
        <v>1.3049E-2</v>
      </c>
      <c r="E717" s="5">
        <v>2.428E-3</v>
      </c>
      <c r="F717" s="5">
        <v>1038219</v>
      </c>
      <c r="G717" s="5">
        <v>311526459</v>
      </c>
      <c r="H717" s="5">
        <v>18932890</v>
      </c>
      <c r="I717" s="5">
        <v>0</v>
      </c>
      <c r="J717" s="5">
        <v>240</v>
      </c>
      <c r="L717">
        <f t="shared" si="69"/>
        <v>715</v>
      </c>
      <c r="M717">
        <f>'Real Analysis'!$B$3+B717/1000000</f>
        <v>15.331890000001295</v>
      </c>
      <c r="N717">
        <f t="shared" si="70"/>
        <v>3</v>
      </c>
      <c r="O717">
        <f>IF(ABS(D717)&gt;1,D717/1000000,D717)*'Real Analysis'!$B$4</f>
        <v>0.12801069000000001</v>
      </c>
      <c r="P717">
        <f>IF(ABS(E717)&gt;1,E717/1000000,E717)*'Real Analysis'!$B$4</f>
        <v>2.3818680000000002E-2</v>
      </c>
      <c r="Q717">
        <f>IF(ABS(F717)&gt;1,F717/1000000,F717)*'Real Analysis'!$B$4</f>
        <v>10.184928390000001</v>
      </c>
      <c r="R717">
        <f t="shared" si="71"/>
        <v>311.52645899999999</v>
      </c>
      <c r="S717">
        <f t="shared" si="72"/>
        <v>18.93289</v>
      </c>
      <c r="T717">
        <f t="shared" si="73"/>
        <v>0</v>
      </c>
      <c r="U717">
        <f t="shared" si="74"/>
        <v>0.24</v>
      </c>
    </row>
    <row r="718" spans="1:21" x14ac:dyDescent="0.3">
      <c r="A718" s="4">
        <v>716</v>
      </c>
      <c r="B718" s="4">
        <v>-96576662439</v>
      </c>
      <c r="C718" s="5">
        <v>3</v>
      </c>
      <c r="D718" s="5">
        <v>1.8563E-2</v>
      </c>
      <c r="E718" s="5">
        <v>-1.2999999999999999E-5</v>
      </c>
      <c r="F718" s="5">
        <v>1046023</v>
      </c>
      <c r="G718" s="5">
        <v>316875549</v>
      </c>
      <c r="H718" s="5">
        <v>13231498</v>
      </c>
      <c r="I718" s="5">
        <v>0</v>
      </c>
      <c r="J718" s="5">
        <v>240</v>
      </c>
      <c r="L718">
        <f t="shared" si="69"/>
        <v>716</v>
      </c>
      <c r="M718">
        <f>'Real Analysis'!$B$3+B718/1000000</f>
        <v>15.337560999993002</v>
      </c>
      <c r="N718">
        <f t="shared" si="70"/>
        <v>3</v>
      </c>
      <c r="O718">
        <f>IF(ABS(D718)&gt;1,D718/1000000,D718)*'Real Analysis'!$B$4</f>
        <v>0.18210303</v>
      </c>
      <c r="P718">
        <f>IF(ABS(E718)&gt;1,E718/1000000,E718)*'Real Analysis'!$B$4</f>
        <v>-1.2752999999999999E-4</v>
      </c>
      <c r="Q718">
        <f>IF(ABS(F718)&gt;1,F718/1000000,F718)*'Real Analysis'!$B$4</f>
        <v>10.261485629999999</v>
      </c>
      <c r="R718">
        <f t="shared" si="71"/>
        <v>316.87554899999998</v>
      </c>
      <c r="S718">
        <f t="shared" si="72"/>
        <v>13.231498</v>
      </c>
      <c r="T718">
        <f t="shared" si="73"/>
        <v>0</v>
      </c>
      <c r="U718">
        <f t="shared" si="74"/>
        <v>0.24</v>
      </c>
    </row>
    <row r="719" spans="1:21" x14ac:dyDescent="0.3">
      <c r="A719" s="4">
        <v>717</v>
      </c>
      <c r="B719" s="4">
        <v>-96576631671</v>
      </c>
      <c r="C719" s="5">
        <v>3</v>
      </c>
      <c r="D719" s="5">
        <v>-2.715E-3</v>
      </c>
      <c r="E719" s="5">
        <v>-8.2299999999999995E-4</v>
      </c>
      <c r="F719" s="5">
        <v>1059426</v>
      </c>
      <c r="G719" s="5">
        <v>350107391</v>
      </c>
      <c r="H719" s="5">
        <v>0.906694</v>
      </c>
      <c r="I719" s="5">
        <v>0</v>
      </c>
      <c r="J719" s="5">
        <v>240</v>
      </c>
      <c r="L719">
        <f t="shared" si="69"/>
        <v>717</v>
      </c>
      <c r="M719">
        <f>'Real Analysis'!$B$3+B719/1000000</f>
        <v>15.368329000004451</v>
      </c>
      <c r="N719">
        <f t="shared" si="70"/>
        <v>3</v>
      </c>
      <c r="O719">
        <f>IF(ABS(D719)&gt;1,D719/1000000,D719)*'Real Analysis'!$B$4</f>
        <v>-2.6634150000000002E-2</v>
      </c>
      <c r="P719">
        <f>IF(ABS(E719)&gt;1,E719/1000000,E719)*'Real Analysis'!$B$4</f>
        <v>-8.07363E-3</v>
      </c>
      <c r="Q719">
        <f>IF(ABS(F719)&gt;1,F719/1000000,F719)*'Real Analysis'!$B$4</f>
        <v>10.39296906</v>
      </c>
      <c r="R719">
        <f t="shared" si="71"/>
        <v>350.10739100000001</v>
      </c>
      <c r="S719">
        <f t="shared" si="72"/>
        <v>0.906694</v>
      </c>
      <c r="T719">
        <f t="shared" si="73"/>
        <v>0</v>
      </c>
      <c r="U719">
        <f t="shared" si="74"/>
        <v>0.24</v>
      </c>
    </row>
    <row r="720" spans="1:21" x14ac:dyDescent="0.3">
      <c r="A720" s="4">
        <v>718</v>
      </c>
      <c r="B720" s="4">
        <v>-96576615909</v>
      </c>
      <c r="C720" s="5">
        <v>3</v>
      </c>
      <c r="D720" s="5">
        <v>6.5690000000000002E-3</v>
      </c>
      <c r="E720" s="5">
        <v>8.3260000000000001E-3</v>
      </c>
      <c r="F720" s="5">
        <v>1054430</v>
      </c>
      <c r="G720" s="5">
        <v>371057739</v>
      </c>
      <c r="H720" s="5">
        <v>11096477</v>
      </c>
      <c r="I720" s="5">
        <v>0</v>
      </c>
      <c r="J720" s="5">
        <v>240</v>
      </c>
      <c r="L720">
        <f t="shared" si="69"/>
        <v>718</v>
      </c>
      <c r="M720">
        <f>'Real Analysis'!$B$3+B720/1000000</f>
        <v>15.384090999999898</v>
      </c>
      <c r="N720">
        <f t="shared" si="70"/>
        <v>3</v>
      </c>
      <c r="O720">
        <f>IF(ABS(D720)&gt;1,D720/1000000,D720)*'Real Analysis'!$B$4</f>
        <v>6.4441890000000002E-2</v>
      </c>
      <c r="P720">
        <f>IF(ABS(E720)&gt;1,E720/1000000,E720)*'Real Analysis'!$B$4</f>
        <v>8.1678060000000011E-2</v>
      </c>
      <c r="Q720">
        <f>IF(ABS(F720)&gt;1,F720/1000000,F720)*'Real Analysis'!$B$4</f>
        <v>10.343958300000001</v>
      </c>
      <c r="R720">
        <f t="shared" si="71"/>
        <v>371.05773900000003</v>
      </c>
      <c r="S720">
        <f t="shared" si="72"/>
        <v>11.096477</v>
      </c>
      <c r="T720">
        <f t="shared" si="73"/>
        <v>0</v>
      </c>
      <c r="U720">
        <f t="shared" si="74"/>
        <v>0.24</v>
      </c>
    </row>
    <row r="721" spans="1:21" x14ac:dyDescent="0.3">
      <c r="A721" s="4">
        <v>719</v>
      </c>
      <c r="B721" s="4">
        <v>-96576590816</v>
      </c>
      <c r="C721" s="5">
        <v>3</v>
      </c>
      <c r="D721" s="5">
        <v>4.4580000000000002E-3</v>
      </c>
      <c r="E721" s="5">
        <v>-5.5430000000000002E-3</v>
      </c>
      <c r="F721" s="5">
        <v>1068596</v>
      </c>
      <c r="G721" s="5">
        <v>398312561</v>
      </c>
      <c r="H721" s="5">
        <v>-1741384</v>
      </c>
      <c r="I721" s="5">
        <v>0</v>
      </c>
      <c r="J721" s="5">
        <v>241</v>
      </c>
      <c r="L721">
        <f t="shared" si="69"/>
        <v>719</v>
      </c>
      <c r="M721">
        <f>'Real Analysis'!$B$3+B721/1000000</f>
        <v>15.409184000003734</v>
      </c>
      <c r="N721">
        <f t="shared" si="70"/>
        <v>3</v>
      </c>
      <c r="O721">
        <f>IF(ABS(D721)&gt;1,D721/1000000,D721)*'Real Analysis'!$B$4</f>
        <v>4.3732980000000005E-2</v>
      </c>
      <c r="P721">
        <f>IF(ABS(E721)&gt;1,E721/1000000,E721)*'Real Analysis'!$B$4</f>
        <v>-5.4376830000000008E-2</v>
      </c>
      <c r="Q721">
        <f>IF(ABS(F721)&gt;1,F721/1000000,F721)*'Real Analysis'!$B$4</f>
        <v>10.482926760000002</v>
      </c>
      <c r="R721">
        <f t="shared" si="71"/>
        <v>398.31256100000002</v>
      </c>
      <c r="S721">
        <f t="shared" si="72"/>
        <v>-1.741384</v>
      </c>
      <c r="T721">
        <f t="shared" si="73"/>
        <v>0</v>
      </c>
      <c r="U721">
        <f t="shared" si="74"/>
        <v>0.24099999999999999</v>
      </c>
    </row>
    <row r="722" spans="1:21" x14ac:dyDescent="0.3">
      <c r="A722" s="4">
        <v>720</v>
      </c>
      <c r="B722" s="4">
        <v>-96576569436</v>
      </c>
      <c r="C722" s="5">
        <v>3</v>
      </c>
      <c r="D722" s="5">
        <v>2.2557000000000001E-2</v>
      </c>
      <c r="E722" s="5">
        <v>1.7125999999999999E-2</v>
      </c>
      <c r="F722" s="5">
        <v>1058869</v>
      </c>
      <c r="G722" s="5">
        <v>432693939</v>
      </c>
      <c r="H722" s="5">
        <v>1023309</v>
      </c>
      <c r="I722" s="5">
        <v>0</v>
      </c>
      <c r="J722" s="5">
        <v>241</v>
      </c>
      <c r="L722">
        <f t="shared" si="69"/>
        <v>720</v>
      </c>
      <c r="M722">
        <f>'Real Analysis'!$B$3+B722/1000000</f>
        <v>15.430563999994774</v>
      </c>
      <c r="N722">
        <f t="shared" si="70"/>
        <v>3</v>
      </c>
      <c r="O722">
        <f>IF(ABS(D722)&gt;1,D722/1000000,D722)*'Real Analysis'!$B$4</f>
        <v>0.22128417000000003</v>
      </c>
      <c r="P722">
        <f>IF(ABS(E722)&gt;1,E722/1000000,E722)*'Real Analysis'!$B$4</f>
        <v>0.16800605999999998</v>
      </c>
      <c r="Q722">
        <f>IF(ABS(F722)&gt;1,F722/1000000,F722)*'Real Analysis'!$B$4</f>
        <v>10.387504890000001</v>
      </c>
      <c r="R722">
        <f t="shared" si="71"/>
        <v>432.693939</v>
      </c>
      <c r="S722">
        <f t="shared" si="72"/>
        <v>1.023309</v>
      </c>
      <c r="T722">
        <f t="shared" si="73"/>
        <v>0</v>
      </c>
      <c r="U722">
        <f t="shared" si="74"/>
        <v>0.24099999999999999</v>
      </c>
    </row>
    <row r="723" spans="1:21" x14ac:dyDescent="0.3">
      <c r="A723" s="4">
        <v>721</v>
      </c>
      <c r="B723" s="4">
        <v>-96576550060</v>
      </c>
      <c r="C723" s="5">
        <v>3</v>
      </c>
      <c r="D723" s="5">
        <v>2.8330999999999999E-2</v>
      </c>
      <c r="E723" s="5">
        <v>1.7448999999999999E-2</v>
      </c>
      <c r="F723" s="5">
        <v>1047068</v>
      </c>
      <c r="G723" s="5">
        <v>437860565</v>
      </c>
      <c r="H723" s="5">
        <v>2519747</v>
      </c>
      <c r="I723" s="5">
        <v>0</v>
      </c>
      <c r="J723" s="5">
        <v>242</v>
      </c>
      <c r="L723">
        <f t="shared" si="69"/>
        <v>721</v>
      </c>
      <c r="M723">
        <f>'Real Analysis'!$B$3+B723/1000000</f>
        <v>15.449940000005881</v>
      </c>
      <c r="N723">
        <f t="shared" si="70"/>
        <v>3</v>
      </c>
      <c r="O723">
        <f>IF(ABS(D723)&gt;1,D723/1000000,D723)*'Real Analysis'!$B$4</f>
        <v>0.27792710999999998</v>
      </c>
      <c r="P723">
        <f>IF(ABS(E723)&gt;1,E723/1000000,E723)*'Real Analysis'!$B$4</f>
        <v>0.17117468999999999</v>
      </c>
      <c r="Q723">
        <f>IF(ABS(F723)&gt;1,F723/1000000,F723)*'Real Analysis'!$B$4</f>
        <v>10.271737080000001</v>
      </c>
      <c r="R723">
        <f t="shared" si="71"/>
        <v>437.86056500000001</v>
      </c>
      <c r="S723">
        <f t="shared" si="72"/>
        <v>2.5197470000000002</v>
      </c>
      <c r="T723">
        <f t="shared" si="73"/>
        <v>0</v>
      </c>
      <c r="U723">
        <f t="shared" si="74"/>
        <v>0.24199999999999999</v>
      </c>
    </row>
    <row r="724" spans="1:21" x14ac:dyDescent="0.3">
      <c r="A724" s="4">
        <v>722</v>
      </c>
      <c r="B724" s="4">
        <v>-96576528468</v>
      </c>
      <c r="C724" s="5">
        <v>3</v>
      </c>
      <c r="D724" s="5">
        <v>4.5199999999999997E-3</v>
      </c>
      <c r="E724" s="5">
        <v>6.587E-3</v>
      </c>
      <c r="F724" s="5">
        <v>1045734</v>
      </c>
      <c r="G724" s="5">
        <v>439744751</v>
      </c>
      <c r="H724" s="5">
        <v>41844467</v>
      </c>
      <c r="I724" s="5">
        <v>0</v>
      </c>
      <c r="J724" s="5">
        <v>242</v>
      </c>
      <c r="L724">
        <f t="shared" si="69"/>
        <v>722</v>
      </c>
      <c r="M724">
        <f>'Real Analysis'!$B$3+B724/1000000</f>
        <v>15.471531999995932</v>
      </c>
      <c r="N724">
        <f t="shared" si="70"/>
        <v>3</v>
      </c>
      <c r="O724">
        <f>IF(ABS(D724)&gt;1,D724/1000000,D724)*'Real Analysis'!$B$4</f>
        <v>4.4341199999999997E-2</v>
      </c>
      <c r="P724">
        <f>IF(ABS(E724)&gt;1,E724/1000000,E724)*'Real Analysis'!$B$4</f>
        <v>6.4618469999999997E-2</v>
      </c>
      <c r="Q724">
        <f>IF(ABS(F724)&gt;1,F724/1000000,F724)*'Real Analysis'!$B$4</f>
        <v>10.25865054</v>
      </c>
      <c r="R724">
        <f t="shared" si="71"/>
        <v>439.74475100000001</v>
      </c>
      <c r="S724">
        <f t="shared" si="72"/>
        <v>41.844467000000002</v>
      </c>
      <c r="T724">
        <f t="shared" si="73"/>
        <v>0</v>
      </c>
      <c r="U724">
        <f t="shared" si="74"/>
        <v>0.24199999999999999</v>
      </c>
    </row>
    <row r="725" spans="1:21" x14ac:dyDescent="0.3">
      <c r="A725" s="4">
        <v>723</v>
      </c>
      <c r="B725" s="4">
        <v>-96576510934</v>
      </c>
      <c r="C725" s="5">
        <v>3</v>
      </c>
      <c r="D725" s="5">
        <v>3.7100000000000002E-4</v>
      </c>
      <c r="E725" s="5">
        <v>2.8413999999999998E-2</v>
      </c>
      <c r="F725" s="5">
        <v>1060307</v>
      </c>
      <c r="G725" s="5">
        <v>440503296</v>
      </c>
      <c r="H725" s="5">
        <v>44848438</v>
      </c>
      <c r="I725" s="5">
        <v>0</v>
      </c>
      <c r="J725" s="5">
        <v>242</v>
      </c>
      <c r="L725">
        <f t="shared" si="69"/>
        <v>723</v>
      </c>
      <c r="M725">
        <f>'Real Analysis'!$B$3+B725/1000000</f>
        <v>15.489065999994637</v>
      </c>
      <c r="N725">
        <f t="shared" si="70"/>
        <v>3</v>
      </c>
      <c r="O725">
        <f>IF(ABS(D725)&gt;1,D725/1000000,D725)*'Real Analysis'!$B$4</f>
        <v>3.6395100000000003E-3</v>
      </c>
      <c r="P725">
        <f>IF(ABS(E725)&gt;1,E725/1000000,E725)*'Real Analysis'!$B$4</f>
        <v>0.27874134</v>
      </c>
      <c r="Q725">
        <f>IF(ABS(F725)&gt;1,F725/1000000,F725)*'Real Analysis'!$B$4</f>
        <v>10.401611670000001</v>
      </c>
      <c r="R725">
        <f t="shared" si="71"/>
        <v>440.50329599999998</v>
      </c>
      <c r="S725">
        <f t="shared" si="72"/>
        <v>44.848438000000002</v>
      </c>
      <c r="T725">
        <f t="shared" si="73"/>
        <v>0</v>
      </c>
      <c r="U725">
        <f t="shared" si="74"/>
        <v>0.24199999999999999</v>
      </c>
    </row>
    <row r="726" spans="1:21" x14ac:dyDescent="0.3">
      <c r="A726" s="4">
        <v>724</v>
      </c>
      <c r="B726" s="4">
        <v>-96576489944</v>
      </c>
      <c r="C726" s="5">
        <v>3</v>
      </c>
      <c r="D726" s="5">
        <v>-0.127418</v>
      </c>
      <c r="E726" s="5">
        <v>4.9721000000000001E-2</v>
      </c>
      <c r="F726" s="5">
        <v>1077895</v>
      </c>
      <c r="G726" s="5">
        <v>425904999</v>
      </c>
      <c r="H726" s="5">
        <v>54425652</v>
      </c>
      <c r="I726" s="5">
        <v>0</v>
      </c>
      <c r="J726" s="5">
        <v>243</v>
      </c>
      <c r="L726">
        <f t="shared" si="69"/>
        <v>724</v>
      </c>
      <c r="M726">
        <f>'Real Analysis'!$B$3+B726/1000000</f>
        <v>15.510055999999167</v>
      </c>
      <c r="N726">
        <f t="shared" si="70"/>
        <v>3</v>
      </c>
      <c r="O726">
        <f>IF(ABS(D726)&gt;1,D726/1000000,D726)*'Real Analysis'!$B$4</f>
        <v>-1.2499705800000001</v>
      </c>
      <c r="P726">
        <f>IF(ABS(E726)&gt;1,E726/1000000,E726)*'Real Analysis'!$B$4</f>
        <v>0.48776301000000005</v>
      </c>
      <c r="Q726">
        <f>IF(ABS(F726)&gt;1,F726/1000000,F726)*'Real Analysis'!$B$4</f>
        <v>10.574149950000001</v>
      </c>
      <c r="R726">
        <f t="shared" si="71"/>
        <v>425.90499899999998</v>
      </c>
      <c r="S726">
        <f t="shared" si="72"/>
        <v>54.425651999999999</v>
      </c>
      <c r="T726">
        <f t="shared" si="73"/>
        <v>0</v>
      </c>
      <c r="U726">
        <f t="shared" si="74"/>
        <v>0.24299999999999999</v>
      </c>
    </row>
    <row r="727" spans="1:21" x14ac:dyDescent="0.3">
      <c r="A727" s="4">
        <v>725</v>
      </c>
      <c r="B727" s="4">
        <v>-96576467905</v>
      </c>
      <c r="C727" s="5">
        <v>3</v>
      </c>
      <c r="D727" s="5">
        <v>-0.17808399999999999</v>
      </c>
      <c r="E727" s="5">
        <v>0.10302</v>
      </c>
      <c r="F727" s="5">
        <v>1091336</v>
      </c>
      <c r="G727" s="5">
        <v>393746552</v>
      </c>
      <c r="H727" s="5">
        <v>79332123</v>
      </c>
      <c r="I727" s="5">
        <v>0</v>
      </c>
      <c r="J727" s="5">
        <v>244</v>
      </c>
      <c r="L727">
        <f t="shared" si="69"/>
        <v>725</v>
      </c>
      <c r="M727">
        <f>'Real Analysis'!$B$3+B727/1000000</f>
        <v>15.5320950000023</v>
      </c>
      <c r="N727">
        <f t="shared" si="70"/>
        <v>3</v>
      </c>
      <c r="O727">
        <f>IF(ABS(D727)&gt;1,D727/1000000,D727)*'Real Analysis'!$B$4</f>
        <v>-1.74700404</v>
      </c>
      <c r="P727">
        <f>IF(ABS(E727)&gt;1,E727/1000000,E727)*'Real Analysis'!$B$4</f>
        <v>1.0106262000000001</v>
      </c>
      <c r="Q727">
        <f>IF(ABS(F727)&gt;1,F727/1000000,F727)*'Real Analysis'!$B$4</f>
        <v>10.706006160000001</v>
      </c>
      <c r="R727">
        <f t="shared" si="71"/>
        <v>393.74655200000001</v>
      </c>
      <c r="S727">
        <f t="shared" si="72"/>
        <v>79.332122999999996</v>
      </c>
      <c r="T727">
        <f t="shared" si="73"/>
        <v>0</v>
      </c>
      <c r="U727">
        <f t="shared" si="74"/>
        <v>0.24399999999999999</v>
      </c>
    </row>
    <row r="728" spans="1:21" x14ac:dyDescent="0.3">
      <c r="A728" s="4">
        <v>726</v>
      </c>
      <c r="B728" s="4">
        <v>-96576450370</v>
      </c>
      <c r="C728" s="5">
        <v>3</v>
      </c>
      <c r="D728" s="5">
        <v>-0.221752</v>
      </c>
      <c r="E728" s="5">
        <v>0.13336200000000001</v>
      </c>
      <c r="F728" s="5">
        <v>1052548</v>
      </c>
      <c r="G728" s="5">
        <v>342041901</v>
      </c>
      <c r="H728" s="5">
        <v>99623016</v>
      </c>
      <c r="I728" s="5">
        <v>0</v>
      </c>
      <c r="J728" s="5">
        <v>244</v>
      </c>
      <c r="L728">
        <f t="shared" si="69"/>
        <v>726</v>
      </c>
      <c r="M728">
        <f>'Real Analysis'!$B$3+B728/1000000</f>
        <v>15.549629999994067</v>
      </c>
      <c r="N728">
        <f t="shared" si="70"/>
        <v>3</v>
      </c>
      <c r="O728">
        <f>IF(ABS(D728)&gt;1,D728/1000000,D728)*'Real Analysis'!$B$4</f>
        <v>-2.1753871200000003</v>
      </c>
      <c r="P728">
        <f>IF(ABS(E728)&gt;1,E728/1000000,E728)*'Real Analysis'!$B$4</f>
        <v>1.3082812200000002</v>
      </c>
      <c r="Q728">
        <f>IF(ABS(F728)&gt;1,F728/1000000,F728)*'Real Analysis'!$B$4</f>
        <v>10.32549588</v>
      </c>
      <c r="R728">
        <f t="shared" si="71"/>
        <v>342.041901</v>
      </c>
      <c r="S728">
        <f t="shared" si="72"/>
        <v>99.623016000000007</v>
      </c>
      <c r="T728">
        <f t="shared" si="73"/>
        <v>0</v>
      </c>
      <c r="U728">
        <f t="shared" si="74"/>
        <v>0.24399999999999999</v>
      </c>
    </row>
    <row r="729" spans="1:21" x14ac:dyDescent="0.3">
      <c r="A729" s="4">
        <v>727</v>
      </c>
      <c r="B729" s="4">
        <v>-96576430553</v>
      </c>
      <c r="C729" s="5">
        <v>3</v>
      </c>
      <c r="D729" s="5">
        <v>-0.19594900000000001</v>
      </c>
      <c r="E729" s="5">
        <v>9.8937999999999998E-2</v>
      </c>
      <c r="F729" s="5">
        <v>1017334</v>
      </c>
      <c r="G729" s="5">
        <v>281209808</v>
      </c>
      <c r="H729" s="5">
        <v>98958351</v>
      </c>
      <c r="I729" s="5">
        <v>0</v>
      </c>
      <c r="J729" s="5">
        <v>245</v>
      </c>
      <c r="L729">
        <f t="shared" si="69"/>
        <v>727</v>
      </c>
      <c r="M729">
        <f>'Real Analysis'!$B$3+B729/1000000</f>
        <v>15.569447000001674</v>
      </c>
      <c r="N729">
        <f t="shared" si="70"/>
        <v>3</v>
      </c>
      <c r="O729">
        <f>IF(ABS(D729)&gt;1,D729/1000000,D729)*'Real Analysis'!$B$4</f>
        <v>-1.9222596900000002</v>
      </c>
      <c r="P729">
        <f>IF(ABS(E729)&gt;1,E729/1000000,E729)*'Real Analysis'!$B$4</f>
        <v>0.97058178000000006</v>
      </c>
      <c r="Q729">
        <f>IF(ABS(F729)&gt;1,F729/1000000,F729)*'Real Analysis'!$B$4</f>
        <v>9.98004654</v>
      </c>
      <c r="R729">
        <f t="shared" si="71"/>
        <v>281.20980800000001</v>
      </c>
      <c r="S729">
        <f t="shared" si="72"/>
        <v>98.958350999999993</v>
      </c>
      <c r="T729">
        <f t="shared" si="73"/>
        <v>0</v>
      </c>
      <c r="U729">
        <f t="shared" si="74"/>
        <v>0.245</v>
      </c>
    </row>
    <row r="730" spans="1:21" x14ac:dyDescent="0.3">
      <c r="A730" s="4">
        <v>728</v>
      </c>
      <c r="B730" s="4">
        <v>-96576409365</v>
      </c>
      <c r="C730" s="5">
        <v>3</v>
      </c>
      <c r="D730" s="5">
        <v>-0.109442</v>
      </c>
      <c r="E730" s="5">
        <v>7.7317999999999998E-2</v>
      </c>
      <c r="F730" s="5">
        <v>1008343</v>
      </c>
      <c r="G730" s="5">
        <v>235646500</v>
      </c>
      <c r="H730" s="5">
        <v>97954178</v>
      </c>
      <c r="I730" s="5">
        <v>0</v>
      </c>
      <c r="J730" s="5">
        <v>243</v>
      </c>
      <c r="L730">
        <f t="shared" si="69"/>
        <v>728</v>
      </c>
      <c r="M730">
        <f>'Real Analysis'!$B$3+B730/1000000</f>
        <v>15.590635000000475</v>
      </c>
      <c r="N730">
        <f t="shared" si="70"/>
        <v>3</v>
      </c>
      <c r="O730">
        <f>IF(ABS(D730)&gt;1,D730/1000000,D730)*'Real Analysis'!$B$4</f>
        <v>-1.0736260200000001</v>
      </c>
      <c r="P730">
        <f>IF(ABS(E730)&gt;1,E730/1000000,E730)*'Real Analysis'!$B$4</f>
        <v>0.75848958</v>
      </c>
      <c r="Q730">
        <f>IF(ABS(F730)&gt;1,F730/1000000,F730)*'Real Analysis'!$B$4</f>
        <v>9.8918448300000001</v>
      </c>
      <c r="R730">
        <f t="shared" si="71"/>
        <v>235.6465</v>
      </c>
      <c r="S730">
        <f t="shared" si="72"/>
        <v>97.954177999999999</v>
      </c>
      <c r="T730">
        <f t="shared" si="73"/>
        <v>0</v>
      </c>
      <c r="U730">
        <f t="shared" si="74"/>
        <v>0.24299999999999999</v>
      </c>
    </row>
    <row r="731" spans="1:21" x14ac:dyDescent="0.3">
      <c r="A731" s="4">
        <v>729</v>
      </c>
      <c r="B731" s="4">
        <v>-96576393774</v>
      </c>
      <c r="C731" s="5">
        <v>3</v>
      </c>
      <c r="D731" s="5">
        <v>-0.42857800000000001</v>
      </c>
      <c r="E731" s="5">
        <v>0.31089899999999998</v>
      </c>
      <c r="F731" s="5">
        <v>0.93401699999999999</v>
      </c>
      <c r="G731" s="5">
        <v>197585022</v>
      </c>
      <c r="H731" s="5">
        <v>107410820</v>
      </c>
      <c r="I731" s="5">
        <v>0</v>
      </c>
      <c r="J731" s="5">
        <v>243</v>
      </c>
      <c r="L731">
        <f t="shared" si="69"/>
        <v>729</v>
      </c>
      <c r="M731">
        <f>'Real Analysis'!$B$3+B731/1000000</f>
        <v>15.606226000003517</v>
      </c>
      <c r="N731">
        <f t="shared" si="70"/>
        <v>3</v>
      </c>
      <c r="O731">
        <f>IF(ABS(D731)&gt;1,D731/1000000,D731)*'Real Analysis'!$B$4</f>
        <v>-4.2043501800000005</v>
      </c>
      <c r="P731">
        <f>IF(ABS(E731)&gt;1,E731/1000000,E731)*'Real Analysis'!$B$4</f>
        <v>3.0499191899999998</v>
      </c>
      <c r="Q731">
        <f>IF(ABS(F731)&gt;1,F731/1000000,F731)*'Real Analysis'!$B$4</f>
        <v>9.1627067699999998</v>
      </c>
      <c r="R731">
        <f t="shared" si="71"/>
        <v>197.58502200000001</v>
      </c>
      <c r="S731">
        <f t="shared" si="72"/>
        <v>107.41082</v>
      </c>
      <c r="T731">
        <f t="shared" si="73"/>
        <v>0</v>
      </c>
      <c r="U731">
        <f t="shared" si="74"/>
        <v>0.24299999999999999</v>
      </c>
    </row>
    <row r="732" spans="1:21" x14ac:dyDescent="0.3">
      <c r="A732" s="4">
        <v>730</v>
      </c>
      <c r="B732" s="4">
        <v>-96576367137</v>
      </c>
      <c r="C732" s="5">
        <v>3</v>
      </c>
      <c r="D732" s="5">
        <v>-0.99253800000000003</v>
      </c>
      <c r="E732" s="5">
        <v>0.60546500000000003</v>
      </c>
      <c r="F732" s="5">
        <v>0.88556500000000005</v>
      </c>
      <c r="G732" s="5">
        <v>49675816</v>
      </c>
      <c r="H732" s="5">
        <v>175041443</v>
      </c>
      <c r="I732" s="5">
        <v>0</v>
      </c>
      <c r="J732" s="5">
        <v>242</v>
      </c>
      <c r="L732">
        <f t="shared" si="69"/>
        <v>730</v>
      </c>
      <c r="M732">
        <f>'Real Analysis'!$B$3+B732/1000000</f>
        <v>15.632863000006182</v>
      </c>
      <c r="N732">
        <f t="shared" si="70"/>
        <v>3</v>
      </c>
      <c r="O732">
        <f>IF(ABS(D732)&gt;1,D732/1000000,D732)*'Real Analysis'!$B$4</f>
        <v>-9.7367977800000016</v>
      </c>
      <c r="P732">
        <f>IF(ABS(E732)&gt;1,E732/1000000,E732)*'Real Analysis'!$B$4</f>
        <v>5.9396116500000007</v>
      </c>
      <c r="Q732">
        <f>IF(ABS(F732)&gt;1,F732/1000000,F732)*'Real Analysis'!$B$4</f>
        <v>8.6873926500000014</v>
      </c>
      <c r="R732">
        <f t="shared" si="71"/>
        <v>49.675815999999998</v>
      </c>
      <c r="S732">
        <f t="shared" si="72"/>
        <v>175.04144299999999</v>
      </c>
      <c r="T732">
        <f t="shared" si="73"/>
        <v>0</v>
      </c>
      <c r="U732">
        <f t="shared" si="74"/>
        <v>0.24199999999999999</v>
      </c>
    </row>
    <row r="733" spans="1:21" x14ac:dyDescent="0.3">
      <c r="A733" s="4">
        <v>731</v>
      </c>
      <c r="B733" s="4">
        <v>-96576348232</v>
      </c>
      <c r="C733" s="5">
        <v>3</v>
      </c>
      <c r="D733" s="5">
        <v>-0.70933900000000005</v>
      </c>
      <c r="E733" s="5">
        <v>0.25484200000000001</v>
      </c>
      <c r="F733" s="5">
        <v>0.98357899999999998</v>
      </c>
      <c r="G733" s="5">
        <v>-20120863</v>
      </c>
      <c r="H733" s="5">
        <v>209707947</v>
      </c>
      <c r="I733" s="5">
        <v>0</v>
      </c>
      <c r="J733" s="5">
        <v>243</v>
      </c>
      <c r="L733">
        <f t="shared" si="69"/>
        <v>731</v>
      </c>
      <c r="M733">
        <f>'Real Analysis'!$B$3+B733/1000000</f>
        <v>15.651767999996082</v>
      </c>
      <c r="N733">
        <f t="shared" si="70"/>
        <v>3</v>
      </c>
      <c r="O733">
        <f>IF(ABS(D733)&gt;1,D733/1000000,D733)*'Real Analysis'!$B$4</f>
        <v>-6.9586155900000009</v>
      </c>
      <c r="P733">
        <f>IF(ABS(E733)&gt;1,E733/1000000,E733)*'Real Analysis'!$B$4</f>
        <v>2.5000000200000003</v>
      </c>
      <c r="Q733">
        <f>IF(ABS(F733)&gt;1,F733/1000000,F733)*'Real Analysis'!$B$4</f>
        <v>9.6489099899999999</v>
      </c>
      <c r="R733">
        <f t="shared" si="71"/>
        <v>-20.120863</v>
      </c>
      <c r="S733">
        <f t="shared" si="72"/>
        <v>209.70794699999999</v>
      </c>
      <c r="T733">
        <f t="shared" si="73"/>
        <v>0</v>
      </c>
      <c r="U733">
        <f t="shared" si="74"/>
        <v>0.24299999999999999</v>
      </c>
    </row>
    <row r="734" spans="1:21" x14ac:dyDescent="0.3">
      <c r="A734" s="4">
        <v>732</v>
      </c>
      <c r="B734" s="4">
        <v>-96576332742</v>
      </c>
      <c r="C734" s="5">
        <v>3</v>
      </c>
      <c r="D734" s="5">
        <v>-0.34314</v>
      </c>
      <c r="E734" s="5">
        <v>5.9104999999999998E-2</v>
      </c>
      <c r="F734" s="5">
        <v>1042411</v>
      </c>
      <c r="G734" s="5">
        <v>-41652382</v>
      </c>
      <c r="H734" s="5">
        <v>215773041</v>
      </c>
      <c r="I734" s="5">
        <v>0</v>
      </c>
      <c r="J734" s="5">
        <v>243</v>
      </c>
      <c r="L734">
        <f t="shared" si="69"/>
        <v>732</v>
      </c>
      <c r="M734">
        <f>'Real Analysis'!$B$3+B734/1000000</f>
        <v>15.667258000001311</v>
      </c>
      <c r="N734">
        <f t="shared" si="70"/>
        <v>3</v>
      </c>
      <c r="O734">
        <f>IF(ABS(D734)&gt;1,D734/1000000,D734)*'Real Analysis'!$B$4</f>
        <v>-3.3662034000000003</v>
      </c>
      <c r="P734">
        <f>IF(ABS(E734)&gt;1,E734/1000000,E734)*'Real Analysis'!$B$4</f>
        <v>0.57982005000000003</v>
      </c>
      <c r="Q734">
        <f>IF(ABS(F734)&gt;1,F734/1000000,F734)*'Real Analysis'!$B$4</f>
        <v>10.226051910000001</v>
      </c>
      <c r="R734">
        <f t="shared" si="71"/>
        <v>-41.652382000000003</v>
      </c>
      <c r="S734">
        <f t="shared" si="72"/>
        <v>215.77304100000001</v>
      </c>
      <c r="T734">
        <f t="shared" si="73"/>
        <v>0</v>
      </c>
      <c r="U734">
        <f t="shared" si="74"/>
        <v>0.24299999999999999</v>
      </c>
    </row>
    <row r="735" spans="1:21" x14ac:dyDescent="0.3">
      <c r="A735" s="4">
        <v>733</v>
      </c>
      <c r="B735" s="4">
        <v>-96576313869</v>
      </c>
      <c r="C735" s="5">
        <v>3</v>
      </c>
      <c r="D735" s="5">
        <v>-5.1542999999999999E-2</v>
      </c>
      <c r="E735" s="5">
        <v>3.7405000000000001E-2</v>
      </c>
      <c r="F735" s="5">
        <v>1020562</v>
      </c>
      <c r="G735" s="5">
        <v>-38922470</v>
      </c>
      <c r="H735" s="5">
        <v>212472519</v>
      </c>
      <c r="I735" s="5">
        <v>0</v>
      </c>
      <c r="J735" s="5">
        <v>243</v>
      </c>
      <c r="L735">
        <f t="shared" si="69"/>
        <v>733</v>
      </c>
      <c r="M735">
        <f>'Real Analysis'!$B$3+B735/1000000</f>
        <v>15.68613099999493</v>
      </c>
      <c r="N735">
        <f t="shared" si="70"/>
        <v>3</v>
      </c>
      <c r="O735">
        <f>IF(ABS(D735)&gt;1,D735/1000000,D735)*'Real Analysis'!$B$4</f>
        <v>-0.50563683000000004</v>
      </c>
      <c r="P735">
        <f>IF(ABS(E735)&gt;1,E735/1000000,E735)*'Real Analysis'!$B$4</f>
        <v>0.36694305000000005</v>
      </c>
      <c r="Q735">
        <f>IF(ABS(F735)&gt;1,F735/1000000,F735)*'Real Analysis'!$B$4</f>
        <v>10.011713220000001</v>
      </c>
      <c r="R735">
        <f t="shared" si="71"/>
        <v>-38.922469999999997</v>
      </c>
      <c r="S735">
        <f t="shared" si="72"/>
        <v>212.47251900000001</v>
      </c>
      <c r="T735">
        <f t="shared" si="73"/>
        <v>0</v>
      </c>
      <c r="U735">
        <f t="shared" si="74"/>
        <v>0.24299999999999999</v>
      </c>
    </row>
    <row r="736" spans="1:21" x14ac:dyDescent="0.3">
      <c r="A736" s="4">
        <v>734</v>
      </c>
      <c r="B736" s="4">
        <v>-96576287801</v>
      </c>
      <c r="C736" s="5">
        <v>3</v>
      </c>
      <c r="D736" s="5">
        <v>0.41027200000000003</v>
      </c>
      <c r="E736" s="5">
        <v>0.75392999999999999</v>
      </c>
      <c r="F736" s="5">
        <v>0.93434200000000001</v>
      </c>
      <c r="G736" s="5">
        <v>5943994</v>
      </c>
      <c r="H736" s="5">
        <v>248614426</v>
      </c>
      <c r="I736" s="5">
        <v>0</v>
      </c>
      <c r="J736" s="5">
        <v>243</v>
      </c>
      <c r="L736">
        <f t="shared" si="69"/>
        <v>734</v>
      </c>
      <c r="M736">
        <f>'Real Analysis'!$B$3+B736/1000000</f>
        <v>15.712199000001419</v>
      </c>
      <c r="N736">
        <f t="shared" si="70"/>
        <v>3</v>
      </c>
      <c r="O736">
        <f>IF(ABS(D736)&gt;1,D736/1000000,D736)*'Real Analysis'!$B$4</f>
        <v>4.0247683200000006</v>
      </c>
      <c r="P736">
        <f>IF(ABS(E736)&gt;1,E736/1000000,E736)*'Real Analysis'!$B$4</f>
        <v>7.3960533000000002</v>
      </c>
      <c r="Q736">
        <f>IF(ABS(F736)&gt;1,F736/1000000,F736)*'Real Analysis'!$B$4</f>
        <v>9.1658950200000007</v>
      </c>
      <c r="R736">
        <f t="shared" si="71"/>
        <v>5.943994</v>
      </c>
      <c r="S736">
        <f t="shared" si="72"/>
        <v>248.61442600000001</v>
      </c>
      <c r="T736">
        <f t="shared" si="73"/>
        <v>0</v>
      </c>
      <c r="U736">
        <f t="shared" si="74"/>
        <v>0.24299999999999999</v>
      </c>
    </row>
    <row r="737" spans="1:21" x14ac:dyDescent="0.3">
      <c r="A737" s="4">
        <v>735</v>
      </c>
      <c r="B737" s="4">
        <v>-96576268767</v>
      </c>
      <c r="C737" s="5">
        <v>3</v>
      </c>
      <c r="D737" s="5">
        <v>0.86711300000000002</v>
      </c>
      <c r="E737" s="5">
        <v>1404525</v>
      </c>
      <c r="F737" s="5">
        <v>0.85125200000000001</v>
      </c>
      <c r="G737" s="5">
        <v>91052147</v>
      </c>
      <c r="H737" s="5">
        <v>353344421</v>
      </c>
      <c r="I737" s="5">
        <v>0</v>
      </c>
      <c r="J737" s="5">
        <v>244</v>
      </c>
      <c r="L737">
        <f t="shared" si="69"/>
        <v>735</v>
      </c>
      <c r="M737">
        <f>'Real Analysis'!$B$3+B737/1000000</f>
        <v>15.73123299999861</v>
      </c>
      <c r="N737">
        <f t="shared" si="70"/>
        <v>3</v>
      </c>
      <c r="O737">
        <f>IF(ABS(D737)&gt;1,D737/1000000,D737)*'Real Analysis'!$B$4</f>
        <v>8.506378530000001</v>
      </c>
      <c r="P737">
        <f>IF(ABS(E737)&gt;1,E737/1000000,E737)*'Real Analysis'!$B$4</f>
        <v>13.778390250000001</v>
      </c>
      <c r="Q737">
        <f>IF(ABS(F737)&gt;1,F737/1000000,F737)*'Real Analysis'!$B$4</f>
        <v>8.3507821199999999</v>
      </c>
      <c r="R737">
        <f t="shared" si="71"/>
        <v>91.052147000000005</v>
      </c>
      <c r="S737">
        <f t="shared" si="72"/>
        <v>353.34442100000001</v>
      </c>
      <c r="T737">
        <f t="shared" si="73"/>
        <v>0</v>
      </c>
      <c r="U737">
        <f t="shared" si="74"/>
        <v>0.24399999999999999</v>
      </c>
    </row>
    <row r="738" spans="1:21" x14ac:dyDescent="0.3">
      <c r="A738" s="4">
        <v>736</v>
      </c>
      <c r="B738" s="4">
        <v>-96576252060</v>
      </c>
      <c r="C738" s="5">
        <v>3</v>
      </c>
      <c r="D738" s="5">
        <v>0.82328999999999997</v>
      </c>
      <c r="E738" s="5">
        <v>1292893</v>
      </c>
      <c r="F738" s="5">
        <v>0.83231699999999997</v>
      </c>
      <c r="G738" s="5">
        <v>164948151</v>
      </c>
      <c r="H738" s="5">
        <v>444842529</v>
      </c>
      <c r="I738" s="5">
        <v>0</v>
      </c>
      <c r="J738" s="5">
        <v>244</v>
      </c>
      <c r="L738">
        <f t="shared" si="69"/>
        <v>736</v>
      </c>
      <c r="M738">
        <f>'Real Analysis'!$B$3+B738/1000000</f>
        <v>15.747940000001108</v>
      </c>
      <c r="N738">
        <f t="shared" si="70"/>
        <v>3</v>
      </c>
      <c r="O738">
        <f>IF(ABS(D738)&gt;1,D738/1000000,D738)*'Real Analysis'!$B$4</f>
        <v>8.0764749000000009</v>
      </c>
      <c r="P738">
        <f>IF(ABS(E738)&gt;1,E738/1000000,E738)*'Real Analysis'!$B$4</f>
        <v>12.683280330000001</v>
      </c>
      <c r="Q738">
        <f>IF(ABS(F738)&gt;1,F738/1000000,F738)*'Real Analysis'!$B$4</f>
        <v>8.1650297700000003</v>
      </c>
      <c r="R738">
        <f t="shared" si="71"/>
        <v>164.948151</v>
      </c>
      <c r="S738">
        <f t="shared" si="72"/>
        <v>444.84252900000001</v>
      </c>
      <c r="T738">
        <f t="shared" si="73"/>
        <v>0</v>
      </c>
      <c r="U738">
        <f t="shared" si="74"/>
        <v>0.24399999999999999</v>
      </c>
    </row>
    <row r="739" spans="1:21" x14ac:dyDescent="0.3">
      <c r="A739" s="4">
        <v>737</v>
      </c>
      <c r="B739" s="4">
        <v>-96576228497</v>
      </c>
      <c r="C739" s="5">
        <v>3</v>
      </c>
      <c r="D739" s="5">
        <v>0.227155</v>
      </c>
      <c r="E739" s="5">
        <v>0.32100400000000001</v>
      </c>
      <c r="F739" s="5">
        <v>0.95025300000000001</v>
      </c>
      <c r="G739" s="5">
        <v>178868240</v>
      </c>
      <c r="H739" s="5">
        <v>460604767</v>
      </c>
      <c r="I739" s="5">
        <v>0</v>
      </c>
      <c r="J739" s="5">
        <v>245</v>
      </c>
      <c r="L739">
        <f t="shared" si="69"/>
        <v>737</v>
      </c>
      <c r="M739">
        <f>'Real Analysis'!$B$3+B739/1000000</f>
        <v>15.771502999996301</v>
      </c>
      <c r="N739">
        <f t="shared" si="70"/>
        <v>3</v>
      </c>
      <c r="O739">
        <f>IF(ABS(D739)&gt;1,D739/1000000,D739)*'Real Analysis'!$B$4</f>
        <v>2.2283905499999999</v>
      </c>
      <c r="P739">
        <f>IF(ABS(E739)&gt;1,E739/1000000,E739)*'Real Analysis'!$B$4</f>
        <v>3.1490492400000001</v>
      </c>
      <c r="Q739">
        <f>IF(ABS(F739)&gt;1,F739/1000000,F739)*'Real Analysis'!$B$4</f>
        <v>9.3219819299999997</v>
      </c>
      <c r="R739">
        <f t="shared" si="71"/>
        <v>178.86823999999999</v>
      </c>
      <c r="S739">
        <f t="shared" si="72"/>
        <v>460.60476699999998</v>
      </c>
      <c r="T739">
        <f t="shared" si="73"/>
        <v>0</v>
      </c>
      <c r="U739">
        <f t="shared" si="74"/>
        <v>0.245</v>
      </c>
    </row>
    <row r="740" spans="1:21" x14ac:dyDescent="0.3">
      <c r="A740" s="4">
        <v>738</v>
      </c>
      <c r="B740" s="4">
        <v>-96576208794</v>
      </c>
      <c r="C740" s="5">
        <v>3</v>
      </c>
      <c r="D740" s="5">
        <v>1.2879E-2</v>
      </c>
      <c r="E740" s="5">
        <v>-0.100386</v>
      </c>
      <c r="F740" s="5">
        <v>1037985</v>
      </c>
      <c r="G740" s="5">
        <v>114094170</v>
      </c>
      <c r="H740" s="5">
        <v>350322723</v>
      </c>
      <c r="I740" s="5">
        <v>0</v>
      </c>
      <c r="J740" s="5">
        <v>244</v>
      </c>
      <c r="L740">
        <f t="shared" si="69"/>
        <v>738</v>
      </c>
      <c r="M740">
        <f>'Real Analysis'!$B$3+B740/1000000</f>
        <v>15.791205999994418</v>
      </c>
      <c r="N740">
        <f t="shared" si="70"/>
        <v>3</v>
      </c>
      <c r="O740">
        <f>IF(ABS(D740)&gt;1,D740/1000000,D740)*'Real Analysis'!$B$4</f>
        <v>0.12634299000000002</v>
      </c>
      <c r="P740">
        <f>IF(ABS(E740)&gt;1,E740/1000000,E740)*'Real Analysis'!$B$4</f>
        <v>-0.98478666000000004</v>
      </c>
      <c r="Q740">
        <f>IF(ABS(F740)&gt;1,F740/1000000,F740)*'Real Analysis'!$B$4</f>
        <v>10.182632849999999</v>
      </c>
      <c r="R740">
        <f t="shared" si="71"/>
        <v>114.09417000000001</v>
      </c>
      <c r="S740">
        <f t="shared" si="72"/>
        <v>350.322723</v>
      </c>
      <c r="T740">
        <f t="shared" si="73"/>
        <v>0</v>
      </c>
      <c r="U740">
        <f t="shared" si="74"/>
        <v>0.24399999999999999</v>
      </c>
    </row>
    <row r="741" spans="1:21" x14ac:dyDescent="0.3">
      <c r="A741" s="4">
        <v>739</v>
      </c>
      <c r="B741" s="4">
        <v>-96576188986</v>
      </c>
      <c r="C741" s="5">
        <v>3</v>
      </c>
      <c r="D741" s="5">
        <v>2.0597000000000001E-2</v>
      </c>
      <c r="E741" s="5">
        <v>-5.2035999999999999E-2</v>
      </c>
      <c r="F741" s="5">
        <v>1014202</v>
      </c>
      <c r="G741" s="5">
        <v>85014114</v>
      </c>
      <c r="H741" s="5">
        <v>290687042</v>
      </c>
      <c r="I741" s="5">
        <v>0</v>
      </c>
      <c r="J741" s="5">
        <v>245</v>
      </c>
      <c r="L741">
        <f t="shared" si="69"/>
        <v>739</v>
      </c>
      <c r="M741">
        <f>'Real Analysis'!$B$3+B741/1000000</f>
        <v>15.811014000006253</v>
      </c>
      <c r="N741">
        <f t="shared" si="70"/>
        <v>3</v>
      </c>
      <c r="O741">
        <f>IF(ABS(D741)&gt;1,D741/1000000,D741)*'Real Analysis'!$B$4</f>
        <v>0.20205657000000002</v>
      </c>
      <c r="P741">
        <f>IF(ABS(E741)&gt;1,E741/1000000,E741)*'Real Analysis'!$B$4</f>
        <v>-0.51047315999999998</v>
      </c>
      <c r="Q741">
        <f>IF(ABS(F741)&gt;1,F741/1000000,F741)*'Real Analysis'!$B$4</f>
        <v>9.949321620000001</v>
      </c>
      <c r="R741">
        <f t="shared" si="71"/>
        <v>85.014114000000006</v>
      </c>
      <c r="S741">
        <f t="shared" si="72"/>
        <v>290.68704200000002</v>
      </c>
      <c r="T741">
        <f t="shared" si="73"/>
        <v>0</v>
      </c>
      <c r="U741">
        <f t="shared" si="74"/>
        <v>0.245</v>
      </c>
    </row>
    <row r="742" spans="1:21" x14ac:dyDescent="0.3">
      <c r="A742" s="4">
        <v>740</v>
      </c>
      <c r="B742" s="4">
        <v>-96576166936</v>
      </c>
      <c r="C742" s="5">
        <v>3</v>
      </c>
      <c r="D742" s="5">
        <v>9.0840000000000001E-3</v>
      </c>
      <c r="E742" s="5">
        <v>-7.5428999999999996E-2</v>
      </c>
      <c r="F742" s="5">
        <v>1015478</v>
      </c>
      <c r="G742" s="5">
        <v>76339920</v>
      </c>
      <c r="H742" s="5">
        <v>276298615</v>
      </c>
      <c r="I742" s="5">
        <v>0</v>
      </c>
      <c r="J742" s="5">
        <v>244</v>
      </c>
      <c r="L742">
        <f t="shared" si="69"/>
        <v>740</v>
      </c>
      <c r="M742">
        <f>'Real Analysis'!$B$3+B742/1000000</f>
        <v>15.833064000005834</v>
      </c>
      <c r="N742">
        <f t="shared" si="70"/>
        <v>3</v>
      </c>
      <c r="O742">
        <f>IF(ABS(D742)&gt;1,D742/1000000,D742)*'Real Analysis'!$B$4</f>
        <v>8.9114040000000005E-2</v>
      </c>
      <c r="P742">
        <f>IF(ABS(E742)&gt;1,E742/1000000,E742)*'Real Analysis'!$B$4</f>
        <v>-0.73995849000000002</v>
      </c>
      <c r="Q742">
        <f>IF(ABS(F742)&gt;1,F742/1000000,F742)*'Real Analysis'!$B$4</f>
        <v>9.9618391800000019</v>
      </c>
      <c r="R742">
        <f t="shared" si="71"/>
        <v>76.339920000000006</v>
      </c>
      <c r="S742">
        <f t="shared" si="72"/>
        <v>276.29861499999998</v>
      </c>
      <c r="T742">
        <f t="shared" si="73"/>
        <v>0</v>
      </c>
      <c r="U742">
        <f t="shared" si="74"/>
        <v>0.24399999999999999</v>
      </c>
    </row>
    <row r="743" spans="1:21" x14ac:dyDescent="0.3">
      <c r="A743" s="4">
        <v>741</v>
      </c>
      <c r="B743" s="4">
        <v>-96576148242</v>
      </c>
      <c r="C743" s="5">
        <v>3</v>
      </c>
      <c r="D743" s="5">
        <v>5.8849999999999996E-3</v>
      </c>
      <c r="E743" s="5">
        <v>-7.7468999999999996E-2</v>
      </c>
      <c r="F743" s="5">
        <v>1019696</v>
      </c>
      <c r="G743" s="5">
        <v>75073540</v>
      </c>
      <c r="H743" s="5">
        <v>269473114</v>
      </c>
      <c r="I743" s="5">
        <v>0</v>
      </c>
      <c r="J743" s="5">
        <v>245</v>
      </c>
      <c r="L743">
        <f t="shared" si="69"/>
        <v>741</v>
      </c>
      <c r="M743">
        <f>'Real Analysis'!$B$3+B743/1000000</f>
        <v>15.851758000004338</v>
      </c>
      <c r="N743">
        <f t="shared" si="70"/>
        <v>3</v>
      </c>
      <c r="O743">
        <f>IF(ABS(D743)&gt;1,D743/1000000,D743)*'Real Analysis'!$B$4</f>
        <v>5.7731850000000001E-2</v>
      </c>
      <c r="P743">
        <f>IF(ABS(E743)&gt;1,E743/1000000,E743)*'Real Analysis'!$B$4</f>
        <v>-0.75997088999999995</v>
      </c>
      <c r="Q743">
        <f>IF(ABS(F743)&gt;1,F743/1000000,F743)*'Real Analysis'!$B$4</f>
        <v>10.00321776</v>
      </c>
      <c r="R743">
        <f t="shared" si="71"/>
        <v>75.073539999999994</v>
      </c>
      <c r="S743">
        <f t="shared" si="72"/>
        <v>269.47311400000001</v>
      </c>
      <c r="T743">
        <f t="shared" si="73"/>
        <v>0</v>
      </c>
      <c r="U743">
        <f t="shared" si="74"/>
        <v>0.245</v>
      </c>
    </row>
    <row r="744" spans="1:21" x14ac:dyDescent="0.3">
      <c r="A744" s="4">
        <v>742</v>
      </c>
      <c r="B744" s="4">
        <v>-96576127880</v>
      </c>
      <c r="C744" s="5">
        <v>3</v>
      </c>
      <c r="D744" s="5">
        <v>1.7232999999999998E-2</v>
      </c>
      <c r="E744" s="5">
        <v>-5.8005000000000001E-2</v>
      </c>
      <c r="F744" s="5">
        <v>1050183</v>
      </c>
      <c r="G744" s="5">
        <v>90811882</v>
      </c>
      <c r="H744" s="5">
        <v>250928696</v>
      </c>
      <c r="I744" s="5">
        <v>0</v>
      </c>
      <c r="J744" s="5">
        <v>245</v>
      </c>
      <c r="L744">
        <f t="shared" si="69"/>
        <v>742</v>
      </c>
      <c r="M744">
        <f>'Real Analysis'!$B$3+B744/1000000</f>
        <v>15.872119999999995</v>
      </c>
      <c r="N744">
        <f t="shared" si="70"/>
        <v>3</v>
      </c>
      <c r="O744">
        <f>IF(ABS(D744)&gt;1,D744/1000000,D744)*'Real Analysis'!$B$4</f>
        <v>0.16905572999999999</v>
      </c>
      <c r="P744">
        <f>IF(ABS(E744)&gt;1,E744/1000000,E744)*'Real Analysis'!$B$4</f>
        <v>-0.56902905000000004</v>
      </c>
      <c r="Q744">
        <f>IF(ABS(F744)&gt;1,F744/1000000,F744)*'Real Analysis'!$B$4</f>
        <v>10.302295230000002</v>
      </c>
      <c r="R744">
        <f t="shared" si="71"/>
        <v>90.811881999999997</v>
      </c>
      <c r="S744">
        <f t="shared" si="72"/>
        <v>250.928696</v>
      </c>
      <c r="T744">
        <f t="shared" si="73"/>
        <v>0</v>
      </c>
      <c r="U744">
        <f t="shared" si="74"/>
        <v>0.245</v>
      </c>
    </row>
    <row r="745" spans="1:21" x14ac:dyDescent="0.3">
      <c r="A745" s="4">
        <v>743</v>
      </c>
      <c r="B745" s="4">
        <v>-96576113394</v>
      </c>
      <c r="C745" s="5">
        <v>3</v>
      </c>
      <c r="D745" s="5">
        <v>2.7899999999999999E-3</v>
      </c>
      <c r="E745" s="5">
        <v>-5.2602000000000003E-2</v>
      </c>
      <c r="F745" s="5">
        <v>1032966</v>
      </c>
      <c r="G745" s="5">
        <v>114968086</v>
      </c>
      <c r="H745" s="5">
        <v>219284225</v>
      </c>
      <c r="I745" s="5">
        <v>0</v>
      </c>
      <c r="J745" s="5">
        <v>245</v>
      </c>
      <c r="L745">
        <f t="shared" si="69"/>
        <v>743</v>
      </c>
      <c r="M745">
        <f>'Real Analysis'!$B$3+B745/1000000</f>
        <v>15.886606000000029</v>
      </c>
      <c r="N745">
        <f t="shared" si="70"/>
        <v>3</v>
      </c>
      <c r="O745">
        <f>IF(ABS(D745)&gt;1,D745/1000000,D745)*'Real Analysis'!$B$4</f>
        <v>2.7369900000000003E-2</v>
      </c>
      <c r="P745">
        <f>IF(ABS(E745)&gt;1,E745/1000000,E745)*'Real Analysis'!$B$4</f>
        <v>-0.51602562000000007</v>
      </c>
      <c r="Q745">
        <f>IF(ABS(F745)&gt;1,F745/1000000,F745)*'Real Analysis'!$B$4</f>
        <v>10.13339646</v>
      </c>
      <c r="R745">
        <f t="shared" si="71"/>
        <v>114.968086</v>
      </c>
      <c r="S745">
        <f t="shared" si="72"/>
        <v>219.28422499999999</v>
      </c>
      <c r="T745">
        <f t="shared" si="73"/>
        <v>0</v>
      </c>
      <c r="U745">
        <f t="shared" si="74"/>
        <v>0.245</v>
      </c>
    </row>
    <row r="746" spans="1:21" x14ac:dyDescent="0.3">
      <c r="A746" s="4">
        <v>744</v>
      </c>
      <c r="B746" s="4">
        <v>-96576087899</v>
      </c>
      <c r="C746" s="5">
        <v>3</v>
      </c>
      <c r="D746" s="5">
        <v>5.3210000000000002E-3</v>
      </c>
      <c r="E746" s="5">
        <v>-4.3952999999999999E-2</v>
      </c>
      <c r="F746" s="5">
        <v>1022862</v>
      </c>
      <c r="G746" s="5">
        <v>133720413</v>
      </c>
      <c r="H746" s="5">
        <v>234584991</v>
      </c>
      <c r="I746" s="5">
        <v>0</v>
      </c>
      <c r="J746" s="5">
        <v>246</v>
      </c>
      <c r="L746">
        <f t="shared" si="69"/>
        <v>744</v>
      </c>
      <c r="M746">
        <f>'Real Analysis'!$B$3+B746/1000000</f>
        <v>15.912100999994436</v>
      </c>
      <c r="N746">
        <f t="shared" si="70"/>
        <v>3</v>
      </c>
      <c r="O746">
        <f>IF(ABS(D746)&gt;1,D746/1000000,D746)*'Real Analysis'!$B$4</f>
        <v>5.2199010000000004E-2</v>
      </c>
      <c r="P746">
        <f>IF(ABS(E746)&gt;1,E746/1000000,E746)*'Real Analysis'!$B$4</f>
        <v>-0.43117893000000002</v>
      </c>
      <c r="Q746">
        <f>IF(ABS(F746)&gt;1,F746/1000000,F746)*'Real Analysis'!$B$4</f>
        <v>10.034276220000001</v>
      </c>
      <c r="R746">
        <f t="shared" si="71"/>
        <v>133.72041300000001</v>
      </c>
      <c r="S746">
        <f t="shared" si="72"/>
        <v>234.584991</v>
      </c>
      <c r="T746">
        <f t="shared" si="73"/>
        <v>0</v>
      </c>
      <c r="U746">
        <f t="shared" si="74"/>
        <v>0.246</v>
      </c>
    </row>
    <row r="747" spans="1:21" x14ac:dyDescent="0.3">
      <c r="A747" s="4">
        <v>745</v>
      </c>
      <c r="B747" s="4">
        <v>-96576068407</v>
      </c>
      <c r="C747" s="5">
        <v>3</v>
      </c>
      <c r="D747" s="5">
        <v>6.3839999999999999E-3</v>
      </c>
      <c r="E747" s="5">
        <v>-5.0333999999999997E-2</v>
      </c>
      <c r="F747" s="5">
        <v>1005718</v>
      </c>
      <c r="G747" s="5">
        <v>154136490</v>
      </c>
      <c r="H747" s="5">
        <v>227442368</v>
      </c>
      <c r="I747" s="5">
        <v>0</v>
      </c>
      <c r="J747" s="5">
        <v>245</v>
      </c>
      <c r="L747">
        <f t="shared" si="69"/>
        <v>745</v>
      </c>
      <c r="M747">
        <f>'Real Analysis'!$B$3+B747/1000000</f>
        <v>15.931593000001158</v>
      </c>
      <c r="N747">
        <f t="shared" si="70"/>
        <v>3</v>
      </c>
      <c r="O747">
        <f>IF(ABS(D747)&gt;1,D747/1000000,D747)*'Real Analysis'!$B$4</f>
        <v>6.2627040000000009E-2</v>
      </c>
      <c r="P747">
        <f>IF(ABS(E747)&gt;1,E747/1000000,E747)*'Real Analysis'!$B$4</f>
        <v>-0.49377653999999999</v>
      </c>
      <c r="Q747">
        <f>IF(ABS(F747)&gt;1,F747/1000000,F747)*'Real Analysis'!$B$4</f>
        <v>9.8660935799999994</v>
      </c>
      <c r="R747">
        <f t="shared" si="71"/>
        <v>154.13649000000001</v>
      </c>
      <c r="S747">
        <f t="shared" si="72"/>
        <v>227.44236799999999</v>
      </c>
      <c r="T747">
        <f t="shared" si="73"/>
        <v>0</v>
      </c>
      <c r="U747">
        <f t="shared" si="74"/>
        <v>0.245</v>
      </c>
    </row>
    <row r="748" spans="1:21" x14ac:dyDescent="0.3">
      <c r="A748" s="4">
        <v>746</v>
      </c>
      <c r="B748" s="4">
        <v>-96576053281</v>
      </c>
      <c r="C748" s="5">
        <v>3</v>
      </c>
      <c r="D748" s="5">
        <v>-2.15E-3</v>
      </c>
      <c r="E748" s="5">
        <v>-5.1640999999999999E-2</v>
      </c>
      <c r="F748" s="5">
        <v>1024129</v>
      </c>
      <c r="G748" s="5">
        <v>166609421</v>
      </c>
      <c r="H748" s="5">
        <v>224717087</v>
      </c>
      <c r="I748" s="5">
        <v>0</v>
      </c>
      <c r="J748" s="5">
        <v>246</v>
      </c>
      <c r="L748">
        <f t="shared" si="69"/>
        <v>746</v>
      </c>
      <c r="M748">
        <f>'Real Analysis'!$B$3+B748/1000000</f>
        <v>15.946718999999575</v>
      </c>
      <c r="N748">
        <f t="shared" si="70"/>
        <v>3</v>
      </c>
      <c r="O748">
        <f>IF(ABS(D748)&gt;1,D748/1000000,D748)*'Real Analysis'!$B$4</f>
        <v>-2.1091500000000003E-2</v>
      </c>
      <c r="P748">
        <f>IF(ABS(E748)&gt;1,E748/1000000,E748)*'Real Analysis'!$B$4</f>
        <v>-0.50659821000000005</v>
      </c>
      <c r="Q748">
        <f>IF(ABS(F748)&gt;1,F748/1000000,F748)*'Real Analysis'!$B$4</f>
        <v>10.046705490000001</v>
      </c>
      <c r="R748">
        <f t="shared" si="71"/>
        <v>166.609421</v>
      </c>
      <c r="S748">
        <f t="shared" si="72"/>
        <v>224.71708699999999</v>
      </c>
      <c r="T748">
        <f t="shared" si="73"/>
        <v>0</v>
      </c>
      <c r="U748">
        <f t="shared" si="74"/>
        <v>0.246</v>
      </c>
    </row>
    <row r="749" spans="1:21" x14ac:dyDescent="0.3">
      <c r="A749" s="4">
        <v>747</v>
      </c>
      <c r="B749" s="4">
        <v>-96576030239</v>
      </c>
      <c r="C749" s="5">
        <v>3</v>
      </c>
      <c r="D749" s="5">
        <v>-1.1100000000000001E-3</v>
      </c>
      <c r="E749" s="5">
        <v>-2.7099999999999999E-2</v>
      </c>
      <c r="F749" s="5">
        <v>1038876</v>
      </c>
      <c r="G749" s="5">
        <v>175821243</v>
      </c>
      <c r="H749" s="5">
        <v>196079330</v>
      </c>
      <c r="I749" s="5">
        <v>0</v>
      </c>
      <c r="J749" s="5">
        <v>247</v>
      </c>
      <c r="L749">
        <f t="shared" si="69"/>
        <v>747</v>
      </c>
      <c r="M749">
        <f>'Real Analysis'!$B$3+B749/1000000</f>
        <v>15.96976100000029</v>
      </c>
      <c r="N749">
        <f t="shared" si="70"/>
        <v>3</v>
      </c>
      <c r="O749">
        <f>IF(ABS(D749)&gt;1,D749/1000000,D749)*'Real Analysis'!$B$4</f>
        <v>-1.0889100000000002E-2</v>
      </c>
      <c r="P749">
        <f>IF(ABS(E749)&gt;1,E749/1000000,E749)*'Real Analysis'!$B$4</f>
        <v>-0.265851</v>
      </c>
      <c r="Q749">
        <f>IF(ABS(F749)&gt;1,F749/1000000,F749)*'Real Analysis'!$B$4</f>
        <v>10.191373559999999</v>
      </c>
      <c r="R749">
        <f t="shared" si="71"/>
        <v>175.82124300000001</v>
      </c>
      <c r="S749">
        <f t="shared" si="72"/>
        <v>196.07933</v>
      </c>
      <c r="T749">
        <f t="shared" si="73"/>
        <v>0</v>
      </c>
      <c r="U749">
        <f t="shared" si="74"/>
        <v>0.247</v>
      </c>
    </row>
    <row r="750" spans="1:21" x14ac:dyDescent="0.3">
      <c r="A750" s="4">
        <v>748</v>
      </c>
      <c r="B750" s="4">
        <v>-96576011660</v>
      </c>
      <c r="C750" s="5">
        <v>3</v>
      </c>
      <c r="D750" s="5">
        <v>8.1899999999999994E-3</v>
      </c>
      <c r="E750" s="5">
        <v>-2.6203000000000001E-2</v>
      </c>
      <c r="F750" s="5">
        <v>1053346</v>
      </c>
      <c r="G750" s="5">
        <v>184994583</v>
      </c>
      <c r="H750" s="5">
        <v>200510254</v>
      </c>
      <c r="I750" s="5">
        <v>0</v>
      </c>
      <c r="J750" s="5">
        <v>247</v>
      </c>
      <c r="L750">
        <f t="shared" si="69"/>
        <v>748</v>
      </c>
      <c r="M750">
        <f>'Real Analysis'!$B$3+B750/1000000</f>
        <v>15.988339999996242</v>
      </c>
      <c r="N750">
        <f t="shared" si="70"/>
        <v>3</v>
      </c>
      <c r="O750">
        <f>IF(ABS(D750)&gt;1,D750/1000000,D750)*'Real Analysis'!$B$4</f>
        <v>8.0343899999999996E-2</v>
      </c>
      <c r="P750">
        <f>IF(ABS(E750)&gt;1,E750/1000000,E750)*'Real Analysis'!$B$4</f>
        <v>-0.25705143000000003</v>
      </c>
      <c r="Q750">
        <f>IF(ABS(F750)&gt;1,F750/1000000,F750)*'Real Analysis'!$B$4</f>
        <v>10.333324259999999</v>
      </c>
      <c r="R750">
        <f t="shared" si="71"/>
        <v>184.99458300000001</v>
      </c>
      <c r="S750">
        <f t="shared" si="72"/>
        <v>200.510254</v>
      </c>
      <c r="T750">
        <f t="shared" si="73"/>
        <v>0</v>
      </c>
      <c r="U750">
        <f t="shared" si="74"/>
        <v>0.247</v>
      </c>
    </row>
    <row r="751" spans="1:21" x14ac:dyDescent="0.3">
      <c r="A751" s="4">
        <v>749</v>
      </c>
      <c r="B751" s="4">
        <v>-96575988112</v>
      </c>
      <c r="C751" s="5">
        <v>3</v>
      </c>
      <c r="D751" s="5">
        <v>-1.0742E-2</v>
      </c>
      <c r="E751" s="5">
        <v>-4.1639000000000002E-2</v>
      </c>
      <c r="F751" s="5">
        <v>1053349</v>
      </c>
      <c r="G751" s="5">
        <v>197279282</v>
      </c>
      <c r="H751" s="5">
        <v>173804276</v>
      </c>
      <c r="I751" s="5">
        <v>0</v>
      </c>
      <c r="J751" s="5">
        <v>248</v>
      </c>
      <c r="L751">
        <f t="shared" si="69"/>
        <v>749</v>
      </c>
      <c r="M751">
        <f>'Real Analysis'!$B$3+B751/1000000</f>
        <v>16.011887999993633</v>
      </c>
      <c r="N751">
        <f t="shared" si="70"/>
        <v>3</v>
      </c>
      <c r="O751">
        <f>IF(ABS(D751)&gt;1,D751/1000000,D751)*'Real Analysis'!$B$4</f>
        <v>-0.10537902</v>
      </c>
      <c r="P751">
        <f>IF(ABS(E751)&gt;1,E751/1000000,E751)*'Real Analysis'!$B$4</f>
        <v>-0.40847859000000003</v>
      </c>
      <c r="Q751">
        <f>IF(ABS(F751)&gt;1,F751/1000000,F751)*'Real Analysis'!$B$4</f>
        <v>10.333353690000001</v>
      </c>
      <c r="R751">
        <f t="shared" si="71"/>
        <v>197.27928199999999</v>
      </c>
      <c r="S751">
        <f t="shared" si="72"/>
        <v>173.80427599999999</v>
      </c>
      <c r="T751">
        <f t="shared" si="73"/>
        <v>0</v>
      </c>
      <c r="U751">
        <f t="shared" si="74"/>
        <v>0.248</v>
      </c>
    </row>
    <row r="752" spans="1:21" x14ac:dyDescent="0.3">
      <c r="A752" s="4">
        <v>750</v>
      </c>
      <c r="B752" s="4">
        <v>-96575967459</v>
      </c>
      <c r="C752" s="5">
        <v>3</v>
      </c>
      <c r="D752" s="5">
        <v>-5.398E-3</v>
      </c>
      <c r="E752" s="5">
        <v>-3.031E-2</v>
      </c>
      <c r="F752" s="5">
        <v>1044086</v>
      </c>
      <c r="G752" s="5">
        <v>205326981</v>
      </c>
      <c r="H752" s="5">
        <v>168600647</v>
      </c>
      <c r="I752" s="5">
        <v>0</v>
      </c>
      <c r="J752" s="5">
        <v>247</v>
      </c>
      <c r="L752">
        <f t="shared" si="69"/>
        <v>750</v>
      </c>
      <c r="M752">
        <f>'Real Analysis'!$B$3+B752/1000000</f>
        <v>16.032540999993216</v>
      </c>
      <c r="N752">
        <f t="shared" si="70"/>
        <v>3</v>
      </c>
      <c r="O752">
        <f>IF(ABS(D752)&gt;1,D752/1000000,D752)*'Real Analysis'!$B$4</f>
        <v>-5.2954380000000002E-2</v>
      </c>
      <c r="P752">
        <f>IF(ABS(E752)&gt;1,E752/1000000,E752)*'Real Analysis'!$B$4</f>
        <v>-0.29734110000000002</v>
      </c>
      <c r="Q752">
        <f>IF(ABS(F752)&gt;1,F752/1000000,F752)*'Real Analysis'!$B$4</f>
        <v>10.242483660000001</v>
      </c>
      <c r="R752">
        <f t="shared" si="71"/>
        <v>205.32698099999999</v>
      </c>
      <c r="S752">
        <f t="shared" si="72"/>
        <v>168.60064700000001</v>
      </c>
      <c r="T752">
        <f t="shared" si="73"/>
        <v>0</v>
      </c>
      <c r="U752">
        <f t="shared" si="74"/>
        <v>0.247</v>
      </c>
    </row>
    <row r="753" spans="1:21" x14ac:dyDescent="0.3">
      <c r="A753" s="4">
        <v>751</v>
      </c>
      <c r="B753" s="4">
        <v>-96575953166</v>
      </c>
      <c r="C753" s="5">
        <v>3</v>
      </c>
      <c r="D753" s="5">
        <v>-4.0889999999999998E-3</v>
      </c>
      <c r="E753" s="5">
        <v>-1.9689000000000002E-2</v>
      </c>
      <c r="F753" s="5">
        <v>1027692</v>
      </c>
      <c r="G753" s="5">
        <v>210785660</v>
      </c>
      <c r="H753" s="5">
        <v>149306107</v>
      </c>
      <c r="I753" s="5">
        <v>0</v>
      </c>
      <c r="J753" s="5">
        <v>248</v>
      </c>
      <c r="L753">
        <f t="shared" si="69"/>
        <v>751</v>
      </c>
      <c r="M753">
        <f>'Real Analysis'!$B$3+B753/1000000</f>
        <v>16.046833999993396</v>
      </c>
      <c r="N753">
        <f t="shared" si="70"/>
        <v>3</v>
      </c>
      <c r="O753">
        <f>IF(ABS(D753)&gt;1,D753/1000000,D753)*'Real Analysis'!$B$4</f>
        <v>-4.0113089999999997E-2</v>
      </c>
      <c r="P753">
        <f>IF(ABS(E753)&gt;1,E753/1000000,E753)*'Real Analysis'!$B$4</f>
        <v>-0.19314909000000002</v>
      </c>
      <c r="Q753">
        <f>IF(ABS(F753)&gt;1,F753/1000000,F753)*'Real Analysis'!$B$4</f>
        <v>10.081658520000001</v>
      </c>
      <c r="R753">
        <f t="shared" si="71"/>
        <v>210.78566000000001</v>
      </c>
      <c r="S753">
        <f t="shared" si="72"/>
        <v>149.306107</v>
      </c>
      <c r="T753">
        <f t="shared" si="73"/>
        <v>0</v>
      </c>
      <c r="U753">
        <f t="shared" si="74"/>
        <v>0.248</v>
      </c>
    </row>
    <row r="754" spans="1:21" x14ac:dyDescent="0.3">
      <c r="A754" s="4">
        <v>752</v>
      </c>
      <c r="B754" s="4">
        <v>-96575926069</v>
      </c>
      <c r="C754" s="5">
        <v>3</v>
      </c>
      <c r="D754" s="5">
        <v>1.2321E-2</v>
      </c>
      <c r="E754" s="5">
        <v>-3.2398999999999997E-2</v>
      </c>
      <c r="F754" s="5">
        <v>1023804</v>
      </c>
      <c r="G754" s="5">
        <v>209869431</v>
      </c>
      <c r="H754" s="5">
        <v>143017563</v>
      </c>
      <c r="I754" s="5">
        <v>0</v>
      </c>
      <c r="J754" s="5">
        <v>248</v>
      </c>
      <c r="L754">
        <f t="shared" si="69"/>
        <v>752</v>
      </c>
      <c r="M754">
        <f>'Real Analysis'!$B$3+B754/1000000</f>
        <v>16.073931000006269</v>
      </c>
      <c r="N754">
        <f t="shared" si="70"/>
        <v>3</v>
      </c>
      <c r="O754">
        <f>IF(ABS(D754)&gt;1,D754/1000000,D754)*'Real Analysis'!$B$4</f>
        <v>0.12086901000000001</v>
      </c>
      <c r="P754">
        <f>IF(ABS(E754)&gt;1,E754/1000000,E754)*'Real Analysis'!$B$4</f>
        <v>-0.31783419000000002</v>
      </c>
      <c r="Q754">
        <f>IF(ABS(F754)&gt;1,F754/1000000,F754)*'Real Analysis'!$B$4</f>
        <v>10.04351724</v>
      </c>
      <c r="R754">
        <f t="shared" si="71"/>
        <v>209.86943099999999</v>
      </c>
      <c r="S754">
        <f t="shared" si="72"/>
        <v>143.017563</v>
      </c>
      <c r="T754">
        <f t="shared" si="73"/>
        <v>0</v>
      </c>
      <c r="U754">
        <f t="shared" si="74"/>
        <v>0.248</v>
      </c>
    </row>
    <row r="755" spans="1:21" x14ac:dyDescent="0.3">
      <c r="A755" s="4">
        <v>753</v>
      </c>
      <c r="B755" s="4">
        <v>-96575910894</v>
      </c>
      <c r="C755" s="5">
        <v>3</v>
      </c>
      <c r="D755" s="5">
        <v>4.13E-3</v>
      </c>
      <c r="E755" s="5">
        <v>-4.5241999999999997E-2</v>
      </c>
      <c r="F755" s="5">
        <v>1037716</v>
      </c>
      <c r="G755" s="5">
        <v>216399979</v>
      </c>
      <c r="H755" s="5">
        <v>132509659</v>
      </c>
      <c r="I755" s="5">
        <v>0</v>
      </c>
      <c r="J755" s="5">
        <v>249</v>
      </c>
      <c r="L755">
        <f t="shared" si="69"/>
        <v>753</v>
      </c>
      <c r="M755">
        <f>'Real Analysis'!$B$3+B755/1000000</f>
        <v>16.089105999999447</v>
      </c>
      <c r="N755">
        <f t="shared" si="70"/>
        <v>3</v>
      </c>
      <c r="O755">
        <f>IF(ABS(D755)&gt;1,D755/1000000,D755)*'Real Analysis'!$B$4</f>
        <v>4.0515300000000004E-2</v>
      </c>
      <c r="P755">
        <f>IF(ABS(E755)&gt;1,E755/1000000,E755)*'Real Analysis'!$B$4</f>
        <v>-0.44382401999999999</v>
      </c>
      <c r="Q755">
        <f>IF(ABS(F755)&gt;1,F755/1000000,F755)*'Real Analysis'!$B$4</f>
        <v>10.179993960000001</v>
      </c>
      <c r="R755">
        <f t="shared" si="71"/>
        <v>216.399979</v>
      </c>
      <c r="S755">
        <f t="shared" si="72"/>
        <v>132.509659</v>
      </c>
      <c r="T755">
        <f t="shared" si="73"/>
        <v>0</v>
      </c>
      <c r="U755">
        <f t="shared" si="74"/>
        <v>0.249</v>
      </c>
    </row>
    <row r="756" spans="1:21" x14ac:dyDescent="0.3">
      <c r="A756" s="4">
        <v>754</v>
      </c>
      <c r="B756" s="4">
        <v>-96575891756</v>
      </c>
      <c r="C756" s="5">
        <v>3</v>
      </c>
      <c r="D756" s="5">
        <v>9.1E-4</v>
      </c>
      <c r="E756" s="5">
        <v>-5.4158999999999999E-2</v>
      </c>
      <c r="F756" s="5">
        <v>1045371</v>
      </c>
      <c r="G756" s="5">
        <v>230659546</v>
      </c>
      <c r="H756" s="5">
        <v>136090225</v>
      </c>
      <c r="I756" s="5">
        <v>0</v>
      </c>
      <c r="J756" s="5">
        <v>250</v>
      </c>
      <c r="L756">
        <f t="shared" si="69"/>
        <v>754</v>
      </c>
      <c r="M756">
        <f>'Real Analysis'!$B$3+B756/1000000</f>
        <v>16.108244000002742</v>
      </c>
      <c r="N756">
        <f t="shared" si="70"/>
        <v>3</v>
      </c>
      <c r="O756">
        <f>IF(ABS(D756)&gt;1,D756/1000000,D756)*'Real Analysis'!$B$4</f>
        <v>8.9271000000000003E-3</v>
      </c>
      <c r="P756">
        <f>IF(ABS(E756)&gt;1,E756/1000000,E756)*'Real Analysis'!$B$4</f>
        <v>-0.53129979000000005</v>
      </c>
      <c r="Q756">
        <f>IF(ABS(F756)&gt;1,F756/1000000,F756)*'Real Analysis'!$B$4</f>
        <v>10.255089510000001</v>
      </c>
      <c r="R756">
        <f t="shared" si="71"/>
        <v>230.65954600000001</v>
      </c>
      <c r="S756">
        <f t="shared" si="72"/>
        <v>136.090225</v>
      </c>
      <c r="T756">
        <f t="shared" si="73"/>
        <v>0</v>
      </c>
      <c r="U756">
        <f t="shared" si="74"/>
        <v>0.25</v>
      </c>
    </row>
    <row r="757" spans="1:21" x14ac:dyDescent="0.3">
      <c r="A757" s="4">
        <v>755</v>
      </c>
      <c r="B757" s="4">
        <v>-96575875878</v>
      </c>
      <c r="C757" s="5">
        <v>3</v>
      </c>
      <c r="D757" s="5">
        <v>-5.5489999999999998E-2</v>
      </c>
      <c r="E757" s="5">
        <v>-8.9797000000000002E-2</v>
      </c>
      <c r="F757" s="5">
        <v>1048614</v>
      </c>
      <c r="G757" s="5">
        <v>230686081</v>
      </c>
      <c r="H757" s="5">
        <v>137480072</v>
      </c>
      <c r="I757" s="5">
        <v>0</v>
      </c>
      <c r="J757" s="5">
        <v>250</v>
      </c>
      <c r="L757">
        <f t="shared" si="69"/>
        <v>755</v>
      </c>
      <c r="M757">
        <f>'Real Analysis'!$B$3+B757/1000000</f>
        <v>16.124121999993804</v>
      </c>
      <c r="N757">
        <f t="shared" si="70"/>
        <v>3</v>
      </c>
      <c r="O757">
        <f>IF(ABS(D757)&gt;1,D757/1000000,D757)*'Real Analysis'!$B$4</f>
        <v>-0.54435690000000003</v>
      </c>
      <c r="P757">
        <f>IF(ABS(E757)&gt;1,E757/1000000,E757)*'Real Analysis'!$B$4</f>
        <v>-0.88090857000000011</v>
      </c>
      <c r="Q757">
        <f>IF(ABS(F757)&gt;1,F757/1000000,F757)*'Real Analysis'!$B$4</f>
        <v>10.28690334</v>
      </c>
      <c r="R757">
        <f t="shared" si="71"/>
        <v>230.686081</v>
      </c>
      <c r="S757">
        <f t="shared" si="72"/>
        <v>137.48007200000001</v>
      </c>
      <c r="T757">
        <f t="shared" si="73"/>
        <v>0</v>
      </c>
      <c r="U757">
        <f t="shared" si="74"/>
        <v>0.25</v>
      </c>
    </row>
    <row r="758" spans="1:21" x14ac:dyDescent="0.3">
      <c r="A758" s="4">
        <v>756</v>
      </c>
      <c r="B758" s="4">
        <v>-96575849030</v>
      </c>
      <c r="C758" s="5">
        <v>3</v>
      </c>
      <c r="D758" s="5">
        <v>-0.46067200000000003</v>
      </c>
      <c r="E758" s="5">
        <v>-0.32104500000000002</v>
      </c>
      <c r="F758" s="5">
        <v>1007554</v>
      </c>
      <c r="G758" s="5">
        <v>189683701</v>
      </c>
      <c r="H758" s="5">
        <v>94707291</v>
      </c>
      <c r="I758" s="5">
        <v>0</v>
      </c>
      <c r="J758" s="5">
        <v>248</v>
      </c>
      <c r="L758">
        <f t="shared" si="69"/>
        <v>756</v>
      </c>
      <c r="M758">
        <f>'Real Analysis'!$B$3+B758/1000000</f>
        <v>16.150970000002417</v>
      </c>
      <c r="N758">
        <f t="shared" si="70"/>
        <v>3</v>
      </c>
      <c r="O758">
        <f>IF(ABS(D758)&gt;1,D758/1000000,D758)*'Real Analysis'!$B$4</f>
        <v>-4.5191923200000002</v>
      </c>
      <c r="P758">
        <f>IF(ABS(E758)&gt;1,E758/1000000,E758)*'Real Analysis'!$B$4</f>
        <v>-3.1494514500000004</v>
      </c>
      <c r="Q758">
        <f>IF(ABS(F758)&gt;1,F758/1000000,F758)*'Real Analysis'!$B$4</f>
        <v>9.8841047400000015</v>
      </c>
      <c r="R758">
        <f t="shared" si="71"/>
        <v>189.68370100000001</v>
      </c>
      <c r="S758">
        <f t="shared" si="72"/>
        <v>94.707290999999998</v>
      </c>
      <c r="T758">
        <f t="shared" si="73"/>
        <v>0</v>
      </c>
      <c r="U758">
        <f t="shared" si="74"/>
        <v>0.248</v>
      </c>
    </row>
    <row r="759" spans="1:21" x14ac:dyDescent="0.3">
      <c r="A759" s="4">
        <v>757</v>
      </c>
      <c r="B759" s="4">
        <v>-96575831308</v>
      </c>
      <c r="C759" s="5">
        <v>3</v>
      </c>
      <c r="D759" s="5">
        <v>-0.64217299999999999</v>
      </c>
      <c r="E759" s="5">
        <v>-0.27953800000000001</v>
      </c>
      <c r="F759" s="5">
        <v>1034601</v>
      </c>
      <c r="G759" s="5">
        <v>100599586</v>
      </c>
      <c r="H759" s="5">
        <v>48439533</v>
      </c>
      <c r="I759" s="5">
        <v>0</v>
      </c>
      <c r="J759" s="5">
        <v>248</v>
      </c>
      <c r="L759">
        <f t="shared" si="69"/>
        <v>757</v>
      </c>
      <c r="M759">
        <f>'Real Analysis'!$B$3+B759/1000000</f>
        <v>16.168692000006558</v>
      </c>
      <c r="N759">
        <f t="shared" si="70"/>
        <v>3</v>
      </c>
      <c r="O759">
        <f>IF(ABS(D759)&gt;1,D759/1000000,D759)*'Real Analysis'!$B$4</f>
        <v>-6.2997171300000003</v>
      </c>
      <c r="P759">
        <f>IF(ABS(E759)&gt;1,E759/1000000,E759)*'Real Analysis'!$B$4</f>
        <v>-2.7422677800000002</v>
      </c>
      <c r="Q759">
        <f>IF(ABS(F759)&gt;1,F759/1000000,F759)*'Real Analysis'!$B$4</f>
        <v>10.149435810000002</v>
      </c>
      <c r="R759">
        <f t="shared" si="71"/>
        <v>100.599586</v>
      </c>
      <c r="S759">
        <f t="shared" si="72"/>
        <v>48.439532999999997</v>
      </c>
      <c r="T759">
        <f t="shared" si="73"/>
        <v>0</v>
      </c>
      <c r="U759">
        <f t="shared" si="74"/>
        <v>0.248</v>
      </c>
    </row>
    <row r="760" spans="1:21" x14ac:dyDescent="0.3">
      <c r="A760" s="4">
        <v>758</v>
      </c>
      <c r="B760" s="4">
        <v>-96575811780</v>
      </c>
      <c r="C760" s="5">
        <v>3</v>
      </c>
      <c r="D760" s="5">
        <v>-0.34885699999999997</v>
      </c>
      <c r="E760" s="5">
        <v>-0.123097</v>
      </c>
      <c r="F760" s="5">
        <v>1080069</v>
      </c>
      <c r="G760" s="5">
        <v>-6036906</v>
      </c>
      <c r="H760" s="5">
        <v>24635248</v>
      </c>
      <c r="I760" s="5">
        <v>0</v>
      </c>
      <c r="J760" s="5">
        <v>249</v>
      </c>
      <c r="L760">
        <f t="shared" si="69"/>
        <v>758</v>
      </c>
      <c r="M760">
        <f>'Real Analysis'!$B$3+B760/1000000</f>
        <v>16.188219999996363</v>
      </c>
      <c r="N760">
        <f t="shared" si="70"/>
        <v>3</v>
      </c>
      <c r="O760">
        <f>IF(ABS(D760)&gt;1,D760/1000000,D760)*'Real Analysis'!$B$4</f>
        <v>-3.4222871699999997</v>
      </c>
      <c r="P760">
        <f>IF(ABS(E760)&gt;1,E760/1000000,E760)*'Real Analysis'!$B$4</f>
        <v>-1.2075815700000001</v>
      </c>
      <c r="Q760">
        <f>IF(ABS(F760)&gt;1,F760/1000000,F760)*'Real Analysis'!$B$4</f>
        <v>10.59547689</v>
      </c>
      <c r="R760">
        <f t="shared" si="71"/>
        <v>-6.0369060000000001</v>
      </c>
      <c r="S760">
        <f t="shared" si="72"/>
        <v>24.635248000000001</v>
      </c>
      <c r="T760">
        <f t="shared" si="73"/>
        <v>0</v>
      </c>
      <c r="U760">
        <f t="shared" si="74"/>
        <v>0.249</v>
      </c>
    </row>
    <row r="761" spans="1:21" x14ac:dyDescent="0.3">
      <c r="A761" s="4">
        <v>759</v>
      </c>
      <c r="B761" s="4">
        <v>-96575792022</v>
      </c>
      <c r="C761" s="5">
        <v>3</v>
      </c>
      <c r="D761" s="5">
        <v>-3.7430999999999999E-2</v>
      </c>
      <c r="E761" s="5">
        <v>-8.8850999999999999E-2</v>
      </c>
      <c r="F761" s="5">
        <v>1078885</v>
      </c>
      <c r="G761" s="5">
        <v>-70156105</v>
      </c>
      <c r="H761" s="5">
        <v>19818682</v>
      </c>
      <c r="I761" s="5">
        <v>0</v>
      </c>
      <c r="J761" s="5">
        <v>250</v>
      </c>
      <c r="L761">
        <f t="shared" si="69"/>
        <v>759</v>
      </c>
      <c r="M761">
        <f>'Real Analysis'!$B$3+B761/1000000</f>
        <v>16.207978000005824</v>
      </c>
      <c r="N761">
        <f t="shared" si="70"/>
        <v>3</v>
      </c>
      <c r="O761">
        <f>IF(ABS(D761)&gt;1,D761/1000000,D761)*'Real Analysis'!$B$4</f>
        <v>-0.36719811000000002</v>
      </c>
      <c r="P761">
        <f>IF(ABS(E761)&gt;1,E761/1000000,E761)*'Real Analysis'!$B$4</f>
        <v>-0.87162831000000007</v>
      </c>
      <c r="Q761">
        <f>IF(ABS(F761)&gt;1,F761/1000000,F761)*'Real Analysis'!$B$4</f>
        <v>10.583861850000002</v>
      </c>
      <c r="R761">
        <f t="shared" si="71"/>
        <v>-70.156104999999997</v>
      </c>
      <c r="S761">
        <f t="shared" si="72"/>
        <v>19.818681999999999</v>
      </c>
      <c r="T761">
        <f t="shared" si="73"/>
        <v>0</v>
      </c>
      <c r="U761">
        <f t="shared" si="74"/>
        <v>0.25</v>
      </c>
    </row>
    <row r="762" spans="1:21" x14ac:dyDescent="0.3">
      <c r="A762" s="4">
        <v>760</v>
      </c>
      <c r="B762" s="4">
        <v>-96575768834</v>
      </c>
      <c r="C762" s="5">
        <v>3</v>
      </c>
      <c r="D762" s="5">
        <v>4.3241000000000002E-2</v>
      </c>
      <c r="E762" s="5">
        <v>-6.0768000000000003E-2</v>
      </c>
      <c r="F762" s="5">
        <v>1063891</v>
      </c>
      <c r="G762" s="5">
        <v>-95855156</v>
      </c>
      <c r="H762" s="5">
        <v>20254663</v>
      </c>
      <c r="I762" s="5">
        <v>0</v>
      </c>
      <c r="J762" s="5">
        <v>248</v>
      </c>
      <c r="L762">
        <f t="shared" si="69"/>
        <v>760</v>
      </c>
      <c r="M762">
        <f>'Real Analysis'!$B$3+B762/1000000</f>
        <v>16.231165999997756</v>
      </c>
      <c r="N762">
        <f t="shared" si="70"/>
        <v>3</v>
      </c>
      <c r="O762">
        <f>IF(ABS(D762)&gt;1,D762/1000000,D762)*'Real Analysis'!$B$4</f>
        <v>0.42419421000000002</v>
      </c>
      <c r="P762">
        <f>IF(ABS(E762)&gt;1,E762/1000000,E762)*'Real Analysis'!$B$4</f>
        <v>-0.59613408000000001</v>
      </c>
      <c r="Q762">
        <f>IF(ABS(F762)&gt;1,F762/1000000,F762)*'Real Analysis'!$B$4</f>
        <v>10.436770709999999</v>
      </c>
      <c r="R762">
        <f t="shared" si="71"/>
        <v>-95.855155999999994</v>
      </c>
      <c r="S762">
        <f t="shared" si="72"/>
        <v>20.254663000000001</v>
      </c>
      <c r="T762">
        <f t="shared" si="73"/>
        <v>0</v>
      </c>
      <c r="U762">
        <f t="shared" si="74"/>
        <v>0.248</v>
      </c>
    </row>
    <row r="763" spans="1:21" x14ac:dyDescent="0.3">
      <c r="A763" s="4">
        <v>761</v>
      </c>
      <c r="B763" s="4">
        <v>-96575751148</v>
      </c>
      <c r="C763" s="5">
        <v>3</v>
      </c>
      <c r="D763" s="5">
        <v>3.9669999999999997E-2</v>
      </c>
      <c r="E763" s="5">
        <v>-7.5527999999999998E-2</v>
      </c>
      <c r="F763" s="5">
        <v>1063217</v>
      </c>
      <c r="G763" s="5">
        <v>-104771187</v>
      </c>
      <c r="H763" s="5">
        <v>14819654</v>
      </c>
      <c r="I763" s="5">
        <v>0</v>
      </c>
      <c r="J763" s="5">
        <v>248</v>
      </c>
      <c r="L763">
        <f t="shared" si="69"/>
        <v>761</v>
      </c>
      <c r="M763">
        <f>'Real Analysis'!$B$3+B763/1000000</f>
        <v>16.248852000004263</v>
      </c>
      <c r="N763">
        <f t="shared" si="70"/>
        <v>3</v>
      </c>
      <c r="O763">
        <f>IF(ABS(D763)&gt;1,D763/1000000,D763)*'Real Analysis'!$B$4</f>
        <v>0.38916269999999997</v>
      </c>
      <c r="P763">
        <f>IF(ABS(E763)&gt;1,E763/1000000,E763)*'Real Analysis'!$B$4</f>
        <v>-0.74092968000000003</v>
      </c>
      <c r="Q763">
        <f>IF(ABS(F763)&gt;1,F763/1000000,F763)*'Real Analysis'!$B$4</f>
        <v>10.430158770000002</v>
      </c>
      <c r="R763">
        <f t="shared" si="71"/>
        <v>-104.771187</v>
      </c>
      <c r="S763">
        <f t="shared" si="72"/>
        <v>14.819654</v>
      </c>
      <c r="T763">
        <f t="shared" si="73"/>
        <v>0</v>
      </c>
      <c r="U763">
        <f t="shared" si="74"/>
        <v>0.248</v>
      </c>
    </row>
    <row r="764" spans="1:21" x14ac:dyDescent="0.3">
      <c r="A764" s="4">
        <v>762</v>
      </c>
      <c r="B764" s="4">
        <v>-96575730938</v>
      </c>
      <c r="C764" s="5">
        <v>3</v>
      </c>
      <c r="D764" s="5">
        <v>3.5733000000000001E-2</v>
      </c>
      <c r="E764" s="5">
        <v>-5.0250000000000003E-2</v>
      </c>
      <c r="F764" s="5">
        <v>1085838</v>
      </c>
      <c r="G764" s="5">
        <v>-101818939</v>
      </c>
      <c r="H764" s="5">
        <v>0.61989499999999997</v>
      </c>
      <c r="I764" s="5">
        <v>0</v>
      </c>
      <c r="J764" s="5">
        <v>249</v>
      </c>
      <c r="L764">
        <f t="shared" si="69"/>
        <v>762</v>
      </c>
      <c r="M764">
        <f>'Real Analysis'!$B$3+B764/1000000</f>
        <v>16.26906200000667</v>
      </c>
      <c r="N764">
        <f t="shared" si="70"/>
        <v>3</v>
      </c>
      <c r="O764">
        <f>IF(ABS(D764)&gt;1,D764/1000000,D764)*'Real Analysis'!$B$4</f>
        <v>0.35054073000000002</v>
      </c>
      <c r="P764">
        <f>IF(ABS(E764)&gt;1,E764/1000000,E764)*'Real Analysis'!$B$4</f>
        <v>-0.49295250000000007</v>
      </c>
      <c r="Q764">
        <f>IF(ABS(F764)&gt;1,F764/1000000,F764)*'Real Analysis'!$B$4</f>
        <v>10.652070780000001</v>
      </c>
      <c r="R764">
        <f t="shared" si="71"/>
        <v>-101.818939</v>
      </c>
      <c r="S764">
        <f t="shared" si="72"/>
        <v>0.61989499999999997</v>
      </c>
      <c r="T764">
        <f t="shared" si="73"/>
        <v>0</v>
      </c>
      <c r="U764">
        <f t="shared" si="74"/>
        <v>0.249</v>
      </c>
    </row>
    <row r="765" spans="1:21" x14ac:dyDescent="0.3">
      <c r="A765" s="4">
        <v>763</v>
      </c>
      <c r="B765" s="4">
        <v>-96575711940</v>
      </c>
      <c r="C765" s="5">
        <v>3</v>
      </c>
      <c r="D765" s="5">
        <v>6.8019999999999999E-3</v>
      </c>
      <c r="E765" s="5">
        <v>-3.2571000000000003E-2</v>
      </c>
      <c r="F765" s="5">
        <v>1101380</v>
      </c>
      <c r="G765" s="5">
        <v>-89511948</v>
      </c>
      <c r="H765" s="5">
        <v>-0.62189700000000003</v>
      </c>
      <c r="I765" s="5">
        <v>0</v>
      </c>
      <c r="J765" s="5">
        <v>250</v>
      </c>
      <c r="L765">
        <f t="shared" si="69"/>
        <v>763</v>
      </c>
      <c r="M765">
        <f>'Real Analysis'!$B$3+B765/1000000</f>
        <v>16.288060000006226</v>
      </c>
      <c r="N765">
        <f t="shared" si="70"/>
        <v>3</v>
      </c>
      <c r="O765">
        <f>IF(ABS(D765)&gt;1,D765/1000000,D765)*'Real Analysis'!$B$4</f>
        <v>6.6727620000000001E-2</v>
      </c>
      <c r="P765">
        <f>IF(ABS(E765)&gt;1,E765/1000000,E765)*'Real Analysis'!$B$4</f>
        <v>-0.31952151000000006</v>
      </c>
      <c r="Q765">
        <f>IF(ABS(F765)&gt;1,F765/1000000,F765)*'Real Analysis'!$B$4</f>
        <v>10.8045378</v>
      </c>
      <c r="R765">
        <f t="shared" si="71"/>
        <v>-89.511948000000004</v>
      </c>
      <c r="S765">
        <f t="shared" si="72"/>
        <v>-0.62189700000000003</v>
      </c>
      <c r="T765">
        <f t="shared" si="73"/>
        <v>0</v>
      </c>
      <c r="U765">
        <f t="shared" si="74"/>
        <v>0.25</v>
      </c>
    </row>
    <row r="766" spans="1:21" x14ac:dyDescent="0.3">
      <c r="A766" s="4">
        <v>764</v>
      </c>
      <c r="B766" s="4">
        <v>-96575691217</v>
      </c>
      <c r="C766" s="5">
        <v>3</v>
      </c>
      <c r="D766" s="5">
        <v>1.9421999999999998E-2</v>
      </c>
      <c r="E766" s="5">
        <v>-1.4061000000000001E-2</v>
      </c>
      <c r="F766" s="5">
        <v>1086769</v>
      </c>
      <c r="G766" s="5">
        <v>-74899529</v>
      </c>
      <c r="H766" s="5">
        <v>-14296225</v>
      </c>
      <c r="I766" s="5">
        <v>0</v>
      </c>
      <c r="J766" s="5">
        <v>251</v>
      </c>
      <c r="L766">
        <f t="shared" si="69"/>
        <v>764</v>
      </c>
      <c r="M766">
        <f>'Real Analysis'!$B$3+B766/1000000</f>
        <v>16.308783000000403</v>
      </c>
      <c r="N766">
        <f t="shared" si="70"/>
        <v>3</v>
      </c>
      <c r="O766">
        <f>IF(ABS(D766)&gt;1,D766/1000000,D766)*'Real Analysis'!$B$4</f>
        <v>0.19052981999999999</v>
      </c>
      <c r="P766">
        <f>IF(ABS(E766)&gt;1,E766/1000000,E766)*'Real Analysis'!$B$4</f>
        <v>-0.13793841000000001</v>
      </c>
      <c r="Q766">
        <f>IF(ABS(F766)&gt;1,F766/1000000,F766)*'Real Analysis'!$B$4</f>
        <v>10.661203890000001</v>
      </c>
      <c r="R766">
        <f t="shared" si="71"/>
        <v>-74.899529000000001</v>
      </c>
      <c r="S766">
        <f t="shared" si="72"/>
        <v>-14.296225</v>
      </c>
      <c r="T766">
        <f t="shared" si="73"/>
        <v>0</v>
      </c>
      <c r="U766">
        <f t="shared" si="74"/>
        <v>0.251</v>
      </c>
    </row>
    <row r="767" spans="1:21" x14ac:dyDescent="0.3">
      <c r="A767" s="4">
        <v>765</v>
      </c>
      <c r="B767" s="4">
        <v>-96575671125</v>
      </c>
      <c r="C767" s="5">
        <v>3</v>
      </c>
      <c r="D767" s="5">
        <v>4.7602999999999999E-2</v>
      </c>
      <c r="E767" s="5">
        <v>-3.3610000000000001E-2</v>
      </c>
      <c r="F767" s="5">
        <v>1073228</v>
      </c>
      <c r="G767" s="5">
        <v>-51819836</v>
      </c>
      <c r="H767" s="5">
        <v>-26452045</v>
      </c>
      <c r="I767" s="5">
        <v>0</v>
      </c>
      <c r="J767" s="5">
        <v>252</v>
      </c>
      <c r="L767">
        <f t="shared" si="69"/>
        <v>765</v>
      </c>
      <c r="M767">
        <f>'Real Analysis'!$B$3+B767/1000000</f>
        <v>16.328875000006519</v>
      </c>
      <c r="N767">
        <f t="shared" si="70"/>
        <v>3</v>
      </c>
      <c r="O767">
        <f>IF(ABS(D767)&gt;1,D767/1000000,D767)*'Real Analysis'!$B$4</f>
        <v>0.46698543000000003</v>
      </c>
      <c r="P767">
        <f>IF(ABS(E767)&gt;1,E767/1000000,E767)*'Real Analysis'!$B$4</f>
        <v>-0.32971410000000001</v>
      </c>
      <c r="Q767">
        <f>IF(ABS(F767)&gt;1,F767/1000000,F767)*'Real Analysis'!$B$4</f>
        <v>10.528366680000001</v>
      </c>
      <c r="R767">
        <f t="shared" si="71"/>
        <v>-51.819836000000002</v>
      </c>
      <c r="S767">
        <f t="shared" si="72"/>
        <v>-26.452044999999998</v>
      </c>
      <c r="T767">
        <f t="shared" si="73"/>
        <v>0</v>
      </c>
      <c r="U767">
        <f t="shared" si="74"/>
        <v>0.252</v>
      </c>
    </row>
    <row r="768" spans="1:21" x14ac:dyDescent="0.3">
      <c r="A768" s="4">
        <v>766</v>
      </c>
      <c r="B768" s="4">
        <v>-96575663274</v>
      </c>
      <c r="C768" s="5">
        <v>3</v>
      </c>
      <c r="D768" s="5">
        <v>3.6603999999999998E-2</v>
      </c>
      <c r="E768" s="5">
        <v>-2.9426000000000001E-2</v>
      </c>
      <c r="F768" s="5">
        <v>1067711</v>
      </c>
      <c r="G768" s="5">
        <v>-46892323</v>
      </c>
      <c r="H768" s="5">
        <v>-28987534</v>
      </c>
      <c r="I768" s="5">
        <v>0</v>
      </c>
      <c r="J768" s="5">
        <v>252</v>
      </c>
      <c r="L768">
        <f t="shared" si="69"/>
        <v>766</v>
      </c>
      <c r="M768">
        <f>'Real Analysis'!$B$3+B768/1000000</f>
        <v>16.336725999994087</v>
      </c>
      <c r="N768">
        <f t="shared" si="70"/>
        <v>3</v>
      </c>
      <c r="O768">
        <f>IF(ABS(D768)&gt;1,D768/1000000,D768)*'Real Analysis'!$B$4</f>
        <v>0.35908523999999997</v>
      </c>
      <c r="P768">
        <f>IF(ABS(E768)&gt;1,E768/1000000,E768)*'Real Analysis'!$B$4</f>
        <v>-0.28866906000000003</v>
      </c>
      <c r="Q768">
        <f>IF(ABS(F768)&gt;1,F768/1000000,F768)*'Real Analysis'!$B$4</f>
        <v>10.474244910000001</v>
      </c>
      <c r="R768">
        <f t="shared" si="71"/>
        <v>-46.892322999999998</v>
      </c>
      <c r="S768">
        <f t="shared" si="72"/>
        <v>-28.987534</v>
      </c>
      <c r="T768">
        <f t="shared" si="73"/>
        <v>0</v>
      </c>
      <c r="U768">
        <f t="shared" si="74"/>
        <v>0.252</v>
      </c>
    </row>
    <row r="769" spans="1:21" x14ac:dyDescent="0.3">
      <c r="A769" s="4">
        <v>767</v>
      </c>
      <c r="B769" s="4">
        <v>-96575611707</v>
      </c>
      <c r="C769" s="5">
        <v>3</v>
      </c>
      <c r="D769" s="5">
        <v>1.8624999999999999E-2</v>
      </c>
      <c r="E769" s="5">
        <v>-6.8789999999999997E-3</v>
      </c>
      <c r="F769" s="5">
        <v>1025057</v>
      </c>
      <c r="G769" s="5">
        <v>-9961164</v>
      </c>
      <c r="H769" s="5">
        <v>0.55922700000000003</v>
      </c>
      <c r="I769" s="5">
        <v>0</v>
      </c>
      <c r="J769" s="5">
        <v>255</v>
      </c>
      <c r="L769">
        <f t="shared" si="69"/>
        <v>767</v>
      </c>
      <c r="M769">
        <f>'Real Analysis'!$B$3+B769/1000000</f>
        <v>16.388292999996338</v>
      </c>
      <c r="N769">
        <f t="shared" si="70"/>
        <v>3</v>
      </c>
      <c r="O769">
        <f>IF(ABS(D769)&gt;1,D769/1000000,D769)*'Real Analysis'!$B$4</f>
        <v>0.18271124999999999</v>
      </c>
      <c r="P769">
        <f>IF(ABS(E769)&gt;1,E769/1000000,E769)*'Real Analysis'!$B$4</f>
        <v>-6.7482990000000007E-2</v>
      </c>
      <c r="Q769">
        <f>IF(ABS(F769)&gt;1,F769/1000000,F769)*'Real Analysis'!$B$4</f>
        <v>10.055809170000002</v>
      </c>
      <c r="R769">
        <f t="shared" si="71"/>
        <v>-9.9611640000000001</v>
      </c>
      <c r="S769">
        <f t="shared" si="72"/>
        <v>0.55922700000000003</v>
      </c>
      <c r="T769">
        <f t="shared" si="73"/>
        <v>0</v>
      </c>
      <c r="U769">
        <f t="shared" si="74"/>
        <v>0.255</v>
      </c>
    </row>
    <row r="770" spans="1:21" x14ac:dyDescent="0.3">
      <c r="A770" s="4">
        <v>768</v>
      </c>
      <c r="B770" s="4">
        <v>-96575590071</v>
      </c>
      <c r="C770" s="5">
        <v>3</v>
      </c>
      <c r="D770" s="5">
        <v>2.3772000000000001E-2</v>
      </c>
      <c r="E770" s="5">
        <v>-1.8879E-2</v>
      </c>
      <c r="F770" s="5">
        <v>1013617</v>
      </c>
      <c r="G770" s="5">
        <v>2977066</v>
      </c>
      <c r="H770" s="5">
        <v>2161606</v>
      </c>
      <c r="I770" s="5">
        <v>0</v>
      </c>
      <c r="J770" s="5">
        <v>252</v>
      </c>
      <c r="L770">
        <f t="shared" si="69"/>
        <v>768</v>
      </c>
      <c r="M770">
        <f>'Real Analysis'!$B$3+B770/1000000</f>
        <v>16.409929000001284</v>
      </c>
      <c r="N770">
        <f t="shared" si="70"/>
        <v>3</v>
      </c>
      <c r="O770">
        <f>IF(ABS(D770)&gt;1,D770/1000000,D770)*'Real Analysis'!$B$4</f>
        <v>0.23320332000000002</v>
      </c>
      <c r="P770">
        <f>IF(ABS(E770)&gt;1,E770/1000000,E770)*'Real Analysis'!$B$4</f>
        <v>-0.18520299000000001</v>
      </c>
      <c r="Q770">
        <f>IF(ABS(F770)&gt;1,F770/1000000,F770)*'Real Analysis'!$B$4</f>
        <v>9.9435827700000008</v>
      </c>
      <c r="R770">
        <f t="shared" si="71"/>
        <v>2.9770660000000002</v>
      </c>
      <c r="S770">
        <f t="shared" si="72"/>
        <v>2.1616059999999999</v>
      </c>
      <c r="T770">
        <f t="shared" si="73"/>
        <v>0</v>
      </c>
      <c r="U770">
        <f t="shared" si="74"/>
        <v>0.252</v>
      </c>
    </row>
    <row r="771" spans="1:21" x14ac:dyDescent="0.3">
      <c r="A771" s="4">
        <v>769</v>
      </c>
      <c r="B771" s="4">
        <v>-96575570352</v>
      </c>
      <c r="C771" s="5">
        <v>3</v>
      </c>
      <c r="D771" s="5">
        <v>8.208E-3</v>
      </c>
      <c r="E771" s="5">
        <v>-5.6639999999999998E-3</v>
      </c>
      <c r="F771" s="5">
        <v>1008709</v>
      </c>
      <c r="G771" s="5">
        <v>14421295</v>
      </c>
      <c r="H771" s="5">
        <v>-5923647</v>
      </c>
      <c r="I771" s="5">
        <v>0</v>
      </c>
      <c r="J771" s="5">
        <v>253</v>
      </c>
      <c r="L771">
        <f t="shared" ref="L771:L834" si="75">A771</f>
        <v>769</v>
      </c>
      <c r="M771">
        <f>'Real Analysis'!$B$3+B771/1000000</f>
        <v>16.429648000004818</v>
      </c>
      <c r="N771">
        <f t="shared" ref="N771:N834" si="76">C771</f>
        <v>3</v>
      </c>
      <c r="O771">
        <f>IF(ABS(D771)&gt;1,D771/1000000,D771)*'Real Analysis'!$B$4</f>
        <v>8.0520480000000005E-2</v>
      </c>
      <c r="P771">
        <f>IF(ABS(E771)&gt;1,E771/1000000,E771)*'Real Analysis'!$B$4</f>
        <v>-5.5563840000000003E-2</v>
      </c>
      <c r="Q771">
        <f>IF(ABS(F771)&gt;1,F771/1000000,F771)*'Real Analysis'!$B$4</f>
        <v>9.8954352900000018</v>
      </c>
      <c r="R771">
        <f t="shared" ref="R771:R834" si="77">IF(ABS(G771)&gt;1,G771/1000000,G771)</f>
        <v>14.421295000000001</v>
      </c>
      <c r="S771">
        <f t="shared" ref="S771:S834" si="78">IF(ABS(H771)&gt;1,H771/1000000,H771)</f>
        <v>-5.9236469999999999</v>
      </c>
      <c r="T771">
        <f t="shared" ref="T771:T834" si="79">IF(ABS(I771)&gt;1,I771/1000000,I771)</f>
        <v>0</v>
      </c>
      <c r="U771">
        <f t="shared" si="74"/>
        <v>0.253</v>
      </c>
    </row>
    <row r="772" spans="1:21" x14ac:dyDescent="0.3">
      <c r="A772" s="4">
        <v>770</v>
      </c>
      <c r="B772" s="4">
        <v>-96575555258</v>
      </c>
      <c r="C772" s="5">
        <v>3</v>
      </c>
      <c r="D772" s="5">
        <v>-2.0110000000000002E-3</v>
      </c>
      <c r="E772" s="5">
        <v>-2.1499999999999998E-2</v>
      </c>
      <c r="F772" s="5">
        <v>1001338</v>
      </c>
      <c r="G772" s="5">
        <v>21194174</v>
      </c>
      <c r="H772" s="5">
        <v>-13219012</v>
      </c>
      <c r="I772" s="5">
        <v>0</v>
      </c>
      <c r="J772" s="5">
        <v>254</v>
      </c>
      <c r="L772">
        <f t="shared" si="75"/>
        <v>770</v>
      </c>
      <c r="M772">
        <f>'Real Analysis'!$B$3+B772/1000000</f>
        <v>16.444742000006954</v>
      </c>
      <c r="N772">
        <f t="shared" si="76"/>
        <v>3</v>
      </c>
      <c r="O772">
        <f>IF(ABS(D772)&gt;1,D772/1000000,D772)*'Real Analysis'!$B$4</f>
        <v>-1.9727910000000001E-2</v>
      </c>
      <c r="P772">
        <f>IF(ABS(E772)&gt;1,E772/1000000,E772)*'Real Analysis'!$B$4</f>
        <v>-0.21091499999999999</v>
      </c>
      <c r="Q772">
        <f>IF(ABS(F772)&gt;1,F772/1000000,F772)*'Real Analysis'!$B$4</f>
        <v>9.8231257800000016</v>
      </c>
      <c r="R772">
        <f t="shared" si="77"/>
        <v>21.194174</v>
      </c>
      <c r="S772">
        <f t="shared" si="78"/>
        <v>-13.219011999999999</v>
      </c>
      <c r="T772">
        <f t="shared" si="79"/>
        <v>0</v>
      </c>
      <c r="U772">
        <f t="shared" si="74"/>
        <v>0.254</v>
      </c>
    </row>
    <row r="773" spans="1:21" x14ac:dyDescent="0.3">
      <c r="A773" s="4">
        <v>771</v>
      </c>
      <c r="B773" s="4">
        <v>-96575530106</v>
      </c>
      <c r="C773" s="5">
        <v>3</v>
      </c>
      <c r="D773" s="5">
        <v>1.2172000000000001E-2</v>
      </c>
      <c r="E773" s="5">
        <v>-5.2991000000000003E-2</v>
      </c>
      <c r="F773" s="5">
        <v>1026158</v>
      </c>
      <c r="G773" s="5">
        <v>33188755</v>
      </c>
      <c r="H773" s="5">
        <v>-27723913</v>
      </c>
      <c r="I773" s="5">
        <v>0</v>
      </c>
      <c r="J773" s="5">
        <v>251</v>
      </c>
      <c r="L773">
        <f t="shared" si="75"/>
        <v>771</v>
      </c>
      <c r="M773">
        <f>'Real Analysis'!$B$3+B773/1000000</f>
        <v>16.469893999994383</v>
      </c>
      <c r="N773">
        <f t="shared" si="76"/>
        <v>3</v>
      </c>
      <c r="O773">
        <f>IF(ABS(D773)&gt;1,D773/1000000,D773)*'Real Analysis'!$B$4</f>
        <v>0.11940732000000001</v>
      </c>
      <c r="P773">
        <f>IF(ABS(E773)&gt;1,E773/1000000,E773)*'Real Analysis'!$B$4</f>
        <v>-0.51984171000000001</v>
      </c>
      <c r="Q773">
        <f>IF(ABS(F773)&gt;1,F773/1000000,F773)*'Real Analysis'!$B$4</f>
        <v>10.066609979999999</v>
      </c>
      <c r="R773">
        <f t="shared" si="77"/>
        <v>33.188755</v>
      </c>
      <c r="S773">
        <f t="shared" si="78"/>
        <v>-27.723913</v>
      </c>
      <c r="T773">
        <f t="shared" si="79"/>
        <v>0</v>
      </c>
      <c r="U773">
        <f t="shared" si="74"/>
        <v>0.251</v>
      </c>
    </row>
    <row r="774" spans="1:21" x14ac:dyDescent="0.3">
      <c r="A774" s="4">
        <v>772</v>
      </c>
      <c r="B774" s="4">
        <v>-96575508360</v>
      </c>
      <c r="C774" s="5">
        <v>3</v>
      </c>
      <c r="D774" s="5">
        <v>3.0435E-2</v>
      </c>
      <c r="E774" s="5">
        <v>-4.4393000000000002E-2</v>
      </c>
      <c r="F774" s="5">
        <v>1037478</v>
      </c>
      <c r="G774" s="5">
        <v>42757149</v>
      </c>
      <c r="H774" s="5">
        <v>-40987217</v>
      </c>
      <c r="I774" s="5">
        <v>0</v>
      </c>
      <c r="J774" s="5">
        <v>253</v>
      </c>
      <c r="L774">
        <f t="shared" si="75"/>
        <v>772</v>
      </c>
      <c r="M774">
        <f>'Real Analysis'!$B$3+B774/1000000</f>
        <v>16.491639999992913</v>
      </c>
      <c r="N774">
        <f t="shared" si="76"/>
        <v>3</v>
      </c>
      <c r="O774">
        <f>IF(ABS(D774)&gt;1,D774/1000000,D774)*'Real Analysis'!$B$4</f>
        <v>0.29856735000000001</v>
      </c>
      <c r="P774">
        <f>IF(ABS(E774)&gt;1,E774/1000000,E774)*'Real Analysis'!$B$4</f>
        <v>-0.43549533000000001</v>
      </c>
      <c r="Q774">
        <f>IF(ABS(F774)&gt;1,F774/1000000,F774)*'Real Analysis'!$B$4</f>
        <v>10.177659179999999</v>
      </c>
      <c r="R774">
        <f t="shared" si="77"/>
        <v>42.757148999999998</v>
      </c>
      <c r="S774">
        <f t="shared" si="78"/>
        <v>-40.987217000000001</v>
      </c>
      <c r="T774">
        <f t="shared" si="79"/>
        <v>0</v>
      </c>
      <c r="U774">
        <f t="shared" si="74"/>
        <v>0.253</v>
      </c>
    </row>
    <row r="775" spans="1:21" x14ac:dyDescent="0.3">
      <c r="A775" s="4">
        <v>773</v>
      </c>
      <c r="B775" s="4">
        <v>-96575487286</v>
      </c>
      <c r="C775" s="5">
        <v>3</v>
      </c>
      <c r="D775" s="5">
        <v>2.5264999999999999E-2</v>
      </c>
      <c r="E775" s="5">
        <v>-4.2743999999999997E-2</v>
      </c>
      <c r="F775" s="5">
        <v>1049474</v>
      </c>
      <c r="G775" s="5">
        <v>58191711</v>
      </c>
      <c r="H775" s="5">
        <v>-46687687</v>
      </c>
      <c r="I775" s="5">
        <v>0</v>
      </c>
      <c r="J775" s="5">
        <v>251</v>
      </c>
      <c r="L775">
        <f t="shared" si="75"/>
        <v>773</v>
      </c>
      <c r="M775">
        <f>'Real Analysis'!$B$3+B775/1000000</f>
        <v>16.512713999996777</v>
      </c>
      <c r="N775">
        <f t="shared" si="76"/>
        <v>3</v>
      </c>
      <c r="O775">
        <f>IF(ABS(D775)&gt;1,D775/1000000,D775)*'Real Analysis'!$B$4</f>
        <v>0.24784965</v>
      </c>
      <c r="P775">
        <f>IF(ABS(E775)&gt;1,E775/1000000,E775)*'Real Analysis'!$B$4</f>
        <v>-0.41931864000000002</v>
      </c>
      <c r="Q775">
        <f>IF(ABS(F775)&gt;1,F775/1000000,F775)*'Real Analysis'!$B$4</f>
        <v>10.29533994</v>
      </c>
      <c r="R775">
        <f t="shared" si="77"/>
        <v>58.191710999999998</v>
      </c>
      <c r="S775">
        <f t="shared" si="78"/>
        <v>-46.687686999999997</v>
      </c>
      <c r="T775">
        <f t="shared" si="79"/>
        <v>0</v>
      </c>
      <c r="U775">
        <f t="shared" si="74"/>
        <v>0.251</v>
      </c>
    </row>
    <row r="776" spans="1:21" x14ac:dyDescent="0.3">
      <c r="A776" s="4">
        <v>774</v>
      </c>
      <c r="B776" s="4">
        <v>-96575469060</v>
      </c>
      <c r="C776" s="5">
        <v>3</v>
      </c>
      <c r="D776" s="5">
        <v>4.0813000000000002E-2</v>
      </c>
      <c r="E776" s="5">
        <v>-3.7127E-2</v>
      </c>
      <c r="F776" s="5">
        <v>1055204</v>
      </c>
      <c r="G776" s="5">
        <v>68675835</v>
      </c>
      <c r="H776" s="5">
        <v>-50654388</v>
      </c>
      <c r="I776" s="5">
        <v>0</v>
      </c>
      <c r="J776" s="5">
        <v>253</v>
      </c>
      <c r="L776">
        <f t="shared" si="75"/>
        <v>774</v>
      </c>
      <c r="M776">
        <f>'Real Analysis'!$B$3+B776/1000000</f>
        <v>16.530939999996917</v>
      </c>
      <c r="N776">
        <f t="shared" si="76"/>
        <v>3</v>
      </c>
      <c r="O776">
        <f>IF(ABS(D776)&gt;1,D776/1000000,D776)*'Real Analysis'!$B$4</f>
        <v>0.40037553000000004</v>
      </c>
      <c r="P776">
        <f>IF(ABS(E776)&gt;1,E776/1000000,E776)*'Real Analysis'!$B$4</f>
        <v>-0.36421587</v>
      </c>
      <c r="Q776">
        <f>IF(ABS(F776)&gt;1,F776/1000000,F776)*'Real Analysis'!$B$4</f>
        <v>10.351551240000001</v>
      </c>
      <c r="R776">
        <f t="shared" si="77"/>
        <v>68.675835000000006</v>
      </c>
      <c r="S776">
        <f t="shared" si="78"/>
        <v>-50.654387999999997</v>
      </c>
      <c r="T776">
        <f t="shared" si="79"/>
        <v>0</v>
      </c>
      <c r="U776">
        <f t="shared" si="74"/>
        <v>0.253</v>
      </c>
    </row>
    <row r="777" spans="1:21" x14ac:dyDescent="0.3">
      <c r="A777" s="4">
        <v>775</v>
      </c>
      <c r="B777" s="4">
        <v>-96575454792</v>
      </c>
      <c r="C777" s="5">
        <v>3</v>
      </c>
      <c r="D777" s="5">
        <v>4.0946999999999997E-2</v>
      </c>
      <c r="E777" s="5">
        <v>-3.5360000000000003E-2</v>
      </c>
      <c r="F777" s="5">
        <v>1055108</v>
      </c>
      <c r="G777" s="5">
        <v>83629326</v>
      </c>
      <c r="H777" s="5">
        <v>-47921543</v>
      </c>
      <c r="I777" s="5">
        <v>0</v>
      </c>
      <c r="J777" s="5">
        <v>254</v>
      </c>
      <c r="L777">
        <f t="shared" si="75"/>
        <v>775</v>
      </c>
      <c r="M777">
        <f>'Real Analysis'!$B$3+B777/1000000</f>
        <v>16.54520799999591</v>
      </c>
      <c r="N777">
        <f t="shared" si="76"/>
        <v>3</v>
      </c>
      <c r="O777">
        <f>IF(ABS(D777)&gt;1,D777/1000000,D777)*'Real Analysis'!$B$4</f>
        <v>0.40169007000000001</v>
      </c>
      <c r="P777">
        <f>IF(ABS(E777)&gt;1,E777/1000000,E777)*'Real Analysis'!$B$4</f>
        <v>-0.34688160000000007</v>
      </c>
      <c r="Q777">
        <f>IF(ABS(F777)&gt;1,F777/1000000,F777)*'Real Analysis'!$B$4</f>
        <v>10.350609479999999</v>
      </c>
      <c r="R777">
        <f t="shared" si="77"/>
        <v>83.629326000000006</v>
      </c>
      <c r="S777">
        <f t="shared" si="78"/>
        <v>-47.921543</v>
      </c>
      <c r="T777">
        <f t="shared" si="79"/>
        <v>0</v>
      </c>
      <c r="U777">
        <f t="shared" si="74"/>
        <v>0.254</v>
      </c>
    </row>
    <row r="778" spans="1:21" x14ac:dyDescent="0.3">
      <c r="A778" s="4">
        <v>776</v>
      </c>
      <c r="B778" s="4">
        <v>-96575430972</v>
      </c>
      <c r="C778" s="5">
        <v>3</v>
      </c>
      <c r="D778" s="5">
        <v>3.6159999999999998E-2</v>
      </c>
      <c r="E778" s="5">
        <v>-2.6877000000000002E-2</v>
      </c>
      <c r="F778" s="5">
        <v>1041697</v>
      </c>
      <c r="G778" s="5">
        <v>92881004</v>
      </c>
      <c r="H778" s="5">
        <v>-46016392</v>
      </c>
      <c r="I778" s="5">
        <v>0</v>
      </c>
      <c r="J778" s="5">
        <v>253</v>
      </c>
      <c r="L778">
        <f t="shared" si="75"/>
        <v>776</v>
      </c>
      <c r="M778">
        <f>'Real Analysis'!$B$3+B778/1000000</f>
        <v>16.56902799999807</v>
      </c>
      <c r="N778">
        <f t="shared" si="76"/>
        <v>3</v>
      </c>
      <c r="O778">
        <f>IF(ABS(D778)&gt;1,D778/1000000,D778)*'Real Analysis'!$B$4</f>
        <v>0.35472959999999998</v>
      </c>
      <c r="P778">
        <f>IF(ABS(E778)&gt;1,E778/1000000,E778)*'Real Analysis'!$B$4</f>
        <v>-0.26366337000000001</v>
      </c>
      <c r="Q778">
        <f>IF(ABS(F778)&gt;1,F778/1000000,F778)*'Real Analysis'!$B$4</f>
        <v>10.219047570000001</v>
      </c>
      <c r="R778">
        <f t="shared" si="77"/>
        <v>92.881004000000004</v>
      </c>
      <c r="S778">
        <f t="shared" si="78"/>
        <v>-46.016392000000003</v>
      </c>
      <c r="T778">
        <f t="shared" si="79"/>
        <v>0</v>
      </c>
      <c r="U778">
        <f t="shared" si="74"/>
        <v>0.253</v>
      </c>
    </row>
    <row r="779" spans="1:21" x14ac:dyDescent="0.3">
      <c r="A779" s="4">
        <v>777</v>
      </c>
      <c r="B779" s="4">
        <v>-96575419710</v>
      </c>
      <c r="C779" s="5">
        <v>3</v>
      </c>
      <c r="D779" s="5">
        <v>-1.8627999999999999E-2</v>
      </c>
      <c r="E779" s="5">
        <v>-9.5359999999999993E-3</v>
      </c>
      <c r="F779" s="5">
        <v>1020907</v>
      </c>
      <c r="G779" s="5">
        <v>101017799</v>
      </c>
      <c r="H779" s="5">
        <v>-18303871</v>
      </c>
      <c r="I779" s="5">
        <v>0</v>
      </c>
      <c r="J779" s="5">
        <v>254</v>
      </c>
      <c r="L779">
        <f t="shared" si="75"/>
        <v>777</v>
      </c>
      <c r="M779">
        <f>'Real Analysis'!$B$3+B779/1000000</f>
        <v>16.580289999998058</v>
      </c>
      <c r="N779">
        <f t="shared" si="76"/>
        <v>3</v>
      </c>
      <c r="O779">
        <f>IF(ABS(D779)&gt;1,D779/1000000,D779)*'Real Analysis'!$B$4</f>
        <v>-0.18274067999999999</v>
      </c>
      <c r="P779">
        <f>IF(ABS(E779)&gt;1,E779/1000000,E779)*'Real Analysis'!$B$4</f>
        <v>-9.3548159999999991E-2</v>
      </c>
      <c r="Q779">
        <f>IF(ABS(F779)&gt;1,F779/1000000,F779)*'Real Analysis'!$B$4</f>
        <v>10.015097670000001</v>
      </c>
      <c r="R779">
        <f t="shared" si="77"/>
        <v>101.017799</v>
      </c>
      <c r="S779">
        <f t="shared" si="78"/>
        <v>-18.303871000000001</v>
      </c>
      <c r="T779">
        <f t="shared" si="79"/>
        <v>0</v>
      </c>
      <c r="U779">
        <f t="shared" ref="U779:U842" si="80">J779/1000</f>
        <v>0.254</v>
      </c>
    </row>
    <row r="780" spans="1:21" x14ac:dyDescent="0.3">
      <c r="A780" s="4">
        <v>778</v>
      </c>
      <c r="B780" s="4">
        <v>-96575387517</v>
      </c>
      <c r="C780" s="5">
        <v>3</v>
      </c>
      <c r="D780" s="5">
        <v>-0.11670700000000001</v>
      </c>
      <c r="E780" s="5">
        <v>1.0426E-2</v>
      </c>
      <c r="F780" s="5">
        <v>1002627</v>
      </c>
      <c r="G780" s="5">
        <v>88289345</v>
      </c>
      <c r="H780" s="5">
        <v>8367798</v>
      </c>
      <c r="I780" s="5">
        <v>0</v>
      </c>
      <c r="J780" s="5">
        <v>255</v>
      </c>
      <c r="L780">
        <f t="shared" si="75"/>
        <v>778</v>
      </c>
      <c r="M780">
        <f>'Real Analysis'!$B$3+B780/1000000</f>
        <v>16.612483000004431</v>
      </c>
      <c r="N780">
        <f t="shared" si="76"/>
        <v>3</v>
      </c>
      <c r="O780">
        <f>IF(ABS(D780)&gt;1,D780/1000000,D780)*'Real Analysis'!$B$4</f>
        <v>-1.1448956700000001</v>
      </c>
      <c r="P780">
        <f>IF(ABS(E780)&gt;1,E780/1000000,E780)*'Real Analysis'!$B$4</f>
        <v>0.10227906</v>
      </c>
      <c r="Q780">
        <f>IF(ABS(F780)&gt;1,F780/1000000,F780)*'Real Analysis'!$B$4</f>
        <v>9.8357708699999993</v>
      </c>
      <c r="R780">
        <f t="shared" si="77"/>
        <v>88.289344999999997</v>
      </c>
      <c r="S780">
        <f t="shared" si="78"/>
        <v>8.3677980000000005</v>
      </c>
      <c r="T780">
        <f t="shared" si="79"/>
        <v>0</v>
      </c>
      <c r="U780">
        <f t="shared" si="80"/>
        <v>0.255</v>
      </c>
    </row>
    <row r="781" spans="1:21" x14ac:dyDescent="0.3">
      <c r="A781" s="4">
        <v>779</v>
      </c>
      <c r="B781" s="4">
        <v>-96575368484</v>
      </c>
      <c r="C781" s="5">
        <v>3</v>
      </c>
      <c r="D781" s="5">
        <v>-4.3124999999999997E-2</v>
      </c>
      <c r="E781" s="5">
        <v>2.8159999999999999E-3</v>
      </c>
      <c r="F781" s="5">
        <v>1041004</v>
      </c>
      <c r="G781" s="5">
        <v>74470245</v>
      </c>
      <c r="H781" s="5">
        <v>19297945</v>
      </c>
      <c r="I781" s="5">
        <v>0</v>
      </c>
      <c r="J781" s="5">
        <v>255</v>
      </c>
      <c r="L781">
        <f t="shared" si="75"/>
        <v>779</v>
      </c>
      <c r="M781">
        <f>'Real Analysis'!$B$3+B781/1000000</f>
        <v>16.631515999994008</v>
      </c>
      <c r="N781">
        <f t="shared" si="76"/>
        <v>3</v>
      </c>
      <c r="O781">
        <f>IF(ABS(D781)&gt;1,D781/1000000,D781)*'Real Analysis'!$B$4</f>
        <v>-0.42305624999999997</v>
      </c>
      <c r="P781">
        <f>IF(ABS(E781)&gt;1,E781/1000000,E781)*'Real Analysis'!$B$4</f>
        <v>2.762496E-2</v>
      </c>
      <c r="Q781">
        <f>IF(ABS(F781)&gt;1,F781/1000000,F781)*'Real Analysis'!$B$4</f>
        <v>10.21224924</v>
      </c>
      <c r="R781">
        <f t="shared" si="77"/>
        <v>74.470245000000006</v>
      </c>
      <c r="S781">
        <f t="shared" si="78"/>
        <v>19.297944999999999</v>
      </c>
      <c r="T781">
        <f t="shared" si="79"/>
        <v>0</v>
      </c>
      <c r="U781">
        <f t="shared" si="80"/>
        <v>0.255</v>
      </c>
    </row>
    <row r="782" spans="1:21" x14ac:dyDescent="0.3">
      <c r="A782" s="4">
        <v>780</v>
      </c>
      <c r="B782" s="4">
        <v>-96575347353</v>
      </c>
      <c r="C782" s="5">
        <v>3</v>
      </c>
      <c r="D782" s="5">
        <v>-4.2315999999999999E-2</v>
      </c>
      <c r="E782" s="5">
        <v>2.8349999999999998E-3</v>
      </c>
      <c r="F782" s="5">
        <v>1054000</v>
      </c>
      <c r="G782" s="5">
        <v>76820099</v>
      </c>
      <c r="H782" s="5">
        <v>-22472408</v>
      </c>
      <c r="I782" s="5">
        <v>0</v>
      </c>
      <c r="J782" s="5">
        <v>257</v>
      </c>
      <c r="L782">
        <f t="shared" si="75"/>
        <v>780</v>
      </c>
      <c r="M782">
        <f>'Real Analysis'!$B$3+B782/1000000</f>
        <v>16.652646999995341</v>
      </c>
      <c r="N782">
        <f t="shared" si="76"/>
        <v>3</v>
      </c>
      <c r="O782">
        <f>IF(ABS(D782)&gt;1,D782/1000000,D782)*'Real Analysis'!$B$4</f>
        <v>-0.41511996000000001</v>
      </c>
      <c r="P782">
        <f>IF(ABS(E782)&gt;1,E782/1000000,E782)*'Real Analysis'!$B$4</f>
        <v>2.7811349999999999E-2</v>
      </c>
      <c r="Q782">
        <f>IF(ABS(F782)&gt;1,F782/1000000,F782)*'Real Analysis'!$B$4</f>
        <v>10.339740000000001</v>
      </c>
      <c r="R782">
        <f t="shared" si="77"/>
        <v>76.820098999999999</v>
      </c>
      <c r="S782">
        <f t="shared" si="78"/>
        <v>-22.472408000000001</v>
      </c>
      <c r="T782">
        <f t="shared" si="79"/>
        <v>0</v>
      </c>
      <c r="U782">
        <f t="shared" si="80"/>
        <v>0.25700000000000001</v>
      </c>
    </row>
    <row r="783" spans="1:21" x14ac:dyDescent="0.3">
      <c r="A783" s="4">
        <v>781</v>
      </c>
      <c r="B783" s="4">
        <v>-96575333718</v>
      </c>
      <c r="C783" s="5">
        <v>3</v>
      </c>
      <c r="D783" s="5">
        <v>-0.26612599999999997</v>
      </c>
      <c r="E783" s="5">
        <v>0.22242400000000001</v>
      </c>
      <c r="F783" s="5">
        <v>1009589</v>
      </c>
      <c r="G783" s="5">
        <v>69370399</v>
      </c>
      <c r="H783" s="5">
        <v>-68274757</v>
      </c>
      <c r="I783" s="5">
        <v>0</v>
      </c>
      <c r="J783" s="5">
        <v>258</v>
      </c>
      <c r="L783">
        <f t="shared" si="75"/>
        <v>781</v>
      </c>
      <c r="M783">
        <f>'Real Analysis'!$B$3+B783/1000000</f>
        <v>16.666282000005594</v>
      </c>
      <c r="N783">
        <f t="shared" si="76"/>
        <v>3</v>
      </c>
      <c r="O783">
        <f>IF(ABS(D783)&gt;1,D783/1000000,D783)*'Real Analysis'!$B$4</f>
        <v>-2.61069606</v>
      </c>
      <c r="P783">
        <f>IF(ABS(E783)&gt;1,E783/1000000,E783)*'Real Analysis'!$B$4</f>
        <v>2.1819794400000001</v>
      </c>
      <c r="Q783">
        <f>IF(ABS(F783)&gt;1,F783/1000000,F783)*'Real Analysis'!$B$4</f>
        <v>9.9040680900000009</v>
      </c>
      <c r="R783">
        <f t="shared" si="77"/>
        <v>69.370399000000006</v>
      </c>
      <c r="S783">
        <f t="shared" si="78"/>
        <v>-68.274756999999994</v>
      </c>
      <c r="T783">
        <f t="shared" si="79"/>
        <v>0</v>
      </c>
      <c r="U783">
        <f t="shared" si="80"/>
        <v>0.25800000000000001</v>
      </c>
    </row>
    <row r="784" spans="1:21" x14ac:dyDescent="0.3">
      <c r="A784" s="4">
        <v>782</v>
      </c>
      <c r="B784" s="4">
        <v>-96575309033</v>
      </c>
      <c r="C784" s="5">
        <v>3</v>
      </c>
      <c r="D784" s="5">
        <v>-0.44802599999999998</v>
      </c>
      <c r="E784" s="5">
        <v>0.98305399999999998</v>
      </c>
      <c r="F784" s="5">
        <v>0.85829100000000003</v>
      </c>
      <c r="G784" s="5">
        <v>29492008</v>
      </c>
      <c r="H784" s="5">
        <v>-52084587</v>
      </c>
      <c r="I784" s="5">
        <v>0</v>
      </c>
      <c r="J784" s="5">
        <v>259</v>
      </c>
      <c r="L784">
        <f t="shared" si="75"/>
        <v>782</v>
      </c>
      <c r="M784">
        <f>'Real Analysis'!$B$3+B784/1000000</f>
        <v>16.690967000002274</v>
      </c>
      <c r="N784">
        <f t="shared" si="76"/>
        <v>3</v>
      </c>
      <c r="O784">
        <f>IF(ABS(D784)&gt;1,D784/1000000,D784)*'Real Analysis'!$B$4</f>
        <v>-4.3951350600000003</v>
      </c>
      <c r="P784">
        <f>IF(ABS(E784)&gt;1,E784/1000000,E784)*'Real Analysis'!$B$4</f>
        <v>9.6437597400000001</v>
      </c>
      <c r="Q784">
        <f>IF(ABS(F784)&gt;1,F784/1000000,F784)*'Real Analysis'!$B$4</f>
        <v>8.4198347099999999</v>
      </c>
      <c r="R784">
        <f t="shared" si="77"/>
        <v>29.492007999999998</v>
      </c>
      <c r="S784">
        <f t="shared" si="78"/>
        <v>-52.084586999999999</v>
      </c>
      <c r="T784">
        <f t="shared" si="79"/>
        <v>0</v>
      </c>
      <c r="U784">
        <f t="shared" si="80"/>
        <v>0.25900000000000001</v>
      </c>
    </row>
    <row r="785" spans="1:21" x14ac:dyDescent="0.3">
      <c r="A785" s="4">
        <v>783</v>
      </c>
      <c r="B785" s="4">
        <v>-96575288494</v>
      </c>
      <c r="C785" s="5">
        <v>3</v>
      </c>
      <c r="D785" s="5">
        <v>-0.21360399999999999</v>
      </c>
      <c r="E785" s="5">
        <v>0.99326800000000004</v>
      </c>
      <c r="F785" s="5">
        <v>0.85395200000000004</v>
      </c>
      <c r="G785" s="5">
        <v>4306533</v>
      </c>
      <c r="H785" s="5">
        <v>6022439</v>
      </c>
      <c r="I785" s="5">
        <v>0</v>
      </c>
      <c r="J785" s="5">
        <v>261</v>
      </c>
      <c r="L785">
        <f t="shared" si="75"/>
        <v>783</v>
      </c>
      <c r="M785">
        <f>'Real Analysis'!$B$3+B785/1000000</f>
        <v>16.711506000006921</v>
      </c>
      <c r="N785">
        <f t="shared" si="76"/>
        <v>3</v>
      </c>
      <c r="O785">
        <f>IF(ABS(D785)&gt;1,D785/1000000,D785)*'Real Analysis'!$B$4</f>
        <v>-2.0954552400000002</v>
      </c>
      <c r="P785">
        <f>IF(ABS(E785)&gt;1,E785/1000000,E785)*'Real Analysis'!$B$4</f>
        <v>9.7439590800000015</v>
      </c>
      <c r="Q785">
        <f>IF(ABS(F785)&gt;1,F785/1000000,F785)*'Real Analysis'!$B$4</f>
        <v>8.3772691200000011</v>
      </c>
      <c r="R785">
        <f t="shared" si="77"/>
        <v>4.3065329999999999</v>
      </c>
      <c r="S785">
        <f t="shared" si="78"/>
        <v>6.0224390000000003</v>
      </c>
      <c r="T785">
        <f t="shared" si="79"/>
        <v>0</v>
      </c>
      <c r="U785">
        <f t="shared" si="80"/>
        <v>0.26100000000000001</v>
      </c>
    </row>
    <row r="786" spans="1:21" x14ac:dyDescent="0.3">
      <c r="A786" s="4">
        <v>784</v>
      </c>
      <c r="B786" s="4">
        <v>-96575269036</v>
      </c>
      <c r="C786" s="5">
        <v>3</v>
      </c>
      <c r="D786" s="5">
        <v>-1.0359E-2</v>
      </c>
      <c r="E786" s="5">
        <v>0.172319</v>
      </c>
      <c r="F786" s="5">
        <v>0.98446699999999998</v>
      </c>
      <c r="G786" s="5">
        <v>-13914030</v>
      </c>
      <c r="H786" s="5">
        <v>69657990</v>
      </c>
      <c r="I786" s="5">
        <v>0</v>
      </c>
      <c r="J786" s="5">
        <v>262</v>
      </c>
      <c r="L786">
        <f t="shared" si="75"/>
        <v>784</v>
      </c>
      <c r="M786">
        <f>'Real Analysis'!$B$3+B786/1000000</f>
        <v>16.730964000002132</v>
      </c>
      <c r="N786">
        <f t="shared" si="76"/>
        <v>3</v>
      </c>
      <c r="O786">
        <f>IF(ABS(D786)&gt;1,D786/1000000,D786)*'Real Analysis'!$B$4</f>
        <v>-0.10162179</v>
      </c>
      <c r="P786">
        <f>IF(ABS(E786)&gt;1,E786/1000000,E786)*'Real Analysis'!$B$4</f>
        <v>1.6904493900000002</v>
      </c>
      <c r="Q786">
        <f>IF(ABS(F786)&gt;1,F786/1000000,F786)*'Real Analysis'!$B$4</f>
        <v>9.6576212699999999</v>
      </c>
      <c r="R786">
        <f t="shared" si="77"/>
        <v>-13.91403</v>
      </c>
      <c r="S786">
        <f t="shared" si="78"/>
        <v>69.657989999999998</v>
      </c>
      <c r="T786">
        <f t="shared" si="79"/>
        <v>0</v>
      </c>
      <c r="U786">
        <f t="shared" si="80"/>
        <v>0.26200000000000001</v>
      </c>
    </row>
    <row r="787" spans="1:21" x14ac:dyDescent="0.3">
      <c r="A787" s="4">
        <v>785</v>
      </c>
      <c r="B787" s="4">
        <v>-96575248428</v>
      </c>
      <c r="C787" s="5">
        <v>3</v>
      </c>
      <c r="D787" s="5">
        <v>-2.7772999999999999E-2</v>
      </c>
      <c r="E787" s="5">
        <v>-8.2472000000000004E-2</v>
      </c>
      <c r="F787" s="5">
        <v>1041762</v>
      </c>
      <c r="G787" s="5">
        <v>-14709602</v>
      </c>
      <c r="H787" s="5">
        <v>80626099</v>
      </c>
      <c r="I787" s="5">
        <v>0</v>
      </c>
      <c r="J787" s="5">
        <v>263</v>
      </c>
      <c r="L787">
        <f t="shared" si="75"/>
        <v>785</v>
      </c>
      <c r="M787">
        <f>'Real Analysis'!$B$3+B787/1000000</f>
        <v>16.751571999993757</v>
      </c>
      <c r="N787">
        <f t="shared" si="76"/>
        <v>3</v>
      </c>
      <c r="O787">
        <f>IF(ABS(D787)&gt;1,D787/1000000,D787)*'Real Analysis'!$B$4</f>
        <v>-0.27245312999999999</v>
      </c>
      <c r="P787">
        <f>IF(ABS(E787)&gt;1,E787/1000000,E787)*'Real Analysis'!$B$4</f>
        <v>-0.8090503200000001</v>
      </c>
      <c r="Q787">
        <f>IF(ABS(F787)&gt;1,F787/1000000,F787)*'Real Analysis'!$B$4</f>
        <v>10.219685220000001</v>
      </c>
      <c r="R787">
        <f t="shared" si="77"/>
        <v>-14.709602</v>
      </c>
      <c r="S787">
        <f t="shared" si="78"/>
        <v>80.626098999999996</v>
      </c>
      <c r="T787">
        <f t="shared" si="79"/>
        <v>0</v>
      </c>
      <c r="U787">
        <f t="shared" si="80"/>
        <v>0.26300000000000001</v>
      </c>
    </row>
    <row r="788" spans="1:21" x14ac:dyDescent="0.3">
      <c r="A788" s="4">
        <v>786</v>
      </c>
      <c r="B788" s="4">
        <v>-96575231197</v>
      </c>
      <c r="C788" s="5">
        <v>3</v>
      </c>
      <c r="D788" s="5">
        <v>-7.5007000000000004E-2</v>
      </c>
      <c r="E788" s="5">
        <v>-6.4560000000000006E-2</v>
      </c>
      <c r="F788" s="5">
        <v>1012663</v>
      </c>
      <c r="G788" s="5">
        <v>-9693875</v>
      </c>
      <c r="H788" s="5">
        <v>85312950</v>
      </c>
      <c r="I788" s="5">
        <v>0</v>
      </c>
      <c r="J788" s="5">
        <v>265</v>
      </c>
      <c r="L788">
        <f t="shared" si="75"/>
        <v>786</v>
      </c>
      <c r="M788">
        <f>'Real Analysis'!$B$3+B788/1000000</f>
        <v>16.768802999999025</v>
      </c>
      <c r="N788">
        <f t="shared" si="76"/>
        <v>3</v>
      </c>
      <c r="O788">
        <f>IF(ABS(D788)&gt;1,D788/1000000,D788)*'Real Analysis'!$B$4</f>
        <v>-0.73581867000000012</v>
      </c>
      <c r="P788">
        <f>IF(ABS(E788)&gt;1,E788/1000000,E788)*'Real Analysis'!$B$4</f>
        <v>-0.63333360000000005</v>
      </c>
      <c r="Q788">
        <f>IF(ABS(F788)&gt;1,F788/1000000,F788)*'Real Analysis'!$B$4</f>
        <v>9.9342240300000011</v>
      </c>
      <c r="R788">
        <f t="shared" si="77"/>
        <v>-9.6938750000000002</v>
      </c>
      <c r="S788">
        <f t="shared" si="78"/>
        <v>85.312950000000001</v>
      </c>
      <c r="T788">
        <f t="shared" si="79"/>
        <v>0</v>
      </c>
      <c r="U788">
        <f t="shared" si="80"/>
        <v>0.26500000000000001</v>
      </c>
    </row>
    <row r="789" spans="1:21" x14ac:dyDescent="0.3">
      <c r="A789" s="4">
        <v>787</v>
      </c>
      <c r="B789" s="4">
        <v>-96575213171</v>
      </c>
      <c r="C789" s="5">
        <v>3</v>
      </c>
      <c r="D789" s="5">
        <v>-0.11600000000000001</v>
      </c>
      <c r="E789" s="5">
        <v>-0.149674</v>
      </c>
      <c r="F789" s="5">
        <v>0.994479</v>
      </c>
      <c r="G789" s="5">
        <v>-12946208</v>
      </c>
      <c r="H789" s="5">
        <v>73736008</v>
      </c>
      <c r="I789" s="5">
        <v>0</v>
      </c>
      <c r="J789" s="5">
        <v>267</v>
      </c>
      <c r="L789">
        <f t="shared" si="75"/>
        <v>787</v>
      </c>
      <c r="M789">
        <f>'Real Analysis'!$B$3+B789/1000000</f>
        <v>16.786829000004218</v>
      </c>
      <c r="N789">
        <f t="shared" si="76"/>
        <v>3</v>
      </c>
      <c r="O789">
        <f>IF(ABS(D789)&gt;1,D789/1000000,D789)*'Real Analysis'!$B$4</f>
        <v>-1.1379600000000001</v>
      </c>
      <c r="P789">
        <f>IF(ABS(E789)&gt;1,E789/1000000,E789)*'Real Analysis'!$B$4</f>
        <v>-1.4683019400000001</v>
      </c>
      <c r="Q789">
        <f>IF(ABS(F789)&gt;1,F789/1000000,F789)*'Real Analysis'!$B$4</f>
        <v>9.7558389900000009</v>
      </c>
      <c r="R789">
        <f t="shared" si="77"/>
        <v>-12.946208</v>
      </c>
      <c r="S789">
        <f t="shared" si="78"/>
        <v>73.736007999999998</v>
      </c>
      <c r="T789">
        <f t="shared" si="79"/>
        <v>0</v>
      </c>
      <c r="U789">
        <f t="shared" si="80"/>
        <v>0.26700000000000002</v>
      </c>
    </row>
    <row r="790" spans="1:21" x14ac:dyDescent="0.3">
      <c r="A790" s="4">
        <v>788</v>
      </c>
      <c r="B790" s="4">
        <v>-96575184714</v>
      </c>
      <c r="C790" s="5">
        <v>3</v>
      </c>
      <c r="D790" s="5">
        <v>-8.1044000000000005E-2</v>
      </c>
      <c r="E790" s="5">
        <v>-0.102684</v>
      </c>
      <c r="F790" s="5">
        <v>0.98411999999999999</v>
      </c>
      <c r="G790" s="5">
        <v>-3502319</v>
      </c>
      <c r="H790" s="5">
        <v>45323925</v>
      </c>
      <c r="I790" s="5">
        <v>0</v>
      </c>
      <c r="J790" s="5">
        <v>268</v>
      </c>
      <c r="L790">
        <f t="shared" si="75"/>
        <v>788</v>
      </c>
      <c r="M790">
        <f>'Real Analysis'!$B$3+B790/1000000</f>
        <v>16.815285999997286</v>
      </c>
      <c r="N790">
        <f t="shared" si="76"/>
        <v>3</v>
      </c>
      <c r="O790">
        <f>IF(ABS(D790)&gt;1,D790/1000000,D790)*'Real Analysis'!$B$4</f>
        <v>-0.7950416400000001</v>
      </c>
      <c r="P790">
        <f>IF(ABS(E790)&gt;1,E790/1000000,E790)*'Real Analysis'!$B$4</f>
        <v>-1.00733004</v>
      </c>
      <c r="Q790">
        <f>IF(ABS(F790)&gt;1,F790/1000000,F790)*'Real Analysis'!$B$4</f>
        <v>9.6542171999999997</v>
      </c>
      <c r="R790">
        <f t="shared" si="77"/>
        <v>-3.502319</v>
      </c>
      <c r="S790">
        <f t="shared" si="78"/>
        <v>45.323925000000003</v>
      </c>
      <c r="T790">
        <f t="shared" si="79"/>
        <v>0</v>
      </c>
      <c r="U790">
        <f t="shared" si="80"/>
        <v>0.26800000000000002</v>
      </c>
    </row>
    <row r="791" spans="1:21" x14ac:dyDescent="0.3">
      <c r="A791" s="4">
        <v>789</v>
      </c>
      <c r="B791" s="4">
        <v>-96575167845</v>
      </c>
      <c r="C791" s="5">
        <v>3</v>
      </c>
      <c r="D791" s="5">
        <v>-3.4422000000000001E-2</v>
      </c>
      <c r="E791" s="5">
        <v>-2.3373000000000001E-2</v>
      </c>
      <c r="F791" s="5">
        <v>1016004</v>
      </c>
      <c r="G791" s="5">
        <v>8716801</v>
      </c>
      <c r="H791" s="5">
        <v>36878021</v>
      </c>
      <c r="I791" s="5">
        <v>0</v>
      </c>
      <c r="J791" s="5">
        <v>269</v>
      </c>
      <c r="L791">
        <f t="shared" si="75"/>
        <v>789</v>
      </c>
      <c r="M791">
        <f>'Real Analysis'!$B$3+B791/1000000</f>
        <v>16.832154999996419</v>
      </c>
      <c r="N791">
        <f t="shared" si="76"/>
        <v>3</v>
      </c>
      <c r="O791">
        <f>IF(ABS(D791)&gt;1,D791/1000000,D791)*'Real Analysis'!$B$4</f>
        <v>-0.33767982000000002</v>
      </c>
      <c r="P791">
        <f>IF(ABS(E791)&gt;1,E791/1000000,E791)*'Real Analysis'!$B$4</f>
        <v>-0.22928913000000004</v>
      </c>
      <c r="Q791">
        <f>IF(ABS(F791)&gt;1,F791/1000000,F791)*'Real Analysis'!$B$4</f>
        <v>9.9669992399999998</v>
      </c>
      <c r="R791">
        <f t="shared" si="77"/>
        <v>8.7168010000000002</v>
      </c>
      <c r="S791">
        <f t="shared" si="78"/>
        <v>36.878020999999997</v>
      </c>
      <c r="T791">
        <f t="shared" si="79"/>
        <v>0</v>
      </c>
      <c r="U791">
        <f t="shared" si="80"/>
        <v>0.26900000000000002</v>
      </c>
    </row>
    <row r="792" spans="1:21" x14ac:dyDescent="0.3">
      <c r="A792" s="4">
        <v>790</v>
      </c>
      <c r="B792" s="4">
        <v>-96575147600</v>
      </c>
      <c r="C792" s="5">
        <v>3</v>
      </c>
      <c r="D792" s="5">
        <v>-3.5518000000000001E-2</v>
      </c>
      <c r="E792" s="5">
        <v>-3.2821000000000003E-2</v>
      </c>
      <c r="F792" s="5">
        <v>1023874</v>
      </c>
      <c r="G792" s="5">
        <v>26414259</v>
      </c>
      <c r="H792" s="5">
        <v>15540167</v>
      </c>
      <c r="I792" s="5">
        <v>0</v>
      </c>
      <c r="J792" s="5">
        <v>271</v>
      </c>
      <c r="L792">
        <f t="shared" si="75"/>
        <v>790</v>
      </c>
      <c r="M792">
        <f>'Real Analysis'!$B$3+B792/1000000</f>
        <v>16.852400000003399</v>
      </c>
      <c r="N792">
        <f t="shared" si="76"/>
        <v>3</v>
      </c>
      <c r="O792">
        <f>IF(ABS(D792)&gt;1,D792/1000000,D792)*'Real Analysis'!$B$4</f>
        <v>-0.34843158000000002</v>
      </c>
      <c r="P792">
        <f>IF(ABS(E792)&gt;1,E792/1000000,E792)*'Real Analysis'!$B$4</f>
        <v>-0.32197401000000003</v>
      </c>
      <c r="Q792">
        <f>IF(ABS(F792)&gt;1,F792/1000000,F792)*'Real Analysis'!$B$4</f>
        <v>10.044203939999999</v>
      </c>
      <c r="R792">
        <f t="shared" si="77"/>
        <v>26.414259000000001</v>
      </c>
      <c r="S792">
        <f t="shared" si="78"/>
        <v>15.540167</v>
      </c>
      <c r="T792">
        <f t="shared" si="79"/>
        <v>0</v>
      </c>
      <c r="U792">
        <f t="shared" si="80"/>
        <v>0.27100000000000002</v>
      </c>
    </row>
    <row r="793" spans="1:21" x14ac:dyDescent="0.3">
      <c r="A793" s="4">
        <v>791</v>
      </c>
      <c r="B793" s="4">
        <v>-96575129801</v>
      </c>
      <c r="C793" s="5">
        <v>3</v>
      </c>
      <c r="D793" s="5">
        <v>-6.7019999999999996E-2</v>
      </c>
      <c r="E793" s="5">
        <v>-6.1550000000000001E-2</v>
      </c>
      <c r="F793" s="5">
        <v>1029726</v>
      </c>
      <c r="G793" s="5">
        <v>35108204</v>
      </c>
      <c r="H793" s="5">
        <v>3409446</v>
      </c>
      <c r="I793" s="5">
        <v>0</v>
      </c>
      <c r="J793" s="5">
        <v>273</v>
      </c>
      <c r="L793">
        <f t="shared" si="75"/>
        <v>791</v>
      </c>
      <c r="M793">
        <f>'Real Analysis'!$B$3+B793/1000000</f>
        <v>16.870198999997228</v>
      </c>
      <c r="N793">
        <f t="shared" si="76"/>
        <v>3</v>
      </c>
      <c r="O793">
        <f>IF(ABS(D793)&gt;1,D793/1000000,D793)*'Real Analysis'!$B$4</f>
        <v>-0.6574662</v>
      </c>
      <c r="P793">
        <f>IF(ABS(E793)&gt;1,E793/1000000,E793)*'Real Analysis'!$B$4</f>
        <v>-0.60380549999999999</v>
      </c>
      <c r="Q793">
        <f>IF(ABS(F793)&gt;1,F793/1000000,F793)*'Real Analysis'!$B$4</f>
        <v>10.101612059999999</v>
      </c>
      <c r="R793">
        <f t="shared" si="77"/>
        <v>35.108204000000001</v>
      </c>
      <c r="S793">
        <f t="shared" si="78"/>
        <v>3.409446</v>
      </c>
      <c r="T793">
        <f t="shared" si="79"/>
        <v>0</v>
      </c>
      <c r="U793">
        <f t="shared" si="80"/>
        <v>0.27300000000000002</v>
      </c>
    </row>
    <row r="794" spans="1:21" x14ac:dyDescent="0.3">
      <c r="A794" s="4">
        <v>792</v>
      </c>
      <c r="B794" s="4">
        <v>-96575108191</v>
      </c>
      <c r="C794" s="5">
        <v>3</v>
      </c>
      <c r="D794" s="5">
        <v>-9.3968999999999997E-2</v>
      </c>
      <c r="E794" s="5">
        <v>-1.6850000000000001E-3</v>
      </c>
      <c r="F794" s="5">
        <v>0.99951199999999996</v>
      </c>
      <c r="G794" s="5">
        <v>44308594</v>
      </c>
      <c r="H794" s="5">
        <v>-12630047</v>
      </c>
      <c r="I794" s="5">
        <v>0</v>
      </c>
      <c r="J794" s="5">
        <v>275</v>
      </c>
      <c r="L794">
        <f t="shared" si="75"/>
        <v>792</v>
      </c>
      <c r="M794">
        <f>'Real Analysis'!$B$3+B794/1000000</f>
        <v>16.891808999993373</v>
      </c>
      <c r="N794">
        <f t="shared" si="76"/>
        <v>3</v>
      </c>
      <c r="O794">
        <f>IF(ABS(D794)&gt;1,D794/1000000,D794)*'Real Analysis'!$B$4</f>
        <v>-0.92183588999999999</v>
      </c>
      <c r="P794">
        <f>IF(ABS(E794)&gt;1,E794/1000000,E794)*'Real Analysis'!$B$4</f>
        <v>-1.6529850000000002E-2</v>
      </c>
      <c r="Q794">
        <f>IF(ABS(F794)&gt;1,F794/1000000,F794)*'Real Analysis'!$B$4</f>
        <v>9.8052127200000001</v>
      </c>
      <c r="R794">
        <f t="shared" si="77"/>
        <v>44.308593999999999</v>
      </c>
      <c r="S794">
        <f t="shared" si="78"/>
        <v>-12.630046999999999</v>
      </c>
      <c r="T794">
        <f t="shared" si="79"/>
        <v>0</v>
      </c>
      <c r="U794">
        <f t="shared" si="80"/>
        <v>0.27500000000000002</v>
      </c>
    </row>
    <row r="795" spans="1:21" x14ac:dyDescent="0.3">
      <c r="A795" s="4">
        <v>793</v>
      </c>
      <c r="B795" s="4">
        <v>-96575089598</v>
      </c>
      <c r="C795" s="5">
        <v>3</v>
      </c>
      <c r="D795" s="5">
        <v>-0.115427</v>
      </c>
      <c r="E795" s="5">
        <v>-1.6083E-2</v>
      </c>
      <c r="F795" s="5">
        <v>0.95284199999999997</v>
      </c>
      <c r="G795" s="5">
        <v>46972397</v>
      </c>
      <c r="H795" s="5">
        <v>-15907662</v>
      </c>
      <c r="I795" s="5">
        <v>0</v>
      </c>
      <c r="J795" s="5">
        <v>277</v>
      </c>
      <c r="L795">
        <f t="shared" si="75"/>
        <v>793</v>
      </c>
      <c r="M795">
        <f>'Real Analysis'!$B$3+B795/1000000</f>
        <v>16.910401999994065</v>
      </c>
      <c r="N795">
        <f t="shared" si="76"/>
        <v>3</v>
      </c>
      <c r="O795">
        <f>IF(ABS(D795)&gt;1,D795/1000000,D795)*'Real Analysis'!$B$4</f>
        <v>-1.1323388700000001</v>
      </c>
      <c r="P795">
        <f>IF(ABS(E795)&gt;1,E795/1000000,E795)*'Real Analysis'!$B$4</f>
        <v>-0.15777423000000002</v>
      </c>
      <c r="Q795">
        <f>IF(ABS(F795)&gt;1,F795/1000000,F795)*'Real Analysis'!$B$4</f>
        <v>9.347380020000001</v>
      </c>
      <c r="R795">
        <f t="shared" si="77"/>
        <v>46.972397000000001</v>
      </c>
      <c r="S795">
        <f t="shared" si="78"/>
        <v>-15.907662</v>
      </c>
      <c r="T795">
        <f t="shared" si="79"/>
        <v>0</v>
      </c>
      <c r="U795">
        <f t="shared" si="80"/>
        <v>0.27700000000000002</v>
      </c>
    </row>
    <row r="796" spans="1:21" x14ac:dyDescent="0.3">
      <c r="A796" s="4">
        <v>794</v>
      </c>
      <c r="B796" s="4">
        <v>-96575070932</v>
      </c>
      <c r="C796" s="5">
        <v>3</v>
      </c>
      <c r="D796" s="5">
        <v>-9.6575999999999995E-2</v>
      </c>
      <c r="E796" s="5">
        <v>-1.6629999999999999E-2</v>
      </c>
      <c r="F796" s="5">
        <v>0.95683499999999999</v>
      </c>
      <c r="G796" s="5">
        <v>49810242</v>
      </c>
      <c r="H796" s="5">
        <v>-14431403</v>
      </c>
      <c r="I796" s="5">
        <v>0</v>
      </c>
      <c r="J796" s="5">
        <v>278</v>
      </c>
      <c r="L796">
        <f t="shared" si="75"/>
        <v>794</v>
      </c>
      <c r="M796">
        <f>'Real Analysis'!$B$3+B796/1000000</f>
        <v>16.929067999997642</v>
      </c>
      <c r="N796">
        <f t="shared" si="76"/>
        <v>3</v>
      </c>
      <c r="O796">
        <f>IF(ABS(D796)&gt;1,D796/1000000,D796)*'Real Analysis'!$B$4</f>
        <v>-0.94741056000000001</v>
      </c>
      <c r="P796">
        <f>IF(ABS(E796)&gt;1,E796/1000000,E796)*'Real Analysis'!$B$4</f>
        <v>-0.16314029999999999</v>
      </c>
      <c r="Q796">
        <f>IF(ABS(F796)&gt;1,F796/1000000,F796)*'Real Analysis'!$B$4</f>
        <v>9.3865513499999995</v>
      </c>
      <c r="R796">
        <f t="shared" si="77"/>
        <v>49.810242000000002</v>
      </c>
      <c r="S796">
        <f t="shared" si="78"/>
        <v>-14.431403</v>
      </c>
      <c r="T796">
        <f t="shared" si="79"/>
        <v>0</v>
      </c>
      <c r="U796">
        <f t="shared" si="80"/>
        <v>0.27800000000000002</v>
      </c>
    </row>
    <row r="797" spans="1:21" x14ac:dyDescent="0.3">
      <c r="A797" s="4">
        <v>795</v>
      </c>
      <c r="B797" s="4">
        <v>-96575047909</v>
      </c>
      <c r="C797" s="5">
        <v>3</v>
      </c>
      <c r="D797" s="5">
        <v>-8.4168999999999994E-2</v>
      </c>
      <c r="E797" s="5">
        <v>-4.1660000000000004E-3</v>
      </c>
      <c r="F797" s="5">
        <v>0.98728700000000003</v>
      </c>
      <c r="G797" s="5">
        <v>59567562</v>
      </c>
      <c r="H797" s="5">
        <v>-13529315</v>
      </c>
      <c r="I797" s="5">
        <v>0</v>
      </c>
      <c r="J797" s="5">
        <v>280</v>
      </c>
      <c r="L797">
        <f t="shared" si="75"/>
        <v>795</v>
      </c>
      <c r="M797">
        <f>'Real Analysis'!$B$3+B797/1000000</f>
        <v>16.9520909999992</v>
      </c>
      <c r="N797">
        <f t="shared" si="76"/>
        <v>3</v>
      </c>
      <c r="O797">
        <f>IF(ABS(D797)&gt;1,D797/1000000,D797)*'Real Analysis'!$B$4</f>
        <v>-0.82569788999999993</v>
      </c>
      <c r="P797">
        <f>IF(ABS(E797)&gt;1,E797/1000000,E797)*'Real Analysis'!$B$4</f>
        <v>-4.0868460000000009E-2</v>
      </c>
      <c r="Q797">
        <f>IF(ABS(F797)&gt;1,F797/1000000,F797)*'Real Analysis'!$B$4</f>
        <v>9.6852854700000002</v>
      </c>
      <c r="R797">
        <f t="shared" si="77"/>
        <v>59.567562000000002</v>
      </c>
      <c r="S797">
        <f t="shared" si="78"/>
        <v>-13.529315</v>
      </c>
      <c r="T797">
        <f t="shared" si="79"/>
        <v>0</v>
      </c>
      <c r="U797">
        <f t="shared" si="80"/>
        <v>0.28000000000000003</v>
      </c>
    </row>
    <row r="798" spans="1:21" x14ac:dyDescent="0.3">
      <c r="A798" s="4">
        <v>796</v>
      </c>
      <c r="B798" s="4">
        <v>-96575033833</v>
      </c>
      <c r="C798" s="5">
        <v>3</v>
      </c>
      <c r="D798" s="5">
        <v>-8.1234000000000001E-2</v>
      </c>
      <c r="E798" s="5">
        <v>-1.6800000000000001E-3</v>
      </c>
      <c r="F798" s="5">
        <v>0.99838700000000002</v>
      </c>
      <c r="G798" s="5">
        <v>66046501</v>
      </c>
      <c r="H798" s="5">
        <v>-6675214</v>
      </c>
      <c r="I798" s="5">
        <v>0</v>
      </c>
      <c r="J798" s="5">
        <v>281</v>
      </c>
      <c r="L798">
        <f t="shared" si="75"/>
        <v>796</v>
      </c>
      <c r="M798">
        <f>'Real Analysis'!$B$3+B798/1000000</f>
        <v>16.966167000005953</v>
      </c>
      <c r="N798">
        <f t="shared" si="76"/>
        <v>3</v>
      </c>
      <c r="O798">
        <f>IF(ABS(D798)&gt;1,D798/1000000,D798)*'Real Analysis'!$B$4</f>
        <v>-0.79690554000000002</v>
      </c>
      <c r="P798">
        <f>IF(ABS(E798)&gt;1,E798/1000000,E798)*'Real Analysis'!$B$4</f>
        <v>-1.64808E-2</v>
      </c>
      <c r="Q798">
        <f>IF(ABS(F798)&gt;1,F798/1000000,F798)*'Real Analysis'!$B$4</f>
        <v>9.79417647</v>
      </c>
      <c r="R798">
        <f t="shared" si="77"/>
        <v>66.046501000000006</v>
      </c>
      <c r="S798">
        <f t="shared" si="78"/>
        <v>-6.6752140000000004</v>
      </c>
      <c r="T798">
        <f t="shared" si="79"/>
        <v>0</v>
      </c>
      <c r="U798">
        <f t="shared" si="80"/>
        <v>0.28100000000000003</v>
      </c>
    </row>
    <row r="799" spans="1:21" x14ac:dyDescent="0.3">
      <c r="A799" s="4">
        <v>797</v>
      </c>
      <c r="B799" s="4">
        <v>-96575017134</v>
      </c>
      <c r="C799" s="5">
        <v>3</v>
      </c>
      <c r="D799" s="5">
        <v>-0.117919</v>
      </c>
      <c r="E799" s="5">
        <v>-2.8476000000000001E-2</v>
      </c>
      <c r="F799" s="5">
        <v>0.98194300000000001</v>
      </c>
      <c r="G799" s="5">
        <v>71817261</v>
      </c>
      <c r="H799" s="5">
        <v>-21144304</v>
      </c>
      <c r="I799" s="5">
        <v>0</v>
      </c>
      <c r="J799" s="5">
        <v>283</v>
      </c>
      <c r="L799">
        <f t="shared" si="75"/>
        <v>797</v>
      </c>
      <c r="M799">
        <f>'Real Analysis'!$B$3+B799/1000000</f>
        <v>16.982866000005743</v>
      </c>
      <c r="N799">
        <f t="shared" si="76"/>
        <v>3</v>
      </c>
      <c r="O799">
        <f>IF(ABS(D799)&gt;1,D799/1000000,D799)*'Real Analysis'!$B$4</f>
        <v>-1.15678539</v>
      </c>
      <c r="P799">
        <f>IF(ABS(E799)&gt;1,E799/1000000,E799)*'Real Analysis'!$B$4</f>
        <v>-0.27934956000000005</v>
      </c>
      <c r="Q799">
        <f>IF(ABS(F799)&gt;1,F799/1000000,F799)*'Real Analysis'!$B$4</f>
        <v>9.6328608300000003</v>
      </c>
      <c r="R799">
        <f t="shared" si="77"/>
        <v>71.817261000000002</v>
      </c>
      <c r="S799">
        <f t="shared" si="78"/>
        <v>-21.144304000000002</v>
      </c>
      <c r="T799">
        <f t="shared" si="79"/>
        <v>0</v>
      </c>
      <c r="U799">
        <f t="shared" si="80"/>
        <v>0.28299999999999997</v>
      </c>
    </row>
    <row r="800" spans="1:21" x14ac:dyDescent="0.3">
      <c r="A800" s="4">
        <v>798</v>
      </c>
      <c r="B800" s="4">
        <v>-96574997368</v>
      </c>
      <c r="C800" s="5">
        <v>3</v>
      </c>
      <c r="D800" s="5">
        <v>-0.234102</v>
      </c>
      <c r="E800" s="5">
        <v>5.3300000000000005E-4</v>
      </c>
      <c r="F800" s="5">
        <v>0.94283600000000001</v>
      </c>
      <c r="G800" s="5">
        <v>68827049</v>
      </c>
      <c r="H800" s="5">
        <v>-12533122</v>
      </c>
      <c r="I800" s="5">
        <v>0</v>
      </c>
      <c r="J800" s="5">
        <v>284</v>
      </c>
      <c r="L800">
        <f t="shared" si="75"/>
        <v>798</v>
      </c>
      <c r="M800">
        <f>'Real Analysis'!$B$3+B800/1000000</f>
        <v>17.002632000003359</v>
      </c>
      <c r="N800">
        <f t="shared" si="76"/>
        <v>3</v>
      </c>
      <c r="O800">
        <f>IF(ABS(D800)&gt;1,D800/1000000,D800)*'Real Analysis'!$B$4</f>
        <v>-2.29654062</v>
      </c>
      <c r="P800">
        <f>IF(ABS(E800)&gt;1,E800/1000000,E800)*'Real Analysis'!$B$4</f>
        <v>5.2287300000000009E-3</v>
      </c>
      <c r="Q800">
        <f>IF(ABS(F800)&gt;1,F800/1000000,F800)*'Real Analysis'!$B$4</f>
        <v>9.2492211600000012</v>
      </c>
      <c r="R800">
        <f t="shared" si="77"/>
        <v>68.827049000000002</v>
      </c>
      <c r="S800">
        <f t="shared" si="78"/>
        <v>-12.533122000000001</v>
      </c>
      <c r="T800">
        <f t="shared" si="79"/>
        <v>0</v>
      </c>
      <c r="U800">
        <f t="shared" si="80"/>
        <v>0.28399999999999997</v>
      </c>
    </row>
    <row r="801" spans="1:21" x14ac:dyDescent="0.3">
      <c r="A801" s="4">
        <v>799</v>
      </c>
      <c r="B801" s="4">
        <v>-96574974288</v>
      </c>
      <c r="C801" s="5">
        <v>3</v>
      </c>
      <c r="D801" s="5">
        <v>-0.29623899999999997</v>
      </c>
      <c r="E801" s="5">
        <v>7.2147000000000003E-2</v>
      </c>
      <c r="F801" s="5">
        <v>0.93420300000000001</v>
      </c>
      <c r="G801" s="5">
        <v>56810608</v>
      </c>
      <c r="H801" s="5">
        <v>3664857</v>
      </c>
      <c r="I801" s="5">
        <v>0</v>
      </c>
      <c r="J801" s="5">
        <v>287</v>
      </c>
      <c r="L801">
        <f t="shared" si="75"/>
        <v>799</v>
      </c>
      <c r="M801">
        <f>'Real Analysis'!$B$3+B801/1000000</f>
        <v>17.025712000002386</v>
      </c>
      <c r="N801">
        <f t="shared" si="76"/>
        <v>3</v>
      </c>
      <c r="O801">
        <f>IF(ABS(D801)&gt;1,D801/1000000,D801)*'Real Analysis'!$B$4</f>
        <v>-2.90610459</v>
      </c>
      <c r="P801">
        <f>IF(ABS(E801)&gt;1,E801/1000000,E801)*'Real Analysis'!$B$4</f>
        <v>0.70776207000000002</v>
      </c>
      <c r="Q801">
        <f>IF(ABS(F801)&gt;1,F801/1000000,F801)*'Real Analysis'!$B$4</f>
        <v>9.1645314300000003</v>
      </c>
      <c r="R801">
        <f t="shared" si="77"/>
        <v>56.810608000000002</v>
      </c>
      <c r="S801">
        <f t="shared" si="78"/>
        <v>3.664857</v>
      </c>
      <c r="T801">
        <f t="shared" si="79"/>
        <v>0</v>
      </c>
      <c r="U801">
        <f t="shared" si="80"/>
        <v>0.28699999999999998</v>
      </c>
    </row>
    <row r="802" spans="1:21" x14ac:dyDescent="0.3">
      <c r="A802" s="4">
        <v>800</v>
      </c>
      <c r="B802" s="4">
        <v>-96574949719</v>
      </c>
      <c r="C802" s="5">
        <v>3</v>
      </c>
      <c r="D802" s="5">
        <v>-0.166903</v>
      </c>
      <c r="E802" s="5">
        <v>5.3150000000000003E-2</v>
      </c>
      <c r="F802" s="5">
        <v>0.99357399999999996</v>
      </c>
      <c r="G802" s="5">
        <v>49208549</v>
      </c>
      <c r="H802" s="5">
        <v>11961235</v>
      </c>
      <c r="I802" s="5">
        <v>0</v>
      </c>
      <c r="J802" s="5">
        <v>289</v>
      </c>
      <c r="L802">
        <f t="shared" si="75"/>
        <v>800</v>
      </c>
      <c r="M802">
        <f>'Real Analysis'!$B$3+B802/1000000</f>
        <v>17.050281000003451</v>
      </c>
      <c r="N802">
        <f t="shared" si="76"/>
        <v>3</v>
      </c>
      <c r="O802">
        <f>IF(ABS(D802)&gt;1,D802/1000000,D802)*'Real Analysis'!$B$4</f>
        <v>-1.6373184300000001</v>
      </c>
      <c r="P802">
        <f>IF(ABS(E802)&gt;1,E802/1000000,E802)*'Real Analysis'!$B$4</f>
        <v>0.52140150000000007</v>
      </c>
      <c r="Q802">
        <f>IF(ABS(F802)&gt;1,F802/1000000,F802)*'Real Analysis'!$B$4</f>
        <v>9.7469609399999992</v>
      </c>
      <c r="R802">
        <f t="shared" si="77"/>
        <v>49.208548999999998</v>
      </c>
      <c r="S802">
        <f t="shared" si="78"/>
        <v>11.961235</v>
      </c>
      <c r="T802">
        <f t="shared" si="79"/>
        <v>0</v>
      </c>
      <c r="U802">
        <f t="shared" si="80"/>
        <v>0.28899999999999998</v>
      </c>
    </row>
    <row r="803" spans="1:21" x14ac:dyDescent="0.3">
      <c r="A803" s="4">
        <v>801</v>
      </c>
      <c r="B803" s="4">
        <v>-96574927581</v>
      </c>
      <c r="C803" s="5">
        <v>3</v>
      </c>
      <c r="D803" s="5">
        <v>-9.3232999999999996E-2</v>
      </c>
      <c r="E803" s="5">
        <v>3.8254000000000003E-2</v>
      </c>
      <c r="F803" s="5">
        <v>0.97916000000000003</v>
      </c>
      <c r="G803" s="5">
        <v>49467529</v>
      </c>
      <c r="H803" s="5">
        <v>16945759</v>
      </c>
      <c r="I803" s="5">
        <v>0</v>
      </c>
      <c r="J803" s="5">
        <v>291</v>
      </c>
      <c r="L803">
        <f t="shared" si="75"/>
        <v>801</v>
      </c>
      <c r="M803">
        <f>'Real Analysis'!$B$3+B803/1000000</f>
        <v>17.07241900000372</v>
      </c>
      <c r="N803">
        <f t="shared" si="76"/>
        <v>3</v>
      </c>
      <c r="O803">
        <f>IF(ABS(D803)&gt;1,D803/1000000,D803)*'Real Analysis'!$B$4</f>
        <v>-0.91461572999999996</v>
      </c>
      <c r="P803">
        <f>IF(ABS(E803)&gt;1,E803/1000000,E803)*'Real Analysis'!$B$4</f>
        <v>0.37527174000000008</v>
      </c>
      <c r="Q803">
        <f>IF(ABS(F803)&gt;1,F803/1000000,F803)*'Real Analysis'!$B$4</f>
        <v>9.6055596000000012</v>
      </c>
      <c r="R803">
        <f t="shared" si="77"/>
        <v>49.467528999999999</v>
      </c>
      <c r="S803">
        <f t="shared" si="78"/>
        <v>16.945758999999999</v>
      </c>
      <c r="T803">
        <f t="shared" si="79"/>
        <v>0</v>
      </c>
      <c r="U803">
        <f t="shared" si="80"/>
        <v>0.29099999999999998</v>
      </c>
    </row>
    <row r="804" spans="1:21" x14ac:dyDescent="0.3">
      <c r="A804" s="4">
        <v>802</v>
      </c>
      <c r="B804" s="4">
        <v>-96574908024</v>
      </c>
      <c r="C804" s="5">
        <v>3</v>
      </c>
      <c r="D804" s="5">
        <v>-7.4619000000000005E-2</v>
      </c>
      <c r="E804" s="5">
        <v>1.3667E-2</v>
      </c>
      <c r="F804" s="5">
        <v>0.988757</v>
      </c>
      <c r="G804" s="5">
        <v>48605286</v>
      </c>
      <c r="H804" s="5">
        <v>16118820</v>
      </c>
      <c r="I804" s="5">
        <v>0</v>
      </c>
      <c r="J804" s="5">
        <v>291</v>
      </c>
      <c r="L804">
        <f t="shared" si="75"/>
        <v>802</v>
      </c>
      <c r="M804">
        <f>'Real Analysis'!$B$3+B804/1000000</f>
        <v>17.091975999996066</v>
      </c>
      <c r="N804">
        <f t="shared" si="76"/>
        <v>3</v>
      </c>
      <c r="O804">
        <f>IF(ABS(D804)&gt;1,D804/1000000,D804)*'Real Analysis'!$B$4</f>
        <v>-0.73201239000000007</v>
      </c>
      <c r="P804">
        <f>IF(ABS(E804)&gt;1,E804/1000000,E804)*'Real Analysis'!$B$4</f>
        <v>0.13407327000000002</v>
      </c>
      <c r="Q804">
        <f>IF(ABS(F804)&gt;1,F804/1000000,F804)*'Real Analysis'!$B$4</f>
        <v>9.6997061700000007</v>
      </c>
      <c r="R804">
        <f t="shared" si="77"/>
        <v>48.605286</v>
      </c>
      <c r="S804">
        <f t="shared" si="78"/>
        <v>16.118819999999999</v>
      </c>
      <c r="T804">
        <f t="shared" si="79"/>
        <v>0</v>
      </c>
      <c r="U804">
        <f t="shared" si="80"/>
        <v>0.29099999999999998</v>
      </c>
    </row>
    <row r="805" spans="1:21" x14ac:dyDescent="0.3">
      <c r="A805" s="4">
        <v>803</v>
      </c>
      <c r="B805" s="4">
        <v>-96574898025</v>
      </c>
      <c r="C805" s="5">
        <v>3</v>
      </c>
      <c r="D805" s="5">
        <v>-5.2451999999999999E-2</v>
      </c>
      <c r="E805" s="5">
        <v>-4.6614000000000003E-2</v>
      </c>
      <c r="F805" s="5">
        <v>0.98810600000000004</v>
      </c>
      <c r="G805" s="5">
        <v>56663979</v>
      </c>
      <c r="H805" s="5">
        <v>10332028</v>
      </c>
      <c r="I805" s="5">
        <v>0</v>
      </c>
      <c r="J805" s="5">
        <v>293</v>
      </c>
      <c r="L805">
        <f t="shared" si="75"/>
        <v>803</v>
      </c>
      <c r="M805">
        <f>'Real Analysis'!$B$3+B805/1000000</f>
        <v>17.101974999997765</v>
      </c>
      <c r="N805">
        <f t="shared" si="76"/>
        <v>3</v>
      </c>
      <c r="O805">
        <f>IF(ABS(D805)&gt;1,D805/1000000,D805)*'Real Analysis'!$B$4</f>
        <v>-0.51455412</v>
      </c>
      <c r="P805">
        <f>IF(ABS(E805)&gt;1,E805/1000000,E805)*'Real Analysis'!$B$4</f>
        <v>-0.45728334000000004</v>
      </c>
      <c r="Q805">
        <f>IF(ABS(F805)&gt;1,F805/1000000,F805)*'Real Analysis'!$B$4</f>
        <v>9.6933198600000008</v>
      </c>
      <c r="R805">
        <f t="shared" si="77"/>
        <v>56.663978999999998</v>
      </c>
      <c r="S805">
        <f t="shared" si="78"/>
        <v>10.332027999999999</v>
      </c>
      <c r="T805">
        <f t="shared" si="79"/>
        <v>0</v>
      </c>
      <c r="U805">
        <f t="shared" si="80"/>
        <v>0.29299999999999998</v>
      </c>
    </row>
    <row r="806" spans="1:21" x14ac:dyDescent="0.3">
      <c r="A806" s="4">
        <v>804</v>
      </c>
      <c r="B806" s="4">
        <v>-96574867406</v>
      </c>
      <c r="C806" s="5">
        <v>3</v>
      </c>
      <c r="D806" s="5">
        <v>-0.16795299999999999</v>
      </c>
      <c r="E806" s="5">
        <v>1.16E-4</v>
      </c>
      <c r="F806" s="5">
        <v>0.92909600000000003</v>
      </c>
      <c r="G806" s="5">
        <v>59023754</v>
      </c>
      <c r="H806" s="5">
        <v>6359024</v>
      </c>
      <c r="I806" s="5">
        <v>0</v>
      </c>
      <c r="J806" s="5">
        <v>293</v>
      </c>
      <c r="L806">
        <f t="shared" si="75"/>
        <v>804</v>
      </c>
      <c r="M806">
        <f>'Real Analysis'!$B$3+B806/1000000</f>
        <v>17.132593999995152</v>
      </c>
      <c r="N806">
        <f t="shared" si="76"/>
        <v>3</v>
      </c>
      <c r="O806">
        <f>IF(ABS(D806)&gt;1,D806/1000000,D806)*'Real Analysis'!$B$4</f>
        <v>-1.6476189299999999</v>
      </c>
      <c r="P806">
        <f>IF(ABS(E806)&gt;1,E806/1000000,E806)*'Real Analysis'!$B$4</f>
        <v>1.1379600000000001E-3</v>
      </c>
      <c r="Q806">
        <f>IF(ABS(F806)&gt;1,F806/1000000,F806)*'Real Analysis'!$B$4</f>
        <v>9.1144317600000004</v>
      </c>
      <c r="R806">
        <f t="shared" si="77"/>
        <v>59.023753999999997</v>
      </c>
      <c r="S806">
        <f t="shared" si="78"/>
        <v>6.3590239999999998</v>
      </c>
      <c r="T806">
        <f t="shared" si="79"/>
        <v>0</v>
      </c>
      <c r="U806">
        <f t="shared" si="80"/>
        <v>0.29299999999999998</v>
      </c>
    </row>
    <row r="807" spans="1:21" x14ac:dyDescent="0.3">
      <c r="A807" s="4">
        <v>805</v>
      </c>
      <c r="B807" s="4">
        <v>-96574850902</v>
      </c>
      <c r="C807" s="5">
        <v>3</v>
      </c>
      <c r="D807" s="5">
        <v>-0.19043299999999999</v>
      </c>
      <c r="E807" s="5">
        <v>-2.5308000000000001E-2</v>
      </c>
      <c r="F807" s="5">
        <v>0.89072200000000001</v>
      </c>
      <c r="G807" s="5">
        <v>47193962</v>
      </c>
      <c r="H807" s="5">
        <v>0.91892600000000002</v>
      </c>
      <c r="I807" s="5">
        <v>0</v>
      </c>
      <c r="J807" s="5">
        <v>296</v>
      </c>
      <c r="L807">
        <f t="shared" si="75"/>
        <v>805</v>
      </c>
      <c r="M807">
        <f>'Real Analysis'!$B$3+B807/1000000</f>
        <v>17.14909799999441</v>
      </c>
      <c r="N807">
        <f t="shared" si="76"/>
        <v>3</v>
      </c>
      <c r="O807">
        <f>IF(ABS(D807)&gt;1,D807/1000000,D807)*'Real Analysis'!$B$4</f>
        <v>-1.86814773</v>
      </c>
      <c r="P807">
        <f>IF(ABS(E807)&gt;1,E807/1000000,E807)*'Real Analysis'!$B$4</f>
        <v>-0.24827148000000002</v>
      </c>
      <c r="Q807">
        <f>IF(ABS(F807)&gt;1,F807/1000000,F807)*'Real Analysis'!$B$4</f>
        <v>8.7379828200000009</v>
      </c>
      <c r="R807">
        <f t="shared" si="77"/>
        <v>47.193961999999999</v>
      </c>
      <c r="S807">
        <f t="shared" si="78"/>
        <v>0.91892600000000002</v>
      </c>
      <c r="T807">
        <f t="shared" si="79"/>
        <v>0</v>
      </c>
      <c r="U807">
        <f t="shared" si="80"/>
        <v>0.29599999999999999</v>
      </c>
    </row>
    <row r="808" spans="1:21" x14ac:dyDescent="0.3">
      <c r="A808" s="4">
        <v>806</v>
      </c>
      <c r="B808" s="4">
        <v>-96574827850</v>
      </c>
      <c r="C808" s="5">
        <v>3</v>
      </c>
      <c r="D808" s="5">
        <v>-0.14519799999999999</v>
      </c>
      <c r="E808" s="5">
        <v>-6.0780000000000001E-3</v>
      </c>
      <c r="F808" s="5">
        <v>0.93910000000000005</v>
      </c>
      <c r="G808" s="5">
        <v>45901646</v>
      </c>
      <c r="H808" s="5">
        <v>4685595</v>
      </c>
      <c r="I808" s="5">
        <v>0</v>
      </c>
      <c r="J808" s="5">
        <v>296</v>
      </c>
      <c r="L808">
        <f t="shared" si="75"/>
        <v>806</v>
      </c>
      <c r="M808">
        <f>'Real Analysis'!$B$3+B808/1000000</f>
        <v>17.17214999999851</v>
      </c>
      <c r="N808">
        <f t="shared" si="76"/>
        <v>3</v>
      </c>
      <c r="O808">
        <f>IF(ABS(D808)&gt;1,D808/1000000,D808)*'Real Analysis'!$B$4</f>
        <v>-1.42439238</v>
      </c>
      <c r="P808">
        <f>IF(ABS(E808)&gt;1,E808/1000000,E808)*'Real Analysis'!$B$4</f>
        <v>-5.9625180000000007E-2</v>
      </c>
      <c r="Q808">
        <f>IF(ABS(F808)&gt;1,F808/1000000,F808)*'Real Analysis'!$B$4</f>
        <v>9.2125710000000005</v>
      </c>
      <c r="R808">
        <f t="shared" si="77"/>
        <v>45.901646</v>
      </c>
      <c r="S808">
        <f t="shared" si="78"/>
        <v>4.6855950000000002</v>
      </c>
      <c r="T808">
        <f t="shared" si="79"/>
        <v>0</v>
      </c>
      <c r="U808">
        <f t="shared" si="80"/>
        <v>0.29599999999999999</v>
      </c>
    </row>
    <row r="809" spans="1:21" x14ac:dyDescent="0.3">
      <c r="A809" s="4">
        <v>807</v>
      </c>
      <c r="B809" s="4">
        <v>-96574815813</v>
      </c>
      <c r="C809" s="5">
        <v>3</v>
      </c>
      <c r="D809" s="5">
        <v>-0.146843</v>
      </c>
      <c r="E809" s="5">
        <v>3.13E-3</v>
      </c>
      <c r="F809" s="5">
        <v>0.969939</v>
      </c>
      <c r="G809" s="5">
        <v>50508579</v>
      </c>
      <c r="H809" s="5">
        <v>6303520</v>
      </c>
      <c r="I809" s="5">
        <v>0</v>
      </c>
      <c r="J809" s="5">
        <v>298</v>
      </c>
      <c r="L809">
        <f t="shared" si="75"/>
        <v>807</v>
      </c>
      <c r="M809">
        <f>'Real Analysis'!$B$3+B809/1000000</f>
        <v>17.184187000006204</v>
      </c>
      <c r="N809">
        <f t="shared" si="76"/>
        <v>3</v>
      </c>
      <c r="O809">
        <f>IF(ABS(D809)&gt;1,D809/1000000,D809)*'Real Analysis'!$B$4</f>
        <v>-1.44052983</v>
      </c>
      <c r="P809">
        <f>IF(ABS(E809)&gt;1,E809/1000000,E809)*'Real Analysis'!$B$4</f>
        <v>3.0705300000000001E-2</v>
      </c>
      <c r="Q809">
        <f>IF(ABS(F809)&gt;1,F809/1000000,F809)*'Real Analysis'!$B$4</f>
        <v>9.5151015900000004</v>
      </c>
      <c r="R809">
        <f t="shared" si="77"/>
        <v>50.508578999999997</v>
      </c>
      <c r="S809">
        <f t="shared" si="78"/>
        <v>6.3035199999999998</v>
      </c>
      <c r="T809">
        <f t="shared" si="79"/>
        <v>0</v>
      </c>
      <c r="U809">
        <f t="shared" si="80"/>
        <v>0.29799999999999999</v>
      </c>
    </row>
    <row r="810" spans="1:21" x14ac:dyDescent="0.3">
      <c r="A810" s="4">
        <v>808</v>
      </c>
      <c r="B810" s="4">
        <v>-96574790691</v>
      </c>
      <c r="C810" s="5">
        <v>3</v>
      </c>
      <c r="D810" s="5">
        <v>-0.159608</v>
      </c>
      <c r="E810" s="5">
        <v>9.6930000000000002E-3</v>
      </c>
      <c r="F810" s="5">
        <v>0.93070900000000001</v>
      </c>
      <c r="G810" s="5">
        <v>53802834</v>
      </c>
      <c r="H810" s="5">
        <v>8821223</v>
      </c>
      <c r="I810" s="5">
        <v>0</v>
      </c>
      <c r="J810" s="5">
        <v>299</v>
      </c>
      <c r="L810">
        <f t="shared" si="75"/>
        <v>808</v>
      </c>
      <c r="M810">
        <f>'Real Analysis'!$B$3+B810/1000000</f>
        <v>17.209308999998029</v>
      </c>
      <c r="N810">
        <f t="shared" si="76"/>
        <v>3</v>
      </c>
      <c r="O810">
        <f>IF(ABS(D810)&gt;1,D810/1000000,D810)*'Real Analysis'!$B$4</f>
        <v>-1.5657544800000001</v>
      </c>
      <c r="P810">
        <f>IF(ABS(E810)&gt;1,E810/1000000,E810)*'Real Analysis'!$B$4</f>
        <v>9.5088330000000013E-2</v>
      </c>
      <c r="Q810">
        <f>IF(ABS(F810)&gt;1,F810/1000000,F810)*'Real Analysis'!$B$4</f>
        <v>9.1302552900000009</v>
      </c>
      <c r="R810">
        <f t="shared" si="77"/>
        <v>53.802833999999997</v>
      </c>
      <c r="S810">
        <f t="shared" si="78"/>
        <v>8.8212229999999998</v>
      </c>
      <c r="T810">
        <f t="shared" si="79"/>
        <v>0</v>
      </c>
      <c r="U810">
        <f t="shared" si="80"/>
        <v>0.29899999999999999</v>
      </c>
    </row>
    <row r="811" spans="1:21" x14ac:dyDescent="0.3">
      <c r="A811" s="4">
        <v>809</v>
      </c>
      <c r="B811" s="4">
        <v>-96574770460</v>
      </c>
      <c r="C811" s="5">
        <v>3</v>
      </c>
      <c r="D811" s="5">
        <v>-0.17350199999999999</v>
      </c>
      <c r="E811" s="5">
        <v>1.1869999999999999E-3</v>
      </c>
      <c r="F811" s="5">
        <v>0.90116099999999999</v>
      </c>
      <c r="G811" s="5">
        <v>54122108</v>
      </c>
      <c r="H811" s="5">
        <v>8495681</v>
      </c>
      <c r="I811" s="5">
        <v>0</v>
      </c>
      <c r="J811" s="5">
        <v>301</v>
      </c>
      <c r="L811">
        <f t="shared" si="75"/>
        <v>809</v>
      </c>
      <c r="M811">
        <f>'Real Analysis'!$B$3+B811/1000000</f>
        <v>17.22954000000027</v>
      </c>
      <c r="N811">
        <f t="shared" si="76"/>
        <v>3</v>
      </c>
      <c r="O811">
        <f>IF(ABS(D811)&gt;1,D811/1000000,D811)*'Real Analysis'!$B$4</f>
        <v>-1.70205462</v>
      </c>
      <c r="P811">
        <f>IF(ABS(E811)&gt;1,E811/1000000,E811)*'Real Analysis'!$B$4</f>
        <v>1.1644470000000001E-2</v>
      </c>
      <c r="Q811">
        <f>IF(ABS(F811)&gt;1,F811/1000000,F811)*'Real Analysis'!$B$4</f>
        <v>8.8403894100000002</v>
      </c>
      <c r="R811">
        <f t="shared" si="77"/>
        <v>54.122107999999997</v>
      </c>
      <c r="S811">
        <f t="shared" si="78"/>
        <v>8.4956809999999994</v>
      </c>
      <c r="T811">
        <f t="shared" si="79"/>
        <v>0</v>
      </c>
      <c r="U811">
        <f t="shared" si="80"/>
        <v>0.30099999999999999</v>
      </c>
    </row>
    <row r="812" spans="1:21" x14ac:dyDescent="0.3">
      <c r="A812" s="4">
        <v>810</v>
      </c>
      <c r="B812" s="4">
        <v>-96574748871</v>
      </c>
      <c r="C812" s="5">
        <v>3</v>
      </c>
      <c r="D812" s="5">
        <v>-0.14794099999999999</v>
      </c>
      <c r="E812" s="5">
        <v>-2.3220999999999999E-2</v>
      </c>
      <c r="F812" s="5">
        <v>0.92889600000000005</v>
      </c>
      <c r="G812" s="5">
        <v>55400757</v>
      </c>
      <c r="H812" s="5">
        <v>3729467</v>
      </c>
      <c r="I812" s="5">
        <v>0</v>
      </c>
      <c r="J812" s="5">
        <v>300</v>
      </c>
      <c r="L812">
        <f t="shared" si="75"/>
        <v>810</v>
      </c>
      <c r="M812">
        <f>'Real Analysis'!$B$3+B812/1000000</f>
        <v>17.251128999996581</v>
      </c>
      <c r="N812">
        <f t="shared" si="76"/>
        <v>3</v>
      </c>
      <c r="O812">
        <f>IF(ABS(D812)&gt;1,D812/1000000,D812)*'Real Analysis'!$B$4</f>
        <v>-1.45130121</v>
      </c>
      <c r="P812">
        <f>IF(ABS(E812)&gt;1,E812/1000000,E812)*'Real Analysis'!$B$4</f>
        <v>-0.22779801</v>
      </c>
      <c r="Q812">
        <f>IF(ABS(F812)&gt;1,F812/1000000,F812)*'Real Analysis'!$B$4</f>
        <v>9.1124697600000015</v>
      </c>
      <c r="R812">
        <f t="shared" si="77"/>
        <v>55.400756999999999</v>
      </c>
      <c r="S812">
        <f t="shared" si="78"/>
        <v>3.7294670000000001</v>
      </c>
      <c r="T812">
        <f t="shared" si="79"/>
        <v>0</v>
      </c>
      <c r="U812">
        <f t="shared" si="80"/>
        <v>0.3</v>
      </c>
    </row>
    <row r="813" spans="1:21" x14ac:dyDescent="0.3">
      <c r="A813" s="4">
        <v>811</v>
      </c>
      <c r="B813" s="4">
        <v>-96574734212</v>
      </c>
      <c r="C813" s="5">
        <v>3</v>
      </c>
      <c r="D813" s="5">
        <v>-0.151091</v>
      </c>
      <c r="E813" s="5">
        <v>-3.4110000000000001E-2</v>
      </c>
      <c r="F813" s="5">
        <v>0.938029</v>
      </c>
      <c r="G813" s="5">
        <v>58122456</v>
      </c>
      <c r="H813" s="5">
        <v>-1064670</v>
      </c>
      <c r="I813" s="5">
        <v>0</v>
      </c>
      <c r="J813" s="5">
        <v>302</v>
      </c>
      <c r="L813">
        <f t="shared" si="75"/>
        <v>811</v>
      </c>
      <c r="M813">
        <f>'Real Analysis'!$B$3+B813/1000000</f>
        <v>17.26578800000425</v>
      </c>
      <c r="N813">
        <f t="shared" si="76"/>
        <v>3</v>
      </c>
      <c r="O813">
        <f>IF(ABS(D813)&gt;1,D813/1000000,D813)*'Real Analysis'!$B$4</f>
        <v>-1.4822027100000001</v>
      </c>
      <c r="P813">
        <f>IF(ABS(E813)&gt;1,E813/1000000,E813)*'Real Analysis'!$B$4</f>
        <v>-0.33461910000000006</v>
      </c>
      <c r="Q813">
        <f>IF(ABS(F813)&gt;1,F813/1000000,F813)*'Real Analysis'!$B$4</f>
        <v>9.2020644899999997</v>
      </c>
      <c r="R813">
        <f t="shared" si="77"/>
        <v>58.122456</v>
      </c>
      <c r="S813">
        <f t="shared" si="78"/>
        <v>-1.06467</v>
      </c>
      <c r="T813">
        <f t="shared" si="79"/>
        <v>0</v>
      </c>
      <c r="U813">
        <f t="shared" si="80"/>
        <v>0.30199999999999999</v>
      </c>
    </row>
    <row r="814" spans="1:21" x14ac:dyDescent="0.3">
      <c r="A814" s="4">
        <v>812</v>
      </c>
      <c r="B814" s="4">
        <v>-96574709460</v>
      </c>
      <c r="C814" s="5">
        <v>3</v>
      </c>
      <c r="D814" s="5">
        <v>-0.18309800000000001</v>
      </c>
      <c r="E814" s="5">
        <v>6.6299999999999996E-3</v>
      </c>
      <c r="F814" s="5">
        <v>0.94308000000000003</v>
      </c>
      <c r="G814" s="5">
        <v>55821037</v>
      </c>
      <c r="H814" s="5">
        <v>-6033116</v>
      </c>
      <c r="I814" s="5">
        <v>0</v>
      </c>
      <c r="J814" s="5">
        <v>302</v>
      </c>
      <c r="L814">
        <f t="shared" si="75"/>
        <v>812</v>
      </c>
      <c r="M814">
        <f>'Real Analysis'!$B$3+B814/1000000</f>
        <v>17.290540000001783</v>
      </c>
      <c r="N814">
        <f t="shared" si="76"/>
        <v>3</v>
      </c>
      <c r="O814">
        <f>IF(ABS(D814)&gt;1,D814/1000000,D814)*'Real Analysis'!$B$4</f>
        <v>-1.7961913800000002</v>
      </c>
      <c r="P814">
        <f>IF(ABS(E814)&gt;1,E814/1000000,E814)*'Real Analysis'!$B$4</f>
        <v>6.5040299999999995E-2</v>
      </c>
      <c r="Q814">
        <f>IF(ABS(F814)&gt;1,F814/1000000,F814)*'Real Analysis'!$B$4</f>
        <v>9.2516148000000005</v>
      </c>
      <c r="R814">
        <f t="shared" si="77"/>
        <v>55.821036999999997</v>
      </c>
      <c r="S814">
        <f t="shared" si="78"/>
        <v>-6.0331159999999997</v>
      </c>
      <c r="T814">
        <f t="shared" si="79"/>
        <v>0</v>
      </c>
      <c r="U814">
        <f t="shared" si="80"/>
        <v>0.30199999999999999</v>
      </c>
    </row>
    <row r="815" spans="1:21" x14ac:dyDescent="0.3">
      <c r="A815" s="4">
        <v>813</v>
      </c>
      <c r="B815" s="4">
        <v>-96574689506</v>
      </c>
      <c r="C815" s="5">
        <v>3</v>
      </c>
      <c r="D815" s="5">
        <v>-0.16497400000000001</v>
      </c>
      <c r="E815" s="5">
        <v>2.0060999999999999E-2</v>
      </c>
      <c r="F815" s="5">
        <v>0.94259000000000004</v>
      </c>
      <c r="G815" s="5">
        <v>52418377</v>
      </c>
      <c r="H815" s="5">
        <v>8.0499999999999999E-3</v>
      </c>
      <c r="I815" s="5">
        <v>0</v>
      </c>
      <c r="J815" s="5">
        <v>304</v>
      </c>
      <c r="L815">
        <f t="shared" si="75"/>
        <v>813</v>
      </c>
      <c r="M815">
        <f>'Real Analysis'!$B$3+B815/1000000</f>
        <v>17.310494000004837</v>
      </c>
      <c r="N815">
        <f t="shared" si="76"/>
        <v>3</v>
      </c>
      <c r="O815">
        <f>IF(ABS(D815)&gt;1,D815/1000000,D815)*'Real Analysis'!$B$4</f>
        <v>-1.6183949400000002</v>
      </c>
      <c r="P815">
        <f>IF(ABS(E815)&gt;1,E815/1000000,E815)*'Real Analysis'!$B$4</f>
        <v>0.19679841000000001</v>
      </c>
      <c r="Q815">
        <f>IF(ABS(F815)&gt;1,F815/1000000,F815)*'Real Analysis'!$B$4</f>
        <v>9.2468079000000003</v>
      </c>
      <c r="R815">
        <f t="shared" si="77"/>
        <v>52.418377</v>
      </c>
      <c r="S815">
        <f t="shared" si="78"/>
        <v>8.0499999999999999E-3</v>
      </c>
      <c r="T815">
        <f t="shared" si="79"/>
        <v>0</v>
      </c>
      <c r="U815">
        <f t="shared" si="80"/>
        <v>0.30399999999999999</v>
      </c>
    </row>
    <row r="816" spans="1:21" x14ac:dyDescent="0.3">
      <c r="A816" s="4">
        <v>814</v>
      </c>
      <c r="B816" s="4">
        <v>-96574669179</v>
      </c>
      <c r="C816" s="5">
        <v>3</v>
      </c>
      <c r="D816" s="5">
        <v>-0.129501</v>
      </c>
      <c r="E816" s="5">
        <v>3.0400000000000002E-4</v>
      </c>
      <c r="F816" s="5">
        <v>0.95616400000000001</v>
      </c>
      <c r="G816" s="5">
        <v>53464554</v>
      </c>
      <c r="H816" s="5">
        <v>2226419</v>
      </c>
      <c r="I816" s="5">
        <v>0</v>
      </c>
      <c r="J816" s="5">
        <v>303</v>
      </c>
      <c r="L816">
        <f t="shared" si="75"/>
        <v>814</v>
      </c>
      <c r="M816">
        <f>'Real Analysis'!$B$3+B816/1000000</f>
        <v>17.330820999995922</v>
      </c>
      <c r="N816">
        <f t="shared" si="76"/>
        <v>3</v>
      </c>
      <c r="O816">
        <f>IF(ABS(D816)&gt;1,D816/1000000,D816)*'Real Analysis'!$B$4</f>
        <v>-1.2704048100000001</v>
      </c>
      <c r="P816">
        <f>IF(ABS(E816)&gt;1,E816/1000000,E816)*'Real Analysis'!$B$4</f>
        <v>2.9822400000000002E-3</v>
      </c>
      <c r="Q816">
        <f>IF(ABS(F816)&gt;1,F816/1000000,F816)*'Real Analysis'!$B$4</f>
        <v>9.3799688400000001</v>
      </c>
      <c r="R816">
        <f t="shared" si="77"/>
        <v>53.464554</v>
      </c>
      <c r="S816">
        <f t="shared" si="78"/>
        <v>2.2264189999999999</v>
      </c>
      <c r="T816">
        <f t="shared" si="79"/>
        <v>0</v>
      </c>
      <c r="U816">
        <f t="shared" si="80"/>
        <v>0.30299999999999999</v>
      </c>
    </row>
    <row r="817" spans="1:21" x14ac:dyDescent="0.3">
      <c r="A817" s="4">
        <v>815</v>
      </c>
      <c r="B817" s="4">
        <v>-96574647963</v>
      </c>
      <c r="C817" s="5">
        <v>3</v>
      </c>
      <c r="D817" s="5">
        <v>-0.118016</v>
      </c>
      <c r="E817" s="5">
        <v>-2.1056999999999999E-2</v>
      </c>
      <c r="F817" s="5">
        <v>0.96756900000000001</v>
      </c>
      <c r="G817" s="5">
        <v>55714870</v>
      </c>
      <c r="H817" s="5">
        <v>0.73732900000000001</v>
      </c>
      <c r="I817" s="5">
        <v>0</v>
      </c>
      <c r="J817" s="5">
        <v>304</v>
      </c>
      <c r="L817">
        <f t="shared" si="75"/>
        <v>815</v>
      </c>
      <c r="M817">
        <f>'Real Analysis'!$B$3+B817/1000000</f>
        <v>17.352037000004202</v>
      </c>
      <c r="N817">
        <f t="shared" si="76"/>
        <v>3</v>
      </c>
      <c r="O817">
        <f>IF(ABS(D817)&gt;1,D817/1000000,D817)*'Real Analysis'!$B$4</f>
        <v>-1.15773696</v>
      </c>
      <c r="P817">
        <f>IF(ABS(E817)&gt;1,E817/1000000,E817)*'Real Analysis'!$B$4</f>
        <v>-0.20656917</v>
      </c>
      <c r="Q817">
        <f>IF(ABS(F817)&gt;1,F817/1000000,F817)*'Real Analysis'!$B$4</f>
        <v>9.4918518900000013</v>
      </c>
      <c r="R817">
        <f t="shared" si="77"/>
        <v>55.714869999999998</v>
      </c>
      <c r="S817">
        <f t="shared" si="78"/>
        <v>0.73732900000000001</v>
      </c>
      <c r="T817">
        <f t="shared" si="79"/>
        <v>0</v>
      </c>
      <c r="U817">
        <f t="shared" si="80"/>
        <v>0.30399999999999999</v>
      </c>
    </row>
    <row r="818" spans="1:21" x14ac:dyDescent="0.3">
      <c r="A818" s="4">
        <v>816</v>
      </c>
      <c r="B818" s="4">
        <v>-96574630798</v>
      </c>
      <c r="C818" s="5">
        <v>3</v>
      </c>
      <c r="D818" s="5">
        <v>-0.18096499999999999</v>
      </c>
      <c r="E818" s="5">
        <v>-1.1679999999999999E-2</v>
      </c>
      <c r="F818" s="5">
        <v>0.961453</v>
      </c>
      <c r="G818" s="5">
        <v>51191132</v>
      </c>
      <c r="H818" s="5">
        <v>-4327587</v>
      </c>
      <c r="I818" s="5">
        <v>0</v>
      </c>
      <c r="J818" s="5">
        <v>303</v>
      </c>
      <c r="L818">
        <f t="shared" si="75"/>
        <v>816</v>
      </c>
      <c r="M818">
        <f>'Real Analysis'!$B$3+B818/1000000</f>
        <v>17.369202000001678</v>
      </c>
      <c r="N818">
        <f t="shared" si="76"/>
        <v>3</v>
      </c>
      <c r="O818">
        <f>IF(ABS(D818)&gt;1,D818/1000000,D818)*'Real Analysis'!$B$4</f>
        <v>-1.7752666500000001</v>
      </c>
      <c r="P818">
        <f>IF(ABS(E818)&gt;1,E818/1000000,E818)*'Real Analysis'!$B$4</f>
        <v>-0.1145808</v>
      </c>
      <c r="Q818">
        <f>IF(ABS(F818)&gt;1,F818/1000000,F818)*'Real Analysis'!$B$4</f>
        <v>9.4318539300000008</v>
      </c>
      <c r="R818">
        <f t="shared" si="77"/>
        <v>51.191132000000003</v>
      </c>
      <c r="S818">
        <f t="shared" si="78"/>
        <v>-4.3275870000000003</v>
      </c>
      <c r="T818">
        <f t="shared" si="79"/>
        <v>0</v>
      </c>
      <c r="U818">
        <f t="shared" si="80"/>
        <v>0.30299999999999999</v>
      </c>
    </row>
    <row r="819" spans="1:21" x14ac:dyDescent="0.3">
      <c r="A819" s="4">
        <v>817</v>
      </c>
      <c r="B819" s="4">
        <v>-96574612675</v>
      </c>
      <c r="C819" s="5">
        <v>3</v>
      </c>
      <c r="D819" s="5">
        <v>-0.175403</v>
      </c>
      <c r="E819" s="5">
        <v>1.4818E-2</v>
      </c>
      <c r="F819" s="5">
        <v>0.95757599999999998</v>
      </c>
      <c r="G819" s="5">
        <v>48217651</v>
      </c>
      <c r="H819" s="5">
        <v>1214662</v>
      </c>
      <c r="I819" s="5">
        <v>0</v>
      </c>
      <c r="J819" s="5">
        <v>304</v>
      </c>
      <c r="L819">
        <f t="shared" si="75"/>
        <v>817</v>
      </c>
      <c r="M819">
        <f>'Real Analysis'!$B$3+B819/1000000</f>
        <v>17.387325000003329</v>
      </c>
      <c r="N819">
        <f t="shared" si="76"/>
        <v>3</v>
      </c>
      <c r="O819">
        <f>IF(ABS(D819)&gt;1,D819/1000000,D819)*'Real Analysis'!$B$4</f>
        <v>-1.7207034300000001</v>
      </c>
      <c r="P819">
        <f>IF(ABS(E819)&gt;1,E819/1000000,E819)*'Real Analysis'!$B$4</f>
        <v>0.14536457999999999</v>
      </c>
      <c r="Q819">
        <f>IF(ABS(F819)&gt;1,F819/1000000,F819)*'Real Analysis'!$B$4</f>
        <v>9.39382056</v>
      </c>
      <c r="R819">
        <f t="shared" si="77"/>
        <v>48.217650999999996</v>
      </c>
      <c r="S819">
        <f t="shared" si="78"/>
        <v>1.2146619999999999</v>
      </c>
      <c r="T819">
        <f t="shared" si="79"/>
        <v>0</v>
      </c>
      <c r="U819">
        <f t="shared" si="80"/>
        <v>0.30399999999999999</v>
      </c>
    </row>
    <row r="820" spans="1:21" x14ac:dyDescent="0.3">
      <c r="A820" s="4">
        <v>818</v>
      </c>
      <c r="B820" s="4">
        <v>-96574589884</v>
      </c>
      <c r="C820" s="5">
        <v>3</v>
      </c>
      <c r="D820" s="5">
        <v>-0.103746</v>
      </c>
      <c r="E820" s="5">
        <v>-8.3639999999999999E-3</v>
      </c>
      <c r="F820" s="5">
        <v>0.967279</v>
      </c>
      <c r="G820" s="5">
        <v>45665287</v>
      </c>
      <c r="H820" s="5">
        <v>3739190</v>
      </c>
      <c r="I820" s="5">
        <v>0</v>
      </c>
      <c r="J820" s="5">
        <v>303</v>
      </c>
      <c r="L820">
        <f t="shared" si="75"/>
        <v>818</v>
      </c>
      <c r="M820">
        <f>'Real Analysis'!$B$3+B820/1000000</f>
        <v>17.410115999999107</v>
      </c>
      <c r="N820">
        <f t="shared" si="76"/>
        <v>3</v>
      </c>
      <c r="O820">
        <f>IF(ABS(D820)&gt;1,D820/1000000,D820)*'Real Analysis'!$B$4</f>
        <v>-1.0177482600000001</v>
      </c>
      <c r="P820">
        <f>IF(ABS(E820)&gt;1,E820/1000000,E820)*'Real Analysis'!$B$4</f>
        <v>-8.205084E-2</v>
      </c>
      <c r="Q820">
        <f>IF(ABS(F820)&gt;1,F820/1000000,F820)*'Real Analysis'!$B$4</f>
        <v>9.48900699</v>
      </c>
      <c r="R820">
        <f t="shared" si="77"/>
        <v>45.665286999999999</v>
      </c>
      <c r="S820">
        <f t="shared" si="78"/>
        <v>3.7391899999999998</v>
      </c>
      <c r="T820">
        <f t="shared" si="79"/>
        <v>0</v>
      </c>
      <c r="U820">
        <f t="shared" si="80"/>
        <v>0.30299999999999999</v>
      </c>
    </row>
    <row r="821" spans="1:21" x14ac:dyDescent="0.3">
      <c r="A821" s="4">
        <v>819</v>
      </c>
      <c r="B821" s="4">
        <v>-96574570810</v>
      </c>
      <c r="C821" s="5">
        <v>3</v>
      </c>
      <c r="D821" s="5">
        <v>-8.9854000000000003E-2</v>
      </c>
      <c r="E821" s="5">
        <v>-3.1258000000000001E-2</v>
      </c>
      <c r="F821" s="5">
        <v>0.97767899999999996</v>
      </c>
      <c r="G821" s="5">
        <v>47121616</v>
      </c>
      <c r="H821" s="5">
        <v>-0.43931199999999998</v>
      </c>
      <c r="I821" s="5">
        <v>0</v>
      </c>
      <c r="J821" s="5">
        <v>304</v>
      </c>
      <c r="L821">
        <f t="shared" si="75"/>
        <v>819</v>
      </c>
      <c r="M821">
        <f>'Real Analysis'!$B$3+B821/1000000</f>
        <v>17.429189999995288</v>
      </c>
      <c r="N821">
        <f t="shared" si="76"/>
        <v>3</v>
      </c>
      <c r="O821">
        <f>IF(ABS(D821)&gt;1,D821/1000000,D821)*'Real Analysis'!$B$4</f>
        <v>-0.88146774000000006</v>
      </c>
      <c r="P821">
        <f>IF(ABS(E821)&gt;1,E821/1000000,E821)*'Real Analysis'!$B$4</f>
        <v>-0.30664098000000001</v>
      </c>
      <c r="Q821">
        <f>IF(ABS(F821)&gt;1,F821/1000000,F821)*'Real Analysis'!$B$4</f>
        <v>9.5910309900000001</v>
      </c>
      <c r="R821">
        <f t="shared" si="77"/>
        <v>47.121616000000003</v>
      </c>
      <c r="S821">
        <f t="shared" si="78"/>
        <v>-0.43931199999999998</v>
      </c>
      <c r="T821">
        <f t="shared" si="79"/>
        <v>0</v>
      </c>
      <c r="U821">
        <f t="shared" si="80"/>
        <v>0.30399999999999999</v>
      </c>
    </row>
    <row r="822" spans="1:21" x14ac:dyDescent="0.3">
      <c r="A822" s="4">
        <v>820</v>
      </c>
      <c r="B822" s="4">
        <v>-96574549213</v>
      </c>
      <c r="C822" s="5">
        <v>3</v>
      </c>
      <c r="D822" s="5">
        <v>-0.13123799999999999</v>
      </c>
      <c r="E822" s="5">
        <v>-1.1372999999999999E-2</v>
      </c>
      <c r="F822" s="5">
        <v>0.96621599999999996</v>
      </c>
      <c r="G822" s="5">
        <v>44037952</v>
      </c>
      <c r="H822" s="5">
        <v>-4803272</v>
      </c>
      <c r="I822" s="5">
        <v>0</v>
      </c>
      <c r="J822" s="5">
        <v>306</v>
      </c>
      <c r="L822">
        <f t="shared" si="75"/>
        <v>820</v>
      </c>
      <c r="M822">
        <f>'Real Analysis'!$B$3+B822/1000000</f>
        <v>17.450786999994307</v>
      </c>
      <c r="N822">
        <f t="shared" si="76"/>
        <v>3</v>
      </c>
      <c r="O822">
        <f>IF(ABS(D822)&gt;1,D822/1000000,D822)*'Real Analysis'!$B$4</f>
        <v>-1.28744478</v>
      </c>
      <c r="P822">
        <f>IF(ABS(E822)&gt;1,E822/1000000,E822)*'Real Analysis'!$B$4</f>
        <v>-0.11156913</v>
      </c>
      <c r="Q822">
        <f>IF(ABS(F822)&gt;1,F822/1000000,F822)*'Real Analysis'!$B$4</f>
        <v>9.4785789600000001</v>
      </c>
      <c r="R822">
        <f t="shared" si="77"/>
        <v>44.037951999999997</v>
      </c>
      <c r="S822">
        <f t="shared" si="78"/>
        <v>-4.8032719999999998</v>
      </c>
      <c r="T822">
        <f t="shared" si="79"/>
        <v>0</v>
      </c>
      <c r="U822">
        <f t="shared" si="80"/>
        <v>0.30599999999999999</v>
      </c>
    </row>
    <row r="823" spans="1:21" x14ac:dyDescent="0.3">
      <c r="A823" s="4">
        <v>821</v>
      </c>
      <c r="B823" s="4">
        <v>-96574527329</v>
      </c>
      <c r="C823" s="5">
        <v>3</v>
      </c>
      <c r="D823" s="5">
        <v>-0.125274</v>
      </c>
      <c r="E823" s="5">
        <v>1.3984999999999999E-2</v>
      </c>
      <c r="F823" s="5">
        <v>0.96403700000000003</v>
      </c>
      <c r="G823" s="5">
        <v>41700958</v>
      </c>
      <c r="H823" s="5">
        <v>1691015</v>
      </c>
      <c r="I823" s="5">
        <v>0</v>
      </c>
      <c r="J823" s="5">
        <v>307</v>
      </c>
      <c r="L823">
        <f t="shared" si="75"/>
        <v>821</v>
      </c>
      <c r="M823">
        <f>'Real Analysis'!$B$3+B823/1000000</f>
        <v>17.472670999995898</v>
      </c>
      <c r="N823">
        <f t="shared" si="76"/>
        <v>3</v>
      </c>
      <c r="O823">
        <f>IF(ABS(D823)&gt;1,D823/1000000,D823)*'Real Analysis'!$B$4</f>
        <v>-1.22893794</v>
      </c>
      <c r="P823">
        <f>IF(ABS(E823)&gt;1,E823/1000000,E823)*'Real Analysis'!$B$4</f>
        <v>0.13719285000000001</v>
      </c>
      <c r="Q823">
        <f>IF(ABS(F823)&gt;1,F823/1000000,F823)*'Real Analysis'!$B$4</f>
        <v>9.4572029700000009</v>
      </c>
      <c r="R823">
        <f t="shared" si="77"/>
        <v>41.700958</v>
      </c>
      <c r="S823">
        <f t="shared" si="78"/>
        <v>1.6910149999999999</v>
      </c>
      <c r="T823">
        <f t="shared" si="79"/>
        <v>0</v>
      </c>
      <c r="U823">
        <f t="shared" si="80"/>
        <v>0.307</v>
      </c>
    </row>
    <row r="824" spans="1:21" x14ac:dyDescent="0.3">
      <c r="A824" s="4">
        <v>822</v>
      </c>
      <c r="B824" s="4">
        <v>-96574507178</v>
      </c>
      <c r="C824" s="5">
        <v>3</v>
      </c>
      <c r="D824" s="5">
        <v>-0.10151300000000001</v>
      </c>
      <c r="E824" s="5">
        <v>1.109E-3</v>
      </c>
      <c r="F824" s="5">
        <v>0.98086300000000004</v>
      </c>
      <c r="G824" s="5">
        <v>40860832</v>
      </c>
      <c r="H824" s="5">
        <v>3828517</v>
      </c>
      <c r="I824" s="5">
        <v>0</v>
      </c>
      <c r="J824" s="5">
        <v>308</v>
      </c>
      <c r="L824">
        <f t="shared" si="75"/>
        <v>822</v>
      </c>
      <c r="M824">
        <f>'Real Analysis'!$B$3+B824/1000000</f>
        <v>17.49282200000016</v>
      </c>
      <c r="N824">
        <f t="shared" si="76"/>
        <v>3</v>
      </c>
      <c r="O824">
        <f>IF(ABS(D824)&gt;1,D824/1000000,D824)*'Real Analysis'!$B$4</f>
        <v>-0.99584253000000011</v>
      </c>
      <c r="P824">
        <f>IF(ABS(E824)&gt;1,E824/1000000,E824)*'Real Analysis'!$B$4</f>
        <v>1.087929E-2</v>
      </c>
      <c r="Q824">
        <f>IF(ABS(F824)&gt;1,F824/1000000,F824)*'Real Analysis'!$B$4</f>
        <v>9.6222660300000005</v>
      </c>
      <c r="R824">
        <f t="shared" si="77"/>
        <v>40.860832000000002</v>
      </c>
      <c r="S824">
        <f t="shared" si="78"/>
        <v>3.8285170000000002</v>
      </c>
      <c r="T824">
        <f t="shared" si="79"/>
        <v>0</v>
      </c>
      <c r="U824">
        <f t="shared" si="80"/>
        <v>0.308</v>
      </c>
    </row>
    <row r="825" spans="1:21" x14ac:dyDescent="0.3">
      <c r="A825" s="4">
        <v>823</v>
      </c>
      <c r="B825" s="4">
        <v>-96574501499</v>
      </c>
      <c r="C825" s="5">
        <v>3</v>
      </c>
      <c r="D825" s="5">
        <v>-7.0529999999999995E-2</v>
      </c>
      <c r="E825" s="5">
        <v>-1.4434000000000001E-2</v>
      </c>
      <c r="F825" s="5">
        <v>1005076</v>
      </c>
      <c r="G825" s="5">
        <v>42683582</v>
      </c>
      <c r="H825" s="5">
        <v>5777111</v>
      </c>
      <c r="I825" s="5">
        <v>0</v>
      </c>
      <c r="J825" s="5">
        <v>309</v>
      </c>
      <c r="L825">
        <f t="shared" si="75"/>
        <v>823</v>
      </c>
      <c r="M825">
        <f>'Real Analysis'!$B$3+B825/1000000</f>
        <v>17.498500999994576</v>
      </c>
      <c r="N825">
        <f t="shared" si="76"/>
        <v>3</v>
      </c>
      <c r="O825">
        <f>IF(ABS(D825)&gt;1,D825/1000000,D825)*'Real Analysis'!$B$4</f>
        <v>-0.69189929999999999</v>
      </c>
      <c r="P825">
        <f>IF(ABS(E825)&gt;1,E825/1000000,E825)*'Real Analysis'!$B$4</f>
        <v>-0.14159754000000002</v>
      </c>
      <c r="Q825">
        <f>IF(ABS(F825)&gt;1,F825/1000000,F825)*'Real Analysis'!$B$4</f>
        <v>9.859795560000002</v>
      </c>
      <c r="R825">
        <f t="shared" si="77"/>
        <v>42.683582000000001</v>
      </c>
      <c r="S825">
        <f t="shared" si="78"/>
        <v>5.7771109999999997</v>
      </c>
      <c r="T825">
        <f t="shared" si="79"/>
        <v>0</v>
      </c>
      <c r="U825">
        <f t="shared" si="80"/>
        <v>0.309</v>
      </c>
    </row>
    <row r="826" spans="1:21" x14ac:dyDescent="0.3">
      <c r="A826" s="4">
        <v>824</v>
      </c>
      <c r="B826" s="4">
        <v>-96574469079</v>
      </c>
      <c r="C826" s="5">
        <v>3</v>
      </c>
      <c r="D826" s="5">
        <v>-9.0948000000000001E-2</v>
      </c>
      <c r="E826" s="5">
        <v>-2.7276000000000002E-2</v>
      </c>
      <c r="F826" s="5">
        <v>0.99271200000000004</v>
      </c>
      <c r="G826" s="5">
        <v>40023285</v>
      </c>
      <c r="H826" s="5">
        <v>2107263</v>
      </c>
      <c r="I826" s="5">
        <v>0</v>
      </c>
      <c r="J826" s="5">
        <v>304</v>
      </c>
      <c r="L826">
        <f t="shared" si="75"/>
        <v>824</v>
      </c>
      <c r="M826">
        <f>'Real Analysis'!$B$3+B826/1000000</f>
        <v>17.530920999997761</v>
      </c>
      <c r="N826">
        <f t="shared" si="76"/>
        <v>3</v>
      </c>
      <c r="O826">
        <f>IF(ABS(D826)&gt;1,D826/1000000,D826)*'Real Analysis'!$B$4</f>
        <v>-0.89219988000000006</v>
      </c>
      <c r="P826">
        <f>IF(ABS(E826)&gt;1,E826/1000000,E826)*'Real Analysis'!$B$4</f>
        <v>-0.26757756000000005</v>
      </c>
      <c r="Q826">
        <f>IF(ABS(F826)&gt;1,F826/1000000,F826)*'Real Analysis'!$B$4</f>
        <v>9.7385047200000017</v>
      </c>
      <c r="R826">
        <f t="shared" si="77"/>
        <v>40.023285000000001</v>
      </c>
      <c r="S826">
        <f t="shared" si="78"/>
        <v>2.1072630000000001</v>
      </c>
      <c r="T826">
        <f t="shared" si="79"/>
        <v>0</v>
      </c>
      <c r="U826">
        <f t="shared" si="80"/>
        <v>0.30399999999999999</v>
      </c>
    </row>
    <row r="827" spans="1:21" x14ac:dyDescent="0.3">
      <c r="A827" s="4">
        <v>825</v>
      </c>
      <c r="B827" s="4">
        <v>-96574449595</v>
      </c>
      <c r="C827" s="5">
        <v>3</v>
      </c>
      <c r="D827" s="5">
        <v>-7.8968999999999998E-2</v>
      </c>
      <c r="E827" s="5">
        <v>-9.8490000000000001E-3</v>
      </c>
      <c r="F827" s="5">
        <v>0.99152300000000004</v>
      </c>
      <c r="G827" s="5">
        <v>37538013</v>
      </c>
      <c r="H827" s="5">
        <v>2354345</v>
      </c>
      <c r="I827" s="5">
        <v>0</v>
      </c>
      <c r="J827" s="5">
        <v>304</v>
      </c>
      <c r="L827">
        <f t="shared" si="75"/>
        <v>825</v>
      </c>
      <c r="M827">
        <f>'Real Analysis'!$B$3+B827/1000000</f>
        <v>17.550405000001774</v>
      </c>
      <c r="N827">
        <f t="shared" si="76"/>
        <v>3</v>
      </c>
      <c r="O827">
        <f>IF(ABS(D827)&gt;1,D827/1000000,D827)*'Real Analysis'!$B$4</f>
        <v>-0.77468588999999999</v>
      </c>
      <c r="P827">
        <f>IF(ABS(E827)&gt;1,E827/1000000,E827)*'Real Analysis'!$B$4</f>
        <v>-9.6618690000000007E-2</v>
      </c>
      <c r="Q827">
        <f>IF(ABS(F827)&gt;1,F827/1000000,F827)*'Real Analysis'!$B$4</f>
        <v>9.7268406300000017</v>
      </c>
      <c r="R827">
        <f t="shared" si="77"/>
        <v>37.538012999999999</v>
      </c>
      <c r="S827">
        <f t="shared" si="78"/>
        <v>2.3543449999999999</v>
      </c>
      <c r="T827">
        <f t="shared" si="79"/>
        <v>0</v>
      </c>
      <c r="U827">
        <f t="shared" si="80"/>
        <v>0.30399999999999999</v>
      </c>
    </row>
    <row r="828" spans="1:21" x14ac:dyDescent="0.3">
      <c r="A828" s="4">
        <v>826</v>
      </c>
      <c r="B828" s="4">
        <v>-96574433310</v>
      </c>
      <c r="C828" s="5">
        <v>3</v>
      </c>
      <c r="D828" s="5">
        <v>-5.8756000000000003E-2</v>
      </c>
      <c r="E828" s="5">
        <v>-1.2427000000000001E-2</v>
      </c>
      <c r="F828" s="5">
        <v>1009437</v>
      </c>
      <c r="G828" s="5">
        <v>32762344</v>
      </c>
      <c r="H828" s="5">
        <v>27501051</v>
      </c>
      <c r="I828" s="5">
        <v>0</v>
      </c>
      <c r="J828" s="5">
        <v>300</v>
      </c>
      <c r="L828">
        <f t="shared" si="75"/>
        <v>826</v>
      </c>
      <c r="M828">
        <f>'Real Analysis'!$B$3+B828/1000000</f>
        <v>17.566690000006929</v>
      </c>
      <c r="N828">
        <f t="shared" si="76"/>
        <v>3</v>
      </c>
      <c r="O828">
        <f>IF(ABS(D828)&gt;1,D828/1000000,D828)*'Real Analysis'!$B$4</f>
        <v>-0.57639636000000005</v>
      </c>
      <c r="P828">
        <f>IF(ABS(E828)&gt;1,E828/1000000,E828)*'Real Analysis'!$B$4</f>
        <v>-0.12190887000000002</v>
      </c>
      <c r="Q828">
        <f>IF(ABS(F828)&gt;1,F828/1000000,F828)*'Real Analysis'!$B$4</f>
        <v>9.9025769700000001</v>
      </c>
      <c r="R828">
        <f t="shared" si="77"/>
        <v>32.762343999999999</v>
      </c>
      <c r="S828">
        <f t="shared" si="78"/>
        <v>27.501051</v>
      </c>
      <c r="T828">
        <f t="shared" si="79"/>
        <v>0</v>
      </c>
      <c r="U828">
        <f t="shared" si="80"/>
        <v>0.3</v>
      </c>
    </row>
    <row r="829" spans="1:21" x14ac:dyDescent="0.3">
      <c r="A829" s="4">
        <v>827</v>
      </c>
      <c r="B829" s="4">
        <v>-96574417274</v>
      </c>
      <c r="C829" s="5">
        <v>3</v>
      </c>
      <c r="D829" s="5">
        <v>-5.1013999999999997E-2</v>
      </c>
      <c r="E829" s="5">
        <v>-1.6414999999999999E-2</v>
      </c>
      <c r="F829" s="5">
        <v>1009411</v>
      </c>
      <c r="G829" s="5">
        <v>29444775</v>
      </c>
      <c r="H829" s="5">
        <v>42406078</v>
      </c>
      <c r="I829" s="5">
        <v>0</v>
      </c>
      <c r="J829" s="5">
        <v>301</v>
      </c>
      <c r="L829">
        <f t="shared" si="75"/>
        <v>827</v>
      </c>
      <c r="M829">
        <f>'Real Analysis'!$B$3+B829/1000000</f>
        <v>17.582725999993272</v>
      </c>
      <c r="N829">
        <f t="shared" si="76"/>
        <v>3</v>
      </c>
      <c r="O829">
        <f>IF(ABS(D829)&gt;1,D829/1000000,D829)*'Real Analysis'!$B$4</f>
        <v>-0.50044734000000002</v>
      </c>
      <c r="P829">
        <f>IF(ABS(E829)&gt;1,E829/1000000,E829)*'Real Analysis'!$B$4</f>
        <v>-0.16103115000000001</v>
      </c>
      <c r="Q829">
        <f>IF(ABS(F829)&gt;1,F829/1000000,F829)*'Real Analysis'!$B$4</f>
        <v>9.9023219100000013</v>
      </c>
      <c r="R829">
        <f t="shared" si="77"/>
        <v>29.444775</v>
      </c>
      <c r="S829">
        <f t="shared" si="78"/>
        <v>42.406078000000001</v>
      </c>
      <c r="T829">
        <f t="shared" si="79"/>
        <v>0</v>
      </c>
      <c r="U829">
        <f t="shared" si="80"/>
        <v>0.30099999999999999</v>
      </c>
    </row>
    <row r="830" spans="1:21" x14ac:dyDescent="0.3">
      <c r="A830" s="4">
        <v>828</v>
      </c>
      <c r="B830" s="4">
        <v>-96574393184</v>
      </c>
      <c r="C830" s="5">
        <v>3</v>
      </c>
      <c r="D830" s="5">
        <v>-5.3629000000000003E-2</v>
      </c>
      <c r="E830" s="5">
        <v>-2.7585999999999999E-2</v>
      </c>
      <c r="F830" s="5">
        <v>1000565</v>
      </c>
      <c r="G830" s="5">
        <v>25980747</v>
      </c>
      <c r="H830" s="5">
        <v>57503300</v>
      </c>
      <c r="I830" s="5">
        <v>0</v>
      </c>
      <c r="J830" s="5">
        <v>296</v>
      </c>
      <c r="L830">
        <f t="shared" si="75"/>
        <v>828</v>
      </c>
      <c r="M830">
        <f>'Real Analysis'!$B$3+B830/1000000</f>
        <v>17.606815999999526</v>
      </c>
      <c r="N830">
        <f t="shared" si="76"/>
        <v>3</v>
      </c>
      <c r="O830">
        <f>IF(ABS(D830)&gt;1,D830/1000000,D830)*'Real Analysis'!$B$4</f>
        <v>-0.52610049000000003</v>
      </c>
      <c r="P830">
        <f>IF(ABS(E830)&gt;1,E830/1000000,E830)*'Real Analysis'!$B$4</f>
        <v>-0.27061866000000001</v>
      </c>
      <c r="Q830">
        <f>IF(ABS(F830)&gt;1,F830/1000000,F830)*'Real Analysis'!$B$4</f>
        <v>9.8155426499999994</v>
      </c>
      <c r="R830">
        <f t="shared" si="77"/>
        <v>25.980747000000001</v>
      </c>
      <c r="S830">
        <f t="shared" si="78"/>
        <v>57.503300000000003</v>
      </c>
      <c r="T830">
        <f t="shared" si="79"/>
        <v>0</v>
      </c>
      <c r="U830">
        <f t="shared" si="80"/>
        <v>0.29599999999999999</v>
      </c>
    </row>
    <row r="831" spans="1:21" x14ac:dyDescent="0.3">
      <c r="A831" s="4">
        <v>829</v>
      </c>
      <c r="B831" s="4">
        <v>-96574367003</v>
      </c>
      <c r="C831" s="5">
        <v>3</v>
      </c>
      <c r="D831" s="5">
        <v>-5.1538E-2</v>
      </c>
      <c r="E831" s="5">
        <v>-2.8024E-2</v>
      </c>
      <c r="F831" s="5">
        <v>0.99911099999999997</v>
      </c>
      <c r="G831" s="5">
        <v>25496031</v>
      </c>
      <c r="H831" s="5">
        <v>59576939</v>
      </c>
      <c r="I831" s="5">
        <v>0</v>
      </c>
      <c r="J831" s="5">
        <v>296</v>
      </c>
      <c r="L831">
        <f t="shared" si="75"/>
        <v>829</v>
      </c>
      <c r="M831">
        <f>'Real Analysis'!$B$3+B831/1000000</f>
        <v>17.632996999993338</v>
      </c>
      <c r="N831">
        <f t="shared" si="76"/>
        <v>3</v>
      </c>
      <c r="O831">
        <f>IF(ABS(D831)&gt;1,D831/1000000,D831)*'Real Analysis'!$B$4</f>
        <v>-0.50558778000000004</v>
      </c>
      <c r="P831">
        <f>IF(ABS(E831)&gt;1,E831/1000000,E831)*'Real Analysis'!$B$4</f>
        <v>-0.27491544000000001</v>
      </c>
      <c r="Q831">
        <f>IF(ABS(F831)&gt;1,F831/1000000,F831)*'Real Analysis'!$B$4</f>
        <v>9.8012789100000006</v>
      </c>
      <c r="R831">
        <f t="shared" si="77"/>
        <v>25.496030999999999</v>
      </c>
      <c r="S831">
        <f t="shared" si="78"/>
        <v>59.576939000000003</v>
      </c>
      <c r="T831">
        <f t="shared" si="79"/>
        <v>0</v>
      </c>
      <c r="U831">
        <f t="shared" si="80"/>
        <v>0.29599999999999999</v>
      </c>
    </row>
    <row r="832" spans="1:21" x14ac:dyDescent="0.3">
      <c r="A832" s="4">
        <v>830</v>
      </c>
      <c r="B832" s="4">
        <v>-96574348468</v>
      </c>
      <c r="C832" s="5">
        <v>3</v>
      </c>
      <c r="D832" s="5">
        <v>-2.5003999999999998E-2</v>
      </c>
      <c r="E832" s="5">
        <v>-4.8887E-2</v>
      </c>
      <c r="F832" s="5">
        <v>1021451</v>
      </c>
      <c r="G832" s="5">
        <v>21281960</v>
      </c>
      <c r="H832" s="5">
        <v>68458366</v>
      </c>
      <c r="I832" s="5">
        <v>0</v>
      </c>
      <c r="J832" s="5">
        <v>292</v>
      </c>
      <c r="L832">
        <f t="shared" si="75"/>
        <v>830</v>
      </c>
      <c r="M832">
        <f>'Real Analysis'!$B$3+B832/1000000</f>
        <v>17.651532000003499</v>
      </c>
      <c r="N832">
        <f t="shared" si="76"/>
        <v>3</v>
      </c>
      <c r="O832">
        <f>IF(ABS(D832)&gt;1,D832/1000000,D832)*'Real Analysis'!$B$4</f>
        <v>-0.24528923999999999</v>
      </c>
      <c r="P832">
        <f>IF(ABS(E832)&gt;1,E832/1000000,E832)*'Real Analysis'!$B$4</f>
        <v>-0.47958147000000001</v>
      </c>
      <c r="Q832">
        <f>IF(ABS(F832)&gt;1,F832/1000000,F832)*'Real Analysis'!$B$4</f>
        <v>10.020434310000002</v>
      </c>
      <c r="R832">
        <f t="shared" si="77"/>
        <v>21.281960000000002</v>
      </c>
      <c r="S832">
        <f t="shared" si="78"/>
        <v>68.458365999999998</v>
      </c>
      <c r="T832">
        <f t="shared" si="79"/>
        <v>0</v>
      </c>
      <c r="U832">
        <f t="shared" si="80"/>
        <v>0.29199999999999998</v>
      </c>
    </row>
    <row r="833" spans="1:21" x14ac:dyDescent="0.3">
      <c r="A833" s="4">
        <v>831</v>
      </c>
      <c r="B833" s="4">
        <v>-96574327390</v>
      </c>
      <c r="C833" s="5">
        <v>3</v>
      </c>
      <c r="D833" s="5">
        <v>-3.0457999999999999E-2</v>
      </c>
      <c r="E833" s="5">
        <v>-2.4705000000000001E-2</v>
      </c>
      <c r="F833" s="5">
        <v>1027008</v>
      </c>
      <c r="G833" s="5">
        <v>16469149</v>
      </c>
      <c r="H833" s="5">
        <v>75240456</v>
      </c>
      <c r="I833" s="5">
        <v>0</v>
      </c>
      <c r="J833" s="5">
        <v>293</v>
      </c>
      <c r="L833">
        <f t="shared" si="75"/>
        <v>831</v>
      </c>
      <c r="M833">
        <f>'Real Analysis'!$B$3+B833/1000000</f>
        <v>17.672609999994165</v>
      </c>
      <c r="N833">
        <f t="shared" si="76"/>
        <v>3</v>
      </c>
      <c r="O833">
        <f>IF(ABS(D833)&gt;1,D833/1000000,D833)*'Real Analysis'!$B$4</f>
        <v>-0.29879297999999999</v>
      </c>
      <c r="P833">
        <f>IF(ABS(E833)&gt;1,E833/1000000,E833)*'Real Analysis'!$B$4</f>
        <v>-0.24235605000000002</v>
      </c>
      <c r="Q833">
        <f>IF(ABS(F833)&gt;1,F833/1000000,F833)*'Real Analysis'!$B$4</f>
        <v>10.07494848</v>
      </c>
      <c r="R833">
        <f t="shared" si="77"/>
        <v>16.469149000000002</v>
      </c>
      <c r="S833">
        <f t="shared" si="78"/>
        <v>75.240455999999995</v>
      </c>
      <c r="T833">
        <f t="shared" si="79"/>
        <v>0</v>
      </c>
      <c r="U833">
        <f t="shared" si="80"/>
        <v>0.29299999999999998</v>
      </c>
    </row>
    <row r="834" spans="1:21" x14ac:dyDescent="0.3">
      <c r="A834" s="4">
        <v>832</v>
      </c>
      <c r="B834" s="4">
        <v>-96574287360</v>
      </c>
      <c r="C834" s="5">
        <v>3</v>
      </c>
      <c r="D834" s="5">
        <v>-1.5651999999999999E-2</v>
      </c>
      <c r="E834" s="5">
        <v>-4.9119999999999997E-3</v>
      </c>
      <c r="F834" s="5">
        <v>1046886</v>
      </c>
      <c r="G834" s="5">
        <v>9113235</v>
      </c>
      <c r="H834" s="5">
        <v>73256172</v>
      </c>
      <c r="I834" s="5">
        <v>0</v>
      </c>
      <c r="J834" s="5">
        <v>289</v>
      </c>
      <c r="L834">
        <f t="shared" si="75"/>
        <v>832</v>
      </c>
      <c r="M834">
        <f>'Real Analysis'!$B$3+B834/1000000</f>
        <v>17.712639999997918</v>
      </c>
      <c r="N834">
        <f t="shared" si="76"/>
        <v>3</v>
      </c>
      <c r="O834">
        <f>IF(ABS(D834)&gt;1,D834/1000000,D834)*'Real Analysis'!$B$4</f>
        <v>-0.15354612000000001</v>
      </c>
      <c r="P834">
        <f>IF(ABS(E834)&gt;1,E834/1000000,E834)*'Real Analysis'!$B$4</f>
        <v>-4.8186720000000002E-2</v>
      </c>
      <c r="Q834">
        <f>IF(ABS(F834)&gt;1,F834/1000000,F834)*'Real Analysis'!$B$4</f>
        <v>10.26995166</v>
      </c>
      <c r="R834">
        <f t="shared" si="77"/>
        <v>9.1132349999999995</v>
      </c>
      <c r="S834">
        <f t="shared" si="78"/>
        <v>73.256172000000007</v>
      </c>
      <c r="T834">
        <f t="shared" si="79"/>
        <v>0</v>
      </c>
      <c r="U834">
        <f t="shared" si="80"/>
        <v>0.28899999999999998</v>
      </c>
    </row>
    <row r="835" spans="1:21" x14ac:dyDescent="0.3">
      <c r="A835" s="4">
        <v>833</v>
      </c>
      <c r="B835" s="4">
        <v>-96574267335</v>
      </c>
      <c r="C835" s="5">
        <v>3</v>
      </c>
      <c r="D835" s="5">
        <v>-7.4019999999999997E-3</v>
      </c>
      <c r="E835" s="5">
        <v>-2.6342000000000001E-2</v>
      </c>
      <c r="F835" s="5">
        <v>1053186</v>
      </c>
      <c r="G835" s="5">
        <v>6727546</v>
      </c>
      <c r="H835" s="5">
        <v>71853691</v>
      </c>
      <c r="I835" s="5">
        <v>0</v>
      </c>
      <c r="J835" s="5">
        <v>285</v>
      </c>
      <c r="L835">
        <f t="shared" ref="L835:L898" si="81">A835</f>
        <v>833</v>
      </c>
      <c r="M835">
        <f>'Real Analysis'!$B$3+B835/1000000</f>
        <v>17.73266500000318</v>
      </c>
      <c r="N835">
        <f t="shared" ref="N835:N898" si="82">C835</f>
        <v>3</v>
      </c>
      <c r="O835">
        <f>IF(ABS(D835)&gt;1,D835/1000000,D835)*'Real Analysis'!$B$4</f>
        <v>-7.2613620000000004E-2</v>
      </c>
      <c r="P835">
        <f>IF(ABS(E835)&gt;1,E835/1000000,E835)*'Real Analysis'!$B$4</f>
        <v>-0.25841502</v>
      </c>
      <c r="Q835">
        <f>IF(ABS(F835)&gt;1,F835/1000000,F835)*'Real Analysis'!$B$4</f>
        <v>10.33175466</v>
      </c>
      <c r="R835">
        <f t="shared" ref="R835:R898" si="83">IF(ABS(G835)&gt;1,G835/1000000,G835)</f>
        <v>6.7275460000000002</v>
      </c>
      <c r="S835">
        <f t="shared" ref="S835:S898" si="84">IF(ABS(H835)&gt;1,H835/1000000,H835)</f>
        <v>71.853690999999998</v>
      </c>
      <c r="T835">
        <f t="shared" ref="T835:T898" si="85">IF(ABS(I835)&gt;1,I835/1000000,I835)</f>
        <v>0</v>
      </c>
      <c r="U835">
        <f t="shared" si="80"/>
        <v>0.28499999999999998</v>
      </c>
    </row>
    <row r="836" spans="1:21" x14ac:dyDescent="0.3">
      <c r="A836" s="4">
        <v>834</v>
      </c>
      <c r="B836" s="4">
        <v>-96574262574</v>
      </c>
      <c r="C836" s="5">
        <v>3</v>
      </c>
      <c r="D836" s="5">
        <v>1.549E-3</v>
      </c>
      <c r="E836" s="5">
        <v>-2.1818000000000001E-2</v>
      </c>
      <c r="F836" s="5">
        <v>1055497</v>
      </c>
      <c r="G836" s="5">
        <v>4899899</v>
      </c>
      <c r="H836" s="5">
        <v>71592056</v>
      </c>
      <c r="I836" s="5">
        <v>0</v>
      </c>
      <c r="J836" s="5">
        <v>285</v>
      </c>
      <c r="L836">
        <f t="shared" si="81"/>
        <v>834</v>
      </c>
      <c r="M836">
        <f>'Real Analysis'!$B$3+B836/1000000</f>
        <v>17.737426000006963</v>
      </c>
      <c r="N836">
        <f t="shared" si="82"/>
        <v>3</v>
      </c>
      <c r="O836">
        <f>IF(ABS(D836)&gt;1,D836/1000000,D836)*'Real Analysis'!$B$4</f>
        <v>1.5195690000000001E-2</v>
      </c>
      <c r="P836">
        <f>IF(ABS(E836)&gt;1,E836/1000000,E836)*'Real Analysis'!$B$4</f>
        <v>-0.21403458000000003</v>
      </c>
      <c r="Q836">
        <f>IF(ABS(F836)&gt;1,F836/1000000,F836)*'Real Analysis'!$B$4</f>
        <v>10.35442557</v>
      </c>
      <c r="R836">
        <f t="shared" si="83"/>
        <v>4.8998989999999996</v>
      </c>
      <c r="S836">
        <f t="shared" si="84"/>
        <v>71.592055999999999</v>
      </c>
      <c r="T836">
        <f t="shared" si="85"/>
        <v>0</v>
      </c>
      <c r="U836">
        <f t="shared" si="80"/>
        <v>0.28499999999999998</v>
      </c>
    </row>
    <row r="837" spans="1:21" x14ac:dyDescent="0.3">
      <c r="A837" s="4">
        <v>835</v>
      </c>
      <c r="B837" s="4">
        <v>-96574226795</v>
      </c>
      <c r="C837" s="5">
        <v>3</v>
      </c>
      <c r="D837" s="5">
        <v>7.8600000000000002E-4</v>
      </c>
      <c r="E837" s="5">
        <v>-3.2169999999999998E-3</v>
      </c>
      <c r="F837" s="5">
        <v>1058685</v>
      </c>
      <c r="G837" s="5">
        <v>-1159671</v>
      </c>
      <c r="H837" s="5">
        <v>54874748</v>
      </c>
      <c r="I837" s="5">
        <v>0</v>
      </c>
      <c r="J837" s="5">
        <v>285</v>
      </c>
      <c r="L837">
        <f t="shared" si="81"/>
        <v>835</v>
      </c>
      <c r="M837">
        <f>'Real Analysis'!$B$3+B837/1000000</f>
        <v>17.773205000004964</v>
      </c>
      <c r="N837">
        <f t="shared" si="82"/>
        <v>3</v>
      </c>
      <c r="O837">
        <f>IF(ABS(D837)&gt;1,D837/1000000,D837)*'Real Analysis'!$B$4</f>
        <v>7.7106600000000003E-3</v>
      </c>
      <c r="P837">
        <f>IF(ABS(E837)&gt;1,E837/1000000,E837)*'Real Analysis'!$B$4</f>
        <v>-3.155877E-2</v>
      </c>
      <c r="Q837">
        <f>IF(ABS(F837)&gt;1,F837/1000000,F837)*'Real Analysis'!$B$4</f>
        <v>10.385699850000002</v>
      </c>
      <c r="R837">
        <f t="shared" si="83"/>
        <v>-1.1596709999999999</v>
      </c>
      <c r="S837">
        <f t="shared" si="84"/>
        <v>54.874747999999997</v>
      </c>
      <c r="T837">
        <f t="shared" si="85"/>
        <v>0</v>
      </c>
      <c r="U837">
        <f t="shared" si="80"/>
        <v>0.28499999999999998</v>
      </c>
    </row>
    <row r="838" spans="1:21" x14ac:dyDescent="0.3">
      <c r="A838" s="4">
        <v>836</v>
      </c>
      <c r="B838" s="4">
        <v>-96574212530</v>
      </c>
      <c r="C838" s="5">
        <v>3</v>
      </c>
      <c r="D838" s="5">
        <v>-4.2579999999999996E-3</v>
      </c>
      <c r="E838" s="5">
        <v>-7.4819999999999999E-3</v>
      </c>
      <c r="F838" s="5">
        <v>1043875</v>
      </c>
      <c r="G838" s="5">
        <v>-11803870</v>
      </c>
      <c r="H838" s="5">
        <v>48699429</v>
      </c>
      <c r="I838" s="5">
        <v>0</v>
      </c>
      <c r="J838" s="5">
        <v>285</v>
      </c>
      <c r="L838">
        <f t="shared" si="81"/>
        <v>836</v>
      </c>
      <c r="M838">
        <f>'Real Analysis'!$B$3+B838/1000000</f>
        <v>17.787469999995665</v>
      </c>
      <c r="N838">
        <f t="shared" si="82"/>
        <v>3</v>
      </c>
      <c r="O838">
        <f>IF(ABS(D838)&gt;1,D838/1000000,D838)*'Real Analysis'!$B$4</f>
        <v>-4.1770979999999999E-2</v>
      </c>
      <c r="P838">
        <f>IF(ABS(E838)&gt;1,E838/1000000,E838)*'Real Analysis'!$B$4</f>
        <v>-7.3398420000000006E-2</v>
      </c>
      <c r="Q838">
        <f>IF(ABS(F838)&gt;1,F838/1000000,F838)*'Real Analysis'!$B$4</f>
        <v>10.240413750000002</v>
      </c>
      <c r="R838">
        <f t="shared" si="83"/>
        <v>-11.80387</v>
      </c>
      <c r="S838">
        <f t="shared" si="84"/>
        <v>48.699429000000002</v>
      </c>
      <c r="T838">
        <f t="shared" si="85"/>
        <v>0</v>
      </c>
      <c r="U838">
        <f t="shared" si="80"/>
        <v>0.28499999999999998</v>
      </c>
    </row>
    <row r="839" spans="1:21" x14ac:dyDescent="0.3">
      <c r="A839" s="4">
        <v>837</v>
      </c>
      <c r="B839" s="4">
        <v>-96574186043</v>
      </c>
      <c r="C839" s="5">
        <v>3</v>
      </c>
      <c r="D839" s="5">
        <v>6.2E-4</v>
      </c>
      <c r="E839" s="5">
        <v>-1.2063000000000001E-2</v>
      </c>
      <c r="F839" s="5">
        <v>1038177</v>
      </c>
      <c r="G839" s="5">
        <v>-17882513</v>
      </c>
      <c r="H839" s="5">
        <v>28788033</v>
      </c>
      <c r="I839" s="5">
        <v>0</v>
      </c>
      <c r="J839" s="5">
        <v>281</v>
      </c>
      <c r="L839">
        <f t="shared" si="81"/>
        <v>837</v>
      </c>
      <c r="M839">
        <f>'Real Analysis'!$B$3+B839/1000000</f>
        <v>17.813957000005757</v>
      </c>
      <c r="N839">
        <f t="shared" si="82"/>
        <v>3</v>
      </c>
      <c r="O839">
        <f>IF(ABS(D839)&gt;1,D839/1000000,D839)*'Real Analysis'!$B$4</f>
        <v>6.0822000000000003E-3</v>
      </c>
      <c r="P839">
        <f>IF(ABS(E839)&gt;1,E839/1000000,E839)*'Real Analysis'!$B$4</f>
        <v>-0.11833803000000001</v>
      </c>
      <c r="Q839">
        <f>IF(ABS(F839)&gt;1,F839/1000000,F839)*'Real Analysis'!$B$4</f>
        <v>10.184516369999999</v>
      </c>
      <c r="R839">
        <f t="shared" si="83"/>
        <v>-17.882512999999999</v>
      </c>
      <c r="S839">
        <f t="shared" si="84"/>
        <v>28.788032999999999</v>
      </c>
      <c r="T839">
        <f t="shared" si="85"/>
        <v>0</v>
      </c>
      <c r="U839">
        <f t="shared" si="80"/>
        <v>0.28100000000000003</v>
      </c>
    </row>
    <row r="840" spans="1:21" x14ac:dyDescent="0.3">
      <c r="A840" s="4">
        <v>838</v>
      </c>
      <c r="B840" s="4">
        <v>-96574175618</v>
      </c>
      <c r="C840" s="5">
        <v>3</v>
      </c>
      <c r="D840" s="5">
        <v>1.1812E-2</v>
      </c>
      <c r="E840" s="5">
        <v>-1.6063999999999998E-2</v>
      </c>
      <c r="F840" s="5">
        <v>1034175</v>
      </c>
      <c r="G840" s="5">
        <v>-22624619</v>
      </c>
      <c r="H840" s="5">
        <v>16095655</v>
      </c>
      <c r="I840" s="5">
        <v>0</v>
      </c>
      <c r="J840" s="5">
        <v>281</v>
      </c>
      <c r="L840">
        <f t="shared" si="81"/>
        <v>838</v>
      </c>
      <c r="M840">
        <f>'Real Analysis'!$B$3+B840/1000000</f>
        <v>17.824382000006153</v>
      </c>
      <c r="N840">
        <f t="shared" si="82"/>
        <v>3</v>
      </c>
      <c r="O840">
        <f>IF(ABS(D840)&gt;1,D840/1000000,D840)*'Real Analysis'!$B$4</f>
        <v>0.11587572</v>
      </c>
      <c r="P840">
        <f>IF(ABS(E840)&gt;1,E840/1000000,E840)*'Real Analysis'!$B$4</f>
        <v>-0.15758783999999998</v>
      </c>
      <c r="Q840">
        <f>IF(ABS(F840)&gt;1,F840/1000000,F840)*'Real Analysis'!$B$4</f>
        <v>10.145256750000001</v>
      </c>
      <c r="R840">
        <f t="shared" si="83"/>
        <v>-22.624618999999999</v>
      </c>
      <c r="S840">
        <f t="shared" si="84"/>
        <v>16.095655000000001</v>
      </c>
      <c r="T840">
        <f t="shared" si="85"/>
        <v>0</v>
      </c>
      <c r="U840">
        <f t="shared" si="80"/>
        <v>0.28100000000000003</v>
      </c>
    </row>
    <row r="841" spans="1:21" x14ac:dyDescent="0.3">
      <c r="A841" s="4">
        <v>839</v>
      </c>
      <c r="B841" s="4">
        <v>-96574149438</v>
      </c>
      <c r="C841" s="5">
        <v>3</v>
      </c>
      <c r="D841" s="5">
        <v>5.267E-3</v>
      </c>
      <c r="E841" s="5">
        <v>-1.4645999999999999E-2</v>
      </c>
      <c r="F841" s="5">
        <v>1049925</v>
      </c>
      <c r="G841" s="5">
        <v>-29589823</v>
      </c>
      <c r="H841" s="5">
        <v>-0.90495800000000004</v>
      </c>
      <c r="I841" s="5">
        <v>0</v>
      </c>
      <c r="J841" s="5">
        <v>278</v>
      </c>
      <c r="L841">
        <f t="shared" si="81"/>
        <v>839</v>
      </c>
      <c r="M841">
        <f>'Real Analysis'!$B$3+B841/1000000</f>
        <v>17.850562000006903</v>
      </c>
      <c r="N841">
        <f t="shared" si="82"/>
        <v>3</v>
      </c>
      <c r="O841">
        <f>IF(ABS(D841)&gt;1,D841/1000000,D841)*'Real Analysis'!$B$4</f>
        <v>5.1669270000000003E-2</v>
      </c>
      <c r="P841">
        <f>IF(ABS(E841)&gt;1,E841/1000000,E841)*'Real Analysis'!$B$4</f>
        <v>-0.14367726</v>
      </c>
      <c r="Q841">
        <f>IF(ABS(F841)&gt;1,F841/1000000,F841)*'Real Analysis'!$B$4</f>
        <v>10.299764250000001</v>
      </c>
      <c r="R841">
        <f t="shared" si="83"/>
        <v>-29.589822999999999</v>
      </c>
      <c r="S841">
        <f t="shared" si="84"/>
        <v>-0.90495800000000004</v>
      </c>
      <c r="T841">
        <f t="shared" si="85"/>
        <v>0</v>
      </c>
      <c r="U841">
        <f t="shared" si="80"/>
        <v>0.27800000000000002</v>
      </c>
    </row>
    <row r="842" spans="1:21" x14ac:dyDescent="0.3">
      <c r="A842" s="4">
        <v>840</v>
      </c>
      <c r="B842" s="4">
        <v>-96574145618</v>
      </c>
      <c r="C842" s="5">
        <v>3</v>
      </c>
      <c r="D842" s="5">
        <v>5.8840000000000003E-3</v>
      </c>
      <c r="E842" s="5">
        <v>-1.1343000000000001E-2</v>
      </c>
      <c r="F842" s="5">
        <v>1052430</v>
      </c>
      <c r="G842" s="5">
        <v>-31048939</v>
      </c>
      <c r="H842" s="5">
        <v>-4022886</v>
      </c>
      <c r="I842" s="5">
        <v>0</v>
      </c>
      <c r="J842" s="5">
        <v>278</v>
      </c>
      <c r="L842">
        <f t="shared" si="81"/>
        <v>840</v>
      </c>
      <c r="M842">
        <f>'Real Analysis'!$B$3+B842/1000000</f>
        <v>17.854382000004989</v>
      </c>
      <c r="N842">
        <f t="shared" si="82"/>
        <v>3</v>
      </c>
      <c r="O842">
        <f>IF(ABS(D842)&gt;1,D842/1000000,D842)*'Real Analysis'!$B$4</f>
        <v>5.7722040000000009E-2</v>
      </c>
      <c r="P842">
        <f>IF(ABS(E842)&gt;1,E842/1000000,E842)*'Real Analysis'!$B$4</f>
        <v>-0.11127483000000001</v>
      </c>
      <c r="Q842">
        <f>IF(ABS(F842)&gt;1,F842/1000000,F842)*'Real Analysis'!$B$4</f>
        <v>10.324338300000001</v>
      </c>
      <c r="R842">
        <f t="shared" si="83"/>
        <v>-31.048939000000001</v>
      </c>
      <c r="S842">
        <f t="shared" si="84"/>
        <v>-4.0228859999999997</v>
      </c>
      <c r="T842">
        <f t="shared" si="85"/>
        <v>0</v>
      </c>
      <c r="U842">
        <f t="shared" si="80"/>
        <v>0.27800000000000002</v>
      </c>
    </row>
    <row r="843" spans="1:21" x14ac:dyDescent="0.3">
      <c r="A843" s="4">
        <v>841</v>
      </c>
      <c r="B843" s="4">
        <v>-96574107830</v>
      </c>
      <c r="C843" s="5">
        <v>3</v>
      </c>
      <c r="D843" s="5">
        <v>6.8069999999999997E-3</v>
      </c>
      <c r="E843" s="5">
        <v>-1.0345E-2</v>
      </c>
      <c r="F843" s="5">
        <v>1047848</v>
      </c>
      <c r="G843" s="5">
        <v>-43764889</v>
      </c>
      <c r="H843" s="5">
        <v>-19536217</v>
      </c>
      <c r="I843" s="5">
        <v>0</v>
      </c>
      <c r="J843" s="5">
        <v>276</v>
      </c>
      <c r="L843">
        <f t="shared" si="81"/>
        <v>841</v>
      </c>
      <c r="M843">
        <f>'Real Analysis'!$B$3+B843/1000000</f>
        <v>17.892170000006445</v>
      </c>
      <c r="N843">
        <f t="shared" si="82"/>
        <v>3</v>
      </c>
      <c r="O843">
        <f>IF(ABS(D843)&gt;1,D843/1000000,D843)*'Real Analysis'!$B$4</f>
        <v>6.6776669999999996E-2</v>
      </c>
      <c r="P843">
        <f>IF(ABS(E843)&gt;1,E843/1000000,E843)*'Real Analysis'!$B$4</f>
        <v>-0.10148445</v>
      </c>
      <c r="Q843">
        <f>IF(ABS(F843)&gt;1,F843/1000000,F843)*'Real Analysis'!$B$4</f>
        <v>10.279388879999999</v>
      </c>
      <c r="R843">
        <f t="shared" si="83"/>
        <v>-43.764888999999997</v>
      </c>
      <c r="S843">
        <f t="shared" si="84"/>
        <v>-19.536217000000001</v>
      </c>
      <c r="T843">
        <f t="shared" si="85"/>
        <v>0</v>
      </c>
      <c r="U843">
        <f t="shared" ref="U843:U906" si="86">J843/1000</f>
        <v>0.27600000000000002</v>
      </c>
    </row>
    <row r="844" spans="1:21" x14ac:dyDescent="0.3">
      <c r="A844" s="4">
        <v>842</v>
      </c>
      <c r="B844" s="4">
        <v>-96574091520</v>
      </c>
      <c r="C844" s="5">
        <v>3</v>
      </c>
      <c r="D844" s="5">
        <v>-4.9100000000000003E-3</v>
      </c>
      <c r="E844" s="5">
        <v>-9.9260000000000008E-3</v>
      </c>
      <c r="F844" s="5">
        <v>1044233</v>
      </c>
      <c r="G844" s="5">
        <v>-53095390</v>
      </c>
      <c r="H844" s="5">
        <v>-28589523</v>
      </c>
      <c r="I844" s="5">
        <v>0</v>
      </c>
      <c r="J844" s="5">
        <v>276</v>
      </c>
      <c r="L844">
        <f t="shared" si="81"/>
        <v>842</v>
      </c>
      <c r="M844">
        <f>'Real Analysis'!$B$3+B844/1000000</f>
        <v>17.908479999998235</v>
      </c>
      <c r="N844">
        <f t="shared" si="82"/>
        <v>3</v>
      </c>
      <c r="O844">
        <f>IF(ABS(D844)&gt;1,D844/1000000,D844)*'Real Analysis'!$B$4</f>
        <v>-4.8167100000000004E-2</v>
      </c>
      <c r="P844">
        <f>IF(ABS(E844)&gt;1,E844/1000000,E844)*'Real Analysis'!$B$4</f>
        <v>-9.7374060000000012E-2</v>
      </c>
      <c r="Q844">
        <f>IF(ABS(F844)&gt;1,F844/1000000,F844)*'Real Analysis'!$B$4</f>
        <v>10.243925730000001</v>
      </c>
      <c r="R844">
        <f t="shared" si="83"/>
        <v>-53.095390000000002</v>
      </c>
      <c r="S844">
        <f t="shared" si="84"/>
        <v>-28.589523</v>
      </c>
      <c r="T844">
        <f t="shared" si="85"/>
        <v>0</v>
      </c>
      <c r="U844">
        <f t="shared" si="86"/>
        <v>0.27600000000000002</v>
      </c>
    </row>
    <row r="845" spans="1:21" x14ac:dyDescent="0.3">
      <c r="A845" s="4">
        <v>843</v>
      </c>
      <c r="B845" s="4">
        <v>-96574071297</v>
      </c>
      <c r="C845" s="5">
        <v>3</v>
      </c>
      <c r="D845" s="5">
        <v>5.0489999999999997E-3</v>
      </c>
      <c r="E845" s="5">
        <v>6.3599999999999996E-4</v>
      </c>
      <c r="F845" s="5">
        <v>1046035</v>
      </c>
      <c r="G845" s="5">
        <v>-67008270</v>
      </c>
      <c r="H845" s="5">
        <v>-34074314</v>
      </c>
      <c r="I845" s="5">
        <v>0</v>
      </c>
      <c r="J845" s="5">
        <v>276</v>
      </c>
      <c r="L845">
        <f t="shared" si="81"/>
        <v>843</v>
      </c>
      <c r="M845">
        <f>'Real Analysis'!$B$3+B845/1000000</f>
        <v>17.928702999997768</v>
      </c>
      <c r="N845">
        <f t="shared" si="82"/>
        <v>3</v>
      </c>
      <c r="O845">
        <f>IF(ABS(D845)&gt;1,D845/1000000,D845)*'Real Analysis'!$B$4</f>
        <v>4.9530690000000002E-2</v>
      </c>
      <c r="P845">
        <f>IF(ABS(E845)&gt;1,E845/1000000,E845)*'Real Analysis'!$B$4</f>
        <v>6.2391599999999997E-3</v>
      </c>
      <c r="Q845">
        <f>IF(ABS(F845)&gt;1,F845/1000000,F845)*'Real Analysis'!$B$4</f>
        <v>10.261603350000001</v>
      </c>
      <c r="R845">
        <f t="shared" si="83"/>
        <v>-67.008269999999996</v>
      </c>
      <c r="S845">
        <f t="shared" si="84"/>
        <v>-34.074314000000001</v>
      </c>
      <c r="T845">
        <f t="shared" si="85"/>
        <v>0</v>
      </c>
      <c r="U845">
        <f t="shared" si="86"/>
        <v>0.27600000000000002</v>
      </c>
    </row>
    <row r="846" spans="1:21" x14ac:dyDescent="0.3">
      <c r="A846" s="4">
        <v>844</v>
      </c>
      <c r="B846" s="4">
        <v>-96574050629</v>
      </c>
      <c r="C846" s="5">
        <v>3</v>
      </c>
      <c r="D846" s="5">
        <v>2.1329999999999998E-2</v>
      </c>
      <c r="E846" s="5">
        <v>3.6458999999999998E-2</v>
      </c>
      <c r="F846" s="5">
        <v>1034810</v>
      </c>
      <c r="G846" s="5">
        <v>-78134087</v>
      </c>
      <c r="H846" s="5">
        <v>-39775398</v>
      </c>
      <c r="I846" s="5">
        <v>0</v>
      </c>
      <c r="J846" s="5">
        <v>276</v>
      </c>
      <c r="L846">
        <f t="shared" si="81"/>
        <v>844</v>
      </c>
      <c r="M846">
        <f>'Real Analysis'!$B$3+B846/1000000</f>
        <v>17.949370999995153</v>
      </c>
      <c r="N846">
        <f t="shared" si="82"/>
        <v>3</v>
      </c>
      <c r="O846">
        <f>IF(ABS(D846)&gt;1,D846/1000000,D846)*'Real Analysis'!$B$4</f>
        <v>0.2092473</v>
      </c>
      <c r="P846">
        <f>IF(ABS(E846)&gt;1,E846/1000000,E846)*'Real Analysis'!$B$4</f>
        <v>0.35766279000000001</v>
      </c>
      <c r="Q846">
        <f>IF(ABS(F846)&gt;1,F846/1000000,F846)*'Real Analysis'!$B$4</f>
        <v>10.151486100000001</v>
      </c>
      <c r="R846">
        <f t="shared" si="83"/>
        <v>-78.134086999999994</v>
      </c>
      <c r="S846">
        <f t="shared" si="84"/>
        <v>-39.775398000000003</v>
      </c>
      <c r="T846">
        <f t="shared" si="85"/>
        <v>0</v>
      </c>
      <c r="U846">
        <f t="shared" si="86"/>
        <v>0.27600000000000002</v>
      </c>
    </row>
    <row r="847" spans="1:21" x14ac:dyDescent="0.3">
      <c r="A847" s="4">
        <v>845</v>
      </c>
      <c r="B847" s="4">
        <v>-96574037902</v>
      </c>
      <c r="C847" s="5">
        <v>3</v>
      </c>
      <c r="D847" s="5">
        <v>4.9641999999999999E-2</v>
      </c>
      <c r="E847" s="5">
        <v>0.16336000000000001</v>
      </c>
      <c r="F847" s="5">
        <v>1040852</v>
      </c>
      <c r="G847" s="5">
        <v>-80806274</v>
      </c>
      <c r="H847" s="5">
        <v>-34312057</v>
      </c>
      <c r="I847" s="5">
        <v>0</v>
      </c>
      <c r="J847" s="5">
        <v>274</v>
      </c>
      <c r="L847">
        <f t="shared" si="81"/>
        <v>845</v>
      </c>
      <c r="M847">
        <f>'Real Analysis'!$B$3+B847/1000000</f>
        <v>17.962098000003607</v>
      </c>
      <c r="N847">
        <f t="shared" si="82"/>
        <v>3</v>
      </c>
      <c r="O847">
        <f>IF(ABS(D847)&gt;1,D847/1000000,D847)*'Real Analysis'!$B$4</f>
        <v>0.48698802000000002</v>
      </c>
      <c r="P847">
        <f>IF(ABS(E847)&gt;1,E847/1000000,E847)*'Real Analysis'!$B$4</f>
        <v>1.6025616</v>
      </c>
      <c r="Q847">
        <f>IF(ABS(F847)&gt;1,F847/1000000,F847)*'Real Analysis'!$B$4</f>
        <v>10.210758120000001</v>
      </c>
      <c r="R847">
        <f t="shared" si="83"/>
        <v>-80.806274000000002</v>
      </c>
      <c r="S847">
        <f t="shared" si="84"/>
        <v>-34.312057000000003</v>
      </c>
      <c r="T847">
        <f t="shared" si="85"/>
        <v>0</v>
      </c>
      <c r="U847">
        <f t="shared" si="86"/>
        <v>0.27400000000000002</v>
      </c>
    </row>
    <row r="848" spans="1:21" x14ac:dyDescent="0.3">
      <c r="A848" s="4">
        <v>846</v>
      </c>
      <c r="B848" s="4">
        <v>-96574009125</v>
      </c>
      <c r="C848" s="5">
        <v>3</v>
      </c>
      <c r="D848" s="5">
        <v>7.8764000000000001E-2</v>
      </c>
      <c r="E848" s="5">
        <v>0.30197099999999999</v>
      </c>
      <c r="F848" s="5">
        <v>1036582</v>
      </c>
      <c r="G848" s="5">
        <v>-82093956</v>
      </c>
      <c r="H848" s="5">
        <v>-23613333</v>
      </c>
      <c r="I848" s="5">
        <v>0</v>
      </c>
      <c r="J848" s="5">
        <v>274</v>
      </c>
      <c r="L848">
        <f t="shared" si="81"/>
        <v>846</v>
      </c>
      <c r="M848">
        <f>'Real Analysis'!$B$3+B848/1000000</f>
        <v>17.990875000003143</v>
      </c>
      <c r="N848">
        <f t="shared" si="82"/>
        <v>3</v>
      </c>
      <c r="O848">
        <f>IF(ABS(D848)&gt;1,D848/1000000,D848)*'Real Analysis'!$B$4</f>
        <v>0.77267484000000008</v>
      </c>
      <c r="P848">
        <f>IF(ABS(E848)&gt;1,E848/1000000,E848)*'Real Analysis'!$B$4</f>
        <v>2.9623355099999999</v>
      </c>
      <c r="Q848">
        <f>IF(ABS(F848)&gt;1,F848/1000000,F848)*'Real Analysis'!$B$4</f>
        <v>10.16886942</v>
      </c>
      <c r="R848">
        <f t="shared" si="83"/>
        <v>-82.093956000000006</v>
      </c>
      <c r="S848">
        <f t="shared" si="84"/>
        <v>-23.613333000000001</v>
      </c>
      <c r="T848">
        <f t="shared" si="85"/>
        <v>0</v>
      </c>
      <c r="U848">
        <f t="shared" si="86"/>
        <v>0.27400000000000002</v>
      </c>
    </row>
    <row r="849" spans="1:21" x14ac:dyDescent="0.3">
      <c r="A849" s="4">
        <v>847</v>
      </c>
      <c r="B849" s="4">
        <v>-96574005177</v>
      </c>
      <c r="C849" s="5">
        <v>3</v>
      </c>
      <c r="D849" s="5">
        <v>7.7156000000000002E-2</v>
      </c>
      <c r="E849" s="5">
        <v>0.34321099999999999</v>
      </c>
      <c r="F849" s="5">
        <v>1023466</v>
      </c>
      <c r="G849" s="5">
        <v>-83532471</v>
      </c>
      <c r="H849" s="5">
        <v>-16289070</v>
      </c>
      <c r="I849" s="5">
        <v>0</v>
      </c>
      <c r="J849" s="5">
        <v>274</v>
      </c>
      <c r="L849">
        <f t="shared" si="81"/>
        <v>847</v>
      </c>
      <c r="M849">
        <f>'Real Analysis'!$B$3+B849/1000000</f>
        <v>17.994823000000906</v>
      </c>
      <c r="N849">
        <f t="shared" si="82"/>
        <v>3</v>
      </c>
      <c r="O849">
        <f>IF(ABS(D849)&gt;1,D849/1000000,D849)*'Real Analysis'!$B$4</f>
        <v>0.75690036000000005</v>
      </c>
      <c r="P849">
        <f>IF(ABS(E849)&gt;1,E849/1000000,E849)*'Real Analysis'!$B$4</f>
        <v>3.3668999099999999</v>
      </c>
      <c r="Q849">
        <f>IF(ABS(F849)&gt;1,F849/1000000,F849)*'Real Analysis'!$B$4</f>
        <v>10.04020146</v>
      </c>
      <c r="R849">
        <f t="shared" si="83"/>
        <v>-83.532471000000001</v>
      </c>
      <c r="S849">
        <f t="shared" si="84"/>
        <v>-16.289069999999999</v>
      </c>
      <c r="T849">
        <f t="shared" si="85"/>
        <v>0</v>
      </c>
      <c r="U849">
        <f t="shared" si="86"/>
        <v>0.27400000000000002</v>
      </c>
    </row>
    <row r="850" spans="1:21" x14ac:dyDescent="0.3">
      <c r="A850" s="4">
        <v>848</v>
      </c>
      <c r="B850" s="4">
        <v>-96573972486</v>
      </c>
      <c r="C850" s="5">
        <v>3</v>
      </c>
      <c r="D850" s="5">
        <v>8.5528000000000007E-2</v>
      </c>
      <c r="E850" s="5">
        <v>0.37482799999999999</v>
      </c>
      <c r="F850" s="5">
        <v>1026514</v>
      </c>
      <c r="G850" s="5">
        <v>-84526711</v>
      </c>
      <c r="H850" s="5">
        <v>8396886</v>
      </c>
      <c r="I850" s="5">
        <v>0</v>
      </c>
      <c r="J850" s="5">
        <v>274</v>
      </c>
      <c r="L850">
        <f t="shared" si="81"/>
        <v>848</v>
      </c>
      <c r="M850">
        <f>'Real Analysis'!$B$3+B850/1000000</f>
        <v>18.027514000001247</v>
      </c>
      <c r="N850">
        <f t="shared" si="82"/>
        <v>3</v>
      </c>
      <c r="O850">
        <f>IF(ABS(D850)&gt;1,D850/1000000,D850)*'Real Analysis'!$B$4</f>
        <v>0.83902968000000011</v>
      </c>
      <c r="P850">
        <f>IF(ABS(E850)&gt;1,E850/1000000,E850)*'Real Analysis'!$B$4</f>
        <v>3.6770626800000001</v>
      </c>
      <c r="Q850">
        <f>IF(ABS(F850)&gt;1,F850/1000000,F850)*'Real Analysis'!$B$4</f>
        <v>10.07010234</v>
      </c>
      <c r="R850">
        <f t="shared" si="83"/>
        <v>-84.526711000000006</v>
      </c>
      <c r="S850">
        <f t="shared" si="84"/>
        <v>8.3968860000000003</v>
      </c>
      <c r="T850">
        <f t="shared" si="85"/>
        <v>0</v>
      </c>
      <c r="U850">
        <f t="shared" si="86"/>
        <v>0.27400000000000002</v>
      </c>
    </row>
    <row r="851" spans="1:21" x14ac:dyDescent="0.3">
      <c r="A851" s="4">
        <v>849</v>
      </c>
      <c r="B851" s="4">
        <v>-96573949899</v>
      </c>
      <c r="C851" s="5">
        <v>3</v>
      </c>
      <c r="D851" s="5">
        <v>-1.8596000000000001E-2</v>
      </c>
      <c r="E851" s="5">
        <v>-3.8105E-2</v>
      </c>
      <c r="F851" s="5">
        <v>1046636</v>
      </c>
      <c r="G851" s="5">
        <v>-89848503</v>
      </c>
      <c r="H851" s="5">
        <v>30233273</v>
      </c>
      <c r="I851" s="5">
        <v>0</v>
      </c>
      <c r="J851" s="5">
        <v>273</v>
      </c>
      <c r="L851">
        <f t="shared" si="81"/>
        <v>849</v>
      </c>
      <c r="M851">
        <f>'Real Analysis'!$B$3+B851/1000000</f>
        <v>18.050101000000723</v>
      </c>
      <c r="N851">
        <f t="shared" si="82"/>
        <v>3</v>
      </c>
      <c r="O851">
        <f>IF(ABS(D851)&gt;1,D851/1000000,D851)*'Real Analysis'!$B$4</f>
        <v>-0.18242676000000002</v>
      </c>
      <c r="P851">
        <f>IF(ABS(E851)&gt;1,E851/1000000,E851)*'Real Analysis'!$B$4</f>
        <v>-0.37381005</v>
      </c>
      <c r="Q851">
        <f>IF(ABS(F851)&gt;1,F851/1000000,F851)*'Real Analysis'!$B$4</f>
        <v>10.26749916</v>
      </c>
      <c r="R851">
        <f t="shared" si="83"/>
        <v>-89.848502999999994</v>
      </c>
      <c r="S851">
        <f t="shared" si="84"/>
        <v>30.233273000000001</v>
      </c>
      <c r="T851">
        <f t="shared" si="85"/>
        <v>0</v>
      </c>
      <c r="U851">
        <f t="shared" si="86"/>
        <v>0.27300000000000002</v>
      </c>
    </row>
    <row r="852" spans="1:21" x14ac:dyDescent="0.3">
      <c r="A852" s="4">
        <v>850</v>
      </c>
      <c r="B852" s="4">
        <v>-96573937579</v>
      </c>
      <c r="C852" s="5">
        <v>3</v>
      </c>
      <c r="D852" s="5">
        <v>-1.1148999999999999E-2</v>
      </c>
      <c r="E852" s="5">
        <v>-1.6707E-2</v>
      </c>
      <c r="F852" s="5">
        <v>1039504</v>
      </c>
      <c r="G852" s="5">
        <v>-96173309</v>
      </c>
      <c r="H852" s="5">
        <v>30153845</v>
      </c>
      <c r="I852" s="5">
        <v>0</v>
      </c>
      <c r="J852" s="5">
        <v>273</v>
      </c>
      <c r="L852">
        <f t="shared" si="81"/>
        <v>850</v>
      </c>
      <c r="M852">
        <f>'Real Analysis'!$B$3+B852/1000000</f>
        <v>18.062420999995084</v>
      </c>
      <c r="N852">
        <f t="shared" si="82"/>
        <v>3</v>
      </c>
      <c r="O852">
        <f>IF(ABS(D852)&gt;1,D852/1000000,D852)*'Real Analysis'!$B$4</f>
        <v>-0.10937168999999999</v>
      </c>
      <c r="P852">
        <f>IF(ABS(E852)&gt;1,E852/1000000,E852)*'Real Analysis'!$B$4</f>
        <v>-0.16389566999999999</v>
      </c>
      <c r="Q852">
        <f>IF(ABS(F852)&gt;1,F852/1000000,F852)*'Real Analysis'!$B$4</f>
        <v>10.19753424</v>
      </c>
      <c r="R852">
        <f t="shared" si="83"/>
        <v>-96.173309000000003</v>
      </c>
      <c r="S852">
        <f t="shared" si="84"/>
        <v>30.153845</v>
      </c>
      <c r="T852">
        <f t="shared" si="85"/>
        <v>0</v>
      </c>
      <c r="U852">
        <f t="shared" si="86"/>
        <v>0.27300000000000002</v>
      </c>
    </row>
    <row r="853" spans="1:21" x14ac:dyDescent="0.3">
      <c r="A853" s="4">
        <v>851</v>
      </c>
      <c r="B853" s="4">
        <v>-96573893412</v>
      </c>
      <c r="C853" s="5">
        <v>3</v>
      </c>
      <c r="D853" s="5">
        <v>1.72E-3</v>
      </c>
      <c r="E853" s="5">
        <v>-4.9049999999999996E-3</v>
      </c>
      <c r="F853" s="5">
        <v>1029818</v>
      </c>
      <c r="G853" s="5">
        <v>-100532043</v>
      </c>
      <c r="H853" s="5">
        <v>30795519</v>
      </c>
      <c r="I853" s="5">
        <v>0</v>
      </c>
      <c r="J853" s="5">
        <v>274</v>
      </c>
      <c r="L853">
        <f t="shared" si="81"/>
        <v>851</v>
      </c>
      <c r="M853">
        <f>'Real Analysis'!$B$3+B853/1000000</f>
        <v>18.106587999995099</v>
      </c>
      <c r="N853">
        <f t="shared" si="82"/>
        <v>3</v>
      </c>
      <c r="O853">
        <f>IF(ABS(D853)&gt;1,D853/1000000,D853)*'Real Analysis'!$B$4</f>
        <v>1.6873200000000001E-2</v>
      </c>
      <c r="P853">
        <f>IF(ABS(E853)&gt;1,E853/1000000,E853)*'Real Analysis'!$B$4</f>
        <v>-4.8118049999999996E-2</v>
      </c>
      <c r="Q853">
        <f>IF(ABS(F853)&gt;1,F853/1000000,F853)*'Real Analysis'!$B$4</f>
        <v>10.102514579999999</v>
      </c>
      <c r="R853">
        <f t="shared" si="83"/>
        <v>-100.532043</v>
      </c>
      <c r="S853">
        <f t="shared" si="84"/>
        <v>30.795518999999999</v>
      </c>
      <c r="T853">
        <f t="shared" si="85"/>
        <v>0</v>
      </c>
      <c r="U853">
        <f t="shared" si="86"/>
        <v>0.27400000000000002</v>
      </c>
    </row>
    <row r="854" spans="1:21" x14ac:dyDescent="0.3">
      <c r="A854" s="4">
        <v>852</v>
      </c>
      <c r="B854" s="4">
        <v>-96573832271</v>
      </c>
      <c r="C854" s="5">
        <v>3</v>
      </c>
      <c r="D854" s="5">
        <v>-6.2729999999999999E-3</v>
      </c>
      <c r="E854" s="5">
        <v>-2.0670999999999998E-2</v>
      </c>
      <c r="F854" s="5">
        <v>1012381</v>
      </c>
      <c r="G854" s="5">
        <v>-109623344</v>
      </c>
      <c r="H854" s="5">
        <v>19796967</v>
      </c>
      <c r="I854" s="5">
        <v>0</v>
      </c>
      <c r="J854" s="5">
        <v>273</v>
      </c>
      <c r="L854">
        <f t="shared" si="81"/>
        <v>852</v>
      </c>
      <c r="M854">
        <f>'Real Analysis'!$B$3+B854/1000000</f>
        <v>18.167728999993415</v>
      </c>
      <c r="N854">
        <f t="shared" si="82"/>
        <v>3</v>
      </c>
      <c r="O854">
        <f>IF(ABS(D854)&gt;1,D854/1000000,D854)*'Real Analysis'!$B$4</f>
        <v>-6.1538130000000003E-2</v>
      </c>
      <c r="P854">
        <f>IF(ABS(E854)&gt;1,E854/1000000,E854)*'Real Analysis'!$B$4</f>
        <v>-0.20278251</v>
      </c>
      <c r="Q854">
        <f>IF(ABS(F854)&gt;1,F854/1000000,F854)*'Real Analysis'!$B$4</f>
        <v>9.9314576100000007</v>
      </c>
      <c r="R854">
        <f t="shared" si="83"/>
        <v>-109.623344</v>
      </c>
      <c r="S854">
        <f t="shared" si="84"/>
        <v>19.796966999999999</v>
      </c>
      <c r="T854">
        <f t="shared" si="85"/>
        <v>0</v>
      </c>
      <c r="U854">
        <f t="shared" si="86"/>
        <v>0.27300000000000002</v>
      </c>
    </row>
    <row r="855" spans="1:21" x14ac:dyDescent="0.3">
      <c r="A855" s="4">
        <v>853</v>
      </c>
      <c r="B855" s="4">
        <v>-96573819524</v>
      </c>
      <c r="C855" s="5">
        <v>3</v>
      </c>
      <c r="D855" s="5">
        <v>-1.7288000000000001E-2</v>
      </c>
      <c r="E855" s="5">
        <v>-6.9319999999999998E-3</v>
      </c>
      <c r="F855" s="5">
        <v>1008618</v>
      </c>
      <c r="G855" s="5">
        <v>-128613815</v>
      </c>
      <c r="H855" s="5">
        <v>31444748</v>
      </c>
      <c r="I855" s="5">
        <v>0</v>
      </c>
      <c r="J855" s="5">
        <v>273</v>
      </c>
      <c r="L855">
        <f t="shared" si="81"/>
        <v>853</v>
      </c>
      <c r="M855">
        <f>'Real Analysis'!$B$3+B855/1000000</f>
        <v>18.180475999994087</v>
      </c>
      <c r="N855">
        <f t="shared" si="82"/>
        <v>3</v>
      </c>
      <c r="O855">
        <f>IF(ABS(D855)&gt;1,D855/1000000,D855)*'Real Analysis'!$B$4</f>
        <v>-0.16959528000000001</v>
      </c>
      <c r="P855">
        <f>IF(ABS(E855)&gt;1,E855/1000000,E855)*'Real Analysis'!$B$4</f>
        <v>-6.8002920000000008E-2</v>
      </c>
      <c r="Q855">
        <f>IF(ABS(F855)&gt;1,F855/1000000,F855)*'Real Analysis'!$B$4</f>
        <v>9.8945425800000013</v>
      </c>
      <c r="R855">
        <f t="shared" si="83"/>
        <v>-128.61381499999999</v>
      </c>
      <c r="S855">
        <f t="shared" si="84"/>
        <v>31.444748000000001</v>
      </c>
      <c r="T855">
        <f t="shared" si="85"/>
        <v>0</v>
      </c>
      <c r="U855">
        <f t="shared" si="86"/>
        <v>0.27300000000000002</v>
      </c>
    </row>
    <row r="856" spans="1:21" x14ac:dyDescent="0.3">
      <c r="A856" s="4">
        <v>854</v>
      </c>
      <c r="B856" s="4">
        <v>-96573679068</v>
      </c>
      <c r="C856" s="5">
        <v>3</v>
      </c>
      <c r="D856" s="5">
        <v>-4.2880000000000001E-3</v>
      </c>
      <c r="E856" s="5">
        <v>-2.2339999999999999E-3</v>
      </c>
      <c r="F856" s="5">
        <v>1012672</v>
      </c>
      <c r="G856" s="5">
        <v>-129200043</v>
      </c>
      <c r="H856" s="5">
        <v>31898193</v>
      </c>
      <c r="I856" s="5">
        <v>0</v>
      </c>
      <c r="J856" s="5">
        <v>273</v>
      </c>
      <c r="L856">
        <f t="shared" si="81"/>
        <v>854</v>
      </c>
      <c r="M856">
        <f>'Real Analysis'!$B$3+B856/1000000</f>
        <v>18.320932000002358</v>
      </c>
      <c r="N856">
        <f t="shared" si="82"/>
        <v>3</v>
      </c>
      <c r="O856">
        <f>IF(ABS(D856)&gt;1,D856/1000000,D856)*'Real Analysis'!$B$4</f>
        <v>-4.2065280000000004E-2</v>
      </c>
      <c r="P856">
        <f>IF(ABS(E856)&gt;1,E856/1000000,E856)*'Real Analysis'!$B$4</f>
        <v>-2.1915540000000001E-2</v>
      </c>
      <c r="Q856">
        <f>IF(ABS(F856)&gt;1,F856/1000000,F856)*'Real Analysis'!$B$4</f>
        <v>9.9343123200000001</v>
      </c>
      <c r="R856">
        <f t="shared" si="83"/>
        <v>-129.20004299999999</v>
      </c>
      <c r="S856">
        <f t="shared" si="84"/>
        <v>31.898192999999999</v>
      </c>
      <c r="T856">
        <f t="shared" si="85"/>
        <v>0</v>
      </c>
      <c r="U856">
        <f t="shared" si="86"/>
        <v>0.27300000000000002</v>
      </c>
    </row>
    <row r="857" spans="1:21" x14ac:dyDescent="0.3">
      <c r="A857" s="4">
        <v>855</v>
      </c>
      <c r="B857" s="4">
        <v>-96573619943</v>
      </c>
      <c r="C857" s="5">
        <v>3</v>
      </c>
      <c r="D857" s="5">
        <v>-1.428E-3</v>
      </c>
      <c r="E857" s="5">
        <v>3.7550000000000001E-3</v>
      </c>
      <c r="F857" s="5">
        <v>1014781</v>
      </c>
      <c r="G857" s="5">
        <v>-129361694</v>
      </c>
      <c r="H857" s="5">
        <v>31501429</v>
      </c>
      <c r="I857" s="5">
        <v>0</v>
      </c>
      <c r="J857" s="5">
        <v>273</v>
      </c>
      <c r="L857">
        <f t="shared" si="81"/>
        <v>855</v>
      </c>
      <c r="M857">
        <f>'Real Analysis'!$B$3+B857/1000000</f>
        <v>18.380057000002125</v>
      </c>
      <c r="N857">
        <f t="shared" si="82"/>
        <v>3</v>
      </c>
      <c r="O857">
        <f>IF(ABS(D857)&gt;1,D857/1000000,D857)*'Real Analysis'!$B$4</f>
        <v>-1.4008680000000001E-2</v>
      </c>
      <c r="P857">
        <f>IF(ABS(E857)&gt;1,E857/1000000,E857)*'Real Analysis'!$B$4</f>
        <v>3.6836550000000003E-2</v>
      </c>
      <c r="Q857">
        <f>IF(ABS(F857)&gt;1,F857/1000000,F857)*'Real Analysis'!$B$4</f>
        <v>9.9550016100000001</v>
      </c>
      <c r="R857">
        <f t="shared" si="83"/>
        <v>-129.361694</v>
      </c>
      <c r="S857">
        <f t="shared" si="84"/>
        <v>31.501429000000002</v>
      </c>
      <c r="T857">
        <f t="shared" si="85"/>
        <v>0</v>
      </c>
      <c r="U857">
        <f t="shared" si="86"/>
        <v>0.27300000000000002</v>
      </c>
    </row>
    <row r="858" spans="1:21" x14ac:dyDescent="0.3">
      <c r="A858" s="4">
        <v>856</v>
      </c>
      <c r="B858" s="4">
        <v>-96573594501</v>
      </c>
      <c r="C858" s="5">
        <v>3</v>
      </c>
      <c r="D858" s="5">
        <v>-1.0995E-2</v>
      </c>
      <c r="E858" s="5">
        <v>-5.4669999999999996E-3</v>
      </c>
      <c r="F858" s="5">
        <v>1010076</v>
      </c>
      <c r="G858" s="5">
        <v>-130995743</v>
      </c>
      <c r="H858" s="5">
        <v>31904442</v>
      </c>
      <c r="I858" s="5">
        <v>0</v>
      </c>
      <c r="J858" s="5">
        <v>273</v>
      </c>
      <c r="L858">
        <f t="shared" si="81"/>
        <v>856</v>
      </c>
      <c r="M858">
        <f>'Real Analysis'!$B$3+B858/1000000</f>
        <v>18.405499000000418</v>
      </c>
      <c r="N858">
        <f t="shared" si="82"/>
        <v>3</v>
      </c>
      <c r="O858">
        <f>IF(ABS(D858)&gt;1,D858/1000000,D858)*'Real Analysis'!$B$4</f>
        <v>-0.10786095</v>
      </c>
      <c r="P858">
        <f>IF(ABS(E858)&gt;1,E858/1000000,E858)*'Real Analysis'!$B$4</f>
        <v>-5.3631270000000002E-2</v>
      </c>
      <c r="Q858">
        <f>IF(ABS(F858)&gt;1,F858/1000000,F858)*'Real Analysis'!$B$4</f>
        <v>9.9088455599999996</v>
      </c>
      <c r="R858">
        <f t="shared" si="83"/>
        <v>-130.995743</v>
      </c>
      <c r="S858">
        <f t="shared" si="84"/>
        <v>31.904442</v>
      </c>
      <c r="T858">
        <f t="shared" si="85"/>
        <v>0</v>
      </c>
      <c r="U858">
        <f t="shared" si="86"/>
        <v>0.27300000000000002</v>
      </c>
    </row>
    <row r="859" spans="1:21" x14ac:dyDescent="0.3">
      <c r="A859" s="4">
        <v>857</v>
      </c>
      <c r="B859" s="4">
        <v>-96573577446</v>
      </c>
      <c r="C859" s="5">
        <v>3</v>
      </c>
      <c r="D859" s="5">
        <v>5.1850000000000004E-3</v>
      </c>
      <c r="E859" s="5">
        <v>-1.1514E-2</v>
      </c>
      <c r="F859" s="5">
        <v>1014508</v>
      </c>
      <c r="G859" s="5">
        <v>-133507309</v>
      </c>
      <c r="H859" s="5">
        <v>27131763</v>
      </c>
      <c r="I859" s="5">
        <v>0</v>
      </c>
      <c r="J859" s="5">
        <v>273</v>
      </c>
      <c r="L859">
        <f t="shared" si="81"/>
        <v>857</v>
      </c>
      <c r="M859">
        <f>'Real Analysis'!$B$3+B859/1000000</f>
        <v>18.422554000004311</v>
      </c>
      <c r="N859">
        <f t="shared" si="82"/>
        <v>3</v>
      </c>
      <c r="O859">
        <f>IF(ABS(D859)&gt;1,D859/1000000,D859)*'Real Analysis'!$B$4</f>
        <v>5.0864850000000003E-2</v>
      </c>
      <c r="P859">
        <f>IF(ABS(E859)&gt;1,E859/1000000,E859)*'Real Analysis'!$B$4</f>
        <v>-0.11295234</v>
      </c>
      <c r="Q859">
        <f>IF(ABS(F859)&gt;1,F859/1000000,F859)*'Real Analysis'!$B$4</f>
        <v>9.9523234800000004</v>
      </c>
      <c r="R859">
        <f t="shared" si="83"/>
        <v>-133.50730899999999</v>
      </c>
      <c r="S859">
        <f t="shared" si="84"/>
        <v>27.131762999999999</v>
      </c>
      <c r="T859">
        <f t="shared" si="85"/>
        <v>0</v>
      </c>
      <c r="U859">
        <f t="shared" si="86"/>
        <v>0.27300000000000002</v>
      </c>
    </row>
    <row r="860" spans="1:21" x14ac:dyDescent="0.3">
      <c r="A860" s="4">
        <v>858</v>
      </c>
      <c r="B860" s="4">
        <v>-96573549045</v>
      </c>
      <c r="C860" s="5">
        <v>3</v>
      </c>
      <c r="D860" s="5">
        <v>5.2100000000000002E-3</v>
      </c>
      <c r="E860" s="5">
        <v>-2.1817E-2</v>
      </c>
      <c r="F860" s="5">
        <v>0.99845399999999995</v>
      </c>
      <c r="G860" s="5">
        <v>-140337662</v>
      </c>
      <c r="H860" s="5">
        <v>4035411</v>
      </c>
      <c r="I860" s="5">
        <v>0</v>
      </c>
      <c r="J860" s="5">
        <v>273</v>
      </c>
      <c r="L860">
        <f t="shared" si="81"/>
        <v>858</v>
      </c>
      <c r="M860">
        <f>'Real Analysis'!$B$3+B860/1000000</f>
        <v>18.450954999992973</v>
      </c>
      <c r="N860">
        <f t="shared" si="82"/>
        <v>3</v>
      </c>
      <c r="O860">
        <f>IF(ABS(D860)&gt;1,D860/1000000,D860)*'Real Analysis'!$B$4</f>
        <v>5.1110100000000006E-2</v>
      </c>
      <c r="P860">
        <f>IF(ABS(E860)&gt;1,E860/1000000,E860)*'Real Analysis'!$B$4</f>
        <v>-0.21402477</v>
      </c>
      <c r="Q860">
        <f>IF(ABS(F860)&gt;1,F860/1000000,F860)*'Real Analysis'!$B$4</f>
        <v>9.7948337399999996</v>
      </c>
      <c r="R860">
        <f t="shared" si="83"/>
        <v>-140.33766199999999</v>
      </c>
      <c r="S860">
        <f t="shared" si="84"/>
        <v>4.0354109999999999</v>
      </c>
      <c r="T860">
        <f t="shared" si="85"/>
        <v>0</v>
      </c>
      <c r="U860">
        <f t="shared" si="86"/>
        <v>0.27300000000000002</v>
      </c>
    </row>
    <row r="861" spans="1:21" x14ac:dyDescent="0.3">
      <c r="A861" s="4">
        <v>859</v>
      </c>
      <c r="B861" s="4">
        <v>-96573542976</v>
      </c>
      <c r="C861" s="5">
        <v>3</v>
      </c>
      <c r="D861" s="5">
        <v>1.427E-2</v>
      </c>
      <c r="E861" s="5">
        <v>-1.209E-3</v>
      </c>
      <c r="F861" s="5">
        <v>0.99313600000000002</v>
      </c>
      <c r="G861" s="5">
        <v>-141901108</v>
      </c>
      <c r="H861" s="5">
        <v>-28295643</v>
      </c>
      <c r="I861" s="5">
        <v>0</v>
      </c>
      <c r="J861" s="5">
        <v>274</v>
      </c>
      <c r="L861">
        <f t="shared" si="81"/>
        <v>859</v>
      </c>
      <c r="M861">
        <f>'Real Analysis'!$B$3+B861/1000000</f>
        <v>18.457024000003003</v>
      </c>
      <c r="N861">
        <f t="shared" si="82"/>
        <v>3</v>
      </c>
      <c r="O861">
        <f>IF(ABS(D861)&gt;1,D861/1000000,D861)*'Real Analysis'!$B$4</f>
        <v>0.13998869999999999</v>
      </c>
      <c r="P861">
        <f>IF(ABS(E861)&gt;1,E861/1000000,E861)*'Real Analysis'!$B$4</f>
        <v>-1.1860290000000001E-2</v>
      </c>
      <c r="Q861">
        <f>IF(ABS(F861)&gt;1,F861/1000000,F861)*'Real Analysis'!$B$4</f>
        <v>9.7426641600000004</v>
      </c>
      <c r="R861">
        <f t="shared" si="83"/>
        <v>-141.90110799999999</v>
      </c>
      <c r="S861">
        <f t="shared" si="84"/>
        <v>-28.295642999999998</v>
      </c>
      <c r="T861">
        <f t="shared" si="85"/>
        <v>0</v>
      </c>
      <c r="U861">
        <f t="shared" si="86"/>
        <v>0.27400000000000002</v>
      </c>
    </row>
    <row r="862" spans="1:21" x14ac:dyDescent="0.3">
      <c r="A862" s="4">
        <v>860</v>
      </c>
      <c r="B862" s="4">
        <v>-96573468298</v>
      </c>
      <c r="C862" s="5">
        <v>3</v>
      </c>
      <c r="D862" s="5">
        <v>3.4785000000000003E-2</v>
      </c>
      <c r="E862" s="5">
        <v>3.0148000000000001E-2</v>
      </c>
      <c r="F862" s="5">
        <v>0.97318499999999997</v>
      </c>
      <c r="G862" s="5">
        <v>-108385681</v>
      </c>
      <c r="H862" s="5">
        <v>-6547798</v>
      </c>
      <c r="I862" s="5">
        <v>0</v>
      </c>
      <c r="J862" s="5">
        <v>274</v>
      </c>
      <c r="L862">
        <f t="shared" si="81"/>
        <v>860</v>
      </c>
      <c r="M862">
        <f>'Real Analysis'!$B$3+B862/1000000</f>
        <v>18.531701999992947</v>
      </c>
      <c r="N862">
        <f t="shared" si="82"/>
        <v>3</v>
      </c>
      <c r="O862">
        <f>IF(ABS(D862)&gt;1,D862/1000000,D862)*'Real Analysis'!$B$4</f>
        <v>0.34124085000000004</v>
      </c>
      <c r="P862">
        <f>IF(ABS(E862)&gt;1,E862/1000000,E862)*'Real Analysis'!$B$4</f>
        <v>0.29575188000000002</v>
      </c>
      <c r="Q862">
        <f>IF(ABS(F862)&gt;1,F862/1000000,F862)*'Real Analysis'!$B$4</f>
        <v>9.5469448500000009</v>
      </c>
      <c r="R862">
        <f t="shared" si="83"/>
        <v>-108.38568100000001</v>
      </c>
      <c r="S862">
        <f t="shared" si="84"/>
        <v>-6.5477980000000002</v>
      </c>
      <c r="T862">
        <f t="shared" si="85"/>
        <v>0</v>
      </c>
      <c r="U862">
        <f t="shared" si="86"/>
        <v>0.27400000000000002</v>
      </c>
    </row>
    <row r="863" spans="1:21" x14ac:dyDescent="0.3">
      <c r="A863" s="4">
        <v>861</v>
      </c>
      <c r="B863" s="4">
        <v>-96573407714</v>
      </c>
      <c r="C863" s="5">
        <v>3</v>
      </c>
      <c r="D863" s="5">
        <v>4.3388999999999997E-2</v>
      </c>
      <c r="E863" s="5">
        <v>3.7197000000000001E-2</v>
      </c>
      <c r="F863" s="5">
        <v>0.98252899999999999</v>
      </c>
      <c r="G863" s="5">
        <v>-89251137</v>
      </c>
      <c r="H863" s="5">
        <v>-9171316</v>
      </c>
      <c r="I863" s="5">
        <v>0</v>
      </c>
      <c r="J863" s="5">
        <v>275</v>
      </c>
      <c r="L863">
        <f t="shared" si="81"/>
        <v>861</v>
      </c>
      <c r="M863">
        <f>'Real Analysis'!$B$3+B863/1000000</f>
        <v>18.592285999999149</v>
      </c>
      <c r="N863">
        <f t="shared" si="82"/>
        <v>3</v>
      </c>
      <c r="O863">
        <f>IF(ABS(D863)&gt;1,D863/1000000,D863)*'Real Analysis'!$B$4</f>
        <v>0.42564608999999998</v>
      </c>
      <c r="P863">
        <f>IF(ABS(E863)&gt;1,E863/1000000,E863)*'Real Analysis'!$B$4</f>
        <v>0.36490257000000004</v>
      </c>
      <c r="Q863">
        <f>IF(ABS(F863)&gt;1,F863/1000000,F863)*'Real Analysis'!$B$4</f>
        <v>9.6386094900000003</v>
      </c>
      <c r="R863">
        <f t="shared" si="83"/>
        <v>-89.251137</v>
      </c>
      <c r="S863">
        <f t="shared" si="84"/>
        <v>-9.1713159999999991</v>
      </c>
      <c r="T863">
        <f t="shared" si="85"/>
        <v>0</v>
      </c>
      <c r="U863">
        <f t="shared" si="86"/>
        <v>0.27500000000000002</v>
      </c>
    </row>
    <row r="864" spans="1:21" x14ac:dyDescent="0.3">
      <c r="A864" s="4">
        <v>862</v>
      </c>
      <c r="B864" s="4">
        <v>-96573399721</v>
      </c>
      <c r="C864" s="5">
        <v>3</v>
      </c>
      <c r="D864" s="5">
        <v>5.8101E-2</v>
      </c>
      <c r="E864" s="5">
        <v>8.2490999999999995E-2</v>
      </c>
      <c r="F864" s="5">
        <v>0.98317100000000002</v>
      </c>
      <c r="G864" s="5">
        <v>-84034065</v>
      </c>
      <c r="H864" s="5">
        <v>-7229520</v>
      </c>
      <c r="I864" s="5">
        <v>0</v>
      </c>
      <c r="J864" s="5">
        <v>275</v>
      </c>
      <c r="L864">
        <f t="shared" si="81"/>
        <v>862</v>
      </c>
      <c r="M864">
        <f>'Real Analysis'!$B$3+B864/1000000</f>
        <v>18.600279000005685</v>
      </c>
      <c r="N864">
        <f t="shared" si="82"/>
        <v>3</v>
      </c>
      <c r="O864">
        <f>IF(ABS(D864)&gt;1,D864/1000000,D864)*'Real Analysis'!$B$4</f>
        <v>0.56997081000000005</v>
      </c>
      <c r="P864">
        <f>IF(ABS(E864)&gt;1,E864/1000000,E864)*'Real Analysis'!$B$4</f>
        <v>0.80923670999999997</v>
      </c>
      <c r="Q864">
        <f>IF(ABS(F864)&gt;1,F864/1000000,F864)*'Real Analysis'!$B$4</f>
        <v>9.6449075100000012</v>
      </c>
      <c r="R864">
        <f t="shared" si="83"/>
        <v>-84.034064999999998</v>
      </c>
      <c r="S864">
        <f t="shared" si="84"/>
        <v>-7.2295199999999999</v>
      </c>
      <c r="T864">
        <f t="shared" si="85"/>
        <v>0</v>
      </c>
      <c r="U864">
        <f t="shared" si="86"/>
        <v>0.27500000000000002</v>
      </c>
    </row>
    <row r="865" spans="1:21" x14ac:dyDescent="0.3">
      <c r="A865" s="4">
        <v>863</v>
      </c>
      <c r="B865" s="4">
        <v>-96573356200</v>
      </c>
      <c r="C865" s="5">
        <v>3</v>
      </c>
      <c r="D865" s="5">
        <v>1.2104999999999999E-2</v>
      </c>
      <c r="E865" s="5">
        <v>4.7930000000000004E-3</v>
      </c>
      <c r="F865" s="5">
        <v>0.981012</v>
      </c>
      <c r="G865" s="5">
        <v>-48841602</v>
      </c>
      <c r="H865" s="5">
        <v>5489197</v>
      </c>
      <c r="I865" s="5">
        <v>0</v>
      </c>
      <c r="J865" s="5">
        <v>276</v>
      </c>
      <c r="L865">
        <f t="shared" si="81"/>
        <v>863</v>
      </c>
      <c r="M865">
        <f>'Real Analysis'!$B$3+B865/1000000</f>
        <v>18.643800000005285</v>
      </c>
      <c r="N865">
        <f t="shared" si="82"/>
        <v>3</v>
      </c>
      <c r="O865">
        <f>IF(ABS(D865)&gt;1,D865/1000000,D865)*'Real Analysis'!$B$4</f>
        <v>0.11875005</v>
      </c>
      <c r="P865">
        <f>IF(ABS(E865)&gt;1,E865/1000000,E865)*'Real Analysis'!$B$4</f>
        <v>4.7019330000000005E-2</v>
      </c>
      <c r="Q865">
        <f>IF(ABS(F865)&gt;1,F865/1000000,F865)*'Real Analysis'!$B$4</f>
        <v>9.6237277199999998</v>
      </c>
      <c r="R865">
        <f t="shared" si="83"/>
        <v>-48.841602000000002</v>
      </c>
      <c r="S865">
        <f t="shared" si="84"/>
        <v>5.4891969999999999</v>
      </c>
      <c r="T865">
        <f t="shared" si="85"/>
        <v>0</v>
      </c>
      <c r="U865">
        <f t="shared" si="86"/>
        <v>0.27600000000000002</v>
      </c>
    </row>
    <row r="866" spans="1:21" x14ac:dyDescent="0.3">
      <c r="A866" s="4">
        <v>864</v>
      </c>
      <c r="B866" s="4">
        <v>-96573330639</v>
      </c>
      <c r="C866" s="5">
        <v>3</v>
      </c>
      <c r="D866" s="5">
        <v>1.8218000000000002E-2</v>
      </c>
      <c r="E866" s="5">
        <v>1.7432E-2</v>
      </c>
      <c r="F866" s="5">
        <v>1015384</v>
      </c>
      <c r="G866" s="5">
        <v>-21035969</v>
      </c>
      <c r="H866" s="5">
        <v>2778378</v>
      </c>
      <c r="I866" s="5">
        <v>0</v>
      </c>
      <c r="J866" s="5">
        <v>274</v>
      </c>
      <c r="L866">
        <f t="shared" si="81"/>
        <v>864</v>
      </c>
      <c r="M866">
        <f>'Real Analysis'!$B$3+B866/1000000</f>
        <v>18.669360999992932</v>
      </c>
      <c r="N866">
        <f t="shared" si="82"/>
        <v>3</v>
      </c>
      <c r="O866">
        <f>IF(ABS(D866)&gt;1,D866/1000000,D866)*'Real Analysis'!$B$4</f>
        <v>0.17871858000000002</v>
      </c>
      <c r="P866">
        <f>IF(ABS(E866)&gt;1,E866/1000000,E866)*'Real Analysis'!$B$4</f>
        <v>0.17100792000000001</v>
      </c>
      <c r="Q866">
        <f>IF(ABS(F866)&gt;1,F866/1000000,F866)*'Real Analysis'!$B$4</f>
        <v>9.9609170400000018</v>
      </c>
      <c r="R866">
        <f t="shared" si="83"/>
        <v>-21.035969000000001</v>
      </c>
      <c r="S866">
        <f t="shared" si="84"/>
        <v>2.778378</v>
      </c>
      <c r="T866">
        <f t="shared" si="85"/>
        <v>0</v>
      </c>
      <c r="U866">
        <f t="shared" si="86"/>
        <v>0.27400000000000002</v>
      </c>
    </row>
    <row r="867" spans="1:21" x14ac:dyDescent="0.3">
      <c r="A867" s="4">
        <v>865</v>
      </c>
      <c r="B867" s="4">
        <v>-96573294323</v>
      </c>
      <c r="C867" s="5">
        <v>3</v>
      </c>
      <c r="D867" s="5">
        <v>1.5041000000000001E-2</v>
      </c>
      <c r="E867" s="5">
        <v>2.0671999999999999E-2</v>
      </c>
      <c r="F867" s="5">
        <v>1011376</v>
      </c>
      <c r="G867" s="5">
        <v>-14482327</v>
      </c>
      <c r="H867" s="5">
        <v>2999273</v>
      </c>
      <c r="I867" s="5">
        <v>0</v>
      </c>
      <c r="J867" s="5">
        <v>273</v>
      </c>
      <c r="L867">
        <f t="shared" si="81"/>
        <v>865</v>
      </c>
      <c r="M867">
        <f>'Real Analysis'!$B$3+B867/1000000</f>
        <v>18.70567700000538</v>
      </c>
      <c r="N867">
        <f t="shared" si="82"/>
        <v>3</v>
      </c>
      <c r="O867">
        <f>IF(ABS(D867)&gt;1,D867/1000000,D867)*'Real Analysis'!$B$4</f>
        <v>0.14755221000000002</v>
      </c>
      <c r="P867">
        <f>IF(ABS(E867)&gt;1,E867/1000000,E867)*'Real Analysis'!$B$4</f>
        <v>0.20279232</v>
      </c>
      <c r="Q867">
        <f>IF(ABS(F867)&gt;1,F867/1000000,F867)*'Real Analysis'!$B$4</f>
        <v>9.9215985600000014</v>
      </c>
      <c r="R867">
        <f t="shared" si="83"/>
        <v>-14.482327</v>
      </c>
      <c r="S867">
        <f t="shared" si="84"/>
        <v>2.9992730000000001</v>
      </c>
      <c r="T867">
        <f t="shared" si="85"/>
        <v>0</v>
      </c>
      <c r="U867">
        <f t="shared" si="86"/>
        <v>0.27300000000000002</v>
      </c>
    </row>
    <row r="868" spans="1:21" x14ac:dyDescent="0.3">
      <c r="A868" s="4">
        <v>866</v>
      </c>
      <c r="B868" s="4">
        <v>-96573272536</v>
      </c>
      <c r="C868" s="5">
        <v>3</v>
      </c>
      <c r="D868" s="5">
        <v>1.474E-3</v>
      </c>
      <c r="E868" s="5">
        <v>9.5139999999999999E-3</v>
      </c>
      <c r="F868" s="5">
        <v>1027633</v>
      </c>
      <c r="G868" s="5">
        <v>-9607637</v>
      </c>
      <c r="H868" s="5">
        <v>3594631</v>
      </c>
      <c r="I868" s="5">
        <v>0</v>
      </c>
      <c r="J868" s="5">
        <v>272</v>
      </c>
      <c r="L868">
        <f t="shared" si="81"/>
        <v>866</v>
      </c>
      <c r="M868">
        <f>'Real Analysis'!$B$3+B868/1000000</f>
        <v>18.727463999995962</v>
      </c>
      <c r="N868">
        <f t="shared" si="82"/>
        <v>3</v>
      </c>
      <c r="O868">
        <f>IF(ABS(D868)&gt;1,D868/1000000,D868)*'Real Analysis'!$B$4</f>
        <v>1.4459940000000001E-2</v>
      </c>
      <c r="P868">
        <f>IF(ABS(E868)&gt;1,E868/1000000,E868)*'Real Analysis'!$B$4</f>
        <v>9.333234E-2</v>
      </c>
      <c r="Q868">
        <f>IF(ABS(F868)&gt;1,F868/1000000,F868)*'Real Analysis'!$B$4</f>
        <v>10.081079730000001</v>
      </c>
      <c r="R868">
        <f t="shared" si="83"/>
        <v>-9.6076370000000004</v>
      </c>
      <c r="S868">
        <f t="shared" si="84"/>
        <v>3.5946310000000001</v>
      </c>
      <c r="T868">
        <f t="shared" si="85"/>
        <v>0</v>
      </c>
      <c r="U868">
        <f t="shared" si="86"/>
        <v>0.27200000000000002</v>
      </c>
    </row>
    <row r="869" spans="1:21" x14ac:dyDescent="0.3">
      <c r="A869" s="4">
        <v>867</v>
      </c>
      <c r="B869" s="4">
        <v>-96573248141</v>
      </c>
      <c r="C869" s="5">
        <v>3</v>
      </c>
      <c r="D869" s="5">
        <v>-4.1320000000000003E-3</v>
      </c>
      <c r="E869" s="5">
        <v>-1.0696000000000001E-2</v>
      </c>
      <c r="F869" s="5">
        <v>1012185</v>
      </c>
      <c r="G869" s="5">
        <v>-4252648</v>
      </c>
      <c r="H869" s="5">
        <v>6221934</v>
      </c>
      <c r="I869" s="5">
        <v>0</v>
      </c>
      <c r="J869" s="5">
        <v>270</v>
      </c>
      <c r="L869">
        <f t="shared" si="81"/>
        <v>867</v>
      </c>
      <c r="M869">
        <f>'Real Analysis'!$B$3+B869/1000000</f>
        <v>18.75185899999633</v>
      </c>
      <c r="N869">
        <f t="shared" si="82"/>
        <v>3</v>
      </c>
      <c r="O869">
        <f>IF(ABS(D869)&gt;1,D869/1000000,D869)*'Real Analysis'!$B$4</f>
        <v>-4.0534920000000002E-2</v>
      </c>
      <c r="P869">
        <f>IF(ABS(E869)&gt;1,E869/1000000,E869)*'Real Analysis'!$B$4</f>
        <v>-0.10492776000000001</v>
      </c>
      <c r="Q869">
        <f>IF(ABS(F869)&gt;1,F869/1000000,F869)*'Real Analysis'!$B$4</f>
        <v>9.9295348499999996</v>
      </c>
      <c r="R869">
        <f t="shared" si="83"/>
        <v>-4.2526479999999998</v>
      </c>
      <c r="S869">
        <f t="shared" si="84"/>
        <v>6.2219340000000001</v>
      </c>
      <c r="T869">
        <f t="shared" si="85"/>
        <v>0</v>
      </c>
      <c r="U869">
        <f t="shared" si="86"/>
        <v>0.27</v>
      </c>
    </row>
    <row r="870" spans="1:21" x14ac:dyDescent="0.3">
      <c r="A870" s="4">
        <v>868</v>
      </c>
      <c r="B870" s="4">
        <v>-96573228617</v>
      </c>
      <c r="C870" s="5">
        <v>3</v>
      </c>
      <c r="D870" s="5">
        <v>4.6999999999999999E-4</v>
      </c>
      <c r="E870" s="5">
        <v>-1.3913E-2</v>
      </c>
      <c r="F870" s="5">
        <v>0.99592099999999995</v>
      </c>
      <c r="G870" s="5">
        <v>-6130582</v>
      </c>
      <c r="H870" s="5">
        <v>14669509</v>
      </c>
      <c r="I870" s="5">
        <v>0</v>
      </c>
      <c r="J870" s="5">
        <v>269</v>
      </c>
      <c r="L870">
        <f t="shared" si="81"/>
        <v>868</v>
      </c>
      <c r="M870">
        <f>'Real Analysis'!$B$3+B870/1000000</f>
        <v>18.771382999999332</v>
      </c>
      <c r="N870">
        <f t="shared" si="82"/>
        <v>3</v>
      </c>
      <c r="O870">
        <f>IF(ABS(D870)&gt;1,D870/1000000,D870)*'Real Analysis'!$B$4</f>
        <v>4.6106999999999997E-3</v>
      </c>
      <c r="P870">
        <f>IF(ABS(E870)&gt;1,E870/1000000,E870)*'Real Analysis'!$B$4</f>
        <v>-0.13648652999999999</v>
      </c>
      <c r="Q870">
        <f>IF(ABS(F870)&gt;1,F870/1000000,F870)*'Real Analysis'!$B$4</f>
        <v>9.7699850099999992</v>
      </c>
      <c r="R870">
        <f t="shared" si="83"/>
        <v>-6.1305820000000004</v>
      </c>
      <c r="S870">
        <f t="shared" si="84"/>
        <v>14.669509</v>
      </c>
      <c r="T870">
        <f t="shared" si="85"/>
        <v>0</v>
      </c>
      <c r="U870">
        <f t="shared" si="86"/>
        <v>0.26900000000000002</v>
      </c>
    </row>
    <row r="871" spans="1:21" x14ac:dyDescent="0.3">
      <c r="A871" s="4">
        <v>869</v>
      </c>
      <c r="B871" s="4">
        <v>-96573211709</v>
      </c>
      <c r="C871" s="5">
        <v>3</v>
      </c>
      <c r="D871" s="5">
        <v>1.4975E-2</v>
      </c>
      <c r="E871" s="5">
        <v>-2.6388999999999999E-2</v>
      </c>
      <c r="F871" s="5">
        <v>0.977159</v>
      </c>
      <c r="G871" s="5">
        <v>-3927448</v>
      </c>
      <c r="H871" s="5">
        <v>11767105</v>
      </c>
      <c r="I871" s="5">
        <v>0</v>
      </c>
      <c r="J871" s="5">
        <v>269</v>
      </c>
      <c r="L871">
        <f t="shared" si="81"/>
        <v>869</v>
      </c>
      <c r="M871">
        <f>'Real Analysis'!$B$3+B871/1000000</f>
        <v>18.788291000004392</v>
      </c>
      <c r="N871">
        <f t="shared" si="82"/>
        <v>3</v>
      </c>
      <c r="O871">
        <f>IF(ABS(D871)&gt;1,D871/1000000,D871)*'Real Analysis'!$B$4</f>
        <v>0.14690475</v>
      </c>
      <c r="P871">
        <f>IF(ABS(E871)&gt;1,E871/1000000,E871)*'Real Analysis'!$B$4</f>
        <v>-0.25887609</v>
      </c>
      <c r="Q871">
        <f>IF(ABS(F871)&gt;1,F871/1000000,F871)*'Real Analysis'!$B$4</f>
        <v>9.5859297899999998</v>
      </c>
      <c r="R871">
        <f t="shared" si="83"/>
        <v>-3.9274480000000001</v>
      </c>
      <c r="S871">
        <f t="shared" si="84"/>
        <v>11.767105000000001</v>
      </c>
      <c r="T871">
        <f t="shared" si="85"/>
        <v>0</v>
      </c>
      <c r="U871">
        <f t="shared" si="86"/>
        <v>0.26900000000000002</v>
      </c>
    </row>
    <row r="872" spans="1:21" x14ac:dyDescent="0.3">
      <c r="A872" s="4">
        <v>870</v>
      </c>
      <c r="B872" s="4">
        <v>-96573151191</v>
      </c>
      <c r="C872" s="5">
        <v>3</v>
      </c>
      <c r="D872" s="5">
        <v>3.2485E-2</v>
      </c>
      <c r="E872" s="5">
        <v>-3.4845000000000001E-2</v>
      </c>
      <c r="F872" s="5">
        <v>0.99738199999999999</v>
      </c>
      <c r="G872" s="5">
        <v>-0.42018699999999998</v>
      </c>
      <c r="H872" s="5">
        <v>6921209</v>
      </c>
      <c r="I872" s="5">
        <v>0</v>
      </c>
      <c r="J872" s="5">
        <v>269</v>
      </c>
      <c r="L872">
        <f t="shared" si="81"/>
        <v>870</v>
      </c>
      <c r="M872">
        <f>'Real Analysis'!$B$3+B872/1000000</f>
        <v>18.848809000002802</v>
      </c>
      <c r="N872">
        <f t="shared" si="82"/>
        <v>3</v>
      </c>
      <c r="O872">
        <f>IF(ABS(D872)&gt;1,D872/1000000,D872)*'Real Analysis'!$B$4</f>
        <v>0.31867785000000004</v>
      </c>
      <c r="P872">
        <f>IF(ABS(E872)&gt;1,E872/1000000,E872)*'Real Analysis'!$B$4</f>
        <v>-0.34182945000000003</v>
      </c>
      <c r="Q872">
        <f>IF(ABS(F872)&gt;1,F872/1000000,F872)*'Real Analysis'!$B$4</f>
        <v>9.7843174200000007</v>
      </c>
      <c r="R872">
        <f t="shared" si="83"/>
        <v>-0.42018699999999998</v>
      </c>
      <c r="S872">
        <f t="shared" si="84"/>
        <v>6.9212090000000002</v>
      </c>
      <c r="T872">
        <f t="shared" si="85"/>
        <v>0</v>
      </c>
      <c r="U872">
        <f t="shared" si="86"/>
        <v>0.26900000000000002</v>
      </c>
    </row>
    <row r="873" spans="1:21" x14ac:dyDescent="0.3">
      <c r="A873" s="4">
        <v>871</v>
      </c>
      <c r="B873" s="4">
        <v>-96573146774</v>
      </c>
      <c r="C873" s="5">
        <v>3</v>
      </c>
      <c r="D873" s="5">
        <v>2.5814E-2</v>
      </c>
      <c r="E873" s="5">
        <v>-2.9045000000000001E-2</v>
      </c>
      <c r="F873" s="5">
        <v>1005911</v>
      </c>
      <c r="G873" s="5">
        <v>1080064</v>
      </c>
      <c r="H873" s="5">
        <v>2551824</v>
      </c>
      <c r="I873" s="5">
        <v>0</v>
      </c>
      <c r="J873" s="5">
        <v>269</v>
      </c>
      <c r="L873">
        <f t="shared" si="81"/>
        <v>871</v>
      </c>
      <c r="M873">
        <f>'Real Analysis'!$B$3+B873/1000000</f>
        <v>18.853226000006543</v>
      </c>
      <c r="N873">
        <f t="shared" si="82"/>
        <v>3</v>
      </c>
      <c r="O873">
        <f>IF(ABS(D873)&gt;1,D873/1000000,D873)*'Real Analysis'!$B$4</f>
        <v>0.25323534000000003</v>
      </c>
      <c r="P873">
        <f>IF(ABS(E873)&gt;1,E873/1000000,E873)*'Real Analysis'!$B$4</f>
        <v>-0.28493145000000003</v>
      </c>
      <c r="Q873">
        <f>IF(ABS(F873)&gt;1,F873/1000000,F873)*'Real Analysis'!$B$4</f>
        <v>9.8679869100000008</v>
      </c>
      <c r="R873">
        <f t="shared" si="83"/>
        <v>1.0800639999999999</v>
      </c>
      <c r="S873">
        <f t="shared" si="84"/>
        <v>2.5518239999999999</v>
      </c>
      <c r="T873">
        <f t="shared" si="85"/>
        <v>0</v>
      </c>
      <c r="U873">
        <f t="shared" si="86"/>
        <v>0.26900000000000002</v>
      </c>
    </row>
    <row r="874" spans="1:21" x14ac:dyDescent="0.3">
      <c r="A874" s="4">
        <v>872</v>
      </c>
      <c r="B874" s="4">
        <v>-96573068270</v>
      </c>
      <c r="C874" s="5">
        <v>3</v>
      </c>
      <c r="D874" s="5">
        <v>2.1789999999999999E-3</v>
      </c>
      <c r="E874" s="5">
        <v>1.0973E-2</v>
      </c>
      <c r="F874" s="5">
        <v>0.98911499999999997</v>
      </c>
      <c r="G874" s="5">
        <v>0.41332099999999999</v>
      </c>
      <c r="H874" s="5">
        <v>0.60776200000000002</v>
      </c>
      <c r="I874" s="5">
        <v>0</v>
      </c>
      <c r="J874" s="5">
        <v>268</v>
      </c>
      <c r="L874">
        <f t="shared" si="81"/>
        <v>872</v>
      </c>
      <c r="M874">
        <f>'Real Analysis'!$B$3+B874/1000000</f>
        <v>18.931729999996605</v>
      </c>
      <c r="N874">
        <f t="shared" si="82"/>
        <v>3</v>
      </c>
      <c r="O874">
        <f>IF(ABS(D874)&gt;1,D874/1000000,D874)*'Real Analysis'!$B$4</f>
        <v>2.1375990000000001E-2</v>
      </c>
      <c r="P874">
        <f>IF(ABS(E874)&gt;1,E874/1000000,E874)*'Real Analysis'!$B$4</f>
        <v>0.10764513000000001</v>
      </c>
      <c r="Q874">
        <f>IF(ABS(F874)&gt;1,F874/1000000,F874)*'Real Analysis'!$B$4</f>
        <v>9.7032181499999997</v>
      </c>
      <c r="R874">
        <f t="shared" si="83"/>
        <v>0.41332099999999999</v>
      </c>
      <c r="S874">
        <f t="shared" si="84"/>
        <v>0.60776200000000002</v>
      </c>
      <c r="T874">
        <f t="shared" si="85"/>
        <v>0</v>
      </c>
      <c r="U874">
        <f t="shared" si="86"/>
        <v>0.26800000000000002</v>
      </c>
    </row>
    <row r="875" spans="1:21" x14ac:dyDescent="0.3">
      <c r="A875" s="4">
        <v>873</v>
      </c>
      <c r="B875" s="4">
        <v>-96573050646</v>
      </c>
      <c r="C875" s="5">
        <v>3</v>
      </c>
      <c r="D875" s="5">
        <v>4.7759999999999999E-3</v>
      </c>
      <c r="E875" s="5">
        <v>1.1346999999999999E-2</v>
      </c>
      <c r="F875" s="5">
        <v>0.98800500000000002</v>
      </c>
      <c r="G875" s="5">
        <v>0.13985900000000001</v>
      </c>
      <c r="H875" s="5">
        <v>2151948</v>
      </c>
      <c r="I875" s="5">
        <v>0</v>
      </c>
      <c r="J875" s="5">
        <v>268</v>
      </c>
      <c r="L875">
        <f t="shared" si="81"/>
        <v>873</v>
      </c>
      <c r="M875">
        <f>'Real Analysis'!$B$3+B875/1000000</f>
        <v>18.949353999996674</v>
      </c>
      <c r="N875">
        <f t="shared" si="82"/>
        <v>3</v>
      </c>
      <c r="O875">
        <f>IF(ABS(D875)&gt;1,D875/1000000,D875)*'Real Analysis'!$B$4</f>
        <v>4.6852560000000001E-2</v>
      </c>
      <c r="P875">
        <f>IF(ABS(E875)&gt;1,E875/1000000,E875)*'Real Analysis'!$B$4</f>
        <v>0.11131407</v>
      </c>
      <c r="Q875">
        <f>IF(ABS(F875)&gt;1,F875/1000000,F875)*'Real Analysis'!$B$4</f>
        <v>9.6923290500000014</v>
      </c>
      <c r="R875">
        <f t="shared" si="83"/>
        <v>0.13985900000000001</v>
      </c>
      <c r="S875">
        <f t="shared" si="84"/>
        <v>2.151948</v>
      </c>
      <c r="T875">
        <f t="shared" si="85"/>
        <v>0</v>
      </c>
      <c r="U875">
        <f t="shared" si="86"/>
        <v>0.26800000000000002</v>
      </c>
    </row>
    <row r="876" spans="1:21" x14ac:dyDescent="0.3">
      <c r="A876" s="4">
        <v>874</v>
      </c>
      <c r="B876" s="4">
        <v>-96573030013</v>
      </c>
      <c r="C876" s="5">
        <v>3</v>
      </c>
      <c r="D876" s="5">
        <v>3.4001999999999998E-2</v>
      </c>
      <c r="E876" s="5">
        <v>-1.1083000000000001E-2</v>
      </c>
      <c r="F876" s="5">
        <v>1035553</v>
      </c>
      <c r="G876" s="5">
        <v>6917036</v>
      </c>
      <c r="H876" s="5">
        <v>12436699</v>
      </c>
      <c r="I876" s="5">
        <v>0</v>
      </c>
      <c r="J876" s="5">
        <v>266</v>
      </c>
      <c r="L876">
        <f t="shared" si="81"/>
        <v>874</v>
      </c>
      <c r="M876">
        <f>'Real Analysis'!$B$3+B876/1000000</f>
        <v>18.969987000004039</v>
      </c>
      <c r="N876">
        <f t="shared" si="82"/>
        <v>3</v>
      </c>
      <c r="O876">
        <f>IF(ABS(D876)&gt;1,D876/1000000,D876)*'Real Analysis'!$B$4</f>
        <v>0.33355962</v>
      </c>
      <c r="P876">
        <f>IF(ABS(E876)&gt;1,E876/1000000,E876)*'Real Analysis'!$B$4</f>
        <v>-0.10872423000000002</v>
      </c>
      <c r="Q876">
        <f>IF(ABS(F876)&gt;1,F876/1000000,F876)*'Real Analysis'!$B$4</f>
        <v>10.15877493</v>
      </c>
      <c r="R876">
        <f t="shared" si="83"/>
        <v>6.9170360000000004</v>
      </c>
      <c r="S876">
        <f t="shared" si="84"/>
        <v>12.436699000000001</v>
      </c>
      <c r="T876">
        <f t="shared" si="85"/>
        <v>0</v>
      </c>
      <c r="U876">
        <f t="shared" si="86"/>
        <v>0.26600000000000001</v>
      </c>
    </row>
    <row r="877" spans="1:21" x14ac:dyDescent="0.3">
      <c r="A877" s="4">
        <v>875</v>
      </c>
      <c r="B877" s="4">
        <v>-96573009533</v>
      </c>
      <c r="C877" s="5">
        <v>3</v>
      </c>
      <c r="D877" s="5">
        <v>2.4634E-2</v>
      </c>
      <c r="E877" s="5">
        <v>-3.0615E-2</v>
      </c>
      <c r="F877" s="5">
        <v>1000536</v>
      </c>
      <c r="G877" s="5">
        <v>24648212</v>
      </c>
      <c r="H877" s="5">
        <v>12675312</v>
      </c>
      <c r="I877" s="5">
        <v>0</v>
      </c>
      <c r="J877" s="5">
        <v>262</v>
      </c>
      <c r="L877">
        <f t="shared" si="81"/>
        <v>875</v>
      </c>
      <c r="M877">
        <f>'Real Analysis'!$B$3+B877/1000000</f>
        <v>18.990466999995988</v>
      </c>
      <c r="N877">
        <f t="shared" si="82"/>
        <v>3</v>
      </c>
      <c r="O877">
        <f>IF(ABS(D877)&gt;1,D877/1000000,D877)*'Real Analysis'!$B$4</f>
        <v>0.24165954000000001</v>
      </c>
      <c r="P877">
        <f>IF(ABS(E877)&gt;1,E877/1000000,E877)*'Real Analysis'!$B$4</f>
        <v>-0.30033314999999999</v>
      </c>
      <c r="Q877">
        <f>IF(ABS(F877)&gt;1,F877/1000000,F877)*'Real Analysis'!$B$4</f>
        <v>9.8152581600000008</v>
      </c>
      <c r="R877">
        <f t="shared" si="83"/>
        <v>24.648212000000001</v>
      </c>
      <c r="S877">
        <f t="shared" si="84"/>
        <v>12.675312</v>
      </c>
      <c r="T877">
        <f t="shared" si="85"/>
        <v>0</v>
      </c>
      <c r="U877">
        <f t="shared" si="86"/>
        <v>0.26200000000000001</v>
      </c>
    </row>
    <row r="878" spans="1:21" x14ac:dyDescent="0.3">
      <c r="A878" s="4">
        <v>876</v>
      </c>
      <c r="B878" s="4">
        <v>-96572998521</v>
      </c>
      <c r="C878" s="5">
        <v>3</v>
      </c>
      <c r="D878" s="5">
        <v>3.2453999999999997E-2</v>
      </c>
      <c r="E878" s="5">
        <v>-1.6292000000000001E-2</v>
      </c>
      <c r="F878" s="5">
        <v>1002119</v>
      </c>
      <c r="G878" s="5">
        <v>30633125</v>
      </c>
      <c r="H878" s="5">
        <v>20737076</v>
      </c>
      <c r="I878" s="5">
        <v>0</v>
      </c>
      <c r="J878" s="5">
        <v>261</v>
      </c>
      <c r="L878">
        <f t="shared" si="81"/>
        <v>876</v>
      </c>
      <c r="M878">
        <f>'Real Analysis'!$B$3+B878/1000000</f>
        <v>19.001478999998653</v>
      </c>
      <c r="N878">
        <f t="shared" si="82"/>
        <v>3</v>
      </c>
      <c r="O878">
        <f>IF(ABS(D878)&gt;1,D878/1000000,D878)*'Real Analysis'!$B$4</f>
        <v>0.31837373999999996</v>
      </c>
      <c r="P878">
        <f>IF(ABS(E878)&gt;1,E878/1000000,E878)*'Real Analysis'!$B$4</f>
        <v>-0.15982452000000003</v>
      </c>
      <c r="Q878">
        <f>IF(ABS(F878)&gt;1,F878/1000000,F878)*'Real Analysis'!$B$4</f>
        <v>9.8307873900000011</v>
      </c>
      <c r="R878">
        <f t="shared" si="83"/>
        <v>30.633125</v>
      </c>
      <c r="S878">
        <f t="shared" si="84"/>
        <v>20.737075999999998</v>
      </c>
      <c r="T878">
        <f t="shared" si="85"/>
        <v>0</v>
      </c>
      <c r="U878">
        <f t="shared" si="86"/>
        <v>0.26100000000000001</v>
      </c>
    </row>
    <row r="879" spans="1:21" x14ac:dyDescent="0.3">
      <c r="A879" s="4">
        <v>877</v>
      </c>
      <c r="B879" s="4">
        <v>-96572969489</v>
      </c>
      <c r="C879" s="5">
        <v>3</v>
      </c>
      <c r="D879" s="5">
        <v>1.3863E-2</v>
      </c>
      <c r="E879" s="5">
        <v>-3.238E-3</v>
      </c>
      <c r="F879" s="5">
        <v>1003786</v>
      </c>
      <c r="G879" s="5">
        <v>46551556</v>
      </c>
      <c r="H879" s="5">
        <v>26986519</v>
      </c>
      <c r="I879" s="5">
        <v>0</v>
      </c>
      <c r="J879" s="5">
        <v>260</v>
      </c>
      <c r="L879">
        <f t="shared" si="81"/>
        <v>877</v>
      </c>
      <c r="M879">
        <f>'Real Analysis'!$B$3+B879/1000000</f>
        <v>19.030511000004481</v>
      </c>
      <c r="N879">
        <f t="shared" si="82"/>
        <v>3</v>
      </c>
      <c r="O879">
        <f>IF(ABS(D879)&gt;1,D879/1000000,D879)*'Real Analysis'!$B$4</f>
        <v>0.13599603000000002</v>
      </c>
      <c r="P879">
        <f>IF(ABS(E879)&gt;1,E879/1000000,E879)*'Real Analysis'!$B$4</f>
        <v>-3.1764779999999999E-2</v>
      </c>
      <c r="Q879">
        <f>IF(ABS(F879)&gt;1,F879/1000000,F879)*'Real Analysis'!$B$4</f>
        <v>9.8471406600000009</v>
      </c>
      <c r="R879">
        <f t="shared" si="83"/>
        <v>46.551555999999998</v>
      </c>
      <c r="S879">
        <f t="shared" si="84"/>
        <v>26.986519000000001</v>
      </c>
      <c r="T879">
        <f t="shared" si="85"/>
        <v>0</v>
      </c>
      <c r="U879">
        <f t="shared" si="86"/>
        <v>0.26</v>
      </c>
    </row>
    <row r="880" spans="1:21" x14ac:dyDescent="0.3">
      <c r="A880" s="4">
        <v>878</v>
      </c>
      <c r="B880" s="4">
        <v>-96572928735</v>
      </c>
      <c r="C880" s="5">
        <v>3</v>
      </c>
      <c r="D880" s="5">
        <v>1.1795E-2</v>
      </c>
      <c r="E880" s="5">
        <v>-2.421E-3</v>
      </c>
      <c r="F880" s="5">
        <v>1001574</v>
      </c>
      <c r="G880" s="5">
        <v>48729126</v>
      </c>
      <c r="H880" s="5">
        <v>25459478</v>
      </c>
      <c r="I880" s="5">
        <v>0</v>
      </c>
      <c r="J880" s="5">
        <v>260</v>
      </c>
      <c r="L880">
        <f t="shared" si="81"/>
        <v>878</v>
      </c>
      <c r="M880">
        <f>'Real Analysis'!$B$3+B880/1000000</f>
        <v>19.071265000005951</v>
      </c>
      <c r="N880">
        <f t="shared" si="82"/>
        <v>3</v>
      </c>
      <c r="O880">
        <f>IF(ABS(D880)&gt;1,D880/1000000,D880)*'Real Analysis'!$B$4</f>
        <v>0.11570895</v>
      </c>
      <c r="P880">
        <f>IF(ABS(E880)&gt;1,E880/1000000,E880)*'Real Analysis'!$B$4</f>
        <v>-2.3750010000000002E-2</v>
      </c>
      <c r="Q880">
        <f>IF(ABS(F880)&gt;1,F880/1000000,F880)*'Real Analysis'!$B$4</f>
        <v>9.82544094</v>
      </c>
      <c r="R880">
        <f t="shared" si="83"/>
        <v>48.729126000000001</v>
      </c>
      <c r="S880">
        <f t="shared" si="84"/>
        <v>25.459478000000001</v>
      </c>
      <c r="T880">
        <f t="shared" si="85"/>
        <v>0</v>
      </c>
      <c r="U880">
        <f t="shared" si="86"/>
        <v>0.26</v>
      </c>
    </row>
    <row r="881" spans="1:21" x14ac:dyDescent="0.3">
      <c r="A881" s="4">
        <v>879</v>
      </c>
      <c r="B881" s="4">
        <v>-96572912303</v>
      </c>
      <c r="C881" s="5">
        <v>3</v>
      </c>
      <c r="D881" s="5">
        <v>2.8788999999999999E-2</v>
      </c>
      <c r="E881" s="5">
        <v>1.63E-4</v>
      </c>
      <c r="F881" s="5">
        <v>1008975</v>
      </c>
      <c r="G881" s="5">
        <v>56991840</v>
      </c>
      <c r="H881" s="5">
        <v>35104469</v>
      </c>
      <c r="I881" s="5">
        <v>0</v>
      </c>
      <c r="J881" s="5">
        <v>259</v>
      </c>
      <c r="L881">
        <f t="shared" si="81"/>
        <v>879</v>
      </c>
      <c r="M881">
        <f>'Real Analysis'!$B$3+B881/1000000</f>
        <v>19.087696999995387</v>
      </c>
      <c r="N881">
        <f t="shared" si="82"/>
        <v>3</v>
      </c>
      <c r="O881">
        <f>IF(ABS(D881)&gt;1,D881/1000000,D881)*'Real Analysis'!$B$4</f>
        <v>0.28242009000000001</v>
      </c>
      <c r="P881">
        <f>IF(ABS(E881)&gt;1,E881/1000000,E881)*'Real Analysis'!$B$4</f>
        <v>1.5990300000000002E-3</v>
      </c>
      <c r="Q881">
        <f>IF(ABS(F881)&gt;1,F881/1000000,F881)*'Real Analysis'!$B$4</f>
        <v>9.8980447500000004</v>
      </c>
      <c r="R881">
        <f t="shared" si="83"/>
        <v>56.991840000000003</v>
      </c>
      <c r="S881">
        <f t="shared" si="84"/>
        <v>35.104469000000002</v>
      </c>
      <c r="T881">
        <f t="shared" si="85"/>
        <v>0</v>
      </c>
      <c r="U881">
        <f t="shared" si="86"/>
        <v>0.25900000000000001</v>
      </c>
    </row>
    <row r="882" spans="1:21" x14ac:dyDescent="0.3">
      <c r="A882" s="4">
        <v>880</v>
      </c>
      <c r="B882" s="4">
        <v>-96572890582</v>
      </c>
      <c r="C882" s="5">
        <v>3</v>
      </c>
      <c r="D882" s="5">
        <v>1.9446000000000001E-2</v>
      </c>
      <c r="E882" s="5">
        <v>1.6095999999999999E-2</v>
      </c>
      <c r="F882" s="5">
        <v>1017898</v>
      </c>
      <c r="G882" s="5">
        <v>81036942</v>
      </c>
      <c r="H882" s="5">
        <v>33179543</v>
      </c>
      <c r="I882" s="5">
        <v>0</v>
      </c>
      <c r="J882" s="5">
        <v>258</v>
      </c>
      <c r="L882">
        <f t="shared" si="81"/>
        <v>880</v>
      </c>
      <c r="M882">
        <f>'Real Analysis'!$B$3+B882/1000000</f>
        <v>19.109417999992729</v>
      </c>
      <c r="N882">
        <f t="shared" si="82"/>
        <v>3</v>
      </c>
      <c r="O882">
        <f>IF(ABS(D882)&gt;1,D882/1000000,D882)*'Real Analysis'!$B$4</f>
        <v>0.19076526000000002</v>
      </c>
      <c r="P882">
        <f>IF(ABS(E882)&gt;1,E882/1000000,E882)*'Real Analysis'!$B$4</f>
        <v>0.15790176</v>
      </c>
      <c r="Q882">
        <f>IF(ABS(F882)&gt;1,F882/1000000,F882)*'Real Analysis'!$B$4</f>
        <v>9.9855793800000008</v>
      </c>
      <c r="R882">
        <f t="shared" si="83"/>
        <v>81.036941999999996</v>
      </c>
      <c r="S882">
        <f t="shared" si="84"/>
        <v>33.179543000000002</v>
      </c>
      <c r="T882">
        <f t="shared" si="85"/>
        <v>0</v>
      </c>
      <c r="U882">
        <f t="shared" si="86"/>
        <v>0.25800000000000001</v>
      </c>
    </row>
    <row r="883" spans="1:21" x14ac:dyDescent="0.3">
      <c r="A883" s="4">
        <v>881</v>
      </c>
      <c r="B883" s="4">
        <v>-96572878974</v>
      </c>
      <c r="C883" s="5">
        <v>3</v>
      </c>
      <c r="D883" s="5">
        <v>3.2682000000000003E-2</v>
      </c>
      <c r="E883" s="5">
        <v>2.0268999999999999E-2</v>
      </c>
      <c r="F883" s="5">
        <v>1013879</v>
      </c>
      <c r="G883" s="5">
        <v>87077194</v>
      </c>
      <c r="H883" s="5">
        <v>38260139</v>
      </c>
      <c r="I883" s="5">
        <v>0</v>
      </c>
      <c r="J883" s="5">
        <v>258</v>
      </c>
      <c r="L883">
        <f t="shared" si="81"/>
        <v>881</v>
      </c>
      <c r="M883">
        <f>'Real Analysis'!$B$3+B883/1000000</f>
        <v>19.121025999993435</v>
      </c>
      <c r="N883">
        <f t="shared" si="82"/>
        <v>3</v>
      </c>
      <c r="O883">
        <f>IF(ABS(D883)&gt;1,D883/1000000,D883)*'Real Analysis'!$B$4</f>
        <v>0.32061042000000006</v>
      </c>
      <c r="P883">
        <f>IF(ABS(E883)&gt;1,E883/1000000,E883)*'Real Analysis'!$B$4</f>
        <v>0.19883888999999999</v>
      </c>
      <c r="Q883">
        <f>IF(ABS(F883)&gt;1,F883/1000000,F883)*'Real Analysis'!$B$4</f>
        <v>9.9461529899999999</v>
      </c>
      <c r="R883">
        <f t="shared" si="83"/>
        <v>87.077194000000006</v>
      </c>
      <c r="S883">
        <f t="shared" si="84"/>
        <v>38.260139000000002</v>
      </c>
      <c r="T883">
        <f t="shared" si="85"/>
        <v>0</v>
      </c>
      <c r="U883">
        <f t="shared" si="86"/>
        <v>0.25800000000000001</v>
      </c>
    </row>
    <row r="884" spans="1:21" x14ac:dyDescent="0.3">
      <c r="A884" s="4">
        <v>882</v>
      </c>
      <c r="B884" s="4">
        <v>-96572864086</v>
      </c>
      <c r="C884" s="5">
        <v>3</v>
      </c>
      <c r="D884" s="5">
        <v>4.4003E-2</v>
      </c>
      <c r="E884" s="5">
        <v>1.2154999999999999E-2</v>
      </c>
      <c r="F884" s="5">
        <v>1021133</v>
      </c>
      <c r="G884" s="5">
        <v>95326942</v>
      </c>
      <c r="H884" s="5">
        <v>42844910</v>
      </c>
      <c r="I884" s="5">
        <v>0</v>
      </c>
      <c r="J884" s="5">
        <v>258</v>
      </c>
      <c r="L884">
        <f t="shared" si="81"/>
        <v>882</v>
      </c>
      <c r="M884">
        <f>'Real Analysis'!$B$3+B884/1000000</f>
        <v>19.135913999998593</v>
      </c>
      <c r="N884">
        <f t="shared" si="82"/>
        <v>3</v>
      </c>
      <c r="O884">
        <f>IF(ABS(D884)&gt;1,D884/1000000,D884)*'Real Analysis'!$B$4</f>
        <v>0.43166943000000002</v>
      </c>
      <c r="P884">
        <f>IF(ABS(E884)&gt;1,E884/1000000,E884)*'Real Analysis'!$B$4</f>
        <v>0.11924055</v>
      </c>
      <c r="Q884">
        <f>IF(ABS(F884)&gt;1,F884/1000000,F884)*'Real Analysis'!$B$4</f>
        <v>10.017314730000001</v>
      </c>
      <c r="R884">
        <f t="shared" si="83"/>
        <v>95.326942000000003</v>
      </c>
      <c r="S884">
        <f t="shared" si="84"/>
        <v>42.844909999999999</v>
      </c>
      <c r="T884">
        <f t="shared" si="85"/>
        <v>0</v>
      </c>
      <c r="U884">
        <f t="shared" si="86"/>
        <v>0.25800000000000001</v>
      </c>
    </row>
    <row r="885" spans="1:21" x14ac:dyDescent="0.3">
      <c r="A885" s="4">
        <v>883</v>
      </c>
      <c r="B885" s="4">
        <v>-96572807617</v>
      </c>
      <c r="C885" s="5">
        <v>3</v>
      </c>
      <c r="D885" s="5">
        <v>4.0286000000000002E-2</v>
      </c>
      <c r="E885" s="5">
        <v>2.0179999999999998E-3</v>
      </c>
      <c r="F885" s="5">
        <v>1017023</v>
      </c>
      <c r="G885" s="5">
        <v>100110878</v>
      </c>
      <c r="H885" s="5">
        <v>45019005</v>
      </c>
      <c r="I885" s="5">
        <v>0</v>
      </c>
      <c r="J885" s="5">
        <v>258</v>
      </c>
      <c r="L885">
        <f t="shared" si="81"/>
        <v>883</v>
      </c>
      <c r="M885">
        <f>'Real Analysis'!$B$3+B885/1000000</f>
        <v>19.192383000001428</v>
      </c>
      <c r="N885">
        <f t="shared" si="82"/>
        <v>3</v>
      </c>
      <c r="O885">
        <f>IF(ABS(D885)&gt;1,D885/1000000,D885)*'Real Analysis'!$B$4</f>
        <v>0.39520566000000007</v>
      </c>
      <c r="P885">
        <f>IF(ABS(E885)&gt;1,E885/1000000,E885)*'Real Analysis'!$B$4</f>
        <v>1.9796579999999998E-2</v>
      </c>
      <c r="Q885">
        <f>IF(ABS(F885)&gt;1,F885/1000000,F885)*'Real Analysis'!$B$4</f>
        <v>9.9769956300000011</v>
      </c>
      <c r="R885">
        <f t="shared" si="83"/>
        <v>100.110878</v>
      </c>
      <c r="S885">
        <f t="shared" si="84"/>
        <v>45.019005</v>
      </c>
      <c r="T885">
        <f t="shared" si="85"/>
        <v>0</v>
      </c>
      <c r="U885">
        <f t="shared" si="86"/>
        <v>0.25800000000000001</v>
      </c>
    </row>
    <row r="886" spans="1:21" x14ac:dyDescent="0.3">
      <c r="A886" s="4">
        <v>884</v>
      </c>
      <c r="B886" s="4">
        <v>-96572789957</v>
      </c>
      <c r="C886" s="5">
        <v>3</v>
      </c>
      <c r="D886" s="5">
        <v>3.4963000000000001E-2</v>
      </c>
      <c r="E886" s="5">
        <v>-2.4219000000000001E-2</v>
      </c>
      <c r="F886" s="5">
        <v>1040455</v>
      </c>
      <c r="G886" s="5">
        <v>114302521</v>
      </c>
      <c r="H886" s="5">
        <v>50057072</v>
      </c>
      <c r="I886" s="5">
        <v>0</v>
      </c>
      <c r="J886" s="5">
        <v>258</v>
      </c>
      <c r="L886">
        <f t="shared" si="81"/>
        <v>884</v>
      </c>
      <c r="M886">
        <f>'Real Analysis'!$B$3+B886/1000000</f>
        <v>19.210042999999132</v>
      </c>
      <c r="N886">
        <f t="shared" si="82"/>
        <v>3</v>
      </c>
      <c r="O886">
        <f>IF(ABS(D886)&gt;1,D886/1000000,D886)*'Real Analysis'!$B$4</f>
        <v>0.34298703000000003</v>
      </c>
      <c r="P886">
        <f>IF(ABS(E886)&gt;1,E886/1000000,E886)*'Real Analysis'!$B$4</f>
        <v>-0.23758839000000001</v>
      </c>
      <c r="Q886">
        <f>IF(ABS(F886)&gt;1,F886/1000000,F886)*'Real Analysis'!$B$4</f>
        <v>10.20686355</v>
      </c>
      <c r="R886">
        <f t="shared" si="83"/>
        <v>114.302521</v>
      </c>
      <c r="S886">
        <f t="shared" si="84"/>
        <v>50.057071999999998</v>
      </c>
      <c r="T886">
        <f t="shared" si="85"/>
        <v>0</v>
      </c>
      <c r="U886">
        <f t="shared" si="86"/>
        <v>0.25800000000000001</v>
      </c>
    </row>
    <row r="887" spans="1:21" x14ac:dyDescent="0.3">
      <c r="A887" s="4">
        <v>885</v>
      </c>
      <c r="B887" s="4">
        <v>-96572730052</v>
      </c>
      <c r="C887" s="5">
        <v>3</v>
      </c>
      <c r="D887" s="5">
        <v>2.9339E-2</v>
      </c>
      <c r="E887" s="5">
        <v>-3.5063999999999998E-2</v>
      </c>
      <c r="F887" s="5">
        <v>1038309</v>
      </c>
      <c r="G887" s="5">
        <v>116776642</v>
      </c>
      <c r="H887" s="5">
        <v>50341637</v>
      </c>
      <c r="I887" s="5">
        <v>0</v>
      </c>
      <c r="J887" s="5">
        <v>258</v>
      </c>
      <c r="L887">
        <f t="shared" si="81"/>
        <v>885</v>
      </c>
      <c r="M887">
        <f>'Real Analysis'!$B$3+B887/1000000</f>
        <v>19.269948000001023</v>
      </c>
      <c r="N887">
        <f t="shared" si="82"/>
        <v>3</v>
      </c>
      <c r="O887">
        <f>IF(ABS(D887)&gt;1,D887/1000000,D887)*'Real Analysis'!$B$4</f>
        <v>0.28781559000000001</v>
      </c>
      <c r="P887">
        <f>IF(ABS(E887)&gt;1,E887/1000000,E887)*'Real Analysis'!$B$4</f>
        <v>-0.34397783999999998</v>
      </c>
      <c r="Q887">
        <f>IF(ABS(F887)&gt;1,F887/1000000,F887)*'Real Analysis'!$B$4</f>
        <v>10.18581129</v>
      </c>
      <c r="R887">
        <f t="shared" si="83"/>
        <v>116.776642</v>
      </c>
      <c r="S887">
        <f t="shared" si="84"/>
        <v>50.341636999999999</v>
      </c>
      <c r="T887">
        <f t="shared" si="85"/>
        <v>0</v>
      </c>
      <c r="U887">
        <f t="shared" si="86"/>
        <v>0.25800000000000001</v>
      </c>
    </row>
    <row r="888" spans="1:21" x14ac:dyDescent="0.3">
      <c r="A888" s="4">
        <v>886</v>
      </c>
      <c r="B888" s="4">
        <v>-96572722114</v>
      </c>
      <c r="C888" s="5">
        <v>3</v>
      </c>
      <c r="D888" s="5">
        <v>1.7330000000000002E-2</v>
      </c>
      <c r="E888" s="5">
        <v>-3.3588E-2</v>
      </c>
      <c r="F888" s="5">
        <v>1034419</v>
      </c>
      <c r="G888" s="5">
        <v>118697540</v>
      </c>
      <c r="H888" s="5">
        <v>50597248</v>
      </c>
      <c r="I888" s="5">
        <v>0</v>
      </c>
      <c r="J888" s="5">
        <v>257</v>
      </c>
      <c r="L888">
        <f t="shared" si="81"/>
        <v>886</v>
      </c>
      <c r="M888">
        <f>'Real Analysis'!$B$3+B888/1000000</f>
        <v>19.277885999996215</v>
      </c>
      <c r="N888">
        <f t="shared" si="82"/>
        <v>3</v>
      </c>
      <c r="O888">
        <f>IF(ABS(D888)&gt;1,D888/1000000,D888)*'Real Analysis'!$B$4</f>
        <v>0.17000730000000003</v>
      </c>
      <c r="P888">
        <f>IF(ABS(E888)&gt;1,E888/1000000,E888)*'Real Analysis'!$B$4</f>
        <v>-0.32949828000000003</v>
      </c>
      <c r="Q888">
        <f>IF(ABS(F888)&gt;1,F888/1000000,F888)*'Real Analysis'!$B$4</f>
        <v>10.147650390000001</v>
      </c>
      <c r="R888">
        <f t="shared" si="83"/>
        <v>118.69754</v>
      </c>
      <c r="S888">
        <f t="shared" si="84"/>
        <v>50.597248</v>
      </c>
      <c r="T888">
        <f t="shared" si="85"/>
        <v>0</v>
      </c>
      <c r="U888">
        <f t="shared" si="86"/>
        <v>0.25700000000000001</v>
      </c>
    </row>
    <row r="889" spans="1:21" x14ac:dyDescent="0.3">
      <c r="A889" s="4">
        <v>887</v>
      </c>
      <c r="B889" s="4">
        <v>-96572669308</v>
      </c>
      <c r="C889" s="5">
        <v>3</v>
      </c>
      <c r="D889" s="5">
        <v>2.3164000000000001E-2</v>
      </c>
      <c r="E889" s="5">
        <v>-3.687E-2</v>
      </c>
      <c r="F889" s="5">
        <v>1042471</v>
      </c>
      <c r="G889" s="5">
        <v>120558983</v>
      </c>
      <c r="H889" s="5">
        <v>50737514</v>
      </c>
      <c r="I889" s="5">
        <v>0</v>
      </c>
      <c r="J889" s="5">
        <v>257</v>
      </c>
      <c r="L889">
        <f t="shared" si="81"/>
        <v>887</v>
      </c>
      <c r="M889">
        <f>'Real Analysis'!$B$3+B889/1000000</f>
        <v>19.330692000003182</v>
      </c>
      <c r="N889">
        <f t="shared" si="82"/>
        <v>3</v>
      </c>
      <c r="O889">
        <f>IF(ABS(D889)&gt;1,D889/1000000,D889)*'Real Analysis'!$B$4</f>
        <v>0.22723884000000003</v>
      </c>
      <c r="P889">
        <f>IF(ABS(E889)&gt;1,E889/1000000,E889)*'Real Analysis'!$B$4</f>
        <v>-0.36169470000000004</v>
      </c>
      <c r="Q889">
        <f>IF(ABS(F889)&gt;1,F889/1000000,F889)*'Real Analysis'!$B$4</f>
        <v>10.226640509999999</v>
      </c>
      <c r="R889">
        <f t="shared" si="83"/>
        <v>120.558983</v>
      </c>
      <c r="S889">
        <f t="shared" si="84"/>
        <v>50.737513999999997</v>
      </c>
      <c r="T889">
        <f t="shared" si="85"/>
        <v>0</v>
      </c>
      <c r="U889">
        <f t="shared" si="86"/>
        <v>0.25700000000000001</v>
      </c>
    </row>
    <row r="890" spans="1:21" x14ac:dyDescent="0.3">
      <c r="A890" s="4">
        <v>888</v>
      </c>
      <c r="B890" s="4">
        <v>-96572652525</v>
      </c>
      <c r="C890" s="5">
        <v>3</v>
      </c>
      <c r="D890" s="5">
        <v>2.1831E-2</v>
      </c>
      <c r="E890" s="5">
        <v>-1.8679000000000001E-2</v>
      </c>
      <c r="F890" s="5">
        <v>1033828</v>
      </c>
      <c r="G890" s="5">
        <v>128009506</v>
      </c>
      <c r="H890" s="5">
        <v>48209930</v>
      </c>
      <c r="I890" s="5">
        <v>0</v>
      </c>
      <c r="J890" s="5">
        <v>256</v>
      </c>
      <c r="L890">
        <f t="shared" si="81"/>
        <v>888</v>
      </c>
      <c r="M890">
        <f>'Real Analysis'!$B$3+B890/1000000</f>
        <v>19.347475000002305</v>
      </c>
      <c r="N890">
        <f t="shared" si="82"/>
        <v>3</v>
      </c>
      <c r="O890">
        <f>IF(ABS(D890)&gt;1,D890/1000000,D890)*'Real Analysis'!$B$4</f>
        <v>0.21416211000000002</v>
      </c>
      <c r="P890">
        <f>IF(ABS(E890)&gt;1,E890/1000000,E890)*'Real Analysis'!$B$4</f>
        <v>-0.18324099000000002</v>
      </c>
      <c r="Q890">
        <f>IF(ABS(F890)&gt;1,F890/1000000,F890)*'Real Analysis'!$B$4</f>
        <v>10.14185268</v>
      </c>
      <c r="R890">
        <f t="shared" si="83"/>
        <v>128.00950599999999</v>
      </c>
      <c r="S890">
        <f t="shared" si="84"/>
        <v>48.20993</v>
      </c>
      <c r="T890">
        <f t="shared" si="85"/>
        <v>0</v>
      </c>
      <c r="U890">
        <f t="shared" si="86"/>
        <v>0.25600000000000001</v>
      </c>
    </row>
    <row r="891" spans="1:21" x14ac:dyDescent="0.3">
      <c r="A891" s="4">
        <v>889</v>
      </c>
      <c r="B891" s="4">
        <v>-96572587834</v>
      </c>
      <c r="C891" s="5">
        <v>3</v>
      </c>
      <c r="D891" s="5">
        <v>-0.72015899999999999</v>
      </c>
      <c r="E891" s="5">
        <v>-9.1183E-2</v>
      </c>
      <c r="F891" s="5">
        <v>0.933388</v>
      </c>
      <c r="G891" s="5">
        <v>89615593</v>
      </c>
      <c r="H891" s="5">
        <v>26762596</v>
      </c>
      <c r="I891" s="5">
        <v>0</v>
      </c>
      <c r="J891" s="5">
        <v>254</v>
      </c>
      <c r="L891">
        <f t="shared" si="81"/>
        <v>889</v>
      </c>
      <c r="M891">
        <f>'Real Analysis'!$B$3+B891/1000000</f>
        <v>19.412165999994613</v>
      </c>
      <c r="N891">
        <f t="shared" si="82"/>
        <v>3</v>
      </c>
      <c r="O891">
        <f>IF(ABS(D891)&gt;1,D891/1000000,D891)*'Real Analysis'!$B$4</f>
        <v>-7.0647597900000001</v>
      </c>
      <c r="P891">
        <f>IF(ABS(E891)&gt;1,E891/1000000,E891)*'Real Analysis'!$B$4</f>
        <v>-0.89450523000000004</v>
      </c>
      <c r="Q891">
        <f>IF(ABS(F891)&gt;1,F891/1000000,F891)*'Real Analysis'!$B$4</f>
        <v>9.156536280000001</v>
      </c>
      <c r="R891">
        <f t="shared" si="83"/>
        <v>89.615593000000004</v>
      </c>
      <c r="S891">
        <f t="shared" si="84"/>
        <v>26.762595999999998</v>
      </c>
      <c r="T891">
        <f t="shared" si="85"/>
        <v>0</v>
      </c>
      <c r="U891">
        <f t="shared" si="86"/>
        <v>0.254</v>
      </c>
    </row>
    <row r="892" spans="1:21" x14ac:dyDescent="0.3">
      <c r="A892" s="4">
        <v>890</v>
      </c>
      <c r="B892" s="4">
        <v>-96572583183</v>
      </c>
      <c r="C892" s="5">
        <v>3</v>
      </c>
      <c r="D892" s="5">
        <v>7.8117000000000006E-2</v>
      </c>
      <c r="E892" s="5">
        <v>5.0532000000000001E-2</v>
      </c>
      <c r="F892" s="5">
        <v>1035545</v>
      </c>
      <c r="G892" s="5">
        <v>-92414398</v>
      </c>
      <c r="H892" s="5">
        <v>14230135</v>
      </c>
      <c r="I892" s="5">
        <v>0</v>
      </c>
      <c r="J892" s="5">
        <v>254</v>
      </c>
      <c r="L892">
        <f t="shared" si="81"/>
        <v>890</v>
      </c>
      <c r="M892">
        <f>'Real Analysis'!$B$3+B892/1000000</f>
        <v>19.416817000004812</v>
      </c>
      <c r="N892">
        <f t="shared" si="82"/>
        <v>3</v>
      </c>
      <c r="O892">
        <f>IF(ABS(D892)&gt;1,D892/1000000,D892)*'Real Analysis'!$B$4</f>
        <v>0.76632777000000007</v>
      </c>
      <c r="P892">
        <f>IF(ABS(E892)&gt;1,E892/1000000,E892)*'Real Analysis'!$B$4</f>
        <v>0.49571892000000001</v>
      </c>
      <c r="Q892">
        <f>IF(ABS(F892)&gt;1,F892/1000000,F892)*'Real Analysis'!$B$4</f>
        <v>10.158696450000001</v>
      </c>
      <c r="R892">
        <f t="shared" si="83"/>
        <v>-92.414398000000006</v>
      </c>
      <c r="S892">
        <f t="shared" si="84"/>
        <v>14.230135000000001</v>
      </c>
      <c r="T892">
        <f t="shared" si="85"/>
        <v>0</v>
      </c>
      <c r="U892">
        <f t="shared" si="86"/>
        <v>0.254</v>
      </c>
    </row>
    <row r="893" spans="1:21" x14ac:dyDescent="0.3">
      <c r="A893" s="4">
        <v>891</v>
      </c>
      <c r="B893" s="4">
        <v>-96572529986</v>
      </c>
      <c r="C893" s="5">
        <v>3</v>
      </c>
      <c r="D893" s="5">
        <v>1.1188E-2</v>
      </c>
      <c r="E893" s="5">
        <v>-5.1219999999999998E-3</v>
      </c>
      <c r="F893" s="5">
        <v>1006305</v>
      </c>
      <c r="G893" s="5">
        <v>-90879097</v>
      </c>
      <c r="H893" s="5">
        <v>-13334966</v>
      </c>
      <c r="I893" s="5">
        <v>0</v>
      </c>
      <c r="J893" s="5">
        <v>254</v>
      </c>
      <c r="L893">
        <f t="shared" si="81"/>
        <v>891</v>
      </c>
      <c r="M893">
        <f>'Real Analysis'!$B$3+B893/1000000</f>
        <v>19.470014000005904</v>
      </c>
      <c r="N893">
        <f t="shared" si="82"/>
        <v>3</v>
      </c>
      <c r="O893">
        <f>IF(ABS(D893)&gt;1,D893/1000000,D893)*'Real Analysis'!$B$4</f>
        <v>0.10975428000000001</v>
      </c>
      <c r="P893">
        <f>IF(ABS(E893)&gt;1,E893/1000000,E893)*'Real Analysis'!$B$4</f>
        <v>-5.0246819999999998E-2</v>
      </c>
      <c r="Q893">
        <f>IF(ABS(F893)&gt;1,F893/1000000,F893)*'Real Analysis'!$B$4</f>
        <v>9.8718520500000011</v>
      </c>
      <c r="R893">
        <f t="shared" si="83"/>
        <v>-90.879097000000002</v>
      </c>
      <c r="S893">
        <f t="shared" si="84"/>
        <v>-13.334966</v>
      </c>
      <c r="T893">
        <f t="shared" si="85"/>
        <v>0</v>
      </c>
      <c r="U893">
        <f t="shared" si="86"/>
        <v>0.254</v>
      </c>
    </row>
    <row r="894" spans="1:21" x14ac:dyDescent="0.3">
      <c r="A894" s="4">
        <v>892</v>
      </c>
      <c r="B894" s="4">
        <v>-96572526531</v>
      </c>
      <c r="C894" s="5">
        <v>3</v>
      </c>
      <c r="D894" s="5">
        <v>1.1575999999999999E-2</v>
      </c>
      <c r="E894" s="5">
        <v>1.8817E-2</v>
      </c>
      <c r="F894" s="5">
        <v>1010329</v>
      </c>
      <c r="G894" s="5">
        <v>-90356529</v>
      </c>
      <c r="H894" s="5">
        <v>-14719250</v>
      </c>
      <c r="I894" s="5">
        <v>0</v>
      </c>
      <c r="J894" s="5">
        <v>254</v>
      </c>
      <c r="L894">
        <f t="shared" si="81"/>
        <v>892</v>
      </c>
      <c r="M894">
        <f>'Real Analysis'!$B$3+B894/1000000</f>
        <v>19.473469000004116</v>
      </c>
      <c r="N894">
        <f t="shared" si="82"/>
        <v>3</v>
      </c>
      <c r="O894">
        <f>IF(ABS(D894)&gt;1,D894/1000000,D894)*'Real Analysis'!$B$4</f>
        <v>0.11356056</v>
      </c>
      <c r="P894">
        <f>IF(ABS(E894)&gt;1,E894/1000000,E894)*'Real Analysis'!$B$4</f>
        <v>0.18459477000000002</v>
      </c>
      <c r="Q894">
        <f>IF(ABS(F894)&gt;1,F894/1000000,F894)*'Real Analysis'!$B$4</f>
        <v>9.9113274900000015</v>
      </c>
      <c r="R894">
        <f t="shared" si="83"/>
        <v>-90.356528999999995</v>
      </c>
      <c r="S894">
        <f t="shared" si="84"/>
        <v>-14.719250000000001</v>
      </c>
      <c r="T894">
        <f t="shared" si="85"/>
        <v>0</v>
      </c>
      <c r="U894">
        <f t="shared" si="86"/>
        <v>0.254</v>
      </c>
    </row>
    <row r="895" spans="1:21" x14ac:dyDescent="0.3">
      <c r="A895" s="4">
        <v>893</v>
      </c>
      <c r="B895" s="4">
        <v>-96572441534</v>
      </c>
      <c r="C895" s="5">
        <v>3</v>
      </c>
      <c r="D895" s="5">
        <v>-2.4849999999999998E-3</v>
      </c>
      <c r="E895" s="5">
        <v>5.6397999999999997E-2</v>
      </c>
      <c r="F895" s="5">
        <v>1029975</v>
      </c>
      <c r="G895" s="5">
        <v>-88540932</v>
      </c>
      <c r="H895" s="5">
        <v>-14645991</v>
      </c>
      <c r="I895" s="5">
        <v>0</v>
      </c>
      <c r="J895" s="5">
        <v>253</v>
      </c>
      <c r="L895">
        <f t="shared" si="81"/>
        <v>893</v>
      </c>
      <c r="M895">
        <f>'Real Analysis'!$B$3+B895/1000000</f>
        <v>19.558466000002227</v>
      </c>
      <c r="N895">
        <f t="shared" si="82"/>
        <v>3</v>
      </c>
      <c r="O895">
        <f>IF(ABS(D895)&gt;1,D895/1000000,D895)*'Real Analysis'!$B$4</f>
        <v>-2.437785E-2</v>
      </c>
      <c r="P895">
        <f>IF(ABS(E895)&gt;1,E895/1000000,E895)*'Real Analysis'!$B$4</f>
        <v>0.55326438</v>
      </c>
      <c r="Q895">
        <f>IF(ABS(F895)&gt;1,F895/1000000,F895)*'Real Analysis'!$B$4</f>
        <v>10.104054750000001</v>
      </c>
      <c r="R895">
        <f t="shared" si="83"/>
        <v>-88.540931999999998</v>
      </c>
      <c r="S895">
        <f t="shared" si="84"/>
        <v>-14.645991</v>
      </c>
      <c r="T895">
        <f t="shared" si="85"/>
        <v>0</v>
      </c>
      <c r="U895">
        <f t="shared" si="86"/>
        <v>0.253</v>
      </c>
    </row>
    <row r="896" spans="1:21" x14ac:dyDescent="0.3">
      <c r="A896" s="4">
        <v>894</v>
      </c>
      <c r="B896" s="4">
        <v>-96572391172</v>
      </c>
      <c r="C896" s="5">
        <v>3</v>
      </c>
      <c r="D896" s="5">
        <v>-9.7949999999999999E-3</v>
      </c>
      <c r="E896" s="5">
        <v>4.1645000000000001E-2</v>
      </c>
      <c r="F896" s="5">
        <v>1013435</v>
      </c>
      <c r="G896" s="5">
        <v>-88529724</v>
      </c>
      <c r="H896" s="5">
        <v>-13988299</v>
      </c>
      <c r="I896" s="5">
        <v>0</v>
      </c>
      <c r="J896" s="5">
        <v>253</v>
      </c>
      <c r="L896">
        <f t="shared" si="81"/>
        <v>894</v>
      </c>
      <c r="M896">
        <f>'Real Analysis'!$B$3+B896/1000000</f>
        <v>19.60882799999672</v>
      </c>
      <c r="N896">
        <f t="shared" si="82"/>
        <v>3</v>
      </c>
      <c r="O896">
        <f>IF(ABS(D896)&gt;1,D896/1000000,D896)*'Real Analysis'!$B$4</f>
        <v>-9.6088950000000006E-2</v>
      </c>
      <c r="P896">
        <f>IF(ABS(E896)&gt;1,E896/1000000,E896)*'Real Analysis'!$B$4</f>
        <v>0.40853745000000002</v>
      </c>
      <c r="Q896">
        <f>IF(ABS(F896)&gt;1,F896/1000000,F896)*'Real Analysis'!$B$4</f>
        <v>9.9417973500000016</v>
      </c>
      <c r="R896">
        <f t="shared" si="83"/>
        <v>-88.529724000000002</v>
      </c>
      <c r="S896">
        <f t="shared" si="84"/>
        <v>-13.988299</v>
      </c>
      <c r="T896">
        <f t="shared" si="85"/>
        <v>0</v>
      </c>
      <c r="U896">
        <f t="shared" si="86"/>
        <v>0.253</v>
      </c>
    </row>
    <row r="897" spans="1:21" x14ac:dyDescent="0.3">
      <c r="A897" s="4">
        <v>895</v>
      </c>
      <c r="B897" s="4">
        <v>-96572383744</v>
      </c>
      <c r="C897" s="5">
        <v>3</v>
      </c>
      <c r="D897" s="5">
        <v>-3.7469999999999999E-3</v>
      </c>
      <c r="E897" s="5">
        <v>4.8847000000000002E-2</v>
      </c>
      <c r="F897" s="5">
        <v>1016554</v>
      </c>
      <c r="G897" s="5">
        <v>-88545387</v>
      </c>
      <c r="H897" s="5">
        <v>-14240076</v>
      </c>
      <c r="I897" s="5">
        <v>0</v>
      </c>
      <c r="J897" s="5">
        <v>253</v>
      </c>
      <c r="L897">
        <f t="shared" si="81"/>
        <v>895</v>
      </c>
      <c r="M897">
        <f>'Real Analysis'!$B$3+B897/1000000</f>
        <v>19.616255999993882</v>
      </c>
      <c r="N897">
        <f t="shared" si="82"/>
        <v>3</v>
      </c>
      <c r="O897">
        <f>IF(ABS(D897)&gt;1,D897/1000000,D897)*'Real Analysis'!$B$4</f>
        <v>-3.6758070000000004E-2</v>
      </c>
      <c r="P897">
        <f>IF(ABS(E897)&gt;1,E897/1000000,E897)*'Real Analysis'!$B$4</f>
        <v>0.47918907000000005</v>
      </c>
      <c r="Q897">
        <f>IF(ABS(F897)&gt;1,F897/1000000,F897)*'Real Analysis'!$B$4</f>
        <v>9.9723947400000004</v>
      </c>
      <c r="R897">
        <f t="shared" si="83"/>
        <v>-88.545387000000005</v>
      </c>
      <c r="S897">
        <f t="shared" si="84"/>
        <v>-14.240076</v>
      </c>
      <c r="T897">
        <f t="shared" si="85"/>
        <v>0</v>
      </c>
      <c r="U897">
        <f t="shared" si="86"/>
        <v>0.253</v>
      </c>
    </row>
    <row r="898" spans="1:21" x14ac:dyDescent="0.3">
      <c r="A898" s="4">
        <v>896</v>
      </c>
      <c r="B898" s="4">
        <v>-96572318483</v>
      </c>
      <c r="C898" s="5">
        <v>3</v>
      </c>
      <c r="D898" s="5">
        <v>3.6336E-2</v>
      </c>
      <c r="E898" s="5">
        <v>0.11940000000000001</v>
      </c>
      <c r="F898" s="5">
        <v>0.99178999999999995</v>
      </c>
      <c r="G898" s="5">
        <v>-81873001</v>
      </c>
      <c r="H898" s="5">
        <v>6295041</v>
      </c>
      <c r="I898" s="5">
        <v>0</v>
      </c>
      <c r="J898" s="5">
        <v>252</v>
      </c>
      <c r="L898">
        <f t="shared" si="81"/>
        <v>896</v>
      </c>
      <c r="M898">
        <f>'Real Analysis'!$B$3+B898/1000000</f>
        <v>19.681517000004533</v>
      </c>
      <c r="N898">
        <f t="shared" si="82"/>
        <v>3</v>
      </c>
      <c r="O898">
        <f>IF(ABS(D898)&gt;1,D898/1000000,D898)*'Real Analysis'!$B$4</f>
        <v>0.35645616000000002</v>
      </c>
      <c r="P898">
        <f>IF(ABS(E898)&gt;1,E898/1000000,E898)*'Real Analysis'!$B$4</f>
        <v>1.1713140000000002</v>
      </c>
      <c r="Q898">
        <f>IF(ABS(F898)&gt;1,F898/1000000,F898)*'Real Analysis'!$B$4</f>
        <v>9.7294599000000002</v>
      </c>
      <c r="R898">
        <f t="shared" si="83"/>
        <v>-81.873001000000002</v>
      </c>
      <c r="S898">
        <f t="shared" si="84"/>
        <v>6.2950410000000003</v>
      </c>
      <c r="T898">
        <f t="shared" si="85"/>
        <v>0</v>
      </c>
      <c r="U898">
        <f t="shared" si="86"/>
        <v>0.252</v>
      </c>
    </row>
    <row r="899" spans="1:21" x14ac:dyDescent="0.3">
      <c r="A899" s="4">
        <v>897</v>
      </c>
      <c r="B899" s="4">
        <v>-96572245425</v>
      </c>
      <c r="C899" s="5">
        <v>3</v>
      </c>
      <c r="D899" s="5">
        <v>2.9593000000000001E-2</v>
      </c>
      <c r="E899" s="5">
        <v>9.7327999999999998E-2</v>
      </c>
      <c r="F899" s="5">
        <v>0.99387199999999998</v>
      </c>
      <c r="G899" s="5">
        <v>-80727119</v>
      </c>
      <c r="H899" s="5">
        <v>7752623</v>
      </c>
      <c r="I899" s="5">
        <v>0</v>
      </c>
      <c r="J899" s="5">
        <v>251</v>
      </c>
      <c r="L899">
        <f t="shared" ref="L899:L962" si="87">A899</f>
        <v>897</v>
      </c>
      <c r="M899">
        <f>'Real Analysis'!$B$3+B899/1000000</f>
        <v>19.754574999999022</v>
      </c>
      <c r="N899">
        <f t="shared" ref="N899:N962" si="88">C899</f>
        <v>3</v>
      </c>
      <c r="O899">
        <f>IF(ABS(D899)&gt;1,D899/1000000,D899)*'Real Analysis'!$B$4</f>
        <v>0.29030733000000003</v>
      </c>
      <c r="P899">
        <f>IF(ABS(E899)&gt;1,E899/1000000,E899)*'Real Analysis'!$B$4</f>
        <v>0.95478768000000003</v>
      </c>
      <c r="Q899">
        <f>IF(ABS(F899)&gt;1,F899/1000000,F899)*'Real Analysis'!$B$4</f>
        <v>9.7498843199999996</v>
      </c>
      <c r="R899">
        <f t="shared" ref="R899:R962" si="89">IF(ABS(G899)&gt;1,G899/1000000,G899)</f>
        <v>-80.727119000000002</v>
      </c>
      <c r="S899">
        <f t="shared" ref="S899:S962" si="90">IF(ABS(H899)&gt;1,H899/1000000,H899)</f>
        <v>7.7526229999999998</v>
      </c>
      <c r="T899">
        <f t="shared" ref="T899:T962" si="91">IF(ABS(I899)&gt;1,I899/1000000,I899)</f>
        <v>0</v>
      </c>
      <c r="U899">
        <f t="shared" si="86"/>
        <v>0.251</v>
      </c>
    </row>
    <row r="900" spans="1:21" x14ac:dyDescent="0.3">
      <c r="A900" s="4">
        <v>898</v>
      </c>
      <c r="B900" s="4">
        <v>-96572170031</v>
      </c>
      <c r="C900" s="5">
        <v>3</v>
      </c>
      <c r="D900" s="5">
        <v>2.7501999999999999E-2</v>
      </c>
      <c r="E900" s="5">
        <v>6.8207000000000004E-2</v>
      </c>
      <c r="F900" s="5">
        <v>0.98966399999999999</v>
      </c>
      <c r="G900" s="5">
        <v>-79763702</v>
      </c>
      <c r="H900" s="5">
        <v>8359664</v>
      </c>
      <c r="I900" s="5">
        <v>0</v>
      </c>
      <c r="J900" s="5">
        <v>251</v>
      </c>
      <c r="L900">
        <f t="shared" si="87"/>
        <v>898</v>
      </c>
      <c r="M900">
        <f>'Real Analysis'!$B$3+B900/1000000</f>
        <v>19.829968999998528</v>
      </c>
      <c r="N900">
        <f t="shared" si="88"/>
        <v>3</v>
      </c>
      <c r="O900">
        <f>IF(ABS(D900)&gt;1,D900/1000000,D900)*'Real Analysis'!$B$4</f>
        <v>0.26979461999999999</v>
      </c>
      <c r="P900">
        <f>IF(ABS(E900)&gt;1,E900/1000000,E900)*'Real Analysis'!$B$4</f>
        <v>0.66911067000000002</v>
      </c>
      <c r="Q900">
        <f>IF(ABS(F900)&gt;1,F900/1000000,F900)*'Real Analysis'!$B$4</f>
        <v>9.7086038400000003</v>
      </c>
      <c r="R900">
        <f t="shared" si="89"/>
        <v>-79.763701999999995</v>
      </c>
      <c r="S900">
        <f t="shared" si="90"/>
        <v>8.3596640000000004</v>
      </c>
      <c r="T900">
        <f t="shared" si="91"/>
        <v>0</v>
      </c>
      <c r="U900">
        <f t="shared" si="86"/>
        <v>0.251</v>
      </c>
    </row>
    <row r="901" spans="1:21" x14ac:dyDescent="0.3">
      <c r="A901" s="4">
        <v>899</v>
      </c>
      <c r="B901" s="4">
        <v>-96572109710</v>
      </c>
      <c r="C901" s="5">
        <v>3</v>
      </c>
      <c r="D901" s="5">
        <v>1.3901999999999999E-2</v>
      </c>
      <c r="E901" s="5">
        <v>1.1745E-2</v>
      </c>
      <c r="F901" s="5">
        <v>0.99481799999999998</v>
      </c>
      <c r="G901" s="5">
        <v>-79306297</v>
      </c>
      <c r="H901" s="5">
        <v>15429684</v>
      </c>
      <c r="I901" s="5">
        <v>0</v>
      </c>
      <c r="J901" s="5">
        <v>251</v>
      </c>
      <c r="L901">
        <f t="shared" si="87"/>
        <v>899</v>
      </c>
      <c r="M901">
        <f>'Real Analysis'!$B$3+B901/1000000</f>
        <v>19.89028999999573</v>
      </c>
      <c r="N901">
        <f t="shared" si="88"/>
        <v>3</v>
      </c>
      <c r="O901">
        <f>IF(ABS(D901)&gt;1,D901/1000000,D901)*'Real Analysis'!$B$4</f>
        <v>0.13637862000000001</v>
      </c>
      <c r="P901">
        <f>IF(ABS(E901)&gt;1,E901/1000000,E901)*'Real Analysis'!$B$4</f>
        <v>0.11521845000000001</v>
      </c>
      <c r="Q901">
        <f>IF(ABS(F901)&gt;1,F901/1000000,F901)*'Real Analysis'!$B$4</f>
        <v>9.7591645800000002</v>
      </c>
      <c r="R901">
        <f t="shared" si="89"/>
        <v>-79.306297000000001</v>
      </c>
      <c r="S901">
        <f t="shared" si="90"/>
        <v>15.429684</v>
      </c>
      <c r="T901">
        <f t="shared" si="91"/>
        <v>0</v>
      </c>
      <c r="U901">
        <f t="shared" si="86"/>
        <v>0.251</v>
      </c>
    </row>
    <row r="902" spans="1:21" x14ac:dyDescent="0.3">
      <c r="A902" s="4">
        <v>900</v>
      </c>
      <c r="B902" s="4">
        <v>-96572103884</v>
      </c>
      <c r="C902" s="5">
        <v>3</v>
      </c>
      <c r="D902" s="5">
        <v>-3.604E-3</v>
      </c>
      <c r="E902" s="5">
        <v>-5.0699999999999999E-3</v>
      </c>
      <c r="F902" s="5">
        <v>1034623</v>
      </c>
      <c r="G902" s="5">
        <v>-68044693</v>
      </c>
      <c r="H902" s="5">
        <v>-2327608</v>
      </c>
      <c r="I902" s="5">
        <v>0</v>
      </c>
      <c r="J902" s="5">
        <v>249</v>
      </c>
      <c r="L902">
        <f t="shared" si="87"/>
        <v>900</v>
      </c>
      <c r="M902">
        <f>'Real Analysis'!$B$3+B902/1000000</f>
        <v>19.896116000003531</v>
      </c>
      <c r="N902">
        <f t="shared" si="88"/>
        <v>3</v>
      </c>
      <c r="O902">
        <f>IF(ABS(D902)&gt;1,D902/1000000,D902)*'Real Analysis'!$B$4</f>
        <v>-3.5355240000000003E-2</v>
      </c>
      <c r="P902">
        <f>IF(ABS(E902)&gt;1,E902/1000000,E902)*'Real Analysis'!$B$4</f>
        <v>-4.9736700000000002E-2</v>
      </c>
      <c r="Q902">
        <f>IF(ABS(F902)&gt;1,F902/1000000,F902)*'Real Analysis'!$B$4</f>
        <v>10.149651630000001</v>
      </c>
      <c r="R902">
        <f t="shared" si="89"/>
        <v>-68.044692999999995</v>
      </c>
      <c r="S902">
        <f t="shared" si="90"/>
        <v>-2.3276080000000001</v>
      </c>
      <c r="T902">
        <f t="shared" si="91"/>
        <v>0</v>
      </c>
      <c r="U902">
        <f t="shared" si="86"/>
        <v>0.249</v>
      </c>
    </row>
    <row r="903" spans="1:21" x14ac:dyDescent="0.3">
      <c r="A903" s="4">
        <v>901</v>
      </c>
      <c r="B903" s="4">
        <v>-96571973779</v>
      </c>
      <c r="C903" s="5">
        <v>3</v>
      </c>
      <c r="D903" s="5">
        <v>5.5000000000000002E-5</v>
      </c>
      <c r="E903" s="5">
        <v>3.8790000000000001E-3</v>
      </c>
      <c r="F903" s="5">
        <v>1047915</v>
      </c>
      <c r="G903" s="5">
        <v>-67929939</v>
      </c>
      <c r="H903" s="5">
        <v>-4190829</v>
      </c>
      <c r="I903" s="5">
        <v>0</v>
      </c>
      <c r="J903" s="5">
        <v>249</v>
      </c>
      <c r="L903">
        <f t="shared" si="87"/>
        <v>901</v>
      </c>
      <c r="M903">
        <f>'Real Analysis'!$B$3+B903/1000000</f>
        <v>20.026220999992802</v>
      </c>
      <c r="N903">
        <f t="shared" si="88"/>
        <v>3</v>
      </c>
      <c r="O903">
        <f>IF(ABS(D903)&gt;1,D903/1000000,D903)*'Real Analysis'!$B$4</f>
        <v>5.3955000000000008E-4</v>
      </c>
      <c r="P903">
        <f>IF(ABS(E903)&gt;1,E903/1000000,E903)*'Real Analysis'!$B$4</f>
        <v>3.8052990000000002E-2</v>
      </c>
      <c r="Q903">
        <f>IF(ABS(F903)&gt;1,F903/1000000,F903)*'Real Analysis'!$B$4</f>
        <v>10.28004615</v>
      </c>
      <c r="R903">
        <f t="shared" si="89"/>
        <v>-67.929939000000005</v>
      </c>
      <c r="S903">
        <f t="shared" si="90"/>
        <v>-4.1908289999999999</v>
      </c>
      <c r="T903">
        <f t="shared" si="91"/>
        <v>0</v>
      </c>
      <c r="U903">
        <f t="shared" si="86"/>
        <v>0.249</v>
      </c>
    </row>
    <row r="904" spans="1:21" x14ac:dyDescent="0.3">
      <c r="A904" s="4">
        <v>902</v>
      </c>
      <c r="B904" s="4">
        <v>-96571962159</v>
      </c>
      <c r="C904" s="5">
        <v>3</v>
      </c>
      <c r="D904" s="5">
        <v>-6.3509999999999999E-3</v>
      </c>
      <c r="E904" s="5">
        <v>1.4819000000000001E-2</v>
      </c>
      <c r="F904" s="5">
        <v>1045267</v>
      </c>
      <c r="G904" s="5">
        <v>-68817398</v>
      </c>
      <c r="H904" s="5">
        <v>-4893103</v>
      </c>
      <c r="I904" s="5">
        <v>0</v>
      </c>
      <c r="J904" s="5">
        <v>252</v>
      </c>
      <c r="L904">
        <f t="shared" si="87"/>
        <v>902</v>
      </c>
      <c r="M904">
        <f>'Real Analysis'!$B$3+B904/1000000</f>
        <v>20.03784099999757</v>
      </c>
      <c r="N904">
        <f t="shared" si="88"/>
        <v>3</v>
      </c>
      <c r="O904">
        <f>IF(ABS(D904)&gt;1,D904/1000000,D904)*'Real Analysis'!$B$4</f>
        <v>-6.2303310000000001E-2</v>
      </c>
      <c r="P904">
        <f>IF(ABS(E904)&gt;1,E904/1000000,E904)*'Real Analysis'!$B$4</f>
        <v>0.14537439000000002</v>
      </c>
      <c r="Q904">
        <f>IF(ABS(F904)&gt;1,F904/1000000,F904)*'Real Analysis'!$B$4</f>
        <v>10.25406927</v>
      </c>
      <c r="R904">
        <f t="shared" si="89"/>
        <v>-68.817397999999997</v>
      </c>
      <c r="S904">
        <f t="shared" si="90"/>
        <v>-4.893103</v>
      </c>
      <c r="T904">
        <f t="shared" si="91"/>
        <v>0</v>
      </c>
      <c r="U904">
        <f t="shared" si="86"/>
        <v>0.252</v>
      </c>
    </row>
    <row r="905" spans="1:21" x14ac:dyDescent="0.3">
      <c r="A905" s="4">
        <v>903</v>
      </c>
      <c r="B905" s="4">
        <v>-96571914314</v>
      </c>
      <c r="C905" s="5">
        <v>3</v>
      </c>
      <c r="D905" s="5">
        <v>4.0999999999999999E-4</v>
      </c>
      <c r="E905" s="5">
        <v>1.8325000000000001E-2</v>
      </c>
      <c r="F905" s="5">
        <v>1051251</v>
      </c>
      <c r="G905" s="5">
        <v>-69213058</v>
      </c>
      <c r="H905" s="5">
        <v>-5363841</v>
      </c>
      <c r="I905" s="5">
        <v>0</v>
      </c>
      <c r="J905" s="5">
        <v>252</v>
      </c>
      <c r="L905">
        <f t="shared" si="87"/>
        <v>903</v>
      </c>
      <c r="M905">
        <f>'Real Analysis'!$B$3+B905/1000000</f>
        <v>20.085686000005808</v>
      </c>
      <c r="N905">
        <f t="shared" si="88"/>
        <v>3</v>
      </c>
      <c r="O905">
        <f>IF(ABS(D905)&gt;1,D905/1000000,D905)*'Real Analysis'!$B$4</f>
        <v>4.0220999999999998E-3</v>
      </c>
      <c r="P905">
        <f>IF(ABS(E905)&gt;1,E905/1000000,E905)*'Real Analysis'!$B$4</f>
        <v>0.17976825000000002</v>
      </c>
      <c r="Q905">
        <f>IF(ABS(F905)&gt;1,F905/1000000,F905)*'Real Analysis'!$B$4</f>
        <v>10.31277231</v>
      </c>
      <c r="R905">
        <f t="shared" si="89"/>
        <v>-69.213058000000004</v>
      </c>
      <c r="S905">
        <f t="shared" si="90"/>
        <v>-5.3638409999999999</v>
      </c>
      <c r="T905">
        <f t="shared" si="91"/>
        <v>0</v>
      </c>
      <c r="U905">
        <f t="shared" si="86"/>
        <v>0.252</v>
      </c>
    </row>
    <row r="906" spans="1:21" x14ac:dyDescent="0.3">
      <c r="A906" s="4">
        <v>904</v>
      </c>
      <c r="B906" s="4">
        <v>-96571893990</v>
      </c>
      <c r="C906" s="5">
        <v>3</v>
      </c>
      <c r="D906" s="5">
        <v>1.1640000000000001E-3</v>
      </c>
      <c r="E906" s="5">
        <v>2.2643E-2</v>
      </c>
      <c r="F906" s="5">
        <v>1043152</v>
      </c>
      <c r="G906" s="5">
        <v>-63888237</v>
      </c>
      <c r="H906" s="5">
        <v>5442025</v>
      </c>
      <c r="I906" s="5">
        <v>0</v>
      </c>
      <c r="J906" s="5">
        <v>251</v>
      </c>
      <c r="L906">
        <f t="shared" si="87"/>
        <v>904</v>
      </c>
      <c r="M906">
        <f>'Real Analysis'!$B$3+B906/1000000</f>
        <v>20.106010000003153</v>
      </c>
      <c r="N906">
        <f t="shared" si="88"/>
        <v>3</v>
      </c>
      <c r="O906">
        <f>IF(ABS(D906)&gt;1,D906/1000000,D906)*'Real Analysis'!$B$4</f>
        <v>1.1418840000000001E-2</v>
      </c>
      <c r="P906">
        <f>IF(ABS(E906)&gt;1,E906/1000000,E906)*'Real Analysis'!$B$4</f>
        <v>0.22212783</v>
      </c>
      <c r="Q906">
        <f>IF(ABS(F906)&gt;1,F906/1000000,F906)*'Real Analysis'!$B$4</f>
        <v>10.233321120000001</v>
      </c>
      <c r="R906">
        <f t="shared" si="89"/>
        <v>-63.888236999999997</v>
      </c>
      <c r="S906">
        <f t="shared" si="90"/>
        <v>5.4420250000000001</v>
      </c>
      <c r="T906">
        <f t="shared" si="91"/>
        <v>0</v>
      </c>
      <c r="U906">
        <f t="shared" si="86"/>
        <v>0.251</v>
      </c>
    </row>
    <row r="907" spans="1:21" x14ac:dyDescent="0.3">
      <c r="A907" s="4">
        <v>905</v>
      </c>
      <c r="B907" s="4">
        <v>-96571834988</v>
      </c>
      <c r="C907" s="5">
        <v>3</v>
      </c>
      <c r="D907" s="5">
        <v>3.4161999999999998E-2</v>
      </c>
      <c r="E907" s="5">
        <v>-2.9531999999999999E-2</v>
      </c>
      <c r="F907" s="5">
        <v>1029093</v>
      </c>
      <c r="G907" s="5">
        <v>-50353996</v>
      </c>
      <c r="H907" s="5">
        <v>10159893</v>
      </c>
      <c r="I907" s="5">
        <v>0</v>
      </c>
      <c r="J907" s="5">
        <v>252</v>
      </c>
      <c r="L907">
        <f t="shared" si="87"/>
        <v>905</v>
      </c>
      <c r="M907">
        <f>'Real Analysis'!$B$3+B907/1000000</f>
        <v>20.16501199999766</v>
      </c>
      <c r="N907">
        <f t="shared" si="88"/>
        <v>3</v>
      </c>
      <c r="O907">
        <f>IF(ABS(D907)&gt;1,D907/1000000,D907)*'Real Analysis'!$B$4</f>
        <v>0.33512922000000001</v>
      </c>
      <c r="P907">
        <f>IF(ABS(E907)&gt;1,E907/1000000,E907)*'Real Analysis'!$B$4</f>
        <v>-0.28970891999999998</v>
      </c>
      <c r="Q907">
        <f>IF(ABS(F907)&gt;1,F907/1000000,F907)*'Real Analysis'!$B$4</f>
        <v>10.095402330000001</v>
      </c>
      <c r="R907">
        <f t="shared" si="89"/>
        <v>-50.353996000000002</v>
      </c>
      <c r="S907">
        <f t="shared" si="90"/>
        <v>10.159893</v>
      </c>
      <c r="T907">
        <f t="shared" si="91"/>
        <v>0</v>
      </c>
      <c r="U907">
        <f t="shared" ref="U907:U970" si="92">J907/1000</f>
        <v>0.252</v>
      </c>
    </row>
    <row r="908" spans="1:21" x14ac:dyDescent="0.3">
      <c r="A908" s="4">
        <v>906</v>
      </c>
      <c r="B908" s="4">
        <v>-96571824067</v>
      </c>
      <c r="C908" s="5">
        <v>3</v>
      </c>
      <c r="D908" s="5">
        <v>1.9123999999999999E-2</v>
      </c>
      <c r="E908" s="5">
        <v>-3.4724999999999999E-2</v>
      </c>
      <c r="F908" s="5">
        <v>1023579</v>
      </c>
      <c r="G908" s="5">
        <v>-47680435</v>
      </c>
      <c r="H908" s="5">
        <v>7208491</v>
      </c>
      <c r="I908" s="5">
        <v>0</v>
      </c>
      <c r="J908" s="5">
        <v>255</v>
      </c>
      <c r="L908">
        <f t="shared" si="87"/>
        <v>906</v>
      </c>
      <c r="M908">
        <f>'Real Analysis'!$B$3+B908/1000000</f>
        <v>20.175933000005898</v>
      </c>
      <c r="N908">
        <f t="shared" si="88"/>
        <v>3</v>
      </c>
      <c r="O908">
        <f>IF(ABS(D908)&gt;1,D908/1000000,D908)*'Real Analysis'!$B$4</f>
        <v>0.18760643999999999</v>
      </c>
      <c r="P908">
        <f>IF(ABS(E908)&gt;1,E908/1000000,E908)*'Real Analysis'!$B$4</f>
        <v>-0.34065224999999999</v>
      </c>
      <c r="Q908">
        <f>IF(ABS(F908)&gt;1,F908/1000000,F908)*'Real Analysis'!$B$4</f>
        <v>10.04130999</v>
      </c>
      <c r="R908">
        <f t="shared" si="89"/>
        <v>-47.680435000000003</v>
      </c>
      <c r="S908">
        <f t="shared" si="90"/>
        <v>7.2084910000000004</v>
      </c>
      <c r="T908">
        <f t="shared" si="91"/>
        <v>0</v>
      </c>
      <c r="U908">
        <f t="shared" si="92"/>
        <v>0.255</v>
      </c>
    </row>
    <row r="909" spans="1:21" x14ac:dyDescent="0.3">
      <c r="A909" s="4">
        <v>907</v>
      </c>
      <c r="B909" s="4">
        <v>-96571755694</v>
      </c>
      <c r="C909" s="5">
        <v>3</v>
      </c>
      <c r="D909" s="5">
        <v>2.3078999999999999E-2</v>
      </c>
      <c r="E909" s="5">
        <v>4.4673999999999998E-2</v>
      </c>
      <c r="F909" s="5">
        <v>0.98270599999999997</v>
      </c>
      <c r="G909" s="5">
        <v>-28414169</v>
      </c>
      <c r="H909" s="5">
        <v>8159271</v>
      </c>
      <c r="I909" s="5">
        <v>0</v>
      </c>
      <c r="J909" s="5">
        <v>259</v>
      </c>
      <c r="L909">
        <f t="shared" si="87"/>
        <v>907</v>
      </c>
      <c r="M909">
        <f>'Real Analysis'!$B$3+B909/1000000</f>
        <v>20.24430599999323</v>
      </c>
      <c r="N909">
        <f t="shared" si="88"/>
        <v>3</v>
      </c>
      <c r="O909">
        <f>IF(ABS(D909)&gt;1,D909/1000000,D909)*'Real Analysis'!$B$4</f>
        <v>0.22640499</v>
      </c>
      <c r="P909">
        <f>IF(ABS(E909)&gt;1,E909/1000000,E909)*'Real Analysis'!$B$4</f>
        <v>0.43825194000000001</v>
      </c>
      <c r="Q909">
        <f>IF(ABS(F909)&gt;1,F909/1000000,F909)*'Real Analysis'!$B$4</f>
        <v>9.64034586</v>
      </c>
      <c r="R909">
        <f t="shared" si="89"/>
        <v>-28.414169000000001</v>
      </c>
      <c r="S909">
        <f t="shared" si="90"/>
        <v>8.1592710000000004</v>
      </c>
      <c r="T909">
        <f t="shared" si="91"/>
        <v>0</v>
      </c>
      <c r="U909">
        <f t="shared" si="92"/>
        <v>0.25900000000000001</v>
      </c>
    </row>
    <row r="910" spans="1:21" x14ac:dyDescent="0.3">
      <c r="A910" s="4">
        <v>908</v>
      </c>
      <c r="B910" s="4">
        <v>-96571627482</v>
      </c>
      <c r="C910" s="5">
        <v>3</v>
      </c>
      <c r="D910" s="5">
        <v>1.8339999999999999E-2</v>
      </c>
      <c r="E910" s="5">
        <v>2.8062E-2</v>
      </c>
      <c r="F910" s="5">
        <v>0.98024800000000001</v>
      </c>
      <c r="G910" s="5">
        <v>-24713224</v>
      </c>
      <c r="H910" s="5">
        <v>8414907</v>
      </c>
      <c r="I910" s="5">
        <v>0</v>
      </c>
      <c r="J910" s="5">
        <v>258</v>
      </c>
      <c r="L910">
        <f t="shared" si="87"/>
        <v>908</v>
      </c>
      <c r="M910">
        <f>'Real Analysis'!$B$3+B910/1000000</f>
        <v>20.372518000003765</v>
      </c>
      <c r="N910">
        <f t="shared" si="88"/>
        <v>3</v>
      </c>
      <c r="O910">
        <f>IF(ABS(D910)&gt;1,D910/1000000,D910)*'Real Analysis'!$B$4</f>
        <v>0.1799154</v>
      </c>
      <c r="P910">
        <f>IF(ABS(E910)&gt;1,E910/1000000,E910)*'Real Analysis'!$B$4</f>
        <v>0.27528822000000003</v>
      </c>
      <c r="Q910">
        <f>IF(ABS(F910)&gt;1,F910/1000000,F910)*'Real Analysis'!$B$4</f>
        <v>9.6162328800000001</v>
      </c>
      <c r="R910">
        <f t="shared" si="89"/>
        <v>-24.713224</v>
      </c>
      <c r="S910">
        <f t="shared" si="90"/>
        <v>8.4149069999999995</v>
      </c>
      <c r="T910">
        <f t="shared" si="91"/>
        <v>0</v>
      </c>
      <c r="U910">
        <f t="shared" si="92"/>
        <v>0.25800000000000001</v>
      </c>
    </row>
    <row r="911" spans="1:21" x14ac:dyDescent="0.3">
      <c r="A911" s="4">
        <v>909</v>
      </c>
      <c r="B911" s="4">
        <v>-96571619497</v>
      </c>
      <c r="C911" s="5">
        <v>3</v>
      </c>
      <c r="D911" s="5">
        <v>3.7006999999999998E-2</v>
      </c>
      <c r="E911" s="5">
        <v>-8.6300000000000005E-3</v>
      </c>
      <c r="F911" s="5">
        <v>1006362</v>
      </c>
      <c r="G911" s="5">
        <v>-10772467</v>
      </c>
      <c r="H911" s="5">
        <v>-2362311</v>
      </c>
      <c r="I911" s="5">
        <v>0</v>
      </c>
      <c r="J911" s="5">
        <v>262</v>
      </c>
      <c r="L911">
        <f t="shared" si="87"/>
        <v>909</v>
      </c>
      <c r="M911">
        <f>'Real Analysis'!$B$3+B911/1000000</f>
        <v>20.380502999993041</v>
      </c>
      <c r="N911">
        <f t="shared" si="88"/>
        <v>3</v>
      </c>
      <c r="O911">
        <f>IF(ABS(D911)&gt;1,D911/1000000,D911)*'Real Analysis'!$B$4</f>
        <v>0.36303867000000001</v>
      </c>
      <c r="P911">
        <f>IF(ABS(E911)&gt;1,E911/1000000,E911)*'Real Analysis'!$B$4</f>
        <v>-8.4660300000000008E-2</v>
      </c>
      <c r="Q911">
        <f>IF(ABS(F911)&gt;1,F911/1000000,F911)*'Real Analysis'!$B$4</f>
        <v>9.87241122</v>
      </c>
      <c r="R911">
        <f t="shared" si="89"/>
        <v>-10.772467000000001</v>
      </c>
      <c r="S911">
        <f t="shared" si="90"/>
        <v>-2.362311</v>
      </c>
      <c r="T911">
        <f t="shared" si="91"/>
        <v>0</v>
      </c>
      <c r="U911">
        <f t="shared" si="92"/>
        <v>0.26200000000000001</v>
      </c>
    </row>
    <row r="912" spans="1:21" x14ac:dyDescent="0.3">
      <c r="A912" s="4">
        <v>910</v>
      </c>
      <c r="B912" s="4">
        <v>-96571555605</v>
      </c>
      <c r="C912" s="5">
        <v>3</v>
      </c>
      <c r="D912" s="5">
        <v>3.6517000000000001E-2</v>
      </c>
      <c r="E912" s="5">
        <v>-4.2623000000000001E-2</v>
      </c>
      <c r="F912" s="5">
        <v>0.99279200000000001</v>
      </c>
      <c r="G912" s="5">
        <v>-7413242</v>
      </c>
      <c r="H912" s="5">
        <v>-5989115</v>
      </c>
      <c r="I912" s="5">
        <v>0</v>
      </c>
      <c r="J912" s="5">
        <v>261</v>
      </c>
      <c r="L912">
        <f t="shared" si="87"/>
        <v>910</v>
      </c>
      <c r="M912">
        <f>'Real Analysis'!$B$3+B912/1000000</f>
        <v>20.444394999998622</v>
      </c>
      <c r="N912">
        <f t="shared" si="88"/>
        <v>3</v>
      </c>
      <c r="O912">
        <f>IF(ABS(D912)&gt;1,D912/1000000,D912)*'Real Analysis'!$B$4</f>
        <v>0.35823177</v>
      </c>
      <c r="P912">
        <f>IF(ABS(E912)&gt;1,E912/1000000,E912)*'Real Analysis'!$B$4</f>
        <v>-0.41813163000000003</v>
      </c>
      <c r="Q912">
        <f>IF(ABS(F912)&gt;1,F912/1000000,F912)*'Real Analysis'!$B$4</f>
        <v>9.7392895199999998</v>
      </c>
      <c r="R912">
        <f t="shared" si="89"/>
        <v>-7.4132420000000003</v>
      </c>
      <c r="S912">
        <f t="shared" si="90"/>
        <v>-5.989115</v>
      </c>
      <c r="T912">
        <f t="shared" si="91"/>
        <v>0</v>
      </c>
      <c r="U912">
        <f t="shared" si="92"/>
        <v>0.26100000000000001</v>
      </c>
    </row>
    <row r="913" spans="1:21" x14ac:dyDescent="0.3">
      <c r="A913" s="4">
        <v>911</v>
      </c>
      <c r="B913" s="4">
        <v>-96571491699</v>
      </c>
      <c r="C913" s="5">
        <v>3</v>
      </c>
      <c r="D913" s="5">
        <v>-2.0066000000000001E-2</v>
      </c>
      <c r="E913" s="5">
        <v>0.24315700000000001</v>
      </c>
      <c r="F913" s="5">
        <v>0.94573399999999996</v>
      </c>
      <c r="G913" s="5">
        <v>23569489</v>
      </c>
      <c r="H913" s="5">
        <v>-0.49737300000000001</v>
      </c>
      <c r="I913" s="5">
        <v>0</v>
      </c>
      <c r="J913" s="5">
        <v>262</v>
      </c>
      <c r="L913">
        <f t="shared" si="87"/>
        <v>911</v>
      </c>
      <c r="M913">
        <f>'Real Analysis'!$B$3+B913/1000000</f>
        <v>20.50830099999439</v>
      </c>
      <c r="N913">
        <f t="shared" si="88"/>
        <v>3</v>
      </c>
      <c r="O913">
        <f>IF(ABS(D913)&gt;1,D913/1000000,D913)*'Real Analysis'!$B$4</f>
        <v>-0.19684746</v>
      </c>
      <c r="P913">
        <f>IF(ABS(E913)&gt;1,E913/1000000,E913)*'Real Analysis'!$B$4</f>
        <v>2.3853701700000003</v>
      </c>
      <c r="Q913">
        <f>IF(ABS(F913)&gt;1,F913/1000000,F913)*'Real Analysis'!$B$4</f>
        <v>9.2776505399999998</v>
      </c>
      <c r="R913">
        <f t="shared" si="89"/>
        <v>23.569489000000001</v>
      </c>
      <c r="S913">
        <f t="shared" si="90"/>
        <v>-0.49737300000000001</v>
      </c>
      <c r="T913">
        <f t="shared" si="91"/>
        <v>0</v>
      </c>
      <c r="U913">
        <f t="shared" si="92"/>
        <v>0.26200000000000001</v>
      </c>
    </row>
    <row r="914" spans="1:21" x14ac:dyDescent="0.3">
      <c r="A914" s="4">
        <v>912</v>
      </c>
      <c r="B914" s="4">
        <v>-96571478644</v>
      </c>
      <c r="C914" s="5">
        <v>3</v>
      </c>
      <c r="D914" s="5">
        <v>9.9000000000000008E-3</v>
      </c>
      <c r="E914" s="5">
        <v>-6.1590000000000004E-3</v>
      </c>
      <c r="F914" s="5">
        <v>1029683</v>
      </c>
      <c r="G914" s="5">
        <v>33763802</v>
      </c>
      <c r="H914" s="5">
        <v>40428654</v>
      </c>
      <c r="I914" s="5">
        <v>0</v>
      </c>
      <c r="J914" s="5">
        <v>263</v>
      </c>
      <c r="L914">
        <f t="shared" si="87"/>
        <v>912</v>
      </c>
      <c r="M914">
        <f>'Real Analysis'!$B$3+B914/1000000</f>
        <v>20.521355999997468</v>
      </c>
      <c r="N914">
        <f t="shared" si="88"/>
        <v>3</v>
      </c>
      <c r="O914">
        <f>IF(ABS(D914)&gt;1,D914/1000000,D914)*'Real Analysis'!$B$4</f>
        <v>9.7119000000000011E-2</v>
      </c>
      <c r="P914">
        <f>IF(ABS(E914)&gt;1,E914/1000000,E914)*'Real Analysis'!$B$4</f>
        <v>-6.0419790000000008E-2</v>
      </c>
      <c r="Q914">
        <f>IF(ABS(F914)&gt;1,F914/1000000,F914)*'Real Analysis'!$B$4</f>
        <v>10.10119023</v>
      </c>
      <c r="R914">
        <f t="shared" si="89"/>
        <v>33.763801999999998</v>
      </c>
      <c r="S914">
        <f t="shared" si="90"/>
        <v>40.428654000000002</v>
      </c>
      <c r="T914">
        <f t="shared" si="91"/>
        <v>0</v>
      </c>
      <c r="U914">
        <f t="shared" si="92"/>
        <v>0.26300000000000001</v>
      </c>
    </row>
    <row r="915" spans="1:21" x14ac:dyDescent="0.3">
      <c r="A915" s="4">
        <v>913</v>
      </c>
      <c r="B915" s="4">
        <v>-96571442040</v>
      </c>
      <c r="C915" s="5">
        <v>3</v>
      </c>
      <c r="D915" s="5">
        <v>2.6817000000000001E-2</v>
      </c>
      <c r="E915" s="5">
        <v>-1.5872000000000001E-2</v>
      </c>
      <c r="F915" s="5">
        <v>1013672</v>
      </c>
      <c r="G915" s="5">
        <v>49144154</v>
      </c>
      <c r="H915" s="5">
        <v>30024553</v>
      </c>
      <c r="I915" s="5">
        <v>0</v>
      </c>
      <c r="J915" s="5">
        <v>262</v>
      </c>
      <c r="L915">
        <f t="shared" si="87"/>
        <v>913</v>
      </c>
      <c r="M915">
        <f>'Real Analysis'!$B$3+B915/1000000</f>
        <v>20.557960000005551</v>
      </c>
      <c r="N915">
        <f t="shared" si="88"/>
        <v>3</v>
      </c>
      <c r="O915">
        <f>IF(ABS(D915)&gt;1,D915/1000000,D915)*'Real Analysis'!$B$4</f>
        <v>0.26307477000000001</v>
      </c>
      <c r="P915">
        <f>IF(ABS(E915)&gt;1,E915/1000000,E915)*'Real Analysis'!$B$4</f>
        <v>-0.15570432000000001</v>
      </c>
      <c r="Q915">
        <f>IF(ABS(F915)&gt;1,F915/1000000,F915)*'Real Analysis'!$B$4</f>
        <v>9.94412232</v>
      </c>
      <c r="R915">
        <f t="shared" si="89"/>
        <v>49.144154</v>
      </c>
      <c r="S915">
        <f t="shared" si="90"/>
        <v>30.024553000000001</v>
      </c>
      <c r="T915">
        <f t="shared" si="91"/>
        <v>0</v>
      </c>
      <c r="U915">
        <f t="shared" si="92"/>
        <v>0.26200000000000001</v>
      </c>
    </row>
    <row r="916" spans="1:21" x14ac:dyDescent="0.3">
      <c r="A916" s="4">
        <v>914</v>
      </c>
      <c r="B916" s="4">
        <v>-96571412280</v>
      </c>
      <c r="C916" s="5">
        <v>3</v>
      </c>
      <c r="D916" s="5">
        <v>1.6088999999999999E-2</v>
      </c>
      <c r="E916" s="5">
        <v>2.2512999999999998E-2</v>
      </c>
      <c r="F916" s="5">
        <v>1056116</v>
      </c>
      <c r="G916" s="5">
        <v>154928619</v>
      </c>
      <c r="H916" s="5">
        <v>-5200803</v>
      </c>
      <c r="I916" s="5">
        <v>0</v>
      </c>
      <c r="J916" s="5">
        <v>260</v>
      </c>
      <c r="L916">
        <f t="shared" si="87"/>
        <v>914</v>
      </c>
      <c r="M916">
        <f>'Real Analysis'!$B$3+B916/1000000</f>
        <v>20.587719999995898</v>
      </c>
      <c r="N916">
        <f t="shared" si="88"/>
        <v>3</v>
      </c>
      <c r="O916">
        <f>IF(ABS(D916)&gt;1,D916/1000000,D916)*'Real Analysis'!$B$4</f>
        <v>0.15783309000000001</v>
      </c>
      <c r="P916">
        <f>IF(ABS(E916)&gt;1,E916/1000000,E916)*'Real Analysis'!$B$4</f>
        <v>0.22085252999999999</v>
      </c>
      <c r="Q916">
        <f>IF(ABS(F916)&gt;1,F916/1000000,F916)*'Real Analysis'!$B$4</f>
        <v>10.360497960000002</v>
      </c>
      <c r="R916">
        <f t="shared" si="89"/>
        <v>154.928619</v>
      </c>
      <c r="S916">
        <f t="shared" si="90"/>
        <v>-5.2008029999999996</v>
      </c>
      <c r="T916">
        <f t="shared" si="91"/>
        <v>0</v>
      </c>
      <c r="U916">
        <f t="shared" si="92"/>
        <v>0.26</v>
      </c>
    </row>
    <row r="917" spans="1:21" x14ac:dyDescent="0.3">
      <c r="A917" s="4">
        <v>915</v>
      </c>
      <c r="B917" s="4">
        <v>-96571390847</v>
      </c>
      <c r="C917" s="5">
        <v>9</v>
      </c>
      <c r="D917" s="5">
        <v>-3.4305000000000002E-2</v>
      </c>
      <c r="E917" s="5">
        <v>5.2368999999999999E-2</v>
      </c>
      <c r="F917" s="5">
        <v>1084005</v>
      </c>
      <c r="G917" s="5">
        <v>168819870</v>
      </c>
      <c r="H917" s="5">
        <v>4901769</v>
      </c>
      <c r="I917" s="5">
        <v>0</v>
      </c>
      <c r="J917" s="5">
        <v>265</v>
      </c>
      <c r="L917">
        <f t="shared" si="87"/>
        <v>915</v>
      </c>
      <c r="M917">
        <f>'Real Analysis'!$B$3+B917/1000000</f>
        <v>20.609152999997605</v>
      </c>
      <c r="N917">
        <f t="shared" si="88"/>
        <v>9</v>
      </c>
      <c r="O917">
        <f>IF(ABS(D917)&gt;1,D917/1000000,D917)*'Real Analysis'!$B$4</f>
        <v>-0.33653205000000003</v>
      </c>
      <c r="P917">
        <f>IF(ABS(E917)&gt;1,E917/1000000,E917)*'Real Analysis'!$B$4</f>
        <v>0.51373988999999998</v>
      </c>
      <c r="Q917">
        <f>IF(ABS(F917)&gt;1,F917/1000000,F917)*'Real Analysis'!$B$4</f>
        <v>10.634089050000002</v>
      </c>
      <c r="R917">
        <f t="shared" si="89"/>
        <v>168.81987000000001</v>
      </c>
      <c r="S917">
        <f t="shared" si="90"/>
        <v>4.9017689999999998</v>
      </c>
      <c r="T917">
        <f t="shared" si="91"/>
        <v>0</v>
      </c>
      <c r="U917">
        <f t="shared" si="92"/>
        <v>0.26500000000000001</v>
      </c>
    </row>
    <row r="918" spans="1:21" x14ac:dyDescent="0.3">
      <c r="A918" s="4">
        <v>916</v>
      </c>
      <c r="B918" s="4">
        <v>-96571380928</v>
      </c>
      <c r="C918" s="5">
        <v>9</v>
      </c>
      <c r="D918" s="5">
        <v>-4.4526000000000003E-2</v>
      </c>
      <c r="E918" s="5">
        <v>0.105823</v>
      </c>
      <c r="F918" s="5">
        <v>1062531</v>
      </c>
      <c r="G918" s="5">
        <v>170567612</v>
      </c>
      <c r="H918" s="5">
        <v>10481874</v>
      </c>
      <c r="I918" s="5">
        <v>0</v>
      </c>
      <c r="J918" s="5">
        <v>263</v>
      </c>
      <c r="L918">
        <f t="shared" si="87"/>
        <v>916</v>
      </c>
      <c r="M918">
        <f>'Real Analysis'!$B$3+B918/1000000</f>
        <v>20.619072000001324</v>
      </c>
      <c r="N918">
        <f t="shared" si="88"/>
        <v>9</v>
      </c>
      <c r="O918">
        <f>IF(ABS(D918)&gt;1,D918/1000000,D918)*'Real Analysis'!$B$4</f>
        <v>-0.43680006000000005</v>
      </c>
      <c r="P918">
        <f>IF(ABS(E918)&gt;1,E918/1000000,E918)*'Real Analysis'!$B$4</f>
        <v>1.0381236300000001</v>
      </c>
      <c r="Q918">
        <f>IF(ABS(F918)&gt;1,F918/1000000,F918)*'Real Analysis'!$B$4</f>
        <v>10.423429109999999</v>
      </c>
      <c r="R918">
        <f t="shared" si="89"/>
        <v>170.567612</v>
      </c>
      <c r="S918">
        <f t="shared" si="90"/>
        <v>10.481873999999999</v>
      </c>
      <c r="T918">
        <f t="shared" si="91"/>
        <v>0</v>
      </c>
      <c r="U918">
        <f t="shared" si="92"/>
        <v>0.26300000000000001</v>
      </c>
    </row>
    <row r="919" spans="1:21" x14ac:dyDescent="0.3">
      <c r="A919" s="4">
        <v>917</v>
      </c>
      <c r="B919" s="4">
        <v>-96571327652</v>
      </c>
      <c r="C919" s="5">
        <v>9</v>
      </c>
      <c r="D919" s="5">
        <v>-3.9566999999999998E-2</v>
      </c>
      <c r="E919" s="5">
        <v>8.1109000000000001E-2</v>
      </c>
      <c r="F919" s="5">
        <v>1041497</v>
      </c>
      <c r="G919" s="5">
        <v>171702530</v>
      </c>
      <c r="H919" s="5">
        <v>11304747</v>
      </c>
      <c r="I919" s="5">
        <v>0</v>
      </c>
      <c r="J919" s="5">
        <v>263</v>
      </c>
      <c r="L919">
        <f t="shared" si="87"/>
        <v>917</v>
      </c>
      <c r="M919">
        <f>'Real Analysis'!$B$3+B919/1000000</f>
        <v>20.67234799999278</v>
      </c>
      <c r="N919">
        <f t="shared" si="88"/>
        <v>9</v>
      </c>
      <c r="O919">
        <f>IF(ABS(D919)&gt;1,D919/1000000,D919)*'Real Analysis'!$B$4</f>
        <v>-0.38815227000000002</v>
      </c>
      <c r="P919">
        <f>IF(ABS(E919)&gt;1,E919/1000000,E919)*'Real Analysis'!$B$4</f>
        <v>0.79567929000000004</v>
      </c>
      <c r="Q919">
        <f>IF(ABS(F919)&gt;1,F919/1000000,F919)*'Real Analysis'!$B$4</f>
        <v>10.21708557</v>
      </c>
      <c r="R919">
        <f t="shared" si="89"/>
        <v>171.70253</v>
      </c>
      <c r="S919">
        <f t="shared" si="90"/>
        <v>11.304747000000001</v>
      </c>
      <c r="T919">
        <f t="shared" si="91"/>
        <v>0</v>
      </c>
      <c r="U919">
        <f t="shared" si="92"/>
        <v>0.26300000000000001</v>
      </c>
    </row>
    <row r="920" spans="1:21" x14ac:dyDescent="0.3">
      <c r="A920" s="4">
        <v>918</v>
      </c>
      <c r="B920" s="4">
        <v>-96571310393</v>
      </c>
      <c r="C920" s="5">
        <v>9</v>
      </c>
      <c r="D920" s="5">
        <v>-0.64143399999999995</v>
      </c>
      <c r="E920" s="5">
        <v>-1.1610000000000001E-2</v>
      </c>
      <c r="F920" s="5">
        <v>0.53249299999999999</v>
      </c>
      <c r="G920" s="5">
        <v>69031998</v>
      </c>
      <c r="H920" s="5">
        <v>4586289</v>
      </c>
      <c r="I920" s="5">
        <v>0</v>
      </c>
      <c r="J920" s="5">
        <v>257</v>
      </c>
      <c r="L920">
        <f t="shared" si="87"/>
        <v>918</v>
      </c>
      <c r="M920">
        <f>'Real Analysis'!$B$3+B920/1000000</f>
        <v>20.689606999992975</v>
      </c>
      <c r="N920">
        <f t="shared" si="88"/>
        <v>9</v>
      </c>
      <c r="O920">
        <f>IF(ABS(D920)&gt;1,D920/1000000,D920)*'Real Analysis'!$B$4</f>
        <v>-6.2924675399999996</v>
      </c>
      <c r="P920">
        <f>IF(ABS(E920)&gt;1,E920/1000000,E920)*'Real Analysis'!$B$4</f>
        <v>-0.11389410000000001</v>
      </c>
      <c r="Q920">
        <f>IF(ABS(F920)&gt;1,F920/1000000,F920)*'Real Analysis'!$B$4</f>
        <v>5.2237563300000005</v>
      </c>
      <c r="R920">
        <f t="shared" si="89"/>
        <v>69.031998000000002</v>
      </c>
      <c r="S920">
        <f t="shared" si="90"/>
        <v>4.5862889999999998</v>
      </c>
      <c r="T920">
        <f t="shared" si="91"/>
        <v>0</v>
      </c>
      <c r="U920">
        <f t="shared" si="92"/>
        <v>0.25700000000000001</v>
      </c>
    </row>
    <row r="921" spans="1:21" x14ac:dyDescent="0.3">
      <c r="A921" s="4">
        <v>919</v>
      </c>
      <c r="B921" s="4">
        <v>-96571289152</v>
      </c>
      <c r="C921" s="5">
        <v>9</v>
      </c>
      <c r="D921" s="5">
        <v>-0.31692700000000001</v>
      </c>
      <c r="E921" s="5">
        <v>0.21587899999999999</v>
      </c>
      <c r="F921" s="5">
        <v>0.58183200000000002</v>
      </c>
      <c r="G921" s="5">
        <v>-0.27657700000000002</v>
      </c>
      <c r="H921" s="5">
        <v>14969905</v>
      </c>
      <c r="I921" s="5">
        <v>0</v>
      </c>
      <c r="J921" s="5">
        <v>243</v>
      </c>
      <c r="L921">
        <f t="shared" si="87"/>
        <v>919</v>
      </c>
      <c r="M921">
        <f>'Real Analysis'!$B$3+B921/1000000</f>
        <v>20.710848000002443</v>
      </c>
      <c r="N921">
        <f t="shared" si="88"/>
        <v>9</v>
      </c>
      <c r="O921">
        <f>IF(ABS(D921)&gt;1,D921/1000000,D921)*'Real Analysis'!$B$4</f>
        <v>-3.1090538700000003</v>
      </c>
      <c r="P921">
        <f>IF(ABS(E921)&gt;1,E921/1000000,E921)*'Real Analysis'!$B$4</f>
        <v>2.1177729900000002</v>
      </c>
      <c r="Q921">
        <f>IF(ABS(F921)&gt;1,F921/1000000,F921)*'Real Analysis'!$B$4</f>
        <v>5.7077719200000008</v>
      </c>
      <c r="R921">
        <f t="shared" si="89"/>
        <v>-0.27657700000000002</v>
      </c>
      <c r="S921">
        <f t="shared" si="90"/>
        <v>14.969905000000001</v>
      </c>
      <c r="T921">
        <f t="shared" si="91"/>
        <v>0</v>
      </c>
      <c r="U921">
        <f t="shared" si="92"/>
        <v>0.24299999999999999</v>
      </c>
    </row>
    <row r="922" spans="1:21" x14ac:dyDescent="0.3">
      <c r="A922" s="4">
        <v>920</v>
      </c>
      <c r="B922" s="4">
        <v>-96571286529</v>
      </c>
      <c r="C922" s="5">
        <v>9</v>
      </c>
      <c r="D922" s="5">
        <v>-0.228376</v>
      </c>
      <c r="E922" s="5">
        <v>0.193689</v>
      </c>
      <c r="F922" s="5">
        <v>0.61277499999999996</v>
      </c>
      <c r="G922" s="5">
        <v>-8303247</v>
      </c>
      <c r="H922" s="5">
        <v>24092083</v>
      </c>
      <c r="I922" s="5">
        <v>0</v>
      </c>
      <c r="J922" s="5">
        <v>240</v>
      </c>
      <c r="L922">
        <f t="shared" si="87"/>
        <v>920</v>
      </c>
      <c r="M922">
        <f>'Real Analysis'!$B$3+B922/1000000</f>
        <v>20.713470999995479</v>
      </c>
      <c r="N922">
        <f t="shared" si="88"/>
        <v>9</v>
      </c>
      <c r="O922">
        <f>IF(ABS(D922)&gt;1,D922/1000000,D922)*'Real Analysis'!$B$4</f>
        <v>-2.2403685600000003</v>
      </c>
      <c r="P922">
        <f>IF(ABS(E922)&gt;1,E922/1000000,E922)*'Real Analysis'!$B$4</f>
        <v>1.90008909</v>
      </c>
      <c r="Q922">
        <f>IF(ABS(F922)&gt;1,F922/1000000,F922)*'Real Analysis'!$B$4</f>
        <v>6.0113227499999997</v>
      </c>
      <c r="R922">
        <f t="shared" si="89"/>
        <v>-8.3032470000000007</v>
      </c>
      <c r="S922">
        <f t="shared" si="90"/>
        <v>24.092082999999999</v>
      </c>
      <c r="T922">
        <f t="shared" si="91"/>
        <v>0</v>
      </c>
      <c r="U922">
        <f t="shared" si="92"/>
        <v>0.24</v>
      </c>
    </row>
    <row r="923" spans="1:21" x14ac:dyDescent="0.3">
      <c r="A923" s="4">
        <v>921</v>
      </c>
      <c r="B923" s="4">
        <v>-96571229871</v>
      </c>
      <c r="C923" s="5">
        <v>9</v>
      </c>
      <c r="D923" s="5">
        <v>-3.5209999999999998E-3</v>
      </c>
      <c r="E923" s="5">
        <v>-1.5608E-2</v>
      </c>
      <c r="F923" s="5">
        <v>0.84783399999999998</v>
      </c>
      <c r="G923" s="5">
        <v>-49208866</v>
      </c>
      <c r="H923" s="5">
        <v>63073044</v>
      </c>
      <c r="I923" s="5">
        <v>0</v>
      </c>
      <c r="J923" s="5">
        <v>218</v>
      </c>
      <c r="L923">
        <f t="shared" si="87"/>
        <v>921</v>
      </c>
      <c r="M923">
        <f>'Real Analysis'!$B$3+B923/1000000</f>
        <v>20.770128999996814</v>
      </c>
      <c r="N923">
        <f t="shared" si="88"/>
        <v>9</v>
      </c>
      <c r="O923">
        <f>IF(ABS(D923)&gt;1,D923/1000000,D923)*'Real Analysis'!$B$4</f>
        <v>-3.4541009999999997E-2</v>
      </c>
      <c r="P923">
        <f>IF(ABS(E923)&gt;1,E923/1000000,E923)*'Real Analysis'!$B$4</f>
        <v>-0.15311448000000003</v>
      </c>
      <c r="Q923">
        <f>IF(ABS(F923)&gt;1,F923/1000000,F923)*'Real Analysis'!$B$4</f>
        <v>8.3172515400000009</v>
      </c>
      <c r="R923">
        <f t="shared" si="89"/>
        <v>-49.208866</v>
      </c>
      <c r="S923">
        <f t="shared" si="90"/>
        <v>63.073044000000003</v>
      </c>
      <c r="T923">
        <f t="shared" si="91"/>
        <v>0</v>
      </c>
      <c r="U923">
        <f t="shared" si="92"/>
        <v>0.218</v>
      </c>
    </row>
    <row r="924" spans="1:21" x14ac:dyDescent="0.3">
      <c r="A924" s="4">
        <v>922</v>
      </c>
      <c r="B924" s="4">
        <v>-96571218127</v>
      </c>
      <c r="C924" s="5">
        <v>9</v>
      </c>
      <c r="D924" s="5">
        <v>1.351E-3</v>
      </c>
      <c r="E924" s="5">
        <v>1.98E-3</v>
      </c>
      <c r="F924" s="5">
        <v>0.88527800000000001</v>
      </c>
      <c r="G924" s="5">
        <v>-50630943</v>
      </c>
      <c r="H924" s="5">
        <v>66867004</v>
      </c>
      <c r="I924" s="5">
        <v>0</v>
      </c>
      <c r="J924" s="5">
        <v>215</v>
      </c>
      <c r="L924">
        <f t="shared" si="87"/>
        <v>922</v>
      </c>
      <c r="M924">
        <f>'Real Analysis'!$B$3+B924/1000000</f>
        <v>20.781872999999905</v>
      </c>
      <c r="N924">
        <f t="shared" si="88"/>
        <v>9</v>
      </c>
      <c r="O924">
        <f>IF(ABS(D924)&gt;1,D924/1000000,D924)*'Real Analysis'!$B$4</f>
        <v>1.3253310000000001E-2</v>
      </c>
      <c r="P924">
        <f>IF(ABS(E924)&gt;1,E924/1000000,E924)*'Real Analysis'!$B$4</f>
        <v>1.9423800000000001E-2</v>
      </c>
      <c r="Q924">
        <f>IF(ABS(F924)&gt;1,F924/1000000,F924)*'Real Analysis'!$B$4</f>
        <v>8.6845771799999998</v>
      </c>
      <c r="R924">
        <f t="shared" si="89"/>
        <v>-50.630943000000002</v>
      </c>
      <c r="S924">
        <f t="shared" si="90"/>
        <v>66.867003999999994</v>
      </c>
      <c r="T924">
        <f t="shared" si="91"/>
        <v>0</v>
      </c>
      <c r="U924">
        <f t="shared" si="92"/>
        <v>0.215</v>
      </c>
    </row>
    <row r="925" spans="1:21" x14ac:dyDescent="0.3">
      <c r="A925" s="4">
        <v>923</v>
      </c>
      <c r="B925" s="4">
        <v>-96571148128</v>
      </c>
      <c r="C925" s="5">
        <v>9</v>
      </c>
      <c r="D925" s="5">
        <v>1.4121999999999999E-2</v>
      </c>
      <c r="E925" s="5">
        <v>-3.4984000000000001E-2</v>
      </c>
      <c r="F925" s="5">
        <v>0.887687</v>
      </c>
      <c r="G925" s="5">
        <v>-58825237</v>
      </c>
      <c r="H925" s="5">
        <v>67048752</v>
      </c>
      <c r="I925" s="5">
        <v>0</v>
      </c>
      <c r="J925" s="5">
        <v>200</v>
      </c>
      <c r="L925">
        <f t="shared" si="87"/>
        <v>923</v>
      </c>
      <c r="M925">
        <f>'Real Analysis'!$B$3+B925/1000000</f>
        <v>20.851871999999275</v>
      </c>
      <c r="N925">
        <f t="shared" si="88"/>
        <v>9</v>
      </c>
      <c r="O925">
        <f>IF(ABS(D925)&gt;1,D925/1000000,D925)*'Real Analysis'!$B$4</f>
        <v>0.13853682</v>
      </c>
      <c r="P925">
        <f>IF(ABS(E925)&gt;1,E925/1000000,E925)*'Real Analysis'!$B$4</f>
        <v>-0.34319304</v>
      </c>
      <c r="Q925">
        <f>IF(ABS(F925)&gt;1,F925/1000000,F925)*'Real Analysis'!$B$4</f>
        <v>8.7082094699999999</v>
      </c>
      <c r="R925">
        <f t="shared" si="89"/>
        <v>-58.825237000000001</v>
      </c>
      <c r="S925">
        <f t="shared" si="90"/>
        <v>67.048751999999993</v>
      </c>
      <c r="T925">
        <f t="shared" si="91"/>
        <v>0</v>
      </c>
      <c r="U925">
        <f t="shared" si="92"/>
        <v>0.2</v>
      </c>
    </row>
    <row r="926" spans="1:21" x14ac:dyDescent="0.3">
      <c r="A926" s="4">
        <v>924</v>
      </c>
      <c r="B926" s="4">
        <v>-96571089988</v>
      </c>
      <c r="C926" s="5">
        <v>9</v>
      </c>
      <c r="D926" s="5">
        <v>-1.98E-3</v>
      </c>
      <c r="E926" s="5">
        <v>-4.1709000000000003E-2</v>
      </c>
      <c r="F926" s="5">
        <v>0.86299700000000001</v>
      </c>
      <c r="G926" s="5">
        <v>-65009895</v>
      </c>
      <c r="H926" s="5">
        <v>65833908</v>
      </c>
      <c r="I926" s="5">
        <v>0</v>
      </c>
      <c r="J926" s="5">
        <v>208</v>
      </c>
      <c r="L926">
        <f t="shared" si="87"/>
        <v>924</v>
      </c>
      <c r="M926">
        <f>'Real Analysis'!$B$3+B926/1000000</f>
        <v>20.910011999993003</v>
      </c>
      <c r="N926">
        <f t="shared" si="88"/>
        <v>9</v>
      </c>
      <c r="O926">
        <f>IF(ABS(D926)&gt;1,D926/1000000,D926)*'Real Analysis'!$B$4</f>
        <v>-1.9423800000000001E-2</v>
      </c>
      <c r="P926">
        <f>IF(ABS(E926)&gt;1,E926/1000000,E926)*'Real Analysis'!$B$4</f>
        <v>-0.40916529000000007</v>
      </c>
      <c r="Q926">
        <f>IF(ABS(F926)&gt;1,F926/1000000,F926)*'Real Analysis'!$B$4</f>
        <v>8.4660005700000003</v>
      </c>
      <c r="R926">
        <f t="shared" si="89"/>
        <v>-65.009895</v>
      </c>
      <c r="S926">
        <f t="shared" si="90"/>
        <v>65.833907999999994</v>
      </c>
      <c r="T926">
        <f t="shared" si="91"/>
        <v>0</v>
      </c>
      <c r="U926">
        <f t="shared" si="92"/>
        <v>0.20799999999999999</v>
      </c>
    </row>
    <row r="927" spans="1:21" x14ac:dyDescent="0.3">
      <c r="A927" s="4">
        <v>925</v>
      </c>
      <c r="B927" s="4">
        <v>-96571082579</v>
      </c>
      <c r="C927" s="5">
        <v>9</v>
      </c>
      <c r="D927" s="5">
        <v>1.4232E-2</v>
      </c>
      <c r="E927" s="5">
        <v>-3.4223999999999997E-2</v>
      </c>
      <c r="F927" s="5">
        <v>0.88019199999999997</v>
      </c>
      <c r="G927" s="5">
        <v>-68079674</v>
      </c>
      <c r="H927" s="5">
        <v>69112572</v>
      </c>
      <c r="I927" s="5">
        <v>0</v>
      </c>
      <c r="J927" s="5">
        <v>205</v>
      </c>
      <c r="L927">
        <f t="shared" si="87"/>
        <v>925</v>
      </c>
      <c r="M927">
        <f>'Real Analysis'!$B$3+B927/1000000</f>
        <v>20.917421000005561</v>
      </c>
      <c r="N927">
        <f t="shared" si="88"/>
        <v>9</v>
      </c>
      <c r="O927">
        <f>IF(ABS(D927)&gt;1,D927/1000000,D927)*'Real Analysis'!$B$4</f>
        <v>0.13961592</v>
      </c>
      <c r="P927">
        <f>IF(ABS(E927)&gt;1,E927/1000000,E927)*'Real Analysis'!$B$4</f>
        <v>-0.33573744</v>
      </c>
      <c r="Q927">
        <f>IF(ABS(F927)&gt;1,F927/1000000,F927)*'Real Analysis'!$B$4</f>
        <v>8.6346835199999994</v>
      </c>
      <c r="R927">
        <f t="shared" si="89"/>
        <v>-68.079673999999997</v>
      </c>
      <c r="S927">
        <f t="shared" si="90"/>
        <v>69.112572</v>
      </c>
      <c r="T927">
        <f t="shared" si="91"/>
        <v>0</v>
      </c>
      <c r="U927">
        <f t="shared" si="92"/>
        <v>0.20499999999999999</v>
      </c>
    </row>
    <row r="928" spans="1:21" x14ac:dyDescent="0.3">
      <c r="A928" s="4">
        <v>926</v>
      </c>
      <c r="B928" s="4">
        <v>-96571009910</v>
      </c>
      <c r="C928" s="5">
        <v>9</v>
      </c>
      <c r="D928" s="5">
        <v>1.8869E-2</v>
      </c>
      <c r="E928" s="5">
        <v>-1.6611999999999998E-2</v>
      </c>
      <c r="F928" s="5">
        <v>0.93103599999999997</v>
      </c>
      <c r="G928" s="5">
        <v>-91385170</v>
      </c>
      <c r="H928" s="5">
        <v>49620167</v>
      </c>
      <c r="I928" s="5">
        <v>0</v>
      </c>
      <c r="J928" s="5">
        <v>162</v>
      </c>
      <c r="L928">
        <f t="shared" si="87"/>
        <v>926</v>
      </c>
      <c r="M928">
        <f>'Real Analysis'!$B$3+B928/1000000</f>
        <v>20.990090000006603</v>
      </c>
      <c r="N928">
        <f t="shared" si="88"/>
        <v>9</v>
      </c>
      <c r="O928">
        <f>IF(ABS(D928)&gt;1,D928/1000000,D928)*'Real Analysis'!$B$4</f>
        <v>0.18510489000000002</v>
      </c>
      <c r="P928">
        <f>IF(ABS(E928)&gt;1,E928/1000000,E928)*'Real Analysis'!$B$4</f>
        <v>-0.16296371999999998</v>
      </c>
      <c r="Q928">
        <f>IF(ABS(F928)&gt;1,F928/1000000,F928)*'Real Analysis'!$B$4</f>
        <v>9.1334631599999998</v>
      </c>
      <c r="R928">
        <f t="shared" si="89"/>
        <v>-91.385170000000002</v>
      </c>
      <c r="S928">
        <f t="shared" si="90"/>
        <v>49.620167000000002</v>
      </c>
      <c r="T928">
        <f t="shared" si="91"/>
        <v>0</v>
      </c>
      <c r="U928">
        <f t="shared" si="92"/>
        <v>0.16200000000000001</v>
      </c>
    </row>
    <row r="929" spans="1:21" x14ac:dyDescent="0.3">
      <c r="A929" s="4">
        <v>927</v>
      </c>
      <c r="B929" s="4">
        <v>-96570940859</v>
      </c>
      <c r="C929" s="5">
        <v>9</v>
      </c>
      <c r="D929" s="5">
        <v>3.8374999999999999E-2</v>
      </c>
      <c r="E929" s="5">
        <v>-2.7466999999999998E-2</v>
      </c>
      <c r="F929" s="5">
        <v>0.92108999999999996</v>
      </c>
      <c r="G929" s="5">
        <v>-81045181</v>
      </c>
      <c r="H929" s="5">
        <v>34306328</v>
      </c>
      <c r="I929" s="5">
        <v>0</v>
      </c>
      <c r="J929" s="5">
        <v>162</v>
      </c>
      <c r="L929">
        <f t="shared" si="87"/>
        <v>927</v>
      </c>
      <c r="M929">
        <f>'Real Analysis'!$B$3+B929/1000000</f>
        <v>21.059141000005184</v>
      </c>
      <c r="N929">
        <f t="shared" si="88"/>
        <v>9</v>
      </c>
      <c r="O929">
        <f>IF(ABS(D929)&gt;1,D929/1000000,D929)*'Real Analysis'!$B$4</f>
        <v>0.37645875000000001</v>
      </c>
      <c r="P929">
        <f>IF(ABS(E929)&gt;1,E929/1000000,E929)*'Real Analysis'!$B$4</f>
        <v>-0.26945127000000002</v>
      </c>
      <c r="Q929">
        <f>IF(ABS(F929)&gt;1,F929/1000000,F929)*'Real Analysis'!$B$4</f>
        <v>9.0358929000000003</v>
      </c>
      <c r="R929">
        <f t="shared" si="89"/>
        <v>-81.045180999999999</v>
      </c>
      <c r="S929">
        <f t="shared" si="90"/>
        <v>34.306328000000001</v>
      </c>
      <c r="T929">
        <f t="shared" si="91"/>
        <v>0</v>
      </c>
      <c r="U929">
        <f t="shared" si="92"/>
        <v>0.16200000000000001</v>
      </c>
    </row>
    <row r="930" spans="1:21" x14ac:dyDescent="0.3">
      <c r="A930" s="4">
        <v>928</v>
      </c>
      <c r="B930" s="4">
        <v>-96570876426</v>
      </c>
      <c r="C930" s="5">
        <v>9</v>
      </c>
      <c r="D930" s="5">
        <v>1.7257999999999999E-2</v>
      </c>
      <c r="E930" s="5">
        <v>-5.2853999999999998E-2</v>
      </c>
      <c r="F930" s="5">
        <v>0.972418</v>
      </c>
      <c r="G930" s="5">
        <v>-31853935</v>
      </c>
      <c r="H930" s="5">
        <v>-13543862</v>
      </c>
      <c r="I930" s="5">
        <v>0</v>
      </c>
      <c r="J930" s="5">
        <v>135</v>
      </c>
      <c r="L930">
        <f t="shared" si="87"/>
        <v>928</v>
      </c>
      <c r="M930">
        <f>'Real Analysis'!$B$3+B930/1000000</f>
        <v>21.123573999997461</v>
      </c>
      <c r="N930">
        <f t="shared" si="88"/>
        <v>9</v>
      </c>
      <c r="O930">
        <f>IF(ABS(D930)&gt;1,D930/1000000,D930)*'Real Analysis'!$B$4</f>
        <v>0.16930097999999999</v>
      </c>
      <c r="P930">
        <f>IF(ABS(E930)&gt;1,E930/1000000,E930)*'Real Analysis'!$B$4</f>
        <v>-0.51849774000000004</v>
      </c>
      <c r="Q930">
        <f>IF(ABS(F930)&gt;1,F930/1000000,F930)*'Real Analysis'!$B$4</f>
        <v>9.5394205799999998</v>
      </c>
      <c r="R930">
        <f t="shared" si="89"/>
        <v>-31.853935</v>
      </c>
      <c r="S930">
        <f t="shared" si="90"/>
        <v>-13.543862000000001</v>
      </c>
      <c r="T930">
        <f t="shared" si="91"/>
        <v>0</v>
      </c>
      <c r="U930">
        <f t="shared" si="92"/>
        <v>0.13500000000000001</v>
      </c>
    </row>
    <row r="931" spans="1:21" x14ac:dyDescent="0.3">
      <c r="A931" s="4">
        <v>929</v>
      </c>
      <c r="B931" s="4">
        <v>-96570810665</v>
      </c>
      <c r="C931" s="5">
        <v>9</v>
      </c>
      <c r="D931" s="5">
        <v>2.0722000000000001E-2</v>
      </c>
      <c r="E931" s="5">
        <v>-3.8588999999999998E-2</v>
      </c>
      <c r="F931" s="5">
        <v>0.99137299999999995</v>
      </c>
      <c r="G931" s="5">
        <v>-28941929</v>
      </c>
      <c r="H931" s="5">
        <v>-14011292</v>
      </c>
      <c r="I931" s="5">
        <v>0</v>
      </c>
      <c r="J931" s="5">
        <v>132</v>
      </c>
      <c r="L931">
        <f t="shared" si="87"/>
        <v>929</v>
      </c>
      <c r="M931">
        <f>'Real Analysis'!$B$3+B931/1000000</f>
        <v>21.189335000002757</v>
      </c>
      <c r="N931">
        <f t="shared" si="88"/>
        <v>9</v>
      </c>
      <c r="O931">
        <f>IF(ABS(D931)&gt;1,D931/1000000,D931)*'Real Analysis'!$B$4</f>
        <v>0.20328282000000003</v>
      </c>
      <c r="P931">
        <f>IF(ABS(E931)&gt;1,E931/1000000,E931)*'Real Analysis'!$B$4</f>
        <v>-0.37855809000000001</v>
      </c>
      <c r="Q931">
        <f>IF(ABS(F931)&gt;1,F931/1000000,F931)*'Real Analysis'!$B$4</f>
        <v>9.7253691300000007</v>
      </c>
      <c r="R931">
        <f t="shared" si="89"/>
        <v>-28.941928999999998</v>
      </c>
      <c r="S931">
        <f t="shared" si="90"/>
        <v>-14.011291999999999</v>
      </c>
      <c r="T931">
        <f t="shared" si="91"/>
        <v>0</v>
      </c>
      <c r="U931">
        <f t="shared" si="92"/>
        <v>0.13200000000000001</v>
      </c>
    </row>
    <row r="932" spans="1:21" x14ac:dyDescent="0.3">
      <c r="A932" s="4">
        <v>930</v>
      </c>
      <c r="B932" s="4">
        <v>-96570806983</v>
      </c>
      <c r="C932" s="5">
        <v>9</v>
      </c>
      <c r="D932" s="5">
        <v>5.0169999999999998E-3</v>
      </c>
      <c r="E932" s="5">
        <v>-3.2208000000000001E-2</v>
      </c>
      <c r="F932" s="5">
        <v>0.99377899999999997</v>
      </c>
      <c r="G932" s="5">
        <v>-24843475</v>
      </c>
      <c r="H932" s="5">
        <v>-14973553</v>
      </c>
      <c r="I932" s="5">
        <v>0</v>
      </c>
      <c r="J932" s="5">
        <v>124</v>
      </c>
      <c r="L932">
        <f t="shared" si="87"/>
        <v>930</v>
      </c>
      <c r="M932">
        <f>'Real Analysis'!$B$3+B932/1000000</f>
        <v>21.193016999997781</v>
      </c>
      <c r="N932">
        <f t="shared" si="88"/>
        <v>9</v>
      </c>
      <c r="O932">
        <f>IF(ABS(D932)&gt;1,D932/1000000,D932)*'Real Analysis'!$B$4</f>
        <v>4.921677E-2</v>
      </c>
      <c r="P932">
        <f>IF(ABS(E932)&gt;1,E932/1000000,E932)*'Real Analysis'!$B$4</f>
        <v>-0.31596048000000004</v>
      </c>
      <c r="Q932">
        <f>IF(ABS(F932)&gt;1,F932/1000000,F932)*'Real Analysis'!$B$4</f>
        <v>9.7489719899999994</v>
      </c>
      <c r="R932">
        <f t="shared" si="89"/>
        <v>-24.843475000000002</v>
      </c>
      <c r="S932">
        <f t="shared" si="90"/>
        <v>-14.973553000000001</v>
      </c>
      <c r="T932">
        <f t="shared" si="91"/>
        <v>0</v>
      </c>
      <c r="U932">
        <f t="shared" si="92"/>
        <v>0.124</v>
      </c>
    </row>
    <row r="933" spans="1:21" x14ac:dyDescent="0.3">
      <c r="A933" s="4">
        <v>931</v>
      </c>
      <c r="B933" s="4">
        <v>-96570732502</v>
      </c>
      <c r="C933" s="5">
        <v>9</v>
      </c>
      <c r="D933" s="5">
        <v>1.7340000000000001E-3</v>
      </c>
      <c r="E933" s="5">
        <v>-5.6843999999999999E-2</v>
      </c>
      <c r="F933" s="5">
        <v>1031295</v>
      </c>
      <c r="G933" s="5">
        <v>-7486498</v>
      </c>
      <c r="H933" s="5">
        <v>-15765901</v>
      </c>
      <c r="I933" s="5">
        <v>0</v>
      </c>
      <c r="J933" s="5">
        <v>90</v>
      </c>
      <c r="L933">
        <f t="shared" si="87"/>
        <v>931</v>
      </c>
      <c r="M933">
        <f>'Real Analysis'!$B$3+B933/1000000</f>
        <v>21.267498000001069</v>
      </c>
      <c r="N933">
        <f t="shared" si="88"/>
        <v>9</v>
      </c>
      <c r="O933">
        <f>IF(ABS(D933)&gt;1,D933/1000000,D933)*'Real Analysis'!$B$4</f>
        <v>1.7010540000000001E-2</v>
      </c>
      <c r="P933">
        <f>IF(ABS(E933)&gt;1,E933/1000000,E933)*'Real Analysis'!$B$4</f>
        <v>-0.55763963999999999</v>
      </c>
      <c r="Q933">
        <f>IF(ABS(F933)&gt;1,F933/1000000,F933)*'Real Analysis'!$B$4</f>
        <v>10.117003950000001</v>
      </c>
      <c r="R933">
        <f t="shared" si="89"/>
        <v>-7.4864980000000001</v>
      </c>
      <c r="S933">
        <f t="shared" si="90"/>
        <v>-15.765900999999999</v>
      </c>
      <c r="T933">
        <f t="shared" si="91"/>
        <v>0</v>
      </c>
      <c r="U933">
        <f t="shared" si="92"/>
        <v>0.09</v>
      </c>
    </row>
    <row r="934" spans="1:21" x14ac:dyDescent="0.3">
      <c r="A934" s="4">
        <v>932</v>
      </c>
      <c r="B934" s="4">
        <v>-96570604119</v>
      </c>
      <c r="C934" s="5">
        <v>9</v>
      </c>
      <c r="D934" s="5">
        <v>8.9189999999999998E-3</v>
      </c>
      <c r="E934" s="5">
        <v>-4.5011000000000002E-2</v>
      </c>
      <c r="F934" s="5">
        <v>1051405</v>
      </c>
      <c r="G934" s="5">
        <v>-6031877</v>
      </c>
      <c r="H934" s="5">
        <v>-17712383</v>
      </c>
      <c r="I934" s="5">
        <v>0</v>
      </c>
      <c r="J934" s="5">
        <v>86</v>
      </c>
      <c r="L934">
        <f t="shared" si="87"/>
        <v>932</v>
      </c>
      <c r="M934">
        <f>'Real Analysis'!$B$3+B934/1000000</f>
        <v>21.39588100000401</v>
      </c>
      <c r="N934">
        <f t="shared" si="88"/>
        <v>9</v>
      </c>
      <c r="O934">
        <f>IF(ABS(D934)&gt;1,D934/1000000,D934)*'Real Analysis'!$B$4</f>
        <v>8.7495390000000006E-2</v>
      </c>
      <c r="P934">
        <f>IF(ABS(E934)&gt;1,E934/1000000,E934)*'Real Analysis'!$B$4</f>
        <v>-0.44155791000000005</v>
      </c>
      <c r="Q934">
        <f>IF(ABS(F934)&gt;1,F934/1000000,F934)*'Real Analysis'!$B$4</f>
        <v>10.31428305</v>
      </c>
      <c r="R934">
        <f t="shared" si="89"/>
        <v>-6.0318769999999997</v>
      </c>
      <c r="S934">
        <f t="shared" si="90"/>
        <v>-17.712382999999999</v>
      </c>
      <c r="T934">
        <f t="shared" si="91"/>
        <v>0</v>
      </c>
      <c r="U934">
        <f t="shared" si="92"/>
        <v>8.5999999999999993E-2</v>
      </c>
    </row>
    <row r="935" spans="1:21" x14ac:dyDescent="0.3">
      <c r="A935" s="4">
        <v>933</v>
      </c>
      <c r="B935" s="4">
        <v>-96570523234</v>
      </c>
      <c r="C935" s="5">
        <v>9</v>
      </c>
      <c r="D935" s="5">
        <v>1.0607E-2</v>
      </c>
      <c r="E935" s="5">
        <v>-4.5552000000000002E-2</v>
      </c>
      <c r="F935" s="5">
        <v>1092224</v>
      </c>
      <c r="G935" s="5">
        <v>-2492442</v>
      </c>
      <c r="H935" s="5">
        <v>-24059872</v>
      </c>
      <c r="I935" s="5">
        <v>0</v>
      </c>
      <c r="J935" s="5">
        <v>74</v>
      </c>
      <c r="L935">
        <f t="shared" si="87"/>
        <v>933</v>
      </c>
      <c r="M935">
        <f>'Real Analysis'!$B$3+B935/1000000</f>
        <v>21.476766000007046</v>
      </c>
      <c r="N935">
        <f t="shared" si="88"/>
        <v>9</v>
      </c>
      <c r="O935">
        <f>IF(ABS(D935)&gt;1,D935/1000000,D935)*'Real Analysis'!$B$4</f>
        <v>0.10405467</v>
      </c>
      <c r="P935">
        <f>IF(ABS(E935)&gt;1,E935/1000000,E935)*'Real Analysis'!$B$4</f>
        <v>-0.44686512000000006</v>
      </c>
      <c r="Q935">
        <f>IF(ABS(F935)&gt;1,F935/1000000,F935)*'Real Analysis'!$B$4</f>
        <v>10.714717440000001</v>
      </c>
      <c r="R935">
        <f t="shared" si="89"/>
        <v>-2.492442</v>
      </c>
      <c r="S935">
        <f t="shared" si="90"/>
        <v>-24.059871999999999</v>
      </c>
      <c r="T935">
        <f t="shared" si="91"/>
        <v>0</v>
      </c>
      <c r="U935">
        <f t="shared" si="92"/>
        <v>7.3999999999999996E-2</v>
      </c>
    </row>
    <row r="936" spans="1:21" x14ac:dyDescent="0.3">
      <c r="A936" s="4">
        <v>934</v>
      </c>
      <c r="B936" s="4">
        <v>-96570328412</v>
      </c>
      <c r="C936" s="5">
        <v>9</v>
      </c>
      <c r="D936" s="5">
        <v>1.0430999999999999E-2</v>
      </c>
      <c r="E936" s="5">
        <v>-2.3368E-2</v>
      </c>
      <c r="F936" s="5">
        <v>1158962</v>
      </c>
      <c r="G936" s="5">
        <v>17203545</v>
      </c>
      <c r="H936" s="5">
        <v>-34248516</v>
      </c>
      <c r="I936" s="5">
        <v>0</v>
      </c>
      <c r="J936" s="5">
        <v>31</v>
      </c>
      <c r="L936">
        <f t="shared" si="87"/>
        <v>934</v>
      </c>
      <c r="M936">
        <f>'Real Analysis'!$B$3+B936/1000000</f>
        <v>21.671587999997428</v>
      </c>
      <c r="N936">
        <f t="shared" si="88"/>
        <v>9</v>
      </c>
      <c r="O936">
        <f>IF(ABS(D936)&gt;1,D936/1000000,D936)*'Real Analysis'!$B$4</f>
        <v>0.10232811</v>
      </c>
      <c r="P936">
        <f>IF(ABS(E936)&gt;1,E936/1000000,E936)*'Real Analysis'!$B$4</f>
        <v>-0.22924008000000001</v>
      </c>
      <c r="Q936">
        <f>IF(ABS(F936)&gt;1,F936/1000000,F936)*'Real Analysis'!$B$4</f>
        <v>11.369417220000001</v>
      </c>
      <c r="R936">
        <f t="shared" si="89"/>
        <v>17.203544999999998</v>
      </c>
      <c r="S936">
        <f t="shared" si="90"/>
        <v>-34.248516000000002</v>
      </c>
      <c r="T936">
        <f t="shared" si="91"/>
        <v>0</v>
      </c>
      <c r="U936">
        <f t="shared" si="92"/>
        <v>3.1E-2</v>
      </c>
    </row>
    <row r="937" spans="1:21" x14ac:dyDescent="0.3">
      <c r="A937" s="4">
        <v>935</v>
      </c>
      <c r="B937" s="4">
        <v>-96570198313</v>
      </c>
      <c r="C937" s="5">
        <v>9</v>
      </c>
      <c r="D937" s="5">
        <v>4.3039999999999997E-3</v>
      </c>
      <c r="E937" s="5">
        <v>-2.0492E-2</v>
      </c>
      <c r="F937" s="5">
        <v>1163208</v>
      </c>
      <c r="G937" s="5">
        <v>21047419</v>
      </c>
      <c r="H937" s="5">
        <v>-38125980</v>
      </c>
      <c r="I937" s="5">
        <v>0</v>
      </c>
      <c r="J937" s="5">
        <v>23</v>
      </c>
      <c r="L937">
        <f t="shared" si="87"/>
        <v>935</v>
      </c>
      <c r="M937">
        <f>'Real Analysis'!$B$3+B937/1000000</f>
        <v>21.80168699999922</v>
      </c>
      <c r="N937">
        <f t="shared" si="88"/>
        <v>9</v>
      </c>
      <c r="O937">
        <f>IF(ABS(D937)&gt;1,D937/1000000,D937)*'Real Analysis'!$B$4</f>
        <v>4.2222240000000001E-2</v>
      </c>
      <c r="P937">
        <f>IF(ABS(E937)&gt;1,E937/1000000,E937)*'Real Analysis'!$B$4</f>
        <v>-0.20102652000000001</v>
      </c>
      <c r="Q937">
        <f>IF(ABS(F937)&gt;1,F937/1000000,F937)*'Real Analysis'!$B$4</f>
        <v>11.411070480000001</v>
      </c>
      <c r="R937">
        <f t="shared" si="89"/>
        <v>21.047419000000001</v>
      </c>
      <c r="S937">
        <f t="shared" si="90"/>
        <v>-38.125979999999998</v>
      </c>
      <c r="T937">
        <f t="shared" si="91"/>
        <v>0</v>
      </c>
      <c r="U937">
        <f t="shared" si="92"/>
        <v>2.3E-2</v>
      </c>
    </row>
    <row r="938" spans="1:21" x14ac:dyDescent="0.3">
      <c r="A938" s="4">
        <v>936</v>
      </c>
      <c r="B938" s="4">
        <v>-96570180102</v>
      </c>
      <c r="C938" s="5">
        <v>9</v>
      </c>
      <c r="D938" s="5">
        <v>1.072E-3</v>
      </c>
      <c r="E938" s="5">
        <v>-1.0754E-2</v>
      </c>
      <c r="F938" s="5">
        <v>1169369</v>
      </c>
      <c r="G938" s="5">
        <v>24574139</v>
      </c>
      <c r="H938" s="5">
        <v>-37983658</v>
      </c>
      <c r="I938" s="5">
        <v>0</v>
      </c>
      <c r="J938" s="5">
        <v>15</v>
      </c>
      <c r="L938">
        <f t="shared" si="87"/>
        <v>936</v>
      </c>
      <c r="M938">
        <f>'Real Analysis'!$B$3+B938/1000000</f>
        <v>21.819898000001558</v>
      </c>
      <c r="N938">
        <f t="shared" si="88"/>
        <v>9</v>
      </c>
      <c r="O938">
        <f>IF(ABS(D938)&gt;1,D938/1000000,D938)*'Real Analysis'!$B$4</f>
        <v>1.0516320000000001E-2</v>
      </c>
      <c r="P938">
        <f>IF(ABS(E938)&gt;1,E938/1000000,E938)*'Real Analysis'!$B$4</f>
        <v>-0.10549674000000001</v>
      </c>
      <c r="Q938">
        <f>IF(ABS(F938)&gt;1,F938/1000000,F938)*'Real Analysis'!$B$4</f>
        <v>11.471509890000002</v>
      </c>
      <c r="R938">
        <f t="shared" si="89"/>
        <v>24.574138999999999</v>
      </c>
      <c r="S938">
        <f t="shared" si="90"/>
        <v>-37.983657999999998</v>
      </c>
      <c r="T938">
        <f t="shared" si="91"/>
        <v>0</v>
      </c>
      <c r="U938">
        <f t="shared" si="92"/>
        <v>1.4999999999999999E-2</v>
      </c>
    </row>
    <row r="939" spans="1:21" x14ac:dyDescent="0.3">
      <c r="A939" s="4">
        <v>937</v>
      </c>
      <c r="B939" s="4">
        <v>-96570070634</v>
      </c>
      <c r="C939" s="5">
        <v>9</v>
      </c>
      <c r="D939" s="5">
        <v>-4.9973999999999998E-2</v>
      </c>
      <c r="E939" s="5">
        <v>6.2239999999999997E-2</v>
      </c>
      <c r="F939" s="5">
        <v>1141327</v>
      </c>
      <c r="G939" s="5">
        <v>101703552</v>
      </c>
      <c r="H939" s="5">
        <v>15889202</v>
      </c>
      <c r="I939" s="5">
        <v>0</v>
      </c>
      <c r="J939" s="5">
        <v>79</v>
      </c>
      <c r="L939">
        <f t="shared" si="87"/>
        <v>937</v>
      </c>
      <c r="M939">
        <f>'Real Analysis'!$B$3+B939/1000000</f>
        <v>21.929365999996662</v>
      </c>
      <c r="N939">
        <f t="shared" si="88"/>
        <v>9</v>
      </c>
      <c r="O939">
        <f>IF(ABS(D939)&gt;1,D939/1000000,D939)*'Real Analysis'!$B$4</f>
        <v>-0.49024494000000002</v>
      </c>
      <c r="P939">
        <f>IF(ABS(E939)&gt;1,E939/1000000,E939)*'Real Analysis'!$B$4</f>
        <v>0.61057439999999996</v>
      </c>
      <c r="Q939">
        <f>IF(ABS(F939)&gt;1,F939/1000000,F939)*'Real Analysis'!$B$4</f>
        <v>11.196417870000001</v>
      </c>
      <c r="R939">
        <f t="shared" si="89"/>
        <v>101.703552</v>
      </c>
      <c r="S939">
        <f t="shared" si="90"/>
        <v>15.889201999999999</v>
      </c>
      <c r="T939">
        <f t="shared" si="91"/>
        <v>0</v>
      </c>
      <c r="U939">
        <f t="shared" si="92"/>
        <v>7.9000000000000001E-2</v>
      </c>
    </row>
    <row r="940" spans="1:21" x14ac:dyDescent="0.3">
      <c r="A940" s="4">
        <v>938</v>
      </c>
      <c r="B940" s="4">
        <v>-96570049186</v>
      </c>
      <c r="C940" s="5">
        <v>9</v>
      </c>
      <c r="D940" s="5">
        <v>-7.0503999999999997E-2</v>
      </c>
      <c r="E940" s="5">
        <v>6.2241999999999999E-2</v>
      </c>
      <c r="F940" s="5">
        <v>1253465</v>
      </c>
      <c r="G940" s="5">
        <v>111176491</v>
      </c>
      <c r="H940" s="5">
        <v>25499355</v>
      </c>
      <c r="I940" s="5">
        <v>0</v>
      </c>
      <c r="J940" s="5">
        <v>75</v>
      </c>
      <c r="L940">
        <f t="shared" si="87"/>
        <v>938</v>
      </c>
      <c r="M940">
        <f>'Real Analysis'!$B$3+B940/1000000</f>
        <v>21.950813999996171</v>
      </c>
      <c r="N940">
        <f t="shared" si="88"/>
        <v>9</v>
      </c>
      <c r="O940">
        <f>IF(ABS(D940)&gt;1,D940/1000000,D940)*'Real Analysis'!$B$4</f>
        <v>-0.69164424000000002</v>
      </c>
      <c r="P940">
        <f>IF(ABS(E940)&gt;1,E940/1000000,E940)*'Real Analysis'!$B$4</f>
        <v>0.61059402000000007</v>
      </c>
      <c r="Q940">
        <f>IF(ABS(F940)&gt;1,F940/1000000,F940)*'Real Analysis'!$B$4</f>
        <v>12.296491650000002</v>
      </c>
      <c r="R940">
        <f t="shared" si="89"/>
        <v>111.176491</v>
      </c>
      <c r="S940">
        <f t="shared" si="90"/>
        <v>25.499355000000001</v>
      </c>
      <c r="T940">
        <f t="shared" si="91"/>
        <v>0</v>
      </c>
      <c r="U940">
        <f t="shared" si="92"/>
        <v>7.4999999999999997E-2</v>
      </c>
    </row>
    <row r="941" spans="1:21" x14ac:dyDescent="0.3">
      <c r="A941" s="4">
        <v>939</v>
      </c>
      <c r="B941" s="4">
        <v>-96570030403</v>
      </c>
      <c r="C941" s="5">
        <v>0</v>
      </c>
      <c r="D941" s="5">
        <v>8.4584999999999994E-2</v>
      </c>
      <c r="E941" s="5">
        <v>-0.118204</v>
      </c>
      <c r="F941" s="5">
        <v>0.93059800000000004</v>
      </c>
      <c r="G941" s="5">
        <v>0</v>
      </c>
      <c r="H941" s="5">
        <v>0</v>
      </c>
      <c r="I941" s="5">
        <v>0</v>
      </c>
      <c r="J941" s="5">
        <v>0</v>
      </c>
      <c r="L941">
        <f t="shared" si="87"/>
        <v>939</v>
      </c>
      <c r="M941">
        <f>'Real Analysis'!$B$3+B941/1000000</f>
        <v>21.969597000002977</v>
      </c>
      <c r="N941">
        <f t="shared" si="88"/>
        <v>0</v>
      </c>
      <c r="O941">
        <f>IF(ABS(D941)&gt;1,D941/1000000,D941)*'Real Analysis'!$B$4</f>
        <v>0.82977884999999996</v>
      </c>
      <c r="P941">
        <f>IF(ABS(E941)&gt;1,E941/1000000,E941)*'Real Analysis'!$B$4</f>
        <v>-1.1595812400000001</v>
      </c>
      <c r="Q941">
        <f>IF(ABS(F941)&gt;1,F941/1000000,F941)*'Real Analysis'!$B$4</f>
        <v>9.1291663800000009</v>
      </c>
      <c r="R941">
        <f t="shared" si="89"/>
        <v>0</v>
      </c>
      <c r="S941">
        <f t="shared" si="90"/>
        <v>0</v>
      </c>
      <c r="T941">
        <f t="shared" si="91"/>
        <v>0</v>
      </c>
      <c r="U941">
        <f t="shared" si="92"/>
        <v>0</v>
      </c>
    </row>
    <row r="942" spans="1:21" x14ac:dyDescent="0.3">
      <c r="A942" s="4">
        <v>940</v>
      </c>
      <c r="B942" s="4">
        <v>-96570011500</v>
      </c>
      <c r="C942" s="5">
        <v>0</v>
      </c>
      <c r="D942" s="5">
        <v>9.8759E-2</v>
      </c>
      <c r="E942" s="5">
        <v>-7.4699000000000002E-2</v>
      </c>
      <c r="F942" s="5">
        <v>0.899922</v>
      </c>
      <c r="G942" s="5">
        <v>0</v>
      </c>
      <c r="H942" s="5">
        <v>0</v>
      </c>
      <c r="I942" s="5">
        <v>0</v>
      </c>
      <c r="J942" s="5">
        <v>0</v>
      </c>
      <c r="L942">
        <f t="shared" si="87"/>
        <v>940</v>
      </c>
      <c r="M942">
        <f>'Real Analysis'!$B$3+B942/1000000</f>
        <v>21.988500000006752</v>
      </c>
      <c r="N942">
        <f t="shared" si="88"/>
        <v>0</v>
      </c>
      <c r="O942">
        <f>IF(ABS(D942)&gt;1,D942/1000000,D942)*'Real Analysis'!$B$4</f>
        <v>0.96882579000000002</v>
      </c>
      <c r="P942">
        <f>IF(ABS(E942)&gt;1,E942/1000000,E942)*'Real Analysis'!$B$4</f>
        <v>-0.7327971900000001</v>
      </c>
      <c r="Q942">
        <f>IF(ABS(F942)&gt;1,F942/1000000,F942)*'Real Analysis'!$B$4</f>
        <v>8.8282348200000005</v>
      </c>
      <c r="R942">
        <f t="shared" si="89"/>
        <v>0</v>
      </c>
      <c r="S942">
        <f t="shared" si="90"/>
        <v>0</v>
      </c>
      <c r="T942">
        <f t="shared" si="91"/>
        <v>0</v>
      </c>
      <c r="U942">
        <f t="shared" si="92"/>
        <v>0</v>
      </c>
    </row>
    <row r="943" spans="1:21" x14ac:dyDescent="0.3">
      <c r="A943" s="4">
        <v>941</v>
      </c>
      <c r="B943" s="4">
        <v>-96569990698</v>
      </c>
      <c r="C943" s="5">
        <v>0</v>
      </c>
      <c r="D943" s="5">
        <v>6.7539999999999996E-3</v>
      </c>
      <c r="E943" s="5">
        <v>-0.11754299999999999</v>
      </c>
      <c r="F943" s="5">
        <v>1162360</v>
      </c>
      <c r="G943" s="5">
        <v>0</v>
      </c>
      <c r="H943" s="5">
        <v>0</v>
      </c>
      <c r="I943" s="5">
        <v>0</v>
      </c>
      <c r="J943" s="5">
        <v>0</v>
      </c>
      <c r="L943">
        <f t="shared" si="87"/>
        <v>941</v>
      </c>
      <c r="M943">
        <f>'Real Analysis'!$B$3+B943/1000000</f>
        <v>22.009302000005846</v>
      </c>
      <c r="N943">
        <f t="shared" si="88"/>
        <v>0</v>
      </c>
      <c r="O943">
        <f>IF(ABS(D943)&gt;1,D943/1000000,D943)*'Real Analysis'!$B$4</f>
        <v>6.6256739999999995E-2</v>
      </c>
      <c r="P943">
        <f>IF(ABS(E943)&gt;1,E943/1000000,E943)*'Real Analysis'!$B$4</f>
        <v>-1.15309683</v>
      </c>
      <c r="Q943">
        <f>IF(ABS(F943)&gt;1,F943/1000000,F943)*'Real Analysis'!$B$4</f>
        <v>11.402751600000002</v>
      </c>
      <c r="R943">
        <f t="shared" si="89"/>
        <v>0</v>
      </c>
      <c r="S943">
        <f t="shared" si="90"/>
        <v>0</v>
      </c>
      <c r="T943">
        <f t="shared" si="91"/>
        <v>0</v>
      </c>
      <c r="U943">
        <f t="shared" si="92"/>
        <v>0</v>
      </c>
    </row>
    <row r="944" spans="1:21" x14ac:dyDescent="0.3">
      <c r="A944" s="4">
        <v>942</v>
      </c>
      <c r="B944" s="4">
        <v>-96569967103</v>
      </c>
      <c r="C944" s="5">
        <v>0</v>
      </c>
      <c r="D944" s="5">
        <v>-9.4889999999999992E-3</v>
      </c>
      <c r="E944" s="5">
        <v>6.2830000000000004E-3</v>
      </c>
      <c r="F944" s="5">
        <v>1002309</v>
      </c>
      <c r="G944" s="5">
        <v>0</v>
      </c>
      <c r="H944" s="5">
        <v>0</v>
      </c>
      <c r="I944" s="5">
        <v>0</v>
      </c>
      <c r="J944" s="5">
        <v>0</v>
      </c>
      <c r="L944">
        <f t="shared" si="87"/>
        <v>942</v>
      </c>
      <c r="M944">
        <f>'Real Analysis'!$B$3+B944/1000000</f>
        <v>22.03289699999732</v>
      </c>
      <c r="N944">
        <f t="shared" si="88"/>
        <v>0</v>
      </c>
      <c r="O944">
        <f>IF(ABS(D944)&gt;1,D944/1000000,D944)*'Real Analysis'!$B$4</f>
        <v>-9.3087089999999997E-2</v>
      </c>
      <c r="P944">
        <f>IF(ABS(E944)&gt;1,E944/1000000,E944)*'Real Analysis'!$B$4</f>
        <v>6.1636230000000007E-2</v>
      </c>
      <c r="Q944">
        <f>IF(ABS(F944)&gt;1,F944/1000000,F944)*'Real Analysis'!$B$4</f>
        <v>9.8326512899999994</v>
      </c>
      <c r="R944">
        <f t="shared" si="89"/>
        <v>0</v>
      </c>
      <c r="S944">
        <f t="shared" si="90"/>
        <v>0</v>
      </c>
      <c r="T944">
        <f t="shared" si="91"/>
        <v>0</v>
      </c>
      <c r="U944">
        <f t="shared" si="92"/>
        <v>0</v>
      </c>
    </row>
    <row r="945" spans="1:21" x14ac:dyDescent="0.3">
      <c r="A945" s="4">
        <v>943</v>
      </c>
      <c r="B945" s="4">
        <v>-96569949095</v>
      </c>
      <c r="C945" s="5">
        <v>0</v>
      </c>
      <c r="D945" s="5">
        <v>-8.5730000000000008E-3</v>
      </c>
      <c r="E945" s="5">
        <v>7.7800000000000005E-4</v>
      </c>
      <c r="F945" s="5">
        <v>1004214</v>
      </c>
      <c r="G945" s="5">
        <v>0</v>
      </c>
      <c r="H945" s="5">
        <v>0</v>
      </c>
      <c r="I945" s="5">
        <v>0</v>
      </c>
      <c r="J945" s="5">
        <v>0</v>
      </c>
      <c r="L945">
        <f t="shared" si="87"/>
        <v>943</v>
      </c>
      <c r="M945">
        <f>'Real Analysis'!$B$3+B945/1000000</f>
        <v>22.050904999996419</v>
      </c>
      <c r="N945">
        <f t="shared" si="88"/>
        <v>0</v>
      </c>
      <c r="O945">
        <f>IF(ABS(D945)&gt;1,D945/1000000,D945)*'Real Analysis'!$B$4</f>
        <v>-8.410113000000001E-2</v>
      </c>
      <c r="P945">
        <f>IF(ABS(E945)&gt;1,E945/1000000,E945)*'Real Analysis'!$B$4</f>
        <v>7.6321800000000006E-3</v>
      </c>
      <c r="Q945">
        <f>IF(ABS(F945)&gt;1,F945/1000000,F945)*'Real Analysis'!$B$4</f>
        <v>9.8513393399999991</v>
      </c>
      <c r="R945">
        <f t="shared" si="89"/>
        <v>0</v>
      </c>
      <c r="S945">
        <f t="shared" si="90"/>
        <v>0</v>
      </c>
      <c r="T945">
        <f t="shared" si="91"/>
        <v>0</v>
      </c>
      <c r="U945">
        <f t="shared" si="92"/>
        <v>0</v>
      </c>
    </row>
    <row r="946" spans="1:21" x14ac:dyDescent="0.3">
      <c r="A946" s="4">
        <v>944</v>
      </c>
      <c r="B946" s="4">
        <v>-96569890399</v>
      </c>
      <c r="C946" s="5">
        <v>0</v>
      </c>
      <c r="D946" s="5">
        <v>-1.0791E-2</v>
      </c>
      <c r="E946" s="5">
        <v>3.9439999999999996E-3</v>
      </c>
      <c r="F946" s="5">
        <v>1002707</v>
      </c>
      <c r="G946" s="5">
        <v>0</v>
      </c>
      <c r="H946" s="5">
        <v>0</v>
      </c>
      <c r="I946" s="5">
        <v>0</v>
      </c>
      <c r="J946" s="5">
        <v>0</v>
      </c>
      <c r="L946">
        <f t="shared" si="87"/>
        <v>944</v>
      </c>
      <c r="M946">
        <f>'Real Analysis'!$B$3+B946/1000000</f>
        <v>22.10960100000375</v>
      </c>
      <c r="N946">
        <f t="shared" si="88"/>
        <v>0</v>
      </c>
      <c r="O946">
        <f>IF(ABS(D946)&gt;1,D946/1000000,D946)*'Real Analysis'!$B$4</f>
        <v>-0.10585971000000001</v>
      </c>
      <c r="P946">
        <f>IF(ABS(E946)&gt;1,E946/1000000,E946)*'Real Analysis'!$B$4</f>
        <v>3.8690639999999998E-2</v>
      </c>
      <c r="Q946">
        <f>IF(ABS(F946)&gt;1,F946/1000000,F946)*'Real Analysis'!$B$4</f>
        <v>9.836555670000001</v>
      </c>
      <c r="R946">
        <f t="shared" si="89"/>
        <v>0</v>
      </c>
      <c r="S946">
        <f t="shared" si="90"/>
        <v>0</v>
      </c>
      <c r="T946">
        <f t="shared" si="91"/>
        <v>0</v>
      </c>
      <c r="U946">
        <f t="shared" si="92"/>
        <v>0</v>
      </c>
    </row>
    <row r="947" spans="1:21" x14ac:dyDescent="0.3">
      <c r="A947" s="4">
        <v>945</v>
      </c>
      <c r="B947" s="4">
        <v>-96569870394</v>
      </c>
      <c r="C947" s="5">
        <v>0</v>
      </c>
      <c r="D947" s="5">
        <v>-1.2599000000000001E-2</v>
      </c>
      <c r="E947" s="5">
        <v>-5.0299999999999997E-4</v>
      </c>
      <c r="F947" s="5">
        <v>1005481</v>
      </c>
      <c r="G947" s="5">
        <v>0</v>
      </c>
      <c r="H947" s="5">
        <v>0</v>
      </c>
      <c r="I947" s="5">
        <v>0</v>
      </c>
      <c r="J947" s="5">
        <v>0</v>
      </c>
      <c r="L947">
        <f t="shared" si="87"/>
        <v>945</v>
      </c>
      <c r="M947">
        <f>'Real Analysis'!$B$3+B947/1000000</f>
        <v>22.129606000002241</v>
      </c>
      <c r="N947">
        <f t="shared" si="88"/>
        <v>0</v>
      </c>
      <c r="O947">
        <f>IF(ABS(D947)&gt;1,D947/1000000,D947)*'Real Analysis'!$B$4</f>
        <v>-0.12359619000000001</v>
      </c>
      <c r="P947">
        <f>IF(ABS(E947)&gt;1,E947/1000000,E947)*'Real Analysis'!$B$4</f>
        <v>-4.9344300000000001E-3</v>
      </c>
      <c r="Q947">
        <f>IF(ABS(F947)&gt;1,F947/1000000,F947)*'Real Analysis'!$B$4</f>
        <v>9.863768610000001</v>
      </c>
      <c r="R947">
        <f t="shared" si="89"/>
        <v>0</v>
      </c>
      <c r="S947">
        <f t="shared" si="90"/>
        <v>0</v>
      </c>
      <c r="T947">
        <f t="shared" si="91"/>
        <v>0</v>
      </c>
      <c r="U947">
        <f t="shared" si="92"/>
        <v>0</v>
      </c>
    </row>
    <row r="948" spans="1:21" x14ac:dyDescent="0.3">
      <c r="A948" s="4">
        <v>946</v>
      </c>
      <c r="B948" s="4">
        <v>-96569846447</v>
      </c>
      <c r="C948" s="5">
        <v>0</v>
      </c>
      <c r="D948" s="5">
        <v>-2.8909999999999999E-3</v>
      </c>
      <c r="E948" s="5">
        <v>1.75E-4</v>
      </c>
      <c r="F948" s="5">
        <v>1007929</v>
      </c>
      <c r="G948" s="5">
        <v>0</v>
      </c>
      <c r="H948" s="5">
        <v>0</v>
      </c>
      <c r="I948" s="5">
        <v>0</v>
      </c>
      <c r="J948" s="5">
        <v>0</v>
      </c>
      <c r="L948">
        <f t="shared" si="87"/>
        <v>946</v>
      </c>
      <c r="M948">
        <f>'Real Analysis'!$B$3+B948/1000000</f>
        <v>22.153552999996464</v>
      </c>
      <c r="N948">
        <f t="shared" si="88"/>
        <v>0</v>
      </c>
      <c r="O948">
        <f>IF(ABS(D948)&gt;1,D948/1000000,D948)*'Real Analysis'!$B$4</f>
        <v>-2.8360710000000001E-2</v>
      </c>
      <c r="P948">
        <f>IF(ABS(E948)&gt;1,E948/1000000,E948)*'Real Analysis'!$B$4</f>
        <v>1.7167500000000002E-3</v>
      </c>
      <c r="Q948">
        <f>IF(ABS(F948)&gt;1,F948/1000000,F948)*'Real Analysis'!$B$4</f>
        <v>9.8877834900000021</v>
      </c>
      <c r="R948">
        <f t="shared" si="89"/>
        <v>0</v>
      </c>
      <c r="S948">
        <f t="shared" si="90"/>
        <v>0</v>
      </c>
      <c r="T948">
        <f t="shared" si="91"/>
        <v>0</v>
      </c>
      <c r="U948">
        <f t="shared" si="92"/>
        <v>0</v>
      </c>
    </row>
    <row r="949" spans="1:21" x14ac:dyDescent="0.3">
      <c r="A949" s="4">
        <v>947</v>
      </c>
      <c r="B949" s="4">
        <v>-96569783966</v>
      </c>
      <c r="C949" s="5">
        <v>0</v>
      </c>
      <c r="D949" s="5">
        <v>-7.7270000000000004E-3</v>
      </c>
      <c r="E949" s="5">
        <v>2.6830000000000001E-3</v>
      </c>
      <c r="F949" s="5">
        <v>1010305</v>
      </c>
      <c r="G949" s="5">
        <v>0</v>
      </c>
      <c r="H949" s="5">
        <v>0</v>
      </c>
      <c r="I949" s="5">
        <v>0</v>
      </c>
      <c r="J949" s="5">
        <v>0</v>
      </c>
      <c r="L949">
        <f t="shared" si="87"/>
        <v>947</v>
      </c>
      <c r="M949">
        <f>'Real Analysis'!$B$3+B949/1000000</f>
        <v>22.216033999997308</v>
      </c>
      <c r="N949">
        <f t="shared" si="88"/>
        <v>0</v>
      </c>
      <c r="O949">
        <f>IF(ABS(D949)&gt;1,D949/1000000,D949)*'Real Analysis'!$B$4</f>
        <v>-7.5801870000000007E-2</v>
      </c>
      <c r="P949">
        <f>IF(ABS(E949)&gt;1,E949/1000000,E949)*'Real Analysis'!$B$4</f>
        <v>2.6320230000000003E-2</v>
      </c>
      <c r="Q949">
        <f>IF(ABS(F949)&gt;1,F949/1000000,F949)*'Real Analysis'!$B$4</f>
        <v>9.9110920500000006</v>
      </c>
      <c r="R949">
        <f t="shared" si="89"/>
        <v>0</v>
      </c>
      <c r="S949">
        <f t="shared" si="90"/>
        <v>0</v>
      </c>
      <c r="T949">
        <f t="shared" si="91"/>
        <v>0</v>
      </c>
      <c r="U949">
        <f t="shared" si="92"/>
        <v>0</v>
      </c>
    </row>
    <row r="950" spans="1:21" x14ac:dyDescent="0.3">
      <c r="A950" s="4">
        <v>948</v>
      </c>
      <c r="B950" s="4">
        <v>-96569730540</v>
      </c>
      <c r="C950" s="5">
        <v>0</v>
      </c>
      <c r="D950" s="5">
        <v>-1.0735E-2</v>
      </c>
      <c r="E950" s="5">
        <v>2.9510000000000001E-3</v>
      </c>
      <c r="F950" s="5">
        <v>1005961</v>
      </c>
      <c r="G950" s="5">
        <v>0</v>
      </c>
      <c r="H950" s="5">
        <v>0</v>
      </c>
      <c r="I950" s="5">
        <v>0</v>
      </c>
      <c r="J950" s="5">
        <v>0</v>
      </c>
      <c r="L950">
        <f t="shared" si="87"/>
        <v>948</v>
      </c>
      <c r="M950">
        <f>'Real Analysis'!$B$3+B950/1000000</f>
        <v>22.269459999995888</v>
      </c>
      <c r="N950">
        <f t="shared" si="88"/>
        <v>0</v>
      </c>
      <c r="O950">
        <f>IF(ABS(D950)&gt;1,D950/1000000,D950)*'Real Analysis'!$B$4</f>
        <v>-0.10531035</v>
      </c>
      <c r="P950">
        <f>IF(ABS(E950)&gt;1,E950/1000000,E950)*'Real Analysis'!$B$4</f>
        <v>2.8949310000000002E-2</v>
      </c>
      <c r="Q950">
        <f>IF(ABS(F950)&gt;1,F950/1000000,F950)*'Real Analysis'!$B$4</f>
        <v>9.8684774100000023</v>
      </c>
      <c r="R950">
        <f t="shared" si="89"/>
        <v>0</v>
      </c>
      <c r="S950">
        <f t="shared" si="90"/>
        <v>0</v>
      </c>
      <c r="T950">
        <f t="shared" si="91"/>
        <v>0</v>
      </c>
      <c r="U950">
        <f t="shared" si="92"/>
        <v>0</v>
      </c>
    </row>
    <row r="951" spans="1:21" x14ac:dyDescent="0.3">
      <c r="A951" s="4">
        <v>949</v>
      </c>
      <c r="B951" s="4">
        <v>-96569660613</v>
      </c>
      <c r="C951" s="5">
        <v>0</v>
      </c>
      <c r="D951" s="5">
        <v>-1.3185000000000001E-2</v>
      </c>
      <c r="E951" s="5">
        <v>-1.5460000000000001E-3</v>
      </c>
      <c r="F951" s="5">
        <v>1004036</v>
      </c>
      <c r="G951" s="5">
        <v>0</v>
      </c>
      <c r="H951" s="5">
        <v>0</v>
      </c>
      <c r="I951" s="5">
        <v>0</v>
      </c>
      <c r="J951" s="5">
        <v>0</v>
      </c>
      <c r="L951">
        <f t="shared" si="87"/>
        <v>949</v>
      </c>
      <c r="M951">
        <f>'Real Analysis'!$B$3+B951/1000000</f>
        <v>22.339386999999988</v>
      </c>
      <c r="N951">
        <f t="shared" si="88"/>
        <v>0</v>
      </c>
      <c r="O951">
        <f>IF(ABS(D951)&gt;1,D951/1000000,D951)*'Real Analysis'!$B$4</f>
        <v>-0.12934485000000001</v>
      </c>
      <c r="P951">
        <f>IF(ABS(E951)&gt;1,E951/1000000,E951)*'Real Analysis'!$B$4</f>
        <v>-1.5166260000000001E-2</v>
      </c>
      <c r="Q951">
        <f>IF(ABS(F951)&gt;1,F951/1000000,F951)*'Real Analysis'!$B$4</f>
        <v>9.8495931599999995</v>
      </c>
      <c r="R951">
        <f t="shared" si="89"/>
        <v>0</v>
      </c>
      <c r="S951">
        <f t="shared" si="90"/>
        <v>0</v>
      </c>
      <c r="T951">
        <f t="shared" si="91"/>
        <v>0</v>
      </c>
      <c r="U951">
        <f t="shared" si="92"/>
        <v>0</v>
      </c>
    </row>
    <row r="952" spans="1:21" x14ac:dyDescent="0.3">
      <c r="A952" s="4">
        <v>950</v>
      </c>
      <c r="B952" s="4">
        <v>-96569640055</v>
      </c>
      <c r="C952" s="5">
        <v>0</v>
      </c>
      <c r="D952" s="5">
        <v>-1.3247E-2</v>
      </c>
      <c r="E952" s="5">
        <v>5.2690000000000002E-3</v>
      </c>
      <c r="F952" s="5">
        <v>1004067</v>
      </c>
      <c r="G952" s="5">
        <v>0</v>
      </c>
      <c r="H952" s="5">
        <v>0</v>
      </c>
      <c r="I952" s="5">
        <v>0</v>
      </c>
      <c r="J952" s="5">
        <v>0</v>
      </c>
      <c r="L952">
        <f t="shared" si="87"/>
        <v>950</v>
      </c>
      <c r="M952">
        <f>'Real Analysis'!$B$3+B952/1000000</f>
        <v>22.35994500000379</v>
      </c>
      <c r="N952">
        <f t="shared" si="88"/>
        <v>0</v>
      </c>
      <c r="O952">
        <f>IF(ABS(D952)&gt;1,D952/1000000,D952)*'Real Analysis'!$B$4</f>
        <v>-0.12995307</v>
      </c>
      <c r="P952">
        <f>IF(ABS(E952)&gt;1,E952/1000000,E952)*'Real Analysis'!$B$4</f>
        <v>5.1688890000000008E-2</v>
      </c>
      <c r="Q952">
        <f>IF(ABS(F952)&gt;1,F952/1000000,F952)*'Real Analysis'!$B$4</f>
        <v>9.8498972700000014</v>
      </c>
      <c r="R952">
        <f t="shared" si="89"/>
        <v>0</v>
      </c>
      <c r="S952">
        <f t="shared" si="90"/>
        <v>0</v>
      </c>
      <c r="T952">
        <f t="shared" si="91"/>
        <v>0</v>
      </c>
      <c r="U952">
        <f t="shared" si="92"/>
        <v>0</v>
      </c>
    </row>
    <row r="953" spans="1:21" x14ac:dyDescent="0.3">
      <c r="A953" s="4">
        <v>951</v>
      </c>
      <c r="B953" s="4">
        <v>-96569302544</v>
      </c>
      <c r="C953" s="5">
        <v>0</v>
      </c>
      <c r="D953" s="5">
        <v>-1.2448000000000001E-2</v>
      </c>
      <c r="E953" s="5">
        <v>-1.2400000000000001E-4</v>
      </c>
      <c r="F953" s="5">
        <v>1004170</v>
      </c>
      <c r="G953" s="5">
        <v>0</v>
      </c>
      <c r="H953" s="5">
        <v>0</v>
      </c>
      <c r="I953" s="5">
        <v>0</v>
      </c>
      <c r="J953" s="5">
        <v>0</v>
      </c>
      <c r="L953">
        <f t="shared" si="87"/>
        <v>951</v>
      </c>
      <c r="M953">
        <f>'Real Analysis'!$B$3+B953/1000000</f>
        <v>22.697455999994418</v>
      </c>
      <c r="N953">
        <f t="shared" si="88"/>
        <v>0</v>
      </c>
      <c r="O953">
        <f>IF(ABS(D953)&gt;1,D953/1000000,D953)*'Real Analysis'!$B$4</f>
        <v>-0.12211488000000001</v>
      </c>
      <c r="P953">
        <f>IF(ABS(E953)&gt;1,E953/1000000,E953)*'Real Analysis'!$B$4</f>
        <v>-1.2164400000000001E-3</v>
      </c>
      <c r="Q953">
        <f>IF(ABS(F953)&gt;1,F953/1000000,F953)*'Real Analysis'!$B$4</f>
        <v>9.8509077000000005</v>
      </c>
      <c r="R953">
        <f t="shared" si="89"/>
        <v>0</v>
      </c>
      <c r="S953">
        <f t="shared" si="90"/>
        <v>0</v>
      </c>
      <c r="T953">
        <f t="shared" si="91"/>
        <v>0</v>
      </c>
      <c r="U953">
        <f t="shared" si="92"/>
        <v>0</v>
      </c>
    </row>
    <row r="954" spans="1:21" x14ac:dyDescent="0.3">
      <c r="A954" s="4">
        <v>952</v>
      </c>
      <c r="B954" s="4">
        <v>-96569247495</v>
      </c>
      <c r="C954" s="5">
        <v>0</v>
      </c>
      <c r="D954" s="5">
        <v>-1.2707E-2</v>
      </c>
      <c r="E954" s="5">
        <v>-2.5230000000000001E-3</v>
      </c>
      <c r="F954" s="5">
        <v>1003783</v>
      </c>
      <c r="G954" s="5">
        <v>0</v>
      </c>
      <c r="H954" s="5">
        <v>0</v>
      </c>
      <c r="I954" s="5">
        <v>0</v>
      </c>
      <c r="J954" s="5">
        <v>0</v>
      </c>
      <c r="L954">
        <f t="shared" si="87"/>
        <v>952</v>
      </c>
      <c r="M954">
        <f>'Real Analysis'!$B$3+B954/1000000</f>
        <v>22.752504999996745</v>
      </c>
      <c r="N954">
        <f t="shared" si="88"/>
        <v>0</v>
      </c>
      <c r="O954">
        <f>IF(ABS(D954)&gt;1,D954/1000000,D954)*'Real Analysis'!$B$4</f>
        <v>-0.12465567</v>
      </c>
      <c r="P954">
        <f>IF(ABS(E954)&gt;1,E954/1000000,E954)*'Real Analysis'!$B$4</f>
        <v>-2.4750630000000003E-2</v>
      </c>
      <c r="Q954">
        <f>IF(ABS(F954)&gt;1,F954/1000000,F954)*'Real Analysis'!$B$4</f>
        <v>9.8471112300000012</v>
      </c>
      <c r="R954">
        <f t="shared" si="89"/>
        <v>0</v>
      </c>
      <c r="S954">
        <f t="shared" si="90"/>
        <v>0</v>
      </c>
      <c r="T954">
        <f t="shared" si="91"/>
        <v>0</v>
      </c>
      <c r="U954">
        <f t="shared" si="92"/>
        <v>0</v>
      </c>
    </row>
    <row r="955" spans="1:21" x14ac:dyDescent="0.3">
      <c r="A955" s="4">
        <v>953</v>
      </c>
      <c r="B955" s="4">
        <v>-96569223709</v>
      </c>
      <c r="C955" s="5">
        <v>0</v>
      </c>
      <c r="D955" s="5">
        <v>-1.289E-2</v>
      </c>
      <c r="E955" s="5">
        <v>-4.372E-3</v>
      </c>
      <c r="F955" s="5">
        <v>1003922</v>
      </c>
      <c r="G955" s="5">
        <v>0</v>
      </c>
      <c r="H955" s="5">
        <v>0</v>
      </c>
      <c r="I955" s="5">
        <v>0</v>
      </c>
      <c r="J955" s="5">
        <v>0</v>
      </c>
      <c r="L955">
        <f t="shared" si="87"/>
        <v>953</v>
      </c>
      <c r="M955">
        <f>'Real Analysis'!$B$3+B955/1000000</f>
        <v>22.776291000001947</v>
      </c>
      <c r="N955">
        <f t="shared" si="88"/>
        <v>0</v>
      </c>
      <c r="O955">
        <f>IF(ABS(D955)&gt;1,D955/1000000,D955)*'Real Analysis'!$B$4</f>
        <v>-0.1264509</v>
      </c>
      <c r="P955">
        <f>IF(ABS(E955)&gt;1,E955/1000000,E955)*'Real Analysis'!$B$4</f>
        <v>-4.2889320000000002E-2</v>
      </c>
      <c r="Q955">
        <f>IF(ABS(F955)&gt;1,F955/1000000,F955)*'Real Analysis'!$B$4</f>
        <v>9.8484748199999999</v>
      </c>
      <c r="R955">
        <f t="shared" si="89"/>
        <v>0</v>
      </c>
      <c r="S955">
        <f t="shared" si="90"/>
        <v>0</v>
      </c>
      <c r="T955">
        <f t="shared" si="91"/>
        <v>0</v>
      </c>
      <c r="U955">
        <f t="shared" si="92"/>
        <v>0</v>
      </c>
    </row>
    <row r="956" spans="1:21" x14ac:dyDescent="0.3">
      <c r="A956" s="4">
        <v>954</v>
      </c>
      <c r="B956" s="4">
        <v>-96569105283</v>
      </c>
      <c r="C956" s="5">
        <v>0</v>
      </c>
      <c r="D956" s="5">
        <v>-1.2916E-2</v>
      </c>
      <c r="E956" s="5">
        <v>4.045E-3</v>
      </c>
      <c r="F956" s="5">
        <v>1004129</v>
      </c>
      <c r="G956" s="5">
        <v>0</v>
      </c>
      <c r="H956" s="5">
        <v>0</v>
      </c>
      <c r="I956" s="5">
        <v>0</v>
      </c>
      <c r="J956" s="5">
        <v>0</v>
      </c>
      <c r="L956">
        <f t="shared" si="87"/>
        <v>954</v>
      </c>
      <c r="M956">
        <f>'Real Analysis'!$B$3+B956/1000000</f>
        <v>22.894717000002856</v>
      </c>
      <c r="N956">
        <f t="shared" si="88"/>
        <v>0</v>
      </c>
      <c r="O956">
        <f>IF(ABS(D956)&gt;1,D956/1000000,D956)*'Real Analysis'!$B$4</f>
        <v>-0.12670596000000001</v>
      </c>
      <c r="P956">
        <f>IF(ABS(E956)&gt;1,E956/1000000,E956)*'Real Analysis'!$B$4</f>
        <v>3.968145E-2</v>
      </c>
      <c r="Q956">
        <f>IF(ABS(F956)&gt;1,F956/1000000,F956)*'Real Analysis'!$B$4</f>
        <v>9.8505054900000015</v>
      </c>
      <c r="R956">
        <f t="shared" si="89"/>
        <v>0</v>
      </c>
      <c r="S956">
        <f t="shared" si="90"/>
        <v>0</v>
      </c>
      <c r="T956">
        <f t="shared" si="91"/>
        <v>0</v>
      </c>
      <c r="U956">
        <f t="shared" si="92"/>
        <v>0</v>
      </c>
    </row>
    <row r="957" spans="1:21" x14ac:dyDescent="0.3">
      <c r="A957" s="4">
        <v>955</v>
      </c>
      <c r="B957" s="4">
        <v>-96569063246</v>
      </c>
      <c r="C957" s="5">
        <v>0</v>
      </c>
      <c r="D957" s="5">
        <v>-1.289E-2</v>
      </c>
      <c r="E957" s="5">
        <v>4.6189999999999998E-3</v>
      </c>
      <c r="F957" s="5">
        <v>1004148</v>
      </c>
      <c r="G957" s="5">
        <v>0</v>
      </c>
      <c r="H957" s="5">
        <v>0</v>
      </c>
      <c r="I957" s="5">
        <v>0</v>
      </c>
      <c r="J957" s="5">
        <v>0</v>
      </c>
      <c r="L957">
        <f t="shared" si="87"/>
        <v>955</v>
      </c>
      <c r="M957">
        <f>'Real Analysis'!$B$3+B957/1000000</f>
        <v>22.936753999994835</v>
      </c>
      <c r="N957">
        <f t="shared" si="88"/>
        <v>0</v>
      </c>
      <c r="O957">
        <f>IF(ABS(D957)&gt;1,D957/1000000,D957)*'Real Analysis'!$B$4</f>
        <v>-0.1264509</v>
      </c>
      <c r="P957">
        <f>IF(ABS(E957)&gt;1,E957/1000000,E957)*'Real Analysis'!$B$4</f>
        <v>4.5312390000000001E-2</v>
      </c>
      <c r="Q957">
        <f>IF(ABS(F957)&gt;1,F957/1000000,F957)*'Real Analysis'!$B$4</f>
        <v>9.8506918800000012</v>
      </c>
      <c r="R957">
        <f t="shared" si="89"/>
        <v>0</v>
      </c>
      <c r="S957">
        <f t="shared" si="90"/>
        <v>0</v>
      </c>
      <c r="T957">
        <f t="shared" si="91"/>
        <v>0</v>
      </c>
      <c r="U957">
        <f t="shared" si="92"/>
        <v>0</v>
      </c>
    </row>
    <row r="958" spans="1:21" x14ac:dyDescent="0.3">
      <c r="A958" s="4">
        <v>956</v>
      </c>
      <c r="B958" s="4">
        <v>-96569035194</v>
      </c>
      <c r="C958" s="5">
        <v>0</v>
      </c>
      <c r="D958" s="5">
        <v>-1.2854000000000001E-2</v>
      </c>
      <c r="E958" s="5">
        <v>2.8879999999999999E-3</v>
      </c>
      <c r="F958" s="5">
        <v>1004152</v>
      </c>
      <c r="G958" s="5">
        <v>0</v>
      </c>
      <c r="H958" s="5">
        <v>0</v>
      </c>
      <c r="I958" s="5">
        <v>0</v>
      </c>
      <c r="J958" s="5">
        <v>0</v>
      </c>
      <c r="L958">
        <f t="shared" si="87"/>
        <v>956</v>
      </c>
      <c r="M958">
        <f>'Real Analysis'!$B$3+B958/1000000</f>
        <v>22.964806000003591</v>
      </c>
      <c r="N958">
        <f t="shared" si="88"/>
        <v>0</v>
      </c>
      <c r="O958">
        <f>IF(ABS(D958)&gt;1,D958/1000000,D958)*'Real Analysis'!$B$4</f>
        <v>-0.12609774000000001</v>
      </c>
      <c r="P958">
        <f>IF(ABS(E958)&gt;1,E958/1000000,E958)*'Real Analysis'!$B$4</f>
        <v>2.833128E-2</v>
      </c>
      <c r="Q958">
        <f>IF(ABS(F958)&gt;1,F958/1000000,F958)*'Real Analysis'!$B$4</f>
        <v>9.8507311200000007</v>
      </c>
      <c r="R958">
        <f t="shared" si="89"/>
        <v>0</v>
      </c>
      <c r="S958">
        <f t="shared" si="90"/>
        <v>0</v>
      </c>
      <c r="T958">
        <f t="shared" si="91"/>
        <v>0</v>
      </c>
      <c r="U958">
        <f t="shared" si="92"/>
        <v>0</v>
      </c>
    </row>
    <row r="959" spans="1:21" x14ac:dyDescent="0.3">
      <c r="A959" s="4">
        <v>957</v>
      </c>
      <c r="B959" s="4">
        <v>-96568988980</v>
      </c>
      <c r="C959" s="5">
        <v>0</v>
      </c>
      <c r="D959" s="5">
        <v>-1.4231000000000001E-2</v>
      </c>
      <c r="E959" s="5">
        <v>-2.483E-3</v>
      </c>
      <c r="F959" s="5">
        <v>0.99618499999999999</v>
      </c>
      <c r="G959" s="5">
        <v>0</v>
      </c>
      <c r="H959" s="5">
        <v>0</v>
      </c>
      <c r="I959" s="5">
        <v>0</v>
      </c>
      <c r="J959" s="5">
        <v>0</v>
      </c>
      <c r="L959">
        <f t="shared" si="87"/>
        <v>957</v>
      </c>
      <c r="M959">
        <f>'Real Analysis'!$B$3+B959/1000000</f>
        <v>23.011020000005374</v>
      </c>
      <c r="N959">
        <f t="shared" si="88"/>
        <v>0</v>
      </c>
      <c r="O959">
        <f>IF(ABS(D959)&gt;1,D959/1000000,D959)*'Real Analysis'!$B$4</f>
        <v>-0.13960611000000001</v>
      </c>
      <c r="P959">
        <f>IF(ABS(E959)&gt;1,E959/1000000,E959)*'Real Analysis'!$B$4</f>
        <v>-2.4358230000000002E-2</v>
      </c>
      <c r="Q959">
        <f>IF(ABS(F959)&gt;1,F959/1000000,F959)*'Real Analysis'!$B$4</f>
        <v>9.7725748499999998</v>
      </c>
      <c r="R959">
        <f t="shared" si="89"/>
        <v>0</v>
      </c>
      <c r="S959">
        <f t="shared" si="90"/>
        <v>0</v>
      </c>
      <c r="T959">
        <f t="shared" si="91"/>
        <v>0</v>
      </c>
      <c r="U959">
        <f t="shared" si="92"/>
        <v>0</v>
      </c>
    </row>
    <row r="960" spans="1:21" x14ac:dyDescent="0.3">
      <c r="A960" s="4">
        <v>958</v>
      </c>
      <c r="B960" s="4">
        <v>-96568958278</v>
      </c>
      <c r="C960" s="5">
        <v>0</v>
      </c>
      <c r="D960" s="5">
        <v>-1.5023999999999999E-2</v>
      </c>
      <c r="E960" s="5">
        <v>-4.1289999999999999E-3</v>
      </c>
      <c r="F960" s="5">
        <v>1002518</v>
      </c>
      <c r="G960" s="5">
        <v>0</v>
      </c>
      <c r="H960" s="5">
        <v>0</v>
      </c>
      <c r="I960" s="5">
        <v>0</v>
      </c>
      <c r="J960" s="5">
        <v>0</v>
      </c>
      <c r="L960">
        <f t="shared" si="87"/>
        <v>958</v>
      </c>
      <c r="M960">
        <f>'Real Analysis'!$B$3+B960/1000000</f>
        <v>23.041721999994479</v>
      </c>
      <c r="N960">
        <f t="shared" si="88"/>
        <v>0</v>
      </c>
      <c r="O960">
        <f>IF(ABS(D960)&gt;1,D960/1000000,D960)*'Real Analysis'!$B$4</f>
        <v>-0.14738544000000001</v>
      </c>
      <c r="P960">
        <f>IF(ABS(E960)&gt;1,E960/1000000,E960)*'Real Analysis'!$B$4</f>
        <v>-4.0505489999999998E-2</v>
      </c>
      <c r="Q960">
        <f>IF(ABS(F960)&gt;1,F960/1000000,F960)*'Real Analysis'!$B$4</f>
        <v>9.8347015800000008</v>
      </c>
      <c r="R960">
        <f t="shared" si="89"/>
        <v>0</v>
      </c>
      <c r="S960">
        <f t="shared" si="90"/>
        <v>0</v>
      </c>
      <c r="T960">
        <f t="shared" si="91"/>
        <v>0</v>
      </c>
      <c r="U960">
        <f t="shared" si="92"/>
        <v>0</v>
      </c>
    </row>
    <row r="961" spans="1:21" x14ac:dyDescent="0.3">
      <c r="A961" s="4">
        <v>959</v>
      </c>
      <c r="B961" s="4">
        <v>-96568940831</v>
      </c>
      <c r="C961" s="5">
        <v>0</v>
      </c>
      <c r="D961" s="5">
        <v>-1.3618999999999999E-2</v>
      </c>
      <c r="E961" s="5">
        <v>-4.6750000000000003E-3</v>
      </c>
      <c r="F961" s="5">
        <v>1002217</v>
      </c>
      <c r="G961" s="5">
        <v>0</v>
      </c>
      <c r="H961" s="5">
        <v>0</v>
      </c>
      <c r="I961" s="5">
        <v>0</v>
      </c>
      <c r="J961" s="5">
        <v>0</v>
      </c>
      <c r="L961">
        <f t="shared" si="87"/>
        <v>959</v>
      </c>
      <c r="M961">
        <f>'Real Analysis'!$B$3+B961/1000000</f>
        <v>23.059169000000111</v>
      </c>
      <c r="N961">
        <f t="shared" si="88"/>
        <v>0</v>
      </c>
      <c r="O961">
        <f>IF(ABS(D961)&gt;1,D961/1000000,D961)*'Real Analysis'!$B$4</f>
        <v>-0.13360238999999999</v>
      </c>
      <c r="P961">
        <f>IF(ABS(E961)&gt;1,E961/1000000,E961)*'Real Analysis'!$B$4</f>
        <v>-4.5861750000000007E-2</v>
      </c>
      <c r="Q961">
        <f>IF(ABS(F961)&gt;1,F961/1000000,F961)*'Real Analysis'!$B$4</f>
        <v>9.831748769999999</v>
      </c>
      <c r="R961">
        <f t="shared" si="89"/>
        <v>0</v>
      </c>
      <c r="S961">
        <f t="shared" si="90"/>
        <v>0</v>
      </c>
      <c r="T961">
        <f t="shared" si="91"/>
        <v>0</v>
      </c>
      <c r="U961">
        <f t="shared" si="92"/>
        <v>0</v>
      </c>
    </row>
    <row r="962" spans="1:21" x14ac:dyDescent="0.3">
      <c r="A962" s="4">
        <v>960</v>
      </c>
      <c r="B962" s="4">
        <v>-96568921655</v>
      </c>
      <c r="C962" s="5">
        <v>0</v>
      </c>
      <c r="D962" s="5">
        <v>-9.2099999999999994E-3</v>
      </c>
      <c r="E962" s="5">
        <v>4.914E-3</v>
      </c>
      <c r="F962" s="5">
        <v>1004011</v>
      </c>
      <c r="G962" s="5">
        <v>0</v>
      </c>
      <c r="H962" s="5">
        <v>0</v>
      </c>
      <c r="I962" s="5">
        <v>0</v>
      </c>
      <c r="J962" s="5">
        <v>0</v>
      </c>
      <c r="L962">
        <f t="shared" si="87"/>
        <v>960</v>
      </c>
      <c r="M962">
        <f>'Real Analysis'!$B$3+B962/1000000</f>
        <v>23.078345000001718</v>
      </c>
      <c r="N962">
        <f t="shared" si="88"/>
        <v>0</v>
      </c>
      <c r="O962">
        <f>IF(ABS(D962)&gt;1,D962/1000000,D962)*'Real Analysis'!$B$4</f>
        <v>-9.0350100000000003E-2</v>
      </c>
      <c r="P962">
        <f>IF(ABS(E962)&gt;1,E962/1000000,E962)*'Real Analysis'!$B$4</f>
        <v>4.820634E-2</v>
      </c>
      <c r="Q962">
        <f>IF(ABS(F962)&gt;1,F962/1000000,F962)*'Real Analysis'!$B$4</f>
        <v>9.8493479100000005</v>
      </c>
      <c r="R962">
        <f t="shared" si="89"/>
        <v>0</v>
      </c>
      <c r="S962">
        <f t="shared" si="90"/>
        <v>0</v>
      </c>
      <c r="T962">
        <f t="shared" si="91"/>
        <v>0</v>
      </c>
      <c r="U962">
        <f t="shared" si="92"/>
        <v>0</v>
      </c>
    </row>
    <row r="963" spans="1:21" x14ac:dyDescent="0.3">
      <c r="A963" s="4">
        <v>961</v>
      </c>
      <c r="B963" s="4">
        <v>-96568898549</v>
      </c>
      <c r="C963" s="5">
        <v>0</v>
      </c>
      <c r="D963" s="5">
        <v>-1.3183E-2</v>
      </c>
      <c r="E963" s="5">
        <v>4.4689999999999999E-3</v>
      </c>
      <c r="F963" s="5">
        <v>1004110</v>
      </c>
      <c r="G963" s="5">
        <v>0</v>
      </c>
      <c r="H963" s="5">
        <v>0</v>
      </c>
      <c r="I963" s="5">
        <v>0</v>
      </c>
      <c r="J963" s="5">
        <v>0</v>
      </c>
      <c r="L963">
        <f t="shared" ref="L963:L1026" si="93">A963</f>
        <v>961</v>
      </c>
      <c r="M963">
        <f>'Real Analysis'!$B$3+B963/1000000</f>
        <v>23.101450999994995</v>
      </c>
      <c r="N963">
        <f t="shared" ref="N963:N1026" si="94">C963</f>
        <v>0</v>
      </c>
      <c r="O963">
        <f>IF(ABS(D963)&gt;1,D963/1000000,D963)*'Real Analysis'!$B$4</f>
        <v>-0.12932523000000001</v>
      </c>
      <c r="P963">
        <f>IF(ABS(E963)&gt;1,E963/1000000,E963)*'Real Analysis'!$B$4</f>
        <v>4.384089E-2</v>
      </c>
      <c r="Q963">
        <f>IF(ABS(F963)&gt;1,F963/1000000,F963)*'Real Analysis'!$B$4</f>
        <v>9.8503191000000019</v>
      </c>
      <c r="R963">
        <f t="shared" ref="R963:R1026" si="95">IF(ABS(G963)&gt;1,G963/1000000,G963)</f>
        <v>0</v>
      </c>
      <c r="S963">
        <f t="shared" ref="S963:S1026" si="96">IF(ABS(H963)&gt;1,H963/1000000,H963)</f>
        <v>0</v>
      </c>
      <c r="T963">
        <f t="shared" ref="T963:T1026" si="97">IF(ABS(I963)&gt;1,I963/1000000,I963)</f>
        <v>0</v>
      </c>
      <c r="U963">
        <f t="shared" si="92"/>
        <v>0</v>
      </c>
    </row>
    <row r="964" spans="1:21" x14ac:dyDescent="0.3">
      <c r="A964" s="4">
        <v>962</v>
      </c>
      <c r="B964" s="4">
        <v>-96568850432</v>
      </c>
      <c r="C964" s="5">
        <v>0</v>
      </c>
      <c r="D964" s="5">
        <v>-1.2929E-2</v>
      </c>
      <c r="E964" s="5">
        <v>4.3420000000000004E-3</v>
      </c>
      <c r="F964" s="5">
        <v>1004139</v>
      </c>
      <c r="G964" s="5">
        <v>0</v>
      </c>
      <c r="H964" s="5">
        <v>0</v>
      </c>
      <c r="I964" s="5">
        <v>0</v>
      </c>
      <c r="J964" s="5">
        <v>0</v>
      </c>
      <c r="L964">
        <f t="shared" si="93"/>
        <v>962</v>
      </c>
      <c r="M964">
        <f>'Real Analysis'!$B$3+B964/1000000</f>
        <v>23.149567999993451</v>
      </c>
      <c r="N964">
        <f t="shared" si="94"/>
        <v>0</v>
      </c>
      <c r="O964">
        <f>IF(ABS(D964)&gt;1,D964/1000000,D964)*'Real Analysis'!$B$4</f>
        <v>-0.12683348999999999</v>
      </c>
      <c r="P964">
        <f>IF(ABS(E964)&gt;1,E964/1000000,E964)*'Real Analysis'!$B$4</f>
        <v>4.2595020000000004E-2</v>
      </c>
      <c r="Q964">
        <f>IF(ABS(F964)&gt;1,F964/1000000,F964)*'Real Analysis'!$B$4</f>
        <v>9.8506035899999986</v>
      </c>
      <c r="R964">
        <f t="shared" si="95"/>
        <v>0</v>
      </c>
      <c r="S964">
        <f t="shared" si="96"/>
        <v>0</v>
      </c>
      <c r="T964">
        <f t="shared" si="97"/>
        <v>0</v>
      </c>
      <c r="U964">
        <f t="shared" si="92"/>
        <v>0</v>
      </c>
    </row>
    <row r="965" spans="1:21" x14ac:dyDescent="0.3">
      <c r="A965" s="4">
        <v>963</v>
      </c>
      <c r="B965" s="4">
        <v>-96568829886</v>
      </c>
      <c r="C965" s="5">
        <v>0</v>
      </c>
      <c r="D965" s="5">
        <v>-1.278E-2</v>
      </c>
      <c r="E965" s="5">
        <v>3.4380000000000001E-3</v>
      </c>
      <c r="F965" s="5">
        <v>1004123</v>
      </c>
      <c r="G965" s="5">
        <v>0</v>
      </c>
      <c r="H965" s="5">
        <v>0</v>
      </c>
      <c r="I965" s="5">
        <v>0</v>
      </c>
      <c r="J965" s="5">
        <v>0</v>
      </c>
      <c r="L965">
        <f t="shared" si="93"/>
        <v>963</v>
      </c>
      <c r="M965">
        <f>'Real Analysis'!$B$3+B965/1000000</f>
        <v>23.170113999993191</v>
      </c>
      <c r="N965">
        <f t="shared" si="94"/>
        <v>0</v>
      </c>
      <c r="O965">
        <f>IF(ABS(D965)&gt;1,D965/1000000,D965)*'Real Analysis'!$B$4</f>
        <v>-0.12537180000000001</v>
      </c>
      <c r="P965">
        <f>IF(ABS(E965)&gt;1,E965/1000000,E965)*'Real Analysis'!$B$4</f>
        <v>3.3726780000000005E-2</v>
      </c>
      <c r="Q965">
        <f>IF(ABS(F965)&gt;1,F965/1000000,F965)*'Real Analysis'!$B$4</f>
        <v>9.8504466300000022</v>
      </c>
      <c r="R965">
        <f t="shared" si="95"/>
        <v>0</v>
      </c>
      <c r="S965">
        <f t="shared" si="96"/>
        <v>0</v>
      </c>
      <c r="T965">
        <f t="shared" si="97"/>
        <v>0</v>
      </c>
      <c r="U965">
        <f t="shared" si="92"/>
        <v>0</v>
      </c>
    </row>
    <row r="966" spans="1:21" x14ac:dyDescent="0.3">
      <c r="A966" s="4">
        <v>964</v>
      </c>
      <c r="B966" s="4">
        <v>-96568812050</v>
      </c>
      <c r="C966" s="5">
        <v>0</v>
      </c>
      <c r="D966" s="5">
        <v>-1.2877E-2</v>
      </c>
      <c r="E966" s="5">
        <v>4.4650000000000002E-3</v>
      </c>
      <c r="F966" s="5">
        <v>1004145</v>
      </c>
      <c r="G966" s="5">
        <v>0</v>
      </c>
      <c r="H966" s="5">
        <v>0</v>
      </c>
      <c r="I966" s="5">
        <v>0</v>
      </c>
      <c r="J966" s="5">
        <v>0</v>
      </c>
      <c r="L966">
        <f t="shared" si="93"/>
        <v>964</v>
      </c>
      <c r="M966">
        <f>'Real Analysis'!$B$3+B966/1000000</f>
        <v>23.187950000006822</v>
      </c>
      <c r="N966">
        <f t="shared" si="94"/>
        <v>0</v>
      </c>
      <c r="O966">
        <f>IF(ABS(D966)&gt;1,D966/1000000,D966)*'Real Analysis'!$B$4</f>
        <v>-0.12632336999999999</v>
      </c>
      <c r="P966">
        <f>IF(ABS(E966)&gt;1,E966/1000000,E966)*'Real Analysis'!$B$4</f>
        <v>4.3801650000000004E-2</v>
      </c>
      <c r="Q966">
        <f>IF(ABS(F966)&gt;1,F966/1000000,F966)*'Real Analysis'!$B$4</f>
        <v>9.8506624500000015</v>
      </c>
      <c r="R966">
        <f t="shared" si="95"/>
        <v>0</v>
      </c>
      <c r="S966">
        <f t="shared" si="96"/>
        <v>0</v>
      </c>
      <c r="T966">
        <f t="shared" si="97"/>
        <v>0</v>
      </c>
      <c r="U966">
        <f t="shared" si="92"/>
        <v>0</v>
      </c>
    </row>
    <row r="967" spans="1:21" x14ac:dyDescent="0.3">
      <c r="A967" s="4">
        <v>965</v>
      </c>
      <c r="B967" s="4">
        <v>-96568782268</v>
      </c>
      <c r="C967" s="5">
        <v>0</v>
      </c>
      <c r="D967" s="5">
        <v>-1.2987E-2</v>
      </c>
      <c r="E967" s="5">
        <v>-8.8699999999999998E-4</v>
      </c>
      <c r="F967" s="5">
        <v>1004156</v>
      </c>
      <c r="G967" s="5">
        <v>0</v>
      </c>
      <c r="H967" s="5">
        <v>0</v>
      </c>
      <c r="I967" s="5">
        <v>0</v>
      </c>
      <c r="J967" s="5">
        <v>0</v>
      </c>
      <c r="L967">
        <f t="shared" si="93"/>
        <v>965</v>
      </c>
      <c r="M967">
        <f>'Real Analysis'!$B$3+B967/1000000</f>
        <v>23.217732000004617</v>
      </c>
      <c r="N967">
        <f t="shared" si="94"/>
        <v>0</v>
      </c>
      <c r="O967">
        <f>IF(ABS(D967)&gt;1,D967/1000000,D967)*'Real Analysis'!$B$4</f>
        <v>-0.12740247000000002</v>
      </c>
      <c r="P967">
        <f>IF(ABS(E967)&gt;1,E967/1000000,E967)*'Real Analysis'!$B$4</f>
        <v>-8.7014700000000011E-3</v>
      </c>
      <c r="Q967">
        <f>IF(ABS(F967)&gt;1,F967/1000000,F967)*'Real Analysis'!$B$4</f>
        <v>9.8507703600000003</v>
      </c>
      <c r="R967">
        <f t="shared" si="95"/>
        <v>0</v>
      </c>
      <c r="S967">
        <f t="shared" si="96"/>
        <v>0</v>
      </c>
      <c r="T967">
        <f t="shared" si="97"/>
        <v>0</v>
      </c>
      <c r="U967">
        <f t="shared" si="92"/>
        <v>0</v>
      </c>
    </row>
    <row r="968" spans="1:21" x14ac:dyDescent="0.3">
      <c r="A968" s="4">
        <v>966</v>
      </c>
      <c r="B968" s="4">
        <v>-96568761172</v>
      </c>
      <c r="C968" s="5">
        <v>0</v>
      </c>
      <c r="D968" s="5">
        <v>-1.289E-2</v>
      </c>
      <c r="E968" s="5">
        <v>5.0809999999999996E-3</v>
      </c>
      <c r="F968" s="5">
        <v>1006068</v>
      </c>
      <c r="G968" s="5">
        <v>0</v>
      </c>
      <c r="H968" s="5">
        <v>0</v>
      </c>
      <c r="I968" s="5">
        <v>0</v>
      </c>
      <c r="J968" s="5">
        <v>0</v>
      </c>
      <c r="L968">
        <f t="shared" si="93"/>
        <v>966</v>
      </c>
      <c r="M968">
        <f>'Real Analysis'!$B$3+B968/1000000</f>
        <v>23.238828000001376</v>
      </c>
      <c r="N968">
        <f t="shared" si="94"/>
        <v>0</v>
      </c>
      <c r="O968">
        <f>IF(ABS(D968)&gt;1,D968/1000000,D968)*'Real Analysis'!$B$4</f>
        <v>-0.1264509</v>
      </c>
      <c r="P968">
        <f>IF(ABS(E968)&gt;1,E968/1000000,E968)*'Real Analysis'!$B$4</f>
        <v>4.9844609999999998E-2</v>
      </c>
      <c r="Q968">
        <f>IF(ABS(F968)&gt;1,F968/1000000,F968)*'Real Analysis'!$B$4</f>
        <v>9.869527080000001</v>
      </c>
      <c r="R968">
        <f t="shared" si="95"/>
        <v>0</v>
      </c>
      <c r="S968">
        <f t="shared" si="96"/>
        <v>0</v>
      </c>
      <c r="T968">
        <f t="shared" si="97"/>
        <v>0</v>
      </c>
      <c r="U968">
        <f t="shared" si="92"/>
        <v>0</v>
      </c>
    </row>
    <row r="969" spans="1:21" x14ac:dyDescent="0.3">
      <c r="A969" s="4">
        <v>967</v>
      </c>
      <c r="B969" s="4">
        <v>-96568726202</v>
      </c>
      <c r="C969" s="5">
        <v>0</v>
      </c>
      <c r="D969" s="5">
        <v>-1.2935E-2</v>
      </c>
      <c r="E969" s="5">
        <v>4.6049999999999997E-3</v>
      </c>
      <c r="F969" s="5">
        <v>1007705</v>
      </c>
      <c r="G969" s="5">
        <v>0</v>
      </c>
      <c r="H969" s="5">
        <v>0</v>
      </c>
      <c r="I969" s="5">
        <v>0</v>
      </c>
      <c r="J969" s="5">
        <v>0</v>
      </c>
      <c r="L969">
        <f t="shared" si="93"/>
        <v>967</v>
      </c>
      <c r="M969">
        <f>'Real Analysis'!$B$3+B969/1000000</f>
        <v>23.273797999994713</v>
      </c>
      <c r="N969">
        <f t="shared" si="94"/>
        <v>0</v>
      </c>
      <c r="O969">
        <f>IF(ABS(D969)&gt;1,D969/1000000,D969)*'Real Analysis'!$B$4</f>
        <v>-0.12689235000000001</v>
      </c>
      <c r="P969">
        <f>IF(ABS(E969)&gt;1,E969/1000000,E969)*'Real Analysis'!$B$4</f>
        <v>4.5175050000000001E-2</v>
      </c>
      <c r="Q969">
        <f>IF(ABS(F969)&gt;1,F969/1000000,F969)*'Real Analysis'!$B$4</f>
        <v>9.8855860500000006</v>
      </c>
      <c r="R969">
        <f t="shared" si="95"/>
        <v>0</v>
      </c>
      <c r="S969">
        <f t="shared" si="96"/>
        <v>0</v>
      </c>
      <c r="T969">
        <f t="shared" si="97"/>
        <v>0</v>
      </c>
      <c r="U969">
        <f t="shared" si="92"/>
        <v>0</v>
      </c>
    </row>
    <row r="970" spans="1:21" x14ac:dyDescent="0.3">
      <c r="A970" s="4">
        <v>968</v>
      </c>
      <c r="B970" s="4">
        <v>-96568717715</v>
      </c>
      <c r="C970" s="5">
        <v>0</v>
      </c>
      <c r="D970" s="5">
        <v>-1.2969E-2</v>
      </c>
      <c r="E970" s="5">
        <v>4.2379999999999996E-3</v>
      </c>
      <c r="F970" s="5">
        <v>1006936</v>
      </c>
      <c r="G970" s="5">
        <v>0</v>
      </c>
      <c r="H970" s="5">
        <v>0</v>
      </c>
      <c r="I970" s="5">
        <v>0</v>
      </c>
      <c r="J970" s="5">
        <v>0</v>
      </c>
      <c r="L970">
        <f t="shared" si="93"/>
        <v>968</v>
      </c>
      <c r="M970">
        <f>'Real Analysis'!$B$3+B970/1000000</f>
        <v>23.282284999993863</v>
      </c>
      <c r="N970">
        <f t="shared" si="94"/>
        <v>0</v>
      </c>
      <c r="O970">
        <f>IF(ABS(D970)&gt;1,D970/1000000,D970)*'Real Analysis'!$B$4</f>
        <v>-0.12722589000000001</v>
      </c>
      <c r="P970">
        <f>IF(ABS(E970)&gt;1,E970/1000000,E970)*'Real Analysis'!$B$4</f>
        <v>4.1574779999999999E-2</v>
      </c>
      <c r="Q970">
        <f>IF(ABS(F970)&gt;1,F970/1000000,F970)*'Real Analysis'!$B$4</f>
        <v>9.8780421600000015</v>
      </c>
      <c r="R970">
        <f t="shared" si="95"/>
        <v>0</v>
      </c>
      <c r="S970">
        <f t="shared" si="96"/>
        <v>0</v>
      </c>
      <c r="T970">
        <f t="shared" si="97"/>
        <v>0</v>
      </c>
      <c r="U970">
        <f t="shared" si="92"/>
        <v>0</v>
      </c>
    </row>
    <row r="971" spans="1:21" x14ac:dyDescent="0.3">
      <c r="A971" s="4">
        <v>969</v>
      </c>
      <c r="B971" s="4">
        <v>-96568695173</v>
      </c>
      <c r="C971" s="5">
        <v>0</v>
      </c>
      <c r="D971" s="5">
        <v>-1.2862E-2</v>
      </c>
      <c r="E971" s="5">
        <v>4.3790000000000001E-3</v>
      </c>
      <c r="F971" s="5">
        <v>1002519</v>
      </c>
      <c r="G971" s="5">
        <v>0</v>
      </c>
      <c r="H971" s="5">
        <v>0</v>
      </c>
      <c r="I971" s="5">
        <v>0</v>
      </c>
      <c r="J971" s="5">
        <v>0</v>
      </c>
      <c r="L971">
        <f t="shared" si="93"/>
        <v>969</v>
      </c>
      <c r="M971">
        <f>'Real Analysis'!$B$3+B971/1000000</f>
        <v>23.304826999999932</v>
      </c>
      <c r="N971">
        <f t="shared" si="94"/>
        <v>0</v>
      </c>
      <c r="O971">
        <f>IF(ABS(D971)&gt;1,D971/1000000,D971)*'Real Analysis'!$B$4</f>
        <v>-0.12617622000000001</v>
      </c>
      <c r="P971">
        <f>IF(ABS(E971)&gt;1,E971/1000000,E971)*'Real Analysis'!$B$4</f>
        <v>4.2957990000000001E-2</v>
      </c>
      <c r="Q971">
        <f>IF(ABS(F971)&gt;1,F971/1000000,F971)*'Real Analysis'!$B$4</f>
        <v>9.8347113900000007</v>
      </c>
      <c r="R971">
        <f t="shared" si="95"/>
        <v>0</v>
      </c>
      <c r="S971">
        <f t="shared" si="96"/>
        <v>0</v>
      </c>
      <c r="T971">
        <f t="shared" si="97"/>
        <v>0</v>
      </c>
      <c r="U971">
        <f t="shared" ref="U971:U1034" si="98">J971/1000</f>
        <v>0</v>
      </c>
    </row>
    <row r="972" spans="1:21" x14ac:dyDescent="0.3">
      <c r="A972" s="4">
        <v>970</v>
      </c>
      <c r="B972" s="4">
        <v>-96568677567</v>
      </c>
      <c r="C972" s="5">
        <v>0</v>
      </c>
      <c r="D972" s="5">
        <v>-1.4347E-2</v>
      </c>
      <c r="E972" s="5">
        <v>4.4539999999999996E-3</v>
      </c>
      <c r="F972" s="5">
        <v>1002191</v>
      </c>
      <c r="G972" s="5">
        <v>0</v>
      </c>
      <c r="H972" s="5">
        <v>0</v>
      </c>
      <c r="I972" s="5">
        <v>0</v>
      </c>
      <c r="J972" s="5">
        <v>0</v>
      </c>
      <c r="L972">
        <f t="shared" si="93"/>
        <v>970</v>
      </c>
      <c r="M972">
        <f>'Real Analysis'!$B$3+B972/1000000</f>
        <v>23.322432999993907</v>
      </c>
      <c r="N972">
        <f t="shared" si="94"/>
        <v>0</v>
      </c>
      <c r="O972">
        <f>IF(ABS(D972)&gt;1,D972/1000000,D972)*'Real Analysis'!$B$4</f>
        <v>-0.14074407</v>
      </c>
      <c r="P972">
        <f>IF(ABS(E972)&gt;1,E972/1000000,E972)*'Real Analysis'!$B$4</f>
        <v>4.3693740000000002E-2</v>
      </c>
      <c r="Q972">
        <f>IF(ABS(F972)&gt;1,F972/1000000,F972)*'Real Analysis'!$B$4</f>
        <v>9.8314937100000002</v>
      </c>
      <c r="R972">
        <f t="shared" si="95"/>
        <v>0</v>
      </c>
      <c r="S972">
        <f t="shared" si="96"/>
        <v>0</v>
      </c>
      <c r="T972">
        <f t="shared" si="97"/>
        <v>0</v>
      </c>
      <c r="U972">
        <f t="shared" si="98"/>
        <v>0</v>
      </c>
    </row>
    <row r="973" spans="1:21" x14ac:dyDescent="0.3">
      <c r="A973" s="4">
        <v>971</v>
      </c>
      <c r="B973" s="4">
        <v>-96568659391</v>
      </c>
      <c r="C973" s="5">
        <v>0</v>
      </c>
      <c r="D973" s="5">
        <v>-2.0711E-2</v>
      </c>
      <c r="E973" s="5">
        <v>4.3949999999999996E-3</v>
      </c>
      <c r="F973" s="5">
        <v>1004248</v>
      </c>
      <c r="G973" s="5">
        <v>0</v>
      </c>
      <c r="H973" s="5">
        <v>0</v>
      </c>
      <c r="I973" s="5">
        <v>0</v>
      </c>
      <c r="J973" s="5">
        <v>0</v>
      </c>
      <c r="L973">
        <f t="shared" si="93"/>
        <v>971</v>
      </c>
      <c r="M973">
        <f>'Real Analysis'!$B$3+B973/1000000</f>
        <v>23.340609000006225</v>
      </c>
      <c r="N973">
        <f t="shared" si="94"/>
        <v>0</v>
      </c>
      <c r="O973">
        <f>IF(ABS(D973)&gt;1,D973/1000000,D973)*'Real Analysis'!$B$4</f>
        <v>-0.20317491000000001</v>
      </c>
      <c r="P973">
        <f>IF(ABS(E973)&gt;1,E973/1000000,E973)*'Real Analysis'!$B$4</f>
        <v>4.3114949999999999E-2</v>
      </c>
      <c r="Q973">
        <f>IF(ABS(F973)&gt;1,F973/1000000,F973)*'Real Analysis'!$B$4</f>
        <v>9.8516728800000006</v>
      </c>
      <c r="R973">
        <f t="shared" si="95"/>
        <v>0</v>
      </c>
      <c r="S973">
        <f t="shared" si="96"/>
        <v>0</v>
      </c>
      <c r="T973">
        <f t="shared" si="97"/>
        <v>0</v>
      </c>
      <c r="U973">
        <f t="shared" si="98"/>
        <v>0</v>
      </c>
    </row>
    <row r="974" spans="1:21" x14ac:dyDescent="0.3">
      <c r="A974" s="4">
        <v>972</v>
      </c>
      <c r="B974" s="4">
        <v>-96568641396</v>
      </c>
      <c r="C974" s="5">
        <v>0</v>
      </c>
      <c r="D974" s="5">
        <v>-2.0503E-2</v>
      </c>
      <c r="E974" s="5">
        <v>4.3860000000000001E-3</v>
      </c>
      <c r="F974" s="5">
        <v>1004147</v>
      </c>
      <c r="G974" s="5">
        <v>0</v>
      </c>
      <c r="H974" s="5">
        <v>0</v>
      </c>
      <c r="I974" s="5">
        <v>0</v>
      </c>
      <c r="J974" s="5">
        <v>0</v>
      </c>
      <c r="L974">
        <f t="shared" si="93"/>
        <v>972</v>
      </c>
      <c r="M974">
        <f>'Real Analysis'!$B$3+B974/1000000</f>
        <v>23.358603999993647</v>
      </c>
      <c r="N974">
        <f t="shared" si="94"/>
        <v>0</v>
      </c>
      <c r="O974">
        <f>IF(ABS(D974)&gt;1,D974/1000000,D974)*'Real Analysis'!$B$4</f>
        <v>-0.20113443</v>
      </c>
      <c r="P974">
        <f>IF(ABS(E974)&gt;1,E974/1000000,E974)*'Real Analysis'!$B$4</f>
        <v>4.3026660000000001E-2</v>
      </c>
      <c r="Q974">
        <f>IF(ABS(F974)&gt;1,F974/1000000,F974)*'Real Analysis'!$B$4</f>
        <v>9.8506820699999995</v>
      </c>
      <c r="R974">
        <f t="shared" si="95"/>
        <v>0</v>
      </c>
      <c r="S974">
        <f t="shared" si="96"/>
        <v>0</v>
      </c>
      <c r="T974">
        <f t="shared" si="97"/>
        <v>0</v>
      </c>
      <c r="U974">
        <f t="shared" si="98"/>
        <v>0</v>
      </c>
    </row>
    <row r="975" spans="1:21" x14ac:dyDescent="0.3">
      <c r="A975" s="4">
        <v>973</v>
      </c>
      <c r="B975" s="4">
        <v>-96568612159</v>
      </c>
      <c r="C975" s="5">
        <v>0</v>
      </c>
      <c r="D975" s="5">
        <v>-2.0851000000000001E-2</v>
      </c>
      <c r="E975" s="5">
        <v>-2.5430000000000001E-3</v>
      </c>
      <c r="F975" s="5">
        <v>1003937</v>
      </c>
      <c r="G975" s="5">
        <v>0</v>
      </c>
      <c r="H975" s="5">
        <v>0</v>
      </c>
      <c r="I975" s="5">
        <v>0</v>
      </c>
      <c r="J975" s="5">
        <v>0</v>
      </c>
      <c r="L975">
        <f t="shared" si="93"/>
        <v>973</v>
      </c>
      <c r="M975">
        <f>'Real Analysis'!$B$3+B975/1000000</f>
        <v>23.387841000003391</v>
      </c>
      <c r="N975">
        <f t="shared" si="94"/>
        <v>0</v>
      </c>
      <c r="O975">
        <f>IF(ABS(D975)&gt;1,D975/1000000,D975)*'Real Analysis'!$B$4</f>
        <v>-0.20454831000000004</v>
      </c>
      <c r="P975">
        <f>IF(ABS(E975)&gt;1,E975/1000000,E975)*'Real Analysis'!$B$4</f>
        <v>-2.4946830000000003E-2</v>
      </c>
      <c r="Q975">
        <f>IF(ABS(F975)&gt;1,F975/1000000,F975)*'Real Analysis'!$B$4</f>
        <v>9.8486219700000017</v>
      </c>
      <c r="R975">
        <f t="shared" si="95"/>
        <v>0</v>
      </c>
      <c r="S975">
        <f t="shared" si="96"/>
        <v>0</v>
      </c>
      <c r="T975">
        <f t="shared" si="97"/>
        <v>0</v>
      </c>
      <c r="U975">
        <f t="shared" si="98"/>
        <v>0</v>
      </c>
    </row>
    <row r="976" spans="1:21" x14ac:dyDescent="0.3">
      <c r="A976" s="4">
        <v>974</v>
      </c>
      <c r="B976" s="4">
        <v>-96568591578</v>
      </c>
      <c r="C976" s="5">
        <v>0</v>
      </c>
      <c r="D976" s="5">
        <v>-1.9286999999999999E-2</v>
      </c>
      <c r="E976" s="5">
        <v>5.7920000000000003E-3</v>
      </c>
      <c r="F976" s="5">
        <v>1003819</v>
      </c>
      <c r="G976" s="5">
        <v>0</v>
      </c>
      <c r="H976" s="5">
        <v>0</v>
      </c>
      <c r="I976" s="5">
        <v>0</v>
      </c>
      <c r="J976" s="5">
        <v>0</v>
      </c>
      <c r="L976">
        <f t="shared" si="93"/>
        <v>974</v>
      </c>
      <c r="M976">
        <f>'Real Analysis'!$B$3+B976/1000000</f>
        <v>23.408421999993152</v>
      </c>
      <c r="N976">
        <f t="shared" si="94"/>
        <v>0</v>
      </c>
      <c r="O976">
        <f>IF(ABS(D976)&gt;1,D976/1000000,D976)*'Real Analysis'!$B$4</f>
        <v>-0.18920546999999999</v>
      </c>
      <c r="P976">
        <f>IF(ABS(E976)&gt;1,E976/1000000,E976)*'Real Analysis'!$B$4</f>
        <v>5.6819520000000005E-2</v>
      </c>
      <c r="Q976">
        <f>IF(ABS(F976)&gt;1,F976/1000000,F976)*'Real Analysis'!$B$4</f>
        <v>9.8474643900000007</v>
      </c>
      <c r="R976">
        <f t="shared" si="95"/>
        <v>0</v>
      </c>
      <c r="S976">
        <f t="shared" si="96"/>
        <v>0</v>
      </c>
      <c r="T976">
        <f t="shared" si="97"/>
        <v>0</v>
      </c>
      <c r="U976">
        <f t="shared" si="98"/>
        <v>0</v>
      </c>
    </row>
    <row r="977" spans="1:21" x14ac:dyDescent="0.3">
      <c r="A977" s="4">
        <v>975</v>
      </c>
      <c r="B977" s="4">
        <v>-96568563361</v>
      </c>
      <c r="C977" s="5">
        <v>0</v>
      </c>
      <c r="D977" s="5">
        <v>-1.9893000000000001E-2</v>
      </c>
      <c r="E977" s="5">
        <v>3.0609999999999999E-3</v>
      </c>
      <c r="F977" s="5">
        <v>1003890</v>
      </c>
      <c r="G977" s="5">
        <v>0</v>
      </c>
      <c r="H977" s="5">
        <v>0</v>
      </c>
      <c r="I977" s="5">
        <v>0</v>
      </c>
      <c r="J977" s="5">
        <v>0</v>
      </c>
      <c r="L977">
        <f t="shared" si="93"/>
        <v>975</v>
      </c>
      <c r="M977">
        <f>'Real Analysis'!$B$3+B977/1000000</f>
        <v>23.436639000006835</v>
      </c>
      <c r="N977">
        <f t="shared" si="94"/>
        <v>0</v>
      </c>
      <c r="O977">
        <f>IF(ABS(D977)&gt;1,D977/1000000,D977)*'Real Analysis'!$B$4</f>
        <v>-0.19515033000000001</v>
      </c>
      <c r="P977">
        <f>IF(ABS(E977)&gt;1,E977/1000000,E977)*'Real Analysis'!$B$4</f>
        <v>3.0028410000000002E-2</v>
      </c>
      <c r="Q977">
        <f>IF(ABS(F977)&gt;1,F977/1000000,F977)*'Real Analysis'!$B$4</f>
        <v>9.8481608999999999</v>
      </c>
      <c r="R977">
        <f t="shared" si="95"/>
        <v>0</v>
      </c>
      <c r="S977">
        <f t="shared" si="96"/>
        <v>0</v>
      </c>
      <c r="T977">
        <f t="shared" si="97"/>
        <v>0</v>
      </c>
      <c r="U977">
        <f t="shared" si="98"/>
        <v>0</v>
      </c>
    </row>
    <row r="978" spans="1:21" x14ac:dyDescent="0.3">
      <c r="A978" s="4">
        <v>976</v>
      </c>
      <c r="B978" s="4">
        <v>-96568533127</v>
      </c>
      <c r="C978" s="5">
        <v>0</v>
      </c>
      <c r="D978" s="5">
        <v>-1.1605000000000001E-2</v>
      </c>
      <c r="E978" s="5">
        <v>3.895E-3</v>
      </c>
      <c r="F978" s="5">
        <v>1004205</v>
      </c>
      <c r="G978" s="5">
        <v>0</v>
      </c>
      <c r="H978" s="5">
        <v>0</v>
      </c>
      <c r="I978" s="5">
        <v>0</v>
      </c>
      <c r="J978" s="5">
        <v>0</v>
      </c>
      <c r="L978">
        <f t="shared" si="93"/>
        <v>976</v>
      </c>
      <c r="M978">
        <f>'Real Analysis'!$B$3+B978/1000000</f>
        <v>23.466872999997577</v>
      </c>
      <c r="N978">
        <f t="shared" si="94"/>
        <v>0</v>
      </c>
      <c r="O978">
        <f>IF(ABS(D978)&gt;1,D978/1000000,D978)*'Real Analysis'!$B$4</f>
        <v>-0.11384505000000002</v>
      </c>
      <c r="P978">
        <f>IF(ABS(E978)&gt;1,E978/1000000,E978)*'Real Analysis'!$B$4</f>
        <v>3.8209949999999999E-2</v>
      </c>
      <c r="Q978">
        <f>IF(ABS(F978)&gt;1,F978/1000000,F978)*'Real Analysis'!$B$4</f>
        <v>9.8512510500000001</v>
      </c>
      <c r="R978">
        <f t="shared" si="95"/>
        <v>0</v>
      </c>
      <c r="S978">
        <f t="shared" si="96"/>
        <v>0</v>
      </c>
      <c r="T978">
        <f t="shared" si="97"/>
        <v>0</v>
      </c>
      <c r="U978">
        <f t="shared" si="98"/>
        <v>0</v>
      </c>
    </row>
    <row r="979" spans="1:21" x14ac:dyDescent="0.3">
      <c r="A979" s="4">
        <v>977</v>
      </c>
      <c r="B979" s="4">
        <v>-96568514661</v>
      </c>
      <c r="C979" s="5">
        <v>0</v>
      </c>
      <c r="D979" s="5">
        <v>-1.2633E-2</v>
      </c>
      <c r="E979" s="5">
        <v>8.2299999999999995E-4</v>
      </c>
      <c r="F979" s="5">
        <v>1004167</v>
      </c>
      <c r="G979" s="5">
        <v>0</v>
      </c>
      <c r="H979" s="5">
        <v>0</v>
      </c>
      <c r="I979" s="5">
        <v>0</v>
      </c>
      <c r="J979" s="5">
        <v>0</v>
      </c>
      <c r="L979">
        <f t="shared" si="93"/>
        <v>977</v>
      </c>
      <c r="M979">
        <f>'Real Analysis'!$B$3+B979/1000000</f>
        <v>23.485339000006206</v>
      </c>
      <c r="N979">
        <f t="shared" si="94"/>
        <v>0</v>
      </c>
      <c r="O979">
        <f>IF(ABS(D979)&gt;1,D979/1000000,D979)*'Real Analysis'!$B$4</f>
        <v>-0.12392973</v>
      </c>
      <c r="P979">
        <f>IF(ABS(E979)&gt;1,E979/1000000,E979)*'Real Analysis'!$B$4</f>
        <v>8.07363E-3</v>
      </c>
      <c r="Q979">
        <f>IF(ABS(F979)&gt;1,F979/1000000,F979)*'Real Analysis'!$B$4</f>
        <v>9.8508782700000008</v>
      </c>
      <c r="R979">
        <f t="shared" si="95"/>
        <v>0</v>
      </c>
      <c r="S979">
        <f t="shared" si="96"/>
        <v>0</v>
      </c>
      <c r="T979">
        <f t="shared" si="97"/>
        <v>0</v>
      </c>
      <c r="U979">
        <f t="shared" si="98"/>
        <v>0</v>
      </c>
    </row>
    <row r="980" spans="1:21" x14ac:dyDescent="0.3">
      <c r="A980" s="4">
        <v>978</v>
      </c>
      <c r="B980" s="4">
        <v>-96568495847</v>
      </c>
      <c r="C980" s="5">
        <v>0</v>
      </c>
      <c r="D980" s="5">
        <v>-1.6230000000000001E-2</v>
      </c>
      <c r="E980" s="5">
        <v>-3.3240000000000001E-3</v>
      </c>
      <c r="F980" s="5">
        <v>0.99543199999999998</v>
      </c>
      <c r="G980" s="5">
        <v>0</v>
      </c>
      <c r="H980" s="5">
        <v>0</v>
      </c>
      <c r="I980" s="5">
        <v>0</v>
      </c>
      <c r="J980" s="5">
        <v>0</v>
      </c>
      <c r="L980">
        <f t="shared" si="93"/>
        <v>978</v>
      </c>
      <c r="M980">
        <f>'Real Analysis'!$B$3+B980/1000000</f>
        <v>23.504153000001679</v>
      </c>
      <c r="N980">
        <f t="shared" si="94"/>
        <v>0</v>
      </c>
      <c r="O980">
        <f>IF(ABS(D980)&gt;1,D980/1000000,D980)*'Real Analysis'!$B$4</f>
        <v>-0.15921630000000003</v>
      </c>
      <c r="P980">
        <f>IF(ABS(E980)&gt;1,E980/1000000,E980)*'Real Analysis'!$B$4</f>
        <v>-3.2608440000000002E-2</v>
      </c>
      <c r="Q980">
        <f>IF(ABS(F980)&gt;1,F980/1000000,F980)*'Real Analysis'!$B$4</f>
        <v>9.7651879200000007</v>
      </c>
      <c r="R980">
        <f t="shared" si="95"/>
        <v>0</v>
      </c>
      <c r="S980">
        <f t="shared" si="96"/>
        <v>0</v>
      </c>
      <c r="T980">
        <f t="shared" si="97"/>
        <v>0</v>
      </c>
      <c r="U980">
        <f t="shared" si="98"/>
        <v>0</v>
      </c>
    </row>
    <row r="981" spans="1:21" x14ac:dyDescent="0.3">
      <c r="A981" s="4">
        <v>979</v>
      </c>
      <c r="B981" s="4">
        <v>-96568478160</v>
      </c>
      <c r="C981" s="5">
        <v>0</v>
      </c>
      <c r="D981" s="5">
        <v>-2.2064E-2</v>
      </c>
      <c r="E981" s="5">
        <v>-1.17E-4</v>
      </c>
      <c r="F981" s="5">
        <v>1003167</v>
      </c>
      <c r="G981" s="5">
        <v>0</v>
      </c>
      <c r="H981" s="5">
        <v>0</v>
      </c>
      <c r="I981" s="5">
        <v>0</v>
      </c>
      <c r="J981" s="5">
        <v>0</v>
      </c>
      <c r="L981">
        <f t="shared" si="93"/>
        <v>979</v>
      </c>
      <c r="M981">
        <f>'Real Analysis'!$B$3+B981/1000000</f>
        <v>23.521840000001248</v>
      </c>
      <c r="N981">
        <f t="shared" si="94"/>
        <v>0</v>
      </c>
      <c r="O981">
        <f>IF(ABS(D981)&gt;1,D981/1000000,D981)*'Real Analysis'!$B$4</f>
        <v>-0.21644784</v>
      </c>
      <c r="P981">
        <f>IF(ABS(E981)&gt;1,E981/1000000,E981)*'Real Analysis'!$B$4</f>
        <v>-1.14777E-3</v>
      </c>
      <c r="Q981">
        <f>IF(ABS(F981)&gt;1,F981/1000000,F981)*'Real Analysis'!$B$4</f>
        <v>9.8410682699999992</v>
      </c>
      <c r="R981">
        <f t="shared" si="95"/>
        <v>0</v>
      </c>
      <c r="S981">
        <f t="shared" si="96"/>
        <v>0</v>
      </c>
      <c r="T981">
        <f t="shared" si="97"/>
        <v>0</v>
      </c>
      <c r="U981">
        <f t="shared" si="98"/>
        <v>0</v>
      </c>
    </row>
    <row r="982" spans="1:21" x14ac:dyDescent="0.3">
      <c r="A982" s="4">
        <v>980</v>
      </c>
      <c r="B982" s="4">
        <v>-96568454821</v>
      </c>
      <c r="C982" s="5">
        <v>0</v>
      </c>
      <c r="D982" s="5">
        <v>-1.5637999999999999E-2</v>
      </c>
      <c r="E982" s="5">
        <v>-1.1479999999999999E-3</v>
      </c>
      <c r="F982" s="5">
        <v>1004737</v>
      </c>
      <c r="G982" s="5">
        <v>0</v>
      </c>
      <c r="H982" s="5">
        <v>0</v>
      </c>
      <c r="I982" s="5">
        <v>0</v>
      </c>
      <c r="J982" s="5">
        <v>0</v>
      </c>
      <c r="L982">
        <f t="shared" si="93"/>
        <v>980</v>
      </c>
      <c r="M982">
        <f>'Real Analysis'!$B$3+B982/1000000</f>
        <v>23.545178999993368</v>
      </c>
      <c r="N982">
        <f t="shared" si="94"/>
        <v>0</v>
      </c>
      <c r="O982">
        <f>IF(ABS(D982)&gt;1,D982/1000000,D982)*'Real Analysis'!$B$4</f>
        <v>-0.15340877999999999</v>
      </c>
      <c r="P982">
        <f>IF(ABS(E982)&gt;1,E982/1000000,E982)*'Real Analysis'!$B$4</f>
        <v>-1.126188E-2</v>
      </c>
      <c r="Q982">
        <f>IF(ABS(F982)&gt;1,F982/1000000,F982)*'Real Analysis'!$B$4</f>
        <v>9.8564699700000009</v>
      </c>
      <c r="R982">
        <f t="shared" si="95"/>
        <v>0</v>
      </c>
      <c r="S982">
        <f t="shared" si="96"/>
        <v>0</v>
      </c>
      <c r="T982">
        <f t="shared" si="97"/>
        <v>0</v>
      </c>
      <c r="U982">
        <f t="shared" si="98"/>
        <v>0</v>
      </c>
    </row>
    <row r="983" spans="1:21" x14ac:dyDescent="0.3">
      <c r="A983" s="4">
        <v>981</v>
      </c>
      <c r="B983" s="4">
        <v>-96568428775</v>
      </c>
      <c r="C983" s="5">
        <v>0</v>
      </c>
      <c r="D983" s="5">
        <v>-2.0819000000000001E-2</v>
      </c>
      <c r="E983" s="5">
        <v>4.2950000000000002E-3</v>
      </c>
      <c r="F983" s="5">
        <v>1003594</v>
      </c>
      <c r="G983" s="5">
        <v>0</v>
      </c>
      <c r="H983" s="5">
        <v>0</v>
      </c>
      <c r="I983" s="5">
        <v>0</v>
      </c>
      <c r="J983" s="5">
        <v>0</v>
      </c>
      <c r="L983">
        <f t="shared" si="93"/>
        <v>981</v>
      </c>
      <c r="M983">
        <f>'Real Analysis'!$B$3+B983/1000000</f>
        <v>23.571225000006962</v>
      </c>
      <c r="N983">
        <f t="shared" si="94"/>
        <v>0</v>
      </c>
      <c r="O983">
        <f>IF(ABS(D983)&gt;1,D983/1000000,D983)*'Real Analysis'!$B$4</f>
        <v>-0.20423439000000002</v>
      </c>
      <c r="P983">
        <f>IF(ABS(E983)&gt;1,E983/1000000,E983)*'Real Analysis'!$B$4</f>
        <v>4.2133950000000003E-2</v>
      </c>
      <c r="Q983">
        <f>IF(ABS(F983)&gt;1,F983/1000000,F983)*'Real Analysis'!$B$4</f>
        <v>9.8452571400000011</v>
      </c>
      <c r="R983">
        <f t="shared" si="95"/>
        <v>0</v>
      </c>
      <c r="S983">
        <f t="shared" si="96"/>
        <v>0</v>
      </c>
      <c r="T983">
        <f t="shared" si="97"/>
        <v>0</v>
      </c>
      <c r="U983">
        <f t="shared" si="98"/>
        <v>0</v>
      </c>
    </row>
    <row r="984" spans="1:21" x14ac:dyDescent="0.3">
      <c r="A984" s="4">
        <v>982</v>
      </c>
      <c r="B984" s="4">
        <v>-96568407157</v>
      </c>
      <c r="C984" s="5">
        <v>0</v>
      </c>
      <c r="D984" s="5">
        <v>-1.2736000000000001E-2</v>
      </c>
      <c r="E984" s="5">
        <v>4.4000000000000003E-3</v>
      </c>
      <c r="F984" s="5">
        <v>1004146</v>
      </c>
      <c r="G984" s="5">
        <v>0</v>
      </c>
      <c r="H984" s="5">
        <v>0</v>
      </c>
      <c r="I984" s="5">
        <v>0</v>
      </c>
      <c r="J984" s="5">
        <v>0</v>
      </c>
      <c r="L984">
        <f t="shared" si="93"/>
        <v>982</v>
      </c>
      <c r="M984">
        <f>'Real Analysis'!$B$3+B984/1000000</f>
        <v>23.592843000005814</v>
      </c>
      <c r="N984">
        <f t="shared" si="94"/>
        <v>0</v>
      </c>
      <c r="O984">
        <f>IF(ABS(D984)&gt;1,D984/1000000,D984)*'Real Analysis'!$B$4</f>
        <v>-0.12494016000000001</v>
      </c>
      <c r="P984">
        <f>IF(ABS(E984)&gt;1,E984/1000000,E984)*'Real Analysis'!$B$4</f>
        <v>4.3164000000000008E-2</v>
      </c>
      <c r="Q984">
        <f>IF(ABS(F984)&gt;1,F984/1000000,F984)*'Real Analysis'!$B$4</f>
        <v>9.8506722599999996</v>
      </c>
      <c r="R984">
        <f t="shared" si="95"/>
        <v>0</v>
      </c>
      <c r="S984">
        <f t="shared" si="96"/>
        <v>0</v>
      </c>
      <c r="T984">
        <f t="shared" si="97"/>
        <v>0</v>
      </c>
      <c r="U984">
        <f t="shared" si="98"/>
        <v>0</v>
      </c>
    </row>
    <row r="985" spans="1:21" x14ac:dyDescent="0.3">
      <c r="A985" s="4">
        <v>983</v>
      </c>
      <c r="B985" s="4">
        <v>-96568390579</v>
      </c>
      <c r="C985" s="5">
        <v>0</v>
      </c>
      <c r="D985" s="5">
        <v>-1.686E-2</v>
      </c>
      <c r="E985" s="5">
        <v>4.2919999999999998E-3</v>
      </c>
      <c r="F985" s="5">
        <v>1003483</v>
      </c>
      <c r="G985" s="5">
        <v>0</v>
      </c>
      <c r="H985" s="5">
        <v>0</v>
      </c>
      <c r="I985" s="5">
        <v>0</v>
      </c>
      <c r="J985" s="5">
        <v>0</v>
      </c>
      <c r="L985">
        <f t="shared" si="93"/>
        <v>983</v>
      </c>
      <c r="M985">
        <f>'Real Analysis'!$B$3+B985/1000000</f>
        <v>23.609421000001021</v>
      </c>
      <c r="N985">
        <f t="shared" si="94"/>
        <v>0</v>
      </c>
      <c r="O985">
        <f>IF(ABS(D985)&gt;1,D985/1000000,D985)*'Real Analysis'!$B$4</f>
        <v>-0.1653966</v>
      </c>
      <c r="P985">
        <f>IF(ABS(E985)&gt;1,E985/1000000,E985)*'Real Analysis'!$B$4</f>
        <v>4.2104519999999999E-2</v>
      </c>
      <c r="Q985">
        <f>IF(ABS(F985)&gt;1,F985/1000000,F985)*'Real Analysis'!$B$4</f>
        <v>9.8441682299999993</v>
      </c>
      <c r="R985">
        <f t="shared" si="95"/>
        <v>0</v>
      </c>
      <c r="S985">
        <f t="shared" si="96"/>
        <v>0</v>
      </c>
      <c r="T985">
        <f t="shared" si="97"/>
        <v>0</v>
      </c>
      <c r="U985">
        <f t="shared" si="98"/>
        <v>0</v>
      </c>
    </row>
    <row r="986" spans="1:21" x14ac:dyDescent="0.3">
      <c r="A986" s="4">
        <v>984</v>
      </c>
      <c r="B986" s="4">
        <v>-96568373473</v>
      </c>
      <c r="C986" s="5">
        <v>0</v>
      </c>
      <c r="D986" s="5">
        <v>-1.2869999999999999E-2</v>
      </c>
      <c r="E986" s="5">
        <v>4.4479999999999997E-3</v>
      </c>
      <c r="F986" s="5">
        <v>1006574</v>
      </c>
      <c r="G986" s="5">
        <v>0</v>
      </c>
      <c r="H986" s="5">
        <v>0</v>
      </c>
      <c r="I986" s="5">
        <v>0</v>
      </c>
      <c r="J986" s="5">
        <v>0</v>
      </c>
      <c r="L986">
        <f t="shared" si="93"/>
        <v>984</v>
      </c>
      <c r="M986">
        <f>'Real Analysis'!$B$3+B986/1000000</f>
        <v>23.626527000000351</v>
      </c>
      <c r="N986">
        <f t="shared" si="94"/>
        <v>0</v>
      </c>
      <c r="O986">
        <f>IF(ABS(D986)&gt;1,D986/1000000,D986)*'Real Analysis'!$B$4</f>
        <v>-0.1262547</v>
      </c>
      <c r="P986">
        <f>IF(ABS(E986)&gt;1,E986/1000000,E986)*'Real Analysis'!$B$4</f>
        <v>4.3634880000000001E-2</v>
      </c>
      <c r="Q986">
        <f>IF(ABS(F986)&gt;1,F986/1000000,F986)*'Real Analysis'!$B$4</f>
        <v>9.8744909400000012</v>
      </c>
      <c r="R986">
        <f t="shared" si="95"/>
        <v>0</v>
      </c>
      <c r="S986">
        <f t="shared" si="96"/>
        <v>0</v>
      </c>
      <c r="T986">
        <f t="shared" si="97"/>
        <v>0</v>
      </c>
      <c r="U986">
        <f t="shared" si="98"/>
        <v>0</v>
      </c>
    </row>
    <row r="987" spans="1:21" x14ac:dyDescent="0.3">
      <c r="A987" s="4">
        <v>985</v>
      </c>
      <c r="B987" s="4">
        <v>-96568354210</v>
      </c>
      <c r="C987" s="5">
        <v>0</v>
      </c>
      <c r="D987" s="5">
        <v>-1.2886999999999999E-2</v>
      </c>
      <c r="E987" s="5">
        <v>4.45E-3</v>
      </c>
      <c r="F987" s="5">
        <v>1004436</v>
      </c>
      <c r="G987" s="5">
        <v>0</v>
      </c>
      <c r="H987" s="5">
        <v>0</v>
      </c>
      <c r="I987" s="5">
        <v>0</v>
      </c>
      <c r="J987" s="5">
        <v>0</v>
      </c>
      <c r="L987">
        <f t="shared" si="93"/>
        <v>985</v>
      </c>
      <c r="M987">
        <f>'Real Analysis'!$B$3+B987/1000000</f>
        <v>23.645789999995031</v>
      </c>
      <c r="N987">
        <f t="shared" si="94"/>
        <v>0</v>
      </c>
      <c r="O987">
        <f>IF(ABS(D987)&gt;1,D987/1000000,D987)*'Real Analysis'!$B$4</f>
        <v>-0.12642147000000001</v>
      </c>
      <c r="P987">
        <f>IF(ABS(E987)&gt;1,E987/1000000,E987)*'Real Analysis'!$B$4</f>
        <v>4.3654499999999999E-2</v>
      </c>
      <c r="Q987">
        <f>IF(ABS(F987)&gt;1,F987/1000000,F987)*'Real Analysis'!$B$4</f>
        <v>9.8535171600000009</v>
      </c>
      <c r="R987">
        <f t="shared" si="95"/>
        <v>0</v>
      </c>
      <c r="S987">
        <f t="shared" si="96"/>
        <v>0</v>
      </c>
      <c r="T987">
        <f t="shared" si="97"/>
        <v>0</v>
      </c>
      <c r="U987">
        <f t="shared" si="98"/>
        <v>0</v>
      </c>
    </row>
    <row r="988" spans="1:21" x14ac:dyDescent="0.3">
      <c r="A988" s="4">
        <v>986</v>
      </c>
      <c r="B988" s="4">
        <v>-96568344229</v>
      </c>
      <c r="C988" s="5">
        <v>0</v>
      </c>
      <c r="D988" s="5">
        <v>-1.2965000000000001E-2</v>
      </c>
      <c r="E988" s="5">
        <v>4.4250000000000001E-3</v>
      </c>
      <c r="F988" s="5">
        <v>1003655</v>
      </c>
      <c r="G988" s="5">
        <v>0</v>
      </c>
      <c r="H988" s="5">
        <v>0</v>
      </c>
      <c r="I988" s="5">
        <v>0</v>
      </c>
      <c r="J988" s="5">
        <v>0</v>
      </c>
      <c r="L988">
        <f t="shared" si="93"/>
        <v>986</v>
      </c>
      <c r="M988">
        <f>'Real Analysis'!$B$3+B988/1000000</f>
        <v>23.655771000005188</v>
      </c>
      <c r="N988">
        <f t="shared" si="94"/>
        <v>0</v>
      </c>
      <c r="O988">
        <f>IF(ABS(D988)&gt;1,D988/1000000,D988)*'Real Analysis'!$B$4</f>
        <v>-0.12718665000000001</v>
      </c>
      <c r="P988">
        <f>IF(ABS(E988)&gt;1,E988/1000000,E988)*'Real Analysis'!$B$4</f>
        <v>4.3409250000000003E-2</v>
      </c>
      <c r="Q988">
        <f>IF(ABS(F988)&gt;1,F988/1000000,F988)*'Real Analysis'!$B$4</f>
        <v>9.8458555499999996</v>
      </c>
      <c r="R988">
        <f t="shared" si="95"/>
        <v>0</v>
      </c>
      <c r="S988">
        <f t="shared" si="96"/>
        <v>0</v>
      </c>
      <c r="T988">
        <f t="shared" si="97"/>
        <v>0</v>
      </c>
      <c r="U988">
        <f t="shared" si="98"/>
        <v>0</v>
      </c>
    </row>
    <row r="989" spans="1:21" x14ac:dyDescent="0.3">
      <c r="A989" s="4">
        <v>987</v>
      </c>
      <c r="B989" s="4">
        <v>-96568309858</v>
      </c>
      <c r="C989" s="5">
        <v>0</v>
      </c>
      <c r="D989" s="5">
        <v>-2.0050999999999999E-2</v>
      </c>
      <c r="E989" s="5">
        <v>4.3810000000000003E-3</v>
      </c>
      <c r="F989" s="5">
        <v>1003919</v>
      </c>
      <c r="G989" s="5">
        <v>0</v>
      </c>
      <c r="H989" s="5">
        <v>0</v>
      </c>
      <c r="I989" s="5">
        <v>0</v>
      </c>
      <c r="J989" s="5">
        <v>0</v>
      </c>
      <c r="L989">
        <f t="shared" si="93"/>
        <v>987</v>
      </c>
      <c r="M989">
        <f>'Real Analysis'!$B$3+B989/1000000</f>
        <v>23.690142000006745</v>
      </c>
      <c r="N989">
        <f t="shared" si="94"/>
        <v>0</v>
      </c>
      <c r="O989">
        <f>IF(ABS(D989)&gt;1,D989/1000000,D989)*'Real Analysis'!$B$4</f>
        <v>-0.19670031000000002</v>
      </c>
      <c r="P989">
        <f>IF(ABS(E989)&gt;1,E989/1000000,E989)*'Real Analysis'!$B$4</f>
        <v>4.2977610000000006E-2</v>
      </c>
      <c r="Q989">
        <f>IF(ABS(F989)&gt;1,F989/1000000,F989)*'Real Analysis'!$B$4</f>
        <v>9.8484453900000002</v>
      </c>
      <c r="R989">
        <f t="shared" si="95"/>
        <v>0</v>
      </c>
      <c r="S989">
        <f t="shared" si="96"/>
        <v>0</v>
      </c>
      <c r="T989">
        <f t="shared" si="97"/>
        <v>0</v>
      </c>
      <c r="U989">
        <f t="shared" si="98"/>
        <v>0</v>
      </c>
    </row>
    <row r="990" spans="1:21" x14ac:dyDescent="0.3">
      <c r="A990" s="4">
        <v>988</v>
      </c>
      <c r="B990" s="4">
        <v>-96568297187</v>
      </c>
      <c r="C990" s="5">
        <v>0</v>
      </c>
      <c r="D990" s="5">
        <v>-1.2338999999999999E-2</v>
      </c>
      <c r="E990" s="5">
        <v>4.2839999999999996E-3</v>
      </c>
      <c r="F990" s="5">
        <v>1004181</v>
      </c>
      <c r="G990" s="5">
        <v>0</v>
      </c>
      <c r="H990" s="5">
        <v>0</v>
      </c>
      <c r="I990" s="5">
        <v>0</v>
      </c>
      <c r="J990" s="5">
        <v>0</v>
      </c>
      <c r="L990">
        <f t="shared" si="93"/>
        <v>988</v>
      </c>
      <c r="M990">
        <f>'Real Analysis'!$B$3+B990/1000000</f>
        <v>23.70281299999624</v>
      </c>
      <c r="N990">
        <f t="shared" si="94"/>
        <v>0</v>
      </c>
      <c r="O990">
        <f>IF(ABS(D990)&gt;1,D990/1000000,D990)*'Real Analysis'!$B$4</f>
        <v>-0.12104558999999999</v>
      </c>
      <c r="P990">
        <f>IF(ABS(E990)&gt;1,E990/1000000,E990)*'Real Analysis'!$B$4</f>
        <v>4.2026040000000001E-2</v>
      </c>
      <c r="Q990">
        <f>IF(ABS(F990)&gt;1,F990/1000000,F990)*'Real Analysis'!$B$4</f>
        <v>9.851015610000001</v>
      </c>
      <c r="R990">
        <f t="shared" si="95"/>
        <v>0</v>
      </c>
      <c r="S990">
        <f t="shared" si="96"/>
        <v>0</v>
      </c>
      <c r="T990">
        <f t="shared" si="97"/>
        <v>0</v>
      </c>
      <c r="U990">
        <f t="shared" si="98"/>
        <v>0</v>
      </c>
    </row>
    <row r="991" spans="1:21" x14ac:dyDescent="0.3">
      <c r="A991" s="4">
        <v>989</v>
      </c>
      <c r="B991" s="4">
        <v>-96568269509</v>
      </c>
      <c r="C991" s="5">
        <v>0</v>
      </c>
      <c r="D991" s="5">
        <v>-1.2756999999999999E-2</v>
      </c>
      <c r="E991" s="5">
        <v>4.3600000000000002E-3</v>
      </c>
      <c r="F991" s="5">
        <v>0.99710100000000002</v>
      </c>
      <c r="G991" s="5">
        <v>0</v>
      </c>
      <c r="H991" s="5">
        <v>0</v>
      </c>
      <c r="I991" s="5">
        <v>0</v>
      </c>
      <c r="J991" s="5">
        <v>0</v>
      </c>
      <c r="L991">
        <f t="shared" si="93"/>
        <v>989</v>
      </c>
      <c r="M991">
        <f>'Real Analysis'!$B$3+B991/1000000</f>
        <v>23.730490999994799</v>
      </c>
      <c r="N991">
        <f t="shared" si="94"/>
        <v>0</v>
      </c>
      <c r="O991">
        <f>IF(ABS(D991)&gt;1,D991/1000000,D991)*'Real Analysis'!$B$4</f>
        <v>-0.12514617</v>
      </c>
      <c r="P991">
        <f>IF(ABS(E991)&gt;1,E991/1000000,E991)*'Real Analysis'!$B$4</f>
        <v>4.2771600000000007E-2</v>
      </c>
      <c r="Q991">
        <f>IF(ABS(F991)&gt;1,F991/1000000,F991)*'Real Analysis'!$B$4</f>
        <v>9.7815608100000002</v>
      </c>
      <c r="R991">
        <f t="shared" si="95"/>
        <v>0</v>
      </c>
      <c r="S991">
        <f t="shared" si="96"/>
        <v>0</v>
      </c>
      <c r="T991">
        <f t="shared" si="97"/>
        <v>0</v>
      </c>
      <c r="U991">
        <f t="shared" si="98"/>
        <v>0</v>
      </c>
    </row>
    <row r="992" spans="1:21" x14ac:dyDescent="0.3">
      <c r="A992" s="4">
        <v>990</v>
      </c>
      <c r="B992" s="4">
        <v>-96568247060</v>
      </c>
      <c r="C992" s="5">
        <v>0</v>
      </c>
      <c r="D992" s="5">
        <v>-2.1814E-2</v>
      </c>
      <c r="E992" s="5">
        <v>4.2830000000000003E-3</v>
      </c>
      <c r="F992" s="5">
        <v>0.99646699999999999</v>
      </c>
      <c r="G992" s="5">
        <v>0</v>
      </c>
      <c r="H992" s="5">
        <v>0</v>
      </c>
      <c r="I992" s="5">
        <v>0</v>
      </c>
      <c r="J992" s="5">
        <v>0</v>
      </c>
      <c r="L992">
        <f t="shared" si="93"/>
        <v>990</v>
      </c>
      <c r="M992">
        <f>'Real Analysis'!$B$3+B992/1000000</f>
        <v>23.752940000005765</v>
      </c>
      <c r="N992">
        <f t="shared" si="94"/>
        <v>0</v>
      </c>
      <c r="O992">
        <f>IF(ABS(D992)&gt;1,D992/1000000,D992)*'Real Analysis'!$B$4</f>
        <v>-0.21399534000000001</v>
      </c>
      <c r="P992">
        <f>IF(ABS(E992)&gt;1,E992/1000000,E992)*'Real Analysis'!$B$4</f>
        <v>4.2016230000000009E-2</v>
      </c>
      <c r="Q992">
        <f>IF(ABS(F992)&gt;1,F992/1000000,F992)*'Real Analysis'!$B$4</f>
        <v>9.7753412700000002</v>
      </c>
      <c r="R992">
        <f t="shared" si="95"/>
        <v>0</v>
      </c>
      <c r="S992">
        <f t="shared" si="96"/>
        <v>0</v>
      </c>
      <c r="T992">
        <f t="shared" si="97"/>
        <v>0</v>
      </c>
      <c r="U992">
        <f t="shared" si="98"/>
        <v>0</v>
      </c>
    </row>
    <row r="993" spans="1:21" x14ac:dyDescent="0.3">
      <c r="A993" s="4">
        <v>991</v>
      </c>
      <c r="B993" s="4">
        <v>-96568228463</v>
      </c>
      <c r="C993" s="5">
        <v>0</v>
      </c>
      <c r="D993" s="5">
        <v>-1.7514999999999999E-2</v>
      </c>
      <c r="E993" s="5">
        <v>-4.6769999999999997E-3</v>
      </c>
      <c r="F993" s="5">
        <v>1003749</v>
      </c>
      <c r="G993" s="5">
        <v>0</v>
      </c>
      <c r="H993" s="5">
        <v>0</v>
      </c>
      <c r="I993" s="5">
        <v>0</v>
      </c>
      <c r="J993" s="5">
        <v>0</v>
      </c>
      <c r="L993">
        <f t="shared" si="93"/>
        <v>991</v>
      </c>
      <c r="M993">
        <f>'Real Analysis'!$B$3+B993/1000000</f>
        <v>23.771536999993259</v>
      </c>
      <c r="N993">
        <f t="shared" si="94"/>
        <v>0</v>
      </c>
      <c r="O993">
        <f>IF(ABS(D993)&gt;1,D993/1000000,D993)*'Real Analysis'!$B$4</f>
        <v>-0.17182215000000001</v>
      </c>
      <c r="P993">
        <f>IF(ABS(E993)&gt;1,E993/1000000,E993)*'Real Analysis'!$B$4</f>
        <v>-4.5881369999999998E-2</v>
      </c>
      <c r="Q993">
        <f>IF(ABS(F993)&gt;1,F993/1000000,F993)*'Real Analysis'!$B$4</f>
        <v>9.8467776899999997</v>
      </c>
      <c r="R993">
        <f t="shared" si="95"/>
        <v>0</v>
      </c>
      <c r="S993">
        <f t="shared" si="96"/>
        <v>0</v>
      </c>
      <c r="T993">
        <f t="shared" si="97"/>
        <v>0</v>
      </c>
      <c r="U993">
        <f t="shared" si="98"/>
        <v>0</v>
      </c>
    </row>
    <row r="994" spans="1:21" x14ac:dyDescent="0.3">
      <c r="A994" s="4">
        <v>992</v>
      </c>
      <c r="B994" s="4">
        <v>-96568212985</v>
      </c>
      <c r="C994" s="5">
        <v>0</v>
      </c>
      <c r="D994" s="5">
        <v>-1.2529999999999999E-2</v>
      </c>
      <c r="E994" s="5">
        <v>-3.1480000000000002E-3</v>
      </c>
      <c r="F994" s="5">
        <v>1005138</v>
      </c>
      <c r="G994" s="5">
        <v>0</v>
      </c>
      <c r="H994" s="5">
        <v>0</v>
      </c>
      <c r="I994" s="5">
        <v>0</v>
      </c>
      <c r="J994" s="5">
        <v>0</v>
      </c>
      <c r="L994">
        <f t="shared" si="93"/>
        <v>992</v>
      </c>
      <c r="M994">
        <f>'Real Analysis'!$B$3+B994/1000000</f>
        <v>23.787014999994426</v>
      </c>
      <c r="N994">
        <f t="shared" si="94"/>
        <v>0</v>
      </c>
      <c r="O994">
        <f>IF(ABS(D994)&gt;1,D994/1000000,D994)*'Real Analysis'!$B$4</f>
        <v>-0.1229193</v>
      </c>
      <c r="P994">
        <f>IF(ABS(E994)&gt;1,E994/1000000,E994)*'Real Analysis'!$B$4</f>
        <v>-3.0881880000000004E-2</v>
      </c>
      <c r="Q994">
        <f>IF(ABS(F994)&gt;1,F994/1000000,F994)*'Real Analysis'!$B$4</f>
        <v>9.8604037800000022</v>
      </c>
      <c r="R994">
        <f t="shared" si="95"/>
        <v>0</v>
      </c>
      <c r="S994">
        <f t="shared" si="96"/>
        <v>0</v>
      </c>
      <c r="T994">
        <f t="shared" si="97"/>
        <v>0</v>
      </c>
      <c r="U994">
        <f t="shared" si="98"/>
        <v>0</v>
      </c>
    </row>
    <row r="995" spans="1:21" x14ac:dyDescent="0.3">
      <c r="A995" s="4">
        <v>993</v>
      </c>
      <c r="B995" s="4">
        <v>-96568191606</v>
      </c>
      <c r="C995" s="5">
        <v>0</v>
      </c>
      <c r="D995" s="5">
        <v>-1.2293999999999999E-2</v>
      </c>
      <c r="E995" s="5">
        <v>-1.9480000000000001E-3</v>
      </c>
      <c r="F995" s="5">
        <v>1000332</v>
      </c>
      <c r="G995" s="5">
        <v>0</v>
      </c>
      <c r="H995" s="5">
        <v>0</v>
      </c>
      <c r="I995" s="5">
        <v>0</v>
      </c>
      <c r="J995" s="5">
        <v>0</v>
      </c>
      <c r="L995">
        <f t="shared" si="93"/>
        <v>993</v>
      </c>
      <c r="M995">
        <f>'Real Analysis'!$B$3+B995/1000000</f>
        <v>23.808394000006956</v>
      </c>
      <c r="N995">
        <f t="shared" si="94"/>
        <v>0</v>
      </c>
      <c r="O995">
        <f>IF(ABS(D995)&gt;1,D995/1000000,D995)*'Real Analysis'!$B$4</f>
        <v>-0.12060414</v>
      </c>
      <c r="P995">
        <f>IF(ABS(E995)&gt;1,E995/1000000,E995)*'Real Analysis'!$B$4</f>
        <v>-1.9109880000000003E-2</v>
      </c>
      <c r="Q995">
        <f>IF(ABS(F995)&gt;1,F995/1000000,F995)*'Real Analysis'!$B$4</f>
        <v>9.8132569200000006</v>
      </c>
      <c r="R995">
        <f t="shared" si="95"/>
        <v>0</v>
      </c>
      <c r="S995">
        <f t="shared" si="96"/>
        <v>0</v>
      </c>
      <c r="T995">
        <f t="shared" si="97"/>
        <v>0</v>
      </c>
      <c r="U995">
        <f t="shared" si="98"/>
        <v>0</v>
      </c>
    </row>
    <row r="996" spans="1:21" x14ac:dyDescent="0.3">
      <c r="A996" s="4">
        <v>994</v>
      </c>
      <c r="B996" s="4">
        <v>-96568170868</v>
      </c>
      <c r="C996" s="5">
        <v>0</v>
      </c>
      <c r="D996" s="5">
        <v>-1.2784999999999999E-2</v>
      </c>
      <c r="E996" s="5">
        <v>4.9649999999999998E-3</v>
      </c>
      <c r="F996" s="5">
        <v>1003788</v>
      </c>
      <c r="G996" s="5">
        <v>0</v>
      </c>
      <c r="H996" s="5">
        <v>0</v>
      </c>
      <c r="I996" s="5">
        <v>0</v>
      </c>
      <c r="J996" s="5">
        <v>0</v>
      </c>
      <c r="L996">
        <f t="shared" si="93"/>
        <v>994</v>
      </c>
      <c r="M996">
        <f>'Real Analysis'!$B$3+B996/1000000</f>
        <v>23.829131999998935</v>
      </c>
      <c r="N996">
        <f t="shared" si="94"/>
        <v>0</v>
      </c>
      <c r="O996">
        <f>IF(ABS(D996)&gt;1,D996/1000000,D996)*'Real Analysis'!$B$4</f>
        <v>-0.12542085</v>
      </c>
      <c r="P996">
        <f>IF(ABS(E996)&gt;1,E996/1000000,E996)*'Real Analysis'!$B$4</f>
        <v>4.8706649999999997E-2</v>
      </c>
      <c r="Q996">
        <f>IF(ABS(F996)&gt;1,F996/1000000,F996)*'Real Analysis'!$B$4</f>
        <v>9.8471602799999989</v>
      </c>
      <c r="R996">
        <f t="shared" si="95"/>
        <v>0</v>
      </c>
      <c r="S996">
        <f t="shared" si="96"/>
        <v>0</v>
      </c>
      <c r="T996">
        <f t="shared" si="97"/>
        <v>0</v>
      </c>
      <c r="U996">
        <f t="shared" si="98"/>
        <v>0</v>
      </c>
    </row>
    <row r="997" spans="1:21" x14ac:dyDescent="0.3">
      <c r="A997" s="4">
        <v>995</v>
      </c>
      <c r="B997" s="4">
        <v>-96568148296</v>
      </c>
      <c r="C997" s="5">
        <v>0</v>
      </c>
      <c r="D997" s="5">
        <v>-1.2924E-2</v>
      </c>
      <c r="E997" s="5">
        <v>4.901E-3</v>
      </c>
      <c r="F997" s="5">
        <v>1003294</v>
      </c>
      <c r="G997" s="5">
        <v>0</v>
      </c>
      <c r="H997" s="5">
        <v>0</v>
      </c>
      <c r="I997" s="5">
        <v>0</v>
      </c>
      <c r="J997" s="5">
        <v>0</v>
      </c>
      <c r="L997">
        <f t="shared" si="93"/>
        <v>995</v>
      </c>
      <c r="M997">
        <f>'Real Analysis'!$B$3+B997/1000000</f>
        <v>23.851704000000609</v>
      </c>
      <c r="N997">
        <f t="shared" si="94"/>
        <v>0</v>
      </c>
      <c r="O997">
        <f>IF(ABS(D997)&gt;1,D997/1000000,D997)*'Real Analysis'!$B$4</f>
        <v>-0.12678444</v>
      </c>
      <c r="P997">
        <f>IF(ABS(E997)&gt;1,E997/1000000,E997)*'Real Analysis'!$B$4</f>
        <v>4.807881E-2</v>
      </c>
      <c r="Q997">
        <f>IF(ABS(F997)&gt;1,F997/1000000,F997)*'Real Analysis'!$B$4</f>
        <v>9.8423141399999992</v>
      </c>
      <c r="R997">
        <f t="shared" si="95"/>
        <v>0</v>
      </c>
      <c r="S997">
        <f t="shared" si="96"/>
        <v>0</v>
      </c>
      <c r="T997">
        <f t="shared" si="97"/>
        <v>0</v>
      </c>
      <c r="U997">
        <f t="shared" si="98"/>
        <v>0</v>
      </c>
    </row>
    <row r="998" spans="1:21" x14ac:dyDescent="0.3">
      <c r="A998" s="4">
        <v>996</v>
      </c>
      <c r="B998" s="4">
        <v>-96568127924</v>
      </c>
      <c r="C998" s="5">
        <v>0</v>
      </c>
      <c r="D998" s="5">
        <v>-1.2808999999999999E-2</v>
      </c>
      <c r="E998" s="5">
        <v>4.143E-3</v>
      </c>
      <c r="F998" s="5">
        <v>1004144</v>
      </c>
      <c r="G998" s="5">
        <v>0</v>
      </c>
      <c r="H998" s="5">
        <v>0</v>
      </c>
      <c r="I998" s="5">
        <v>0</v>
      </c>
      <c r="J998" s="5">
        <v>0</v>
      </c>
      <c r="L998">
        <f t="shared" si="93"/>
        <v>996</v>
      </c>
      <c r="M998">
        <f>'Real Analysis'!$B$3+B998/1000000</f>
        <v>23.872075999999652</v>
      </c>
      <c r="N998">
        <f t="shared" si="94"/>
        <v>0</v>
      </c>
      <c r="O998">
        <f>IF(ABS(D998)&gt;1,D998/1000000,D998)*'Real Analysis'!$B$4</f>
        <v>-0.12565629</v>
      </c>
      <c r="P998">
        <f>IF(ABS(E998)&gt;1,E998/1000000,E998)*'Real Analysis'!$B$4</f>
        <v>4.0642830000000005E-2</v>
      </c>
      <c r="Q998">
        <f>IF(ABS(F998)&gt;1,F998/1000000,F998)*'Real Analysis'!$B$4</f>
        <v>9.8506526399999998</v>
      </c>
      <c r="R998">
        <f t="shared" si="95"/>
        <v>0</v>
      </c>
      <c r="S998">
        <f t="shared" si="96"/>
        <v>0</v>
      </c>
      <c r="T998">
        <f t="shared" si="97"/>
        <v>0</v>
      </c>
      <c r="U998">
        <f t="shared" si="98"/>
        <v>0</v>
      </c>
    </row>
    <row r="999" spans="1:21" x14ac:dyDescent="0.3">
      <c r="A999" s="4">
        <v>997</v>
      </c>
      <c r="B999" s="4">
        <v>-96568108253</v>
      </c>
      <c r="C999" s="5">
        <v>0</v>
      </c>
      <c r="D999" s="5">
        <v>-1.2951000000000001E-2</v>
      </c>
      <c r="E999" s="5">
        <v>4.4299999999999999E-3</v>
      </c>
      <c r="F999" s="5">
        <v>1004318</v>
      </c>
      <c r="G999" s="5">
        <v>0</v>
      </c>
      <c r="H999" s="5">
        <v>0</v>
      </c>
      <c r="I999" s="5">
        <v>0</v>
      </c>
      <c r="J999" s="5">
        <v>0</v>
      </c>
      <c r="L999">
        <f t="shared" si="93"/>
        <v>997</v>
      </c>
      <c r="M999">
        <f>'Real Analysis'!$B$3+B999/1000000</f>
        <v>23.891747000001487</v>
      </c>
      <c r="N999">
        <f t="shared" si="94"/>
        <v>0</v>
      </c>
      <c r="O999">
        <f>IF(ABS(D999)&gt;1,D999/1000000,D999)*'Real Analysis'!$B$4</f>
        <v>-0.12704931000000003</v>
      </c>
      <c r="P999">
        <f>IF(ABS(E999)&gt;1,E999/1000000,E999)*'Real Analysis'!$B$4</f>
        <v>4.3458299999999998E-2</v>
      </c>
      <c r="Q999">
        <f>IF(ABS(F999)&gt;1,F999/1000000,F999)*'Real Analysis'!$B$4</f>
        <v>9.8523595800000017</v>
      </c>
      <c r="R999">
        <f t="shared" si="95"/>
        <v>0</v>
      </c>
      <c r="S999">
        <f t="shared" si="96"/>
        <v>0</v>
      </c>
      <c r="T999">
        <f t="shared" si="97"/>
        <v>0</v>
      </c>
      <c r="U999">
        <f t="shared" si="98"/>
        <v>0</v>
      </c>
    </row>
    <row r="1000" spans="1:21" x14ac:dyDescent="0.3">
      <c r="A1000" s="4">
        <v>998</v>
      </c>
      <c r="B1000" s="4">
        <v>-96568086962</v>
      </c>
      <c r="C1000" s="5">
        <v>0</v>
      </c>
      <c r="D1000" s="5">
        <v>-1.286E-2</v>
      </c>
      <c r="E1000" s="5">
        <v>4.5009999999999998E-3</v>
      </c>
      <c r="F1000" s="5">
        <v>1004197</v>
      </c>
      <c r="G1000" s="5">
        <v>0</v>
      </c>
      <c r="H1000" s="5">
        <v>0</v>
      </c>
      <c r="I1000" s="5">
        <v>0</v>
      </c>
      <c r="J1000" s="5">
        <v>0</v>
      </c>
      <c r="L1000">
        <f t="shared" si="93"/>
        <v>998</v>
      </c>
      <c r="M1000">
        <f>'Real Analysis'!$B$3+B1000/1000000</f>
        <v>23.913037999998778</v>
      </c>
      <c r="N1000">
        <f t="shared" si="94"/>
        <v>0</v>
      </c>
      <c r="O1000">
        <f>IF(ABS(D1000)&gt;1,D1000/1000000,D1000)*'Real Analysis'!$B$4</f>
        <v>-0.12615660000000001</v>
      </c>
      <c r="P1000">
        <f>IF(ABS(E1000)&gt;1,E1000/1000000,E1000)*'Real Analysis'!$B$4</f>
        <v>4.4154810000000003E-2</v>
      </c>
      <c r="Q1000">
        <f>IF(ABS(F1000)&gt;1,F1000/1000000,F1000)*'Real Analysis'!$B$4</f>
        <v>9.851172570000001</v>
      </c>
      <c r="R1000">
        <f t="shared" si="95"/>
        <v>0</v>
      </c>
      <c r="S1000">
        <f t="shared" si="96"/>
        <v>0</v>
      </c>
      <c r="T1000">
        <f t="shared" si="97"/>
        <v>0</v>
      </c>
      <c r="U1000">
        <f t="shared" si="98"/>
        <v>0</v>
      </c>
    </row>
    <row r="1001" spans="1:21" x14ac:dyDescent="0.3">
      <c r="A1001" s="4">
        <v>999</v>
      </c>
      <c r="B1001" s="4">
        <v>-96568071329</v>
      </c>
      <c r="C1001" s="5">
        <v>0</v>
      </c>
      <c r="D1001" s="5">
        <v>-1.9710999999999999E-2</v>
      </c>
      <c r="E1001" s="5">
        <v>4.2329999999999998E-3</v>
      </c>
      <c r="F1001" s="5">
        <v>0.996865</v>
      </c>
      <c r="G1001" s="5">
        <v>0</v>
      </c>
      <c r="H1001" s="5">
        <v>0</v>
      </c>
      <c r="I1001" s="5">
        <v>0</v>
      </c>
      <c r="J1001" s="5">
        <v>0</v>
      </c>
      <c r="L1001">
        <f t="shared" si="93"/>
        <v>999</v>
      </c>
      <c r="M1001">
        <f>'Real Analysis'!$B$3+B1001/1000000</f>
        <v>23.928671000001486</v>
      </c>
      <c r="N1001">
        <f t="shared" si="94"/>
        <v>0</v>
      </c>
      <c r="O1001">
        <f>IF(ABS(D1001)&gt;1,D1001/1000000,D1001)*'Real Analysis'!$B$4</f>
        <v>-0.19336491</v>
      </c>
      <c r="P1001">
        <f>IF(ABS(E1001)&gt;1,E1001/1000000,E1001)*'Real Analysis'!$B$4</f>
        <v>4.1525729999999997E-2</v>
      </c>
      <c r="Q1001">
        <f>IF(ABS(F1001)&gt;1,F1001/1000000,F1001)*'Real Analysis'!$B$4</f>
        <v>9.77924565</v>
      </c>
      <c r="R1001">
        <f t="shared" si="95"/>
        <v>0</v>
      </c>
      <c r="S1001">
        <f t="shared" si="96"/>
        <v>0</v>
      </c>
      <c r="T1001">
        <f t="shared" si="97"/>
        <v>0</v>
      </c>
      <c r="U1001">
        <f t="shared" si="98"/>
        <v>0</v>
      </c>
    </row>
    <row r="1002" spans="1:21" x14ac:dyDescent="0.3">
      <c r="A1002" s="4">
        <v>1000</v>
      </c>
      <c r="B1002" s="4">
        <v>-96568049731</v>
      </c>
      <c r="C1002" s="5">
        <v>0</v>
      </c>
      <c r="D1002" s="5">
        <v>-1.9927E-2</v>
      </c>
      <c r="E1002" s="5">
        <v>4.2449999999999996E-3</v>
      </c>
      <c r="F1002" s="5">
        <v>0.99661500000000003</v>
      </c>
      <c r="G1002" s="5">
        <v>0</v>
      </c>
      <c r="H1002" s="5">
        <v>0</v>
      </c>
      <c r="I1002" s="5">
        <v>0</v>
      </c>
      <c r="J1002" s="5">
        <v>0</v>
      </c>
      <c r="L1002">
        <f t="shared" si="93"/>
        <v>1000</v>
      </c>
      <c r="M1002">
        <f>'Real Analysis'!$B$3+B1002/1000000</f>
        <v>23.950268999993568</v>
      </c>
      <c r="N1002">
        <f t="shared" si="94"/>
        <v>0</v>
      </c>
      <c r="O1002">
        <f>IF(ABS(D1002)&gt;1,D1002/1000000,D1002)*'Real Analysis'!$B$4</f>
        <v>-0.19548387</v>
      </c>
      <c r="P1002">
        <f>IF(ABS(E1002)&gt;1,E1002/1000000,E1002)*'Real Analysis'!$B$4</f>
        <v>4.1643449999999999E-2</v>
      </c>
      <c r="Q1002">
        <f>IF(ABS(F1002)&gt;1,F1002/1000000,F1002)*'Real Analysis'!$B$4</f>
        <v>9.7767931500000014</v>
      </c>
      <c r="R1002">
        <f t="shared" si="95"/>
        <v>0</v>
      </c>
      <c r="S1002">
        <f t="shared" si="96"/>
        <v>0</v>
      </c>
      <c r="T1002">
        <f t="shared" si="97"/>
        <v>0</v>
      </c>
      <c r="U1002">
        <f t="shared" si="98"/>
        <v>0</v>
      </c>
    </row>
    <row r="1003" spans="1:21" x14ac:dyDescent="0.3">
      <c r="A1003" s="4">
        <v>1001</v>
      </c>
      <c r="B1003" s="4">
        <v>-96568030908</v>
      </c>
      <c r="C1003" s="5">
        <v>0</v>
      </c>
      <c r="D1003" s="5">
        <v>-2.0791E-2</v>
      </c>
      <c r="E1003" s="5">
        <v>4.3610000000000003E-3</v>
      </c>
      <c r="F1003" s="5">
        <v>0.99917100000000003</v>
      </c>
      <c r="G1003" s="5">
        <v>0</v>
      </c>
      <c r="H1003" s="5">
        <v>0</v>
      </c>
      <c r="I1003" s="5">
        <v>0</v>
      </c>
      <c r="J1003" s="5">
        <v>0</v>
      </c>
      <c r="L1003">
        <f t="shared" si="93"/>
        <v>1001</v>
      </c>
      <c r="M1003">
        <f>'Real Analysis'!$B$3+B1003/1000000</f>
        <v>23.969091999999364</v>
      </c>
      <c r="N1003">
        <f t="shared" si="94"/>
        <v>0</v>
      </c>
      <c r="O1003">
        <f>IF(ABS(D1003)&gt;1,D1003/1000000,D1003)*'Real Analysis'!$B$4</f>
        <v>-0.20395971000000002</v>
      </c>
      <c r="P1003">
        <f>IF(ABS(E1003)&gt;1,E1003/1000000,E1003)*'Real Analysis'!$B$4</f>
        <v>4.2781410000000006E-2</v>
      </c>
      <c r="Q1003">
        <f>IF(ABS(F1003)&gt;1,F1003/1000000,F1003)*'Real Analysis'!$B$4</f>
        <v>9.801867510000001</v>
      </c>
      <c r="R1003">
        <f t="shared" si="95"/>
        <v>0</v>
      </c>
      <c r="S1003">
        <f t="shared" si="96"/>
        <v>0</v>
      </c>
      <c r="T1003">
        <f t="shared" si="97"/>
        <v>0</v>
      </c>
      <c r="U1003">
        <f t="shared" si="98"/>
        <v>0</v>
      </c>
    </row>
    <row r="1004" spans="1:21" x14ac:dyDescent="0.3">
      <c r="A1004" s="4">
        <v>1002</v>
      </c>
      <c r="B1004" s="4">
        <v>-96568008658</v>
      </c>
      <c r="C1004" s="5">
        <v>0</v>
      </c>
      <c r="D1004" s="5">
        <v>-1.5803000000000001E-2</v>
      </c>
      <c r="E1004" s="5">
        <v>4.4149999999999997E-3</v>
      </c>
      <c r="F1004" s="5">
        <v>1004475</v>
      </c>
      <c r="G1004" s="5">
        <v>0</v>
      </c>
      <c r="H1004" s="5">
        <v>0</v>
      </c>
      <c r="I1004" s="5">
        <v>0</v>
      </c>
      <c r="J1004" s="5">
        <v>0</v>
      </c>
      <c r="L1004">
        <f t="shared" si="93"/>
        <v>1002</v>
      </c>
      <c r="M1004">
        <f>'Real Analysis'!$B$3+B1004/1000000</f>
        <v>23.991341999993892</v>
      </c>
      <c r="N1004">
        <f t="shared" si="94"/>
        <v>0</v>
      </c>
      <c r="O1004">
        <f>IF(ABS(D1004)&gt;1,D1004/1000000,D1004)*'Real Analysis'!$B$4</f>
        <v>-0.15502743000000002</v>
      </c>
      <c r="P1004">
        <f>IF(ABS(E1004)&gt;1,E1004/1000000,E1004)*'Real Analysis'!$B$4</f>
        <v>4.331115E-2</v>
      </c>
      <c r="Q1004">
        <f>IF(ABS(F1004)&gt;1,F1004/1000000,F1004)*'Real Analysis'!$B$4</f>
        <v>9.8538997500000001</v>
      </c>
      <c r="R1004">
        <f t="shared" si="95"/>
        <v>0</v>
      </c>
      <c r="S1004">
        <f t="shared" si="96"/>
        <v>0</v>
      </c>
      <c r="T1004">
        <f t="shared" si="97"/>
        <v>0</v>
      </c>
      <c r="U1004">
        <f t="shared" si="98"/>
        <v>0</v>
      </c>
    </row>
    <row r="1005" spans="1:21" x14ac:dyDescent="0.3">
      <c r="A1005" s="4">
        <v>1003</v>
      </c>
      <c r="B1005" s="4">
        <v>-96567995022</v>
      </c>
      <c r="C1005" s="5">
        <v>0</v>
      </c>
      <c r="D1005" s="5">
        <v>-1.3006999999999999E-2</v>
      </c>
      <c r="E1005" s="5">
        <v>4.3220000000000003E-3</v>
      </c>
      <c r="F1005" s="5">
        <v>1003761</v>
      </c>
      <c r="G1005" s="5">
        <v>0</v>
      </c>
      <c r="H1005" s="5">
        <v>0</v>
      </c>
      <c r="I1005" s="5">
        <v>0</v>
      </c>
      <c r="J1005" s="5">
        <v>0</v>
      </c>
      <c r="L1005">
        <f t="shared" si="93"/>
        <v>1003</v>
      </c>
      <c r="M1005">
        <f>'Real Analysis'!$B$3+B1005/1000000</f>
        <v>24.004977999997209</v>
      </c>
      <c r="N1005">
        <f t="shared" si="94"/>
        <v>0</v>
      </c>
      <c r="O1005">
        <f>IF(ABS(D1005)&gt;1,D1005/1000000,D1005)*'Real Analysis'!$B$4</f>
        <v>-0.12759867</v>
      </c>
      <c r="P1005">
        <f>IF(ABS(E1005)&gt;1,E1005/1000000,E1005)*'Real Analysis'!$B$4</f>
        <v>4.2398820000000004E-2</v>
      </c>
      <c r="Q1005">
        <f>IF(ABS(F1005)&gt;1,F1005/1000000,F1005)*'Real Analysis'!$B$4</f>
        <v>9.8468954100000001</v>
      </c>
      <c r="R1005">
        <f t="shared" si="95"/>
        <v>0</v>
      </c>
      <c r="S1005">
        <f t="shared" si="96"/>
        <v>0</v>
      </c>
      <c r="T1005">
        <f t="shared" si="97"/>
        <v>0</v>
      </c>
      <c r="U1005">
        <f t="shared" si="98"/>
        <v>0</v>
      </c>
    </row>
    <row r="1006" spans="1:21" x14ac:dyDescent="0.3">
      <c r="A1006" s="4">
        <v>1004</v>
      </c>
      <c r="B1006" s="4">
        <v>-96567969822</v>
      </c>
      <c r="C1006" s="5">
        <v>0</v>
      </c>
      <c r="D1006" s="5">
        <v>-1.2687E-2</v>
      </c>
      <c r="E1006" s="5">
        <v>4.3880000000000004E-3</v>
      </c>
      <c r="F1006" s="5">
        <v>1003986</v>
      </c>
      <c r="G1006" s="5">
        <v>0</v>
      </c>
      <c r="H1006" s="5">
        <v>0</v>
      </c>
      <c r="I1006" s="5">
        <v>0</v>
      </c>
      <c r="J1006" s="5">
        <v>0</v>
      </c>
      <c r="L1006">
        <f t="shared" si="93"/>
        <v>1004</v>
      </c>
      <c r="M1006">
        <f>'Real Analysis'!$B$3+B1006/1000000</f>
        <v>24.030178000000888</v>
      </c>
      <c r="N1006">
        <f t="shared" si="94"/>
        <v>0</v>
      </c>
      <c r="O1006">
        <f>IF(ABS(D1006)&gt;1,D1006/1000000,D1006)*'Real Analysis'!$B$4</f>
        <v>-0.12445947000000002</v>
      </c>
      <c r="P1006">
        <f>IF(ABS(E1006)&gt;1,E1006/1000000,E1006)*'Real Analysis'!$B$4</f>
        <v>4.3046280000000006E-2</v>
      </c>
      <c r="Q1006">
        <f>IF(ABS(F1006)&gt;1,F1006/1000000,F1006)*'Real Analysis'!$B$4</f>
        <v>9.8491026600000016</v>
      </c>
      <c r="R1006">
        <f t="shared" si="95"/>
        <v>0</v>
      </c>
      <c r="S1006">
        <f t="shared" si="96"/>
        <v>0</v>
      </c>
      <c r="T1006">
        <f t="shared" si="97"/>
        <v>0</v>
      </c>
      <c r="U1006">
        <f t="shared" si="98"/>
        <v>0</v>
      </c>
    </row>
    <row r="1007" spans="1:21" x14ac:dyDescent="0.3">
      <c r="A1007" s="4">
        <v>1005</v>
      </c>
      <c r="B1007" s="4">
        <v>-96567948747</v>
      </c>
      <c r="C1007" s="5">
        <v>0</v>
      </c>
      <c r="D1007" s="5">
        <v>-1.308E-2</v>
      </c>
      <c r="E1007" s="5">
        <v>4.535E-3</v>
      </c>
      <c r="F1007" s="5">
        <v>1004171</v>
      </c>
      <c r="G1007" s="5">
        <v>0</v>
      </c>
      <c r="H1007" s="5">
        <v>0</v>
      </c>
      <c r="I1007" s="5">
        <v>0</v>
      </c>
      <c r="J1007" s="5">
        <v>0</v>
      </c>
      <c r="L1007">
        <f t="shared" si="93"/>
        <v>1005</v>
      </c>
      <c r="M1007">
        <f>'Real Analysis'!$B$3+B1007/1000000</f>
        <v>24.051252999997814</v>
      </c>
      <c r="N1007">
        <f t="shared" si="94"/>
        <v>0</v>
      </c>
      <c r="O1007">
        <f>IF(ABS(D1007)&gt;1,D1007/1000000,D1007)*'Real Analysis'!$B$4</f>
        <v>-0.12831480000000001</v>
      </c>
      <c r="P1007">
        <f>IF(ABS(E1007)&gt;1,E1007/1000000,E1007)*'Real Analysis'!$B$4</f>
        <v>4.4488350000000003E-2</v>
      </c>
      <c r="Q1007">
        <f>IF(ABS(F1007)&gt;1,F1007/1000000,F1007)*'Real Analysis'!$B$4</f>
        <v>9.8509175100000004</v>
      </c>
      <c r="R1007">
        <f t="shared" si="95"/>
        <v>0</v>
      </c>
      <c r="S1007">
        <f t="shared" si="96"/>
        <v>0</v>
      </c>
      <c r="T1007">
        <f t="shared" si="97"/>
        <v>0</v>
      </c>
      <c r="U1007">
        <f t="shared" si="98"/>
        <v>0</v>
      </c>
    </row>
    <row r="1008" spans="1:21" x14ac:dyDescent="0.3">
      <c r="A1008" s="4">
        <v>1006</v>
      </c>
      <c r="B1008" s="4">
        <v>-96567928917</v>
      </c>
      <c r="C1008" s="5">
        <v>0</v>
      </c>
      <c r="D1008" s="5">
        <v>-1.2827E-2</v>
      </c>
      <c r="E1008" s="5">
        <v>4.5040000000000002E-3</v>
      </c>
      <c r="F1008" s="5">
        <v>1005831</v>
      </c>
      <c r="G1008" s="5">
        <v>0</v>
      </c>
      <c r="H1008" s="5">
        <v>0</v>
      </c>
      <c r="I1008" s="5">
        <v>0</v>
      </c>
      <c r="J1008" s="5">
        <v>0</v>
      </c>
      <c r="L1008">
        <f t="shared" si="93"/>
        <v>1006</v>
      </c>
      <c r="M1008">
        <f>'Real Analysis'!$B$3+B1008/1000000</f>
        <v>24.071083000002545</v>
      </c>
      <c r="N1008">
        <f t="shared" si="94"/>
        <v>0</v>
      </c>
      <c r="O1008">
        <f>IF(ABS(D1008)&gt;1,D1008/1000000,D1008)*'Real Analysis'!$B$4</f>
        <v>-0.12583287000000001</v>
      </c>
      <c r="P1008">
        <f>IF(ABS(E1008)&gt;1,E1008/1000000,E1008)*'Real Analysis'!$B$4</f>
        <v>4.4184240000000007E-2</v>
      </c>
      <c r="Q1008">
        <f>IF(ABS(F1008)&gt;1,F1008/1000000,F1008)*'Real Analysis'!$B$4</f>
        <v>9.8672021099999991</v>
      </c>
      <c r="R1008">
        <f t="shared" si="95"/>
        <v>0</v>
      </c>
      <c r="S1008">
        <f t="shared" si="96"/>
        <v>0</v>
      </c>
      <c r="T1008">
        <f t="shared" si="97"/>
        <v>0</v>
      </c>
      <c r="U1008">
        <f t="shared" si="98"/>
        <v>0</v>
      </c>
    </row>
    <row r="1009" spans="1:21" x14ac:dyDescent="0.3">
      <c r="A1009" s="4">
        <v>1007</v>
      </c>
      <c r="B1009" s="4">
        <v>-96567911122</v>
      </c>
      <c r="C1009" s="5">
        <v>0</v>
      </c>
      <c r="D1009" s="5">
        <v>-1.4423E-2</v>
      </c>
      <c r="E1009" s="5">
        <v>-2.6180000000000001E-3</v>
      </c>
      <c r="F1009" s="5">
        <v>1004745</v>
      </c>
      <c r="G1009" s="5">
        <v>0</v>
      </c>
      <c r="H1009" s="5">
        <v>0</v>
      </c>
      <c r="I1009" s="5">
        <v>0</v>
      </c>
      <c r="J1009" s="5">
        <v>0</v>
      </c>
      <c r="L1009">
        <f t="shared" si="93"/>
        <v>1007</v>
      </c>
      <c r="M1009">
        <f>'Real Analysis'!$B$3+B1009/1000000</f>
        <v>24.08887799999502</v>
      </c>
      <c r="N1009">
        <f t="shared" si="94"/>
        <v>0</v>
      </c>
      <c r="O1009">
        <f>IF(ABS(D1009)&gt;1,D1009/1000000,D1009)*'Real Analysis'!$B$4</f>
        <v>-0.14148963000000001</v>
      </c>
      <c r="P1009">
        <f>IF(ABS(E1009)&gt;1,E1009/1000000,E1009)*'Real Analysis'!$B$4</f>
        <v>-2.5682580000000003E-2</v>
      </c>
      <c r="Q1009">
        <f>IF(ABS(F1009)&gt;1,F1009/1000000,F1009)*'Real Analysis'!$B$4</f>
        <v>9.85654845</v>
      </c>
      <c r="R1009">
        <f t="shared" si="95"/>
        <v>0</v>
      </c>
      <c r="S1009">
        <f t="shared" si="96"/>
        <v>0</v>
      </c>
      <c r="T1009">
        <f t="shared" si="97"/>
        <v>0</v>
      </c>
      <c r="U1009">
        <f t="shared" si="98"/>
        <v>0</v>
      </c>
    </row>
    <row r="1010" spans="1:21" x14ac:dyDescent="0.3">
      <c r="A1010" s="4">
        <v>1008</v>
      </c>
      <c r="B1010" s="4">
        <v>-96567890495</v>
      </c>
      <c r="C1010" s="5">
        <v>0</v>
      </c>
      <c r="D1010" s="5">
        <v>-2.205E-2</v>
      </c>
      <c r="E1010" s="5">
        <v>5.692E-3</v>
      </c>
      <c r="F1010" s="5">
        <v>1003565</v>
      </c>
      <c r="G1010" s="5">
        <v>0</v>
      </c>
      <c r="H1010" s="5">
        <v>0</v>
      </c>
      <c r="I1010" s="5">
        <v>0</v>
      </c>
      <c r="J1010" s="5">
        <v>0</v>
      </c>
      <c r="L1010">
        <f t="shared" si="93"/>
        <v>1008</v>
      </c>
      <c r="M1010">
        <f>'Real Analysis'!$B$3+B1010/1000000</f>
        <v>24.109505000000354</v>
      </c>
      <c r="N1010">
        <f t="shared" si="94"/>
        <v>0</v>
      </c>
      <c r="O1010">
        <f>IF(ABS(D1010)&gt;1,D1010/1000000,D1010)*'Real Analysis'!$B$4</f>
        <v>-0.21631050000000002</v>
      </c>
      <c r="P1010">
        <f>IF(ABS(E1010)&gt;1,E1010/1000000,E1010)*'Real Analysis'!$B$4</f>
        <v>5.5838520000000003E-2</v>
      </c>
      <c r="Q1010">
        <f>IF(ABS(F1010)&gt;1,F1010/1000000,F1010)*'Real Analysis'!$B$4</f>
        <v>9.8449726500000008</v>
      </c>
      <c r="R1010">
        <f t="shared" si="95"/>
        <v>0</v>
      </c>
      <c r="S1010">
        <f t="shared" si="96"/>
        <v>0</v>
      </c>
      <c r="T1010">
        <f t="shared" si="97"/>
        <v>0</v>
      </c>
      <c r="U1010">
        <f t="shared" si="98"/>
        <v>0</v>
      </c>
    </row>
    <row r="1011" spans="1:21" x14ac:dyDescent="0.3">
      <c r="A1011" s="4">
        <v>1009</v>
      </c>
      <c r="B1011" s="4">
        <v>-96567869471</v>
      </c>
      <c r="C1011" s="5">
        <v>0</v>
      </c>
      <c r="D1011" s="5">
        <v>-1.7066999999999999E-2</v>
      </c>
      <c r="E1011" s="5">
        <v>4.176E-3</v>
      </c>
      <c r="F1011" s="5">
        <v>1003909</v>
      </c>
      <c r="G1011" s="5">
        <v>0</v>
      </c>
      <c r="H1011" s="5">
        <v>0</v>
      </c>
      <c r="I1011" s="5">
        <v>0</v>
      </c>
      <c r="J1011" s="5">
        <v>0</v>
      </c>
      <c r="L1011">
        <f t="shared" si="93"/>
        <v>1009</v>
      </c>
      <c r="M1011">
        <f>'Real Analysis'!$B$3+B1011/1000000</f>
        <v>24.130529000001843</v>
      </c>
      <c r="N1011">
        <f t="shared" si="94"/>
        <v>0</v>
      </c>
      <c r="O1011">
        <f>IF(ABS(D1011)&gt;1,D1011/1000000,D1011)*'Real Analysis'!$B$4</f>
        <v>-0.16742726999999999</v>
      </c>
      <c r="P1011">
        <f>IF(ABS(E1011)&gt;1,E1011/1000000,E1011)*'Real Analysis'!$B$4</f>
        <v>4.0966559999999999E-2</v>
      </c>
      <c r="Q1011">
        <f>IF(ABS(F1011)&gt;1,F1011/1000000,F1011)*'Real Analysis'!$B$4</f>
        <v>9.8483472899999995</v>
      </c>
      <c r="R1011">
        <f t="shared" si="95"/>
        <v>0</v>
      </c>
      <c r="S1011">
        <f t="shared" si="96"/>
        <v>0</v>
      </c>
      <c r="T1011">
        <f t="shared" si="97"/>
        <v>0</v>
      </c>
      <c r="U1011">
        <f t="shared" si="98"/>
        <v>0</v>
      </c>
    </row>
    <row r="1012" spans="1:21" x14ac:dyDescent="0.3">
      <c r="A1012" s="4">
        <v>1010</v>
      </c>
      <c r="B1012" s="4">
        <v>-96567850242</v>
      </c>
      <c r="C1012" s="5">
        <v>0</v>
      </c>
      <c r="D1012" s="5">
        <v>-1.2383E-2</v>
      </c>
      <c r="E1012" s="5">
        <v>4.3280000000000002E-3</v>
      </c>
      <c r="F1012" s="5">
        <v>1004263</v>
      </c>
      <c r="G1012" s="5">
        <v>0</v>
      </c>
      <c r="H1012" s="5">
        <v>0</v>
      </c>
      <c r="I1012" s="5">
        <v>0</v>
      </c>
      <c r="J1012" s="5">
        <v>0</v>
      </c>
      <c r="L1012">
        <f t="shared" si="93"/>
        <v>1010</v>
      </c>
      <c r="M1012">
        <f>'Real Analysis'!$B$3+B1012/1000000</f>
        <v>24.149757999999565</v>
      </c>
      <c r="N1012">
        <f t="shared" si="94"/>
        <v>0</v>
      </c>
      <c r="O1012">
        <f>IF(ABS(D1012)&gt;1,D1012/1000000,D1012)*'Real Analysis'!$B$4</f>
        <v>-0.12147723000000001</v>
      </c>
      <c r="P1012">
        <f>IF(ABS(E1012)&gt;1,E1012/1000000,E1012)*'Real Analysis'!$B$4</f>
        <v>4.2457680000000005E-2</v>
      </c>
      <c r="Q1012">
        <f>IF(ABS(F1012)&gt;1,F1012/1000000,F1012)*'Real Analysis'!$B$4</f>
        <v>9.851820029999999</v>
      </c>
      <c r="R1012">
        <f t="shared" si="95"/>
        <v>0</v>
      </c>
      <c r="S1012">
        <f t="shared" si="96"/>
        <v>0</v>
      </c>
      <c r="T1012">
        <f t="shared" si="97"/>
        <v>0</v>
      </c>
      <c r="U1012">
        <f t="shared" si="98"/>
        <v>0</v>
      </c>
    </row>
    <row r="1013" spans="1:21" x14ac:dyDescent="0.3">
      <c r="A1013" s="4">
        <v>1011</v>
      </c>
      <c r="B1013" s="4">
        <v>-96567830648</v>
      </c>
      <c r="C1013" s="5">
        <v>0</v>
      </c>
      <c r="D1013" s="5">
        <v>-1.3924000000000001E-2</v>
      </c>
      <c r="E1013" s="5">
        <v>2.4390000000000002E-3</v>
      </c>
      <c r="F1013" s="5">
        <v>1004079</v>
      </c>
      <c r="G1013" s="5">
        <v>0</v>
      </c>
      <c r="H1013" s="5">
        <v>0</v>
      </c>
      <c r="I1013" s="5">
        <v>0</v>
      </c>
      <c r="J1013" s="5">
        <v>0</v>
      </c>
      <c r="L1013">
        <f t="shared" si="93"/>
        <v>1011</v>
      </c>
      <c r="M1013">
        <f>'Real Analysis'!$B$3+B1013/1000000</f>
        <v>24.169351999997161</v>
      </c>
      <c r="N1013">
        <f t="shared" si="94"/>
        <v>0</v>
      </c>
      <c r="O1013">
        <f>IF(ABS(D1013)&gt;1,D1013/1000000,D1013)*'Real Analysis'!$B$4</f>
        <v>-0.13659444000000001</v>
      </c>
      <c r="P1013">
        <f>IF(ABS(E1013)&gt;1,E1013/1000000,E1013)*'Real Analysis'!$B$4</f>
        <v>2.3926590000000005E-2</v>
      </c>
      <c r="Q1013">
        <f>IF(ABS(F1013)&gt;1,F1013/1000000,F1013)*'Real Analysis'!$B$4</f>
        <v>9.85001499</v>
      </c>
      <c r="R1013">
        <f t="shared" si="95"/>
        <v>0</v>
      </c>
      <c r="S1013">
        <f t="shared" si="96"/>
        <v>0</v>
      </c>
      <c r="T1013">
        <f t="shared" si="97"/>
        <v>0</v>
      </c>
      <c r="U1013">
        <f t="shared" si="98"/>
        <v>0</v>
      </c>
    </row>
    <row r="1014" spans="1:21" x14ac:dyDescent="0.3">
      <c r="A1014" s="4">
        <v>1012</v>
      </c>
      <c r="B1014" s="4">
        <v>-96567814815</v>
      </c>
      <c r="C1014" s="5">
        <v>0</v>
      </c>
      <c r="D1014" s="5">
        <v>-1.8096000000000001E-2</v>
      </c>
      <c r="E1014" s="5">
        <v>5.1699999999999999E-4</v>
      </c>
      <c r="F1014" s="5">
        <v>1003954</v>
      </c>
      <c r="G1014" s="5">
        <v>0</v>
      </c>
      <c r="H1014" s="5">
        <v>0</v>
      </c>
      <c r="I1014" s="5">
        <v>0</v>
      </c>
      <c r="J1014" s="5">
        <v>0</v>
      </c>
      <c r="L1014">
        <f t="shared" si="93"/>
        <v>1012</v>
      </c>
      <c r="M1014">
        <f>'Real Analysis'!$B$3+B1014/1000000</f>
        <v>24.185184999994817</v>
      </c>
      <c r="N1014">
        <f t="shared" si="94"/>
        <v>0</v>
      </c>
      <c r="O1014">
        <f>IF(ABS(D1014)&gt;1,D1014/1000000,D1014)*'Real Analysis'!$B$4</f>
        <v>-0.17752176000000003</v>
      </c>
      <c r="P1014">
        <f>IF(ABS(E1014)&gt;1,E1014/1000000,E1014)*'Real Analysis'!$B$4</f>
        <v>5.0717699999999998E-3</v>
      </c>
      <c r="Q1014">
        <f>IF(ABS(F1014)&gt;1,F1014/1000000,F1014)*'Real Analysis'!$B$4</f>
        <v>9.8487887399999998</v>
      </c>
      <c r="R1014">
        <f t="shared" si="95"/>
        <v>0</v>
      </c>
      <c r="S1014">
        <f t="shared" si="96"/>
        <v>0</v>
      </c>
      <c r="T1014">
        <f t="shared" si="97"/>
        <v>0</v>
      </c>
      <c r="U1014">
        <f t="shared" si="98"/>
        <v>0</v>
      </c>
    </row>
    <row r="1015" spans="1:21" x14ac:dyDescent="0.3">
      <c r="A1015" s="4">
        <v>1013</v>
      </c>
      <c r="B1015" s="4">
        <v>-96567789708</v>
      </c>
      <c r="C1015" s="5">
        <v>0</v>
      </c>
      <c r="D1015" s="5">
        <v>-1.3256E-2</v>
      </c>
      <c r="E1015" s="5">
        <v>-3.4740000000000001E-3</v>
      </c>
      <c r="F1015" s="5">
        <v>1005710</v>
      </c>
      <c r="G1015" s="5">
        <v>0</v>
      </c>
      <c r="H1015" s="5">
        <v>0</v>
      </c>
      <c r="I1015" s="5">
        <v>0</v>
      </c>
      <c r="J1015" s="5">
        <v>0</v>
      </c>
      <c r="L1015">
        <f t="shared" si="93"/>
        <v>1013</v>
      </c>
      <c r="M1015">
        <f>'Real Analysis'!$B$3+B1015/1000000</f>
        <v>24.210292000003392</v>
      </c>
      <c r="N1015">
        <f t="shared" si="94"/>
        <v>0</v>
      </c>
      <c r="O1015">
        <f>IF(ABS(D1015)&gt;1,D1015/1000000,D1015)*'Real Analysis'!$B$4</f>
        <v>-0.13004136000000002</v>
      </c>
      <c r="P1015">
        <f>IF(ABS(E1015)&gt;1,E1015/1000000,E1015)*'Real Analysis'!$B$4</f>
        <v>-3.4079940000000003E-2</v>
      </c>
      <c r="Q1015">
        <f>IF(ABS(F1015)&gt;1,F1015/1000000,F1015)*'Real Analysis'!$B$4</f>
        <v>9.866015100000002</v>
      </c>
      <c r="R1015">
        <f t="shared" si="95"/>
        <v>0</v>
      </c>
      <c r="S1015">
        <f t="shared" si="96"/>
        <v>0</v>
      </c>
      <c r="T1015">
        <f t="shared" si="97"/>
        <v>0</v>
      </c>
      <c r="U1015">
        <f t="shared" si="98"/>
        <v>0</v>
      </c>
    </row>
    <row r="1016" spans="1:21" x14ac:dyDescent="0.3">
      <c r="A1016" s="4">
        <v>1014</v>
      </c>
      <c r="B1016" s="4">
        <v>-96567769743</v>
      </c>
      <c r="C1016" s="5">
        <v>0</v>
      </c>
      <c r="D1016" s="5">
        <v>-1.2825E-2</v>
      </c>
      <c r="E1016" s="5">
        <v>1.5999999999999999E-5</v>
      </c>
      <c r="F1016" s="5">
        <v>1004728</v>
      </c>
      <c r="G1016" s="5">
        <v>0</v>
      </c>
      <c r="H1016" s="5">
        <v>0</v>
      </c>
      <c r="I1016" s="5">
        <v>0</v>
      </c>
      <c r="J1016" s="5">
        <v>0</v>
      </c>
      <c r="L1016">
        <f t="shared" si="93"/>
        <v>1014</v>
      </c>
      <c r="M1016">
        <f>'Real Analysis'!$B$3+B1016/1000000</f>
        <v>24.230257000002894</v>
      </c>
      <c r="N1016">
        <f t="shared" si="94"/>
        <v>0</v>
      </c>
      <c r="O1016">
        <f>IF(ABS(D1016)&gt;1,D1016/1000000,D1016)*'Real Analysis'!$B$4</f>
        <v>-0.12581325000000002</v>
      </c>
      <c r="P1016">
        <f>IF(ABS(E1016)&gt;1,E1016/1000000,E1016)*'Real Analysis'!$B$4</f>
        <v>1.5695999999999999E-4</v>
      </c>
      <c r="Q1016">
        <f>IF(ABS(F1016)&gt;1,F1016/1000000,F1016)*'Real Analysis'!$B$4</f>
        <v>9.8563816800000019</v>
      </c>
      <c r="R1016">
        <f t="shared" si="95"/>
        <v>0</v>
      </c>
      <c r="S1016">
        <f t="shared" si="96"/>
        <v>0</v>
      </c>
      <c r="T1016">
        <f t="shared" si="97"/>
        <v>0</v>
      </c>
      <c r="U1016">
        <f t="shared" si="98"/>
        <v>0</v>
      </c>
    </row>
    <row r="1017" spans="1:21" x14ac:dyDescent="0.3">
      <c r="A1017" s="4">
        <v>1015</v>
      </c>
      <c r="B1017" s="4">
        <v>-96567748937</v>
      </c>
      <c r="C1017" s="5">
        <v>0</v>
      </c>
      <c r="D1017" s="5">
        <v>-1.2801999999999999E-2</v>
      </c>
      <c r="E1017" s="5">
        <v>4.751E-3</v>
      </c>
      <c r="F1017" s="5">
        <v>1003937</v>
      </c>
      <c r="G1017" s="5">
        <v>0</v>
      </c>
      <c r="H1017" s="5">
        <v>0</v>
      </c>
      <c r="I1017" s="5">
        <v>0</v>
      </c>
      <c r="J1017" s="5">
        <v>0</v>
      </c>
      <c r="L1017">
        <f t="shared" si="93"/>
        <v>1015</v>
      </c>
      <c r="M1017">
        <f>'Real Analysis'!$B$3+B1017/1000000</f>
        <v>24.251063000003342</v>
      </c>
      <c r="N1017">
        <f t="shared" si="94"/>
        <v>0</v>
      </c>
      <c r="O1017">
        <f>IF(ABS(D1017)&gt;1,D1017/1000000,D1017)*'Real Analysis'!$B$4</f>
        <v>-0.12558762000000001</v>
      </c>
      <c r="P1017">
        <f>IF(ABS(E1017)&gt;1,E1017/1000000,E1017)*'Real Analysis'!$B$4</f>
        <v>4.6607310000000006E-2</v>
      </c>
      <c r="Q1017">
        <f>IF(ABS(F1017)&gt;1,F1017/1000000,F1017)*'Real Analysis'!$B$4</f>
        <v>9.8486219700000017</v>
      </c>
      <c r="R1017">
        <f t="shared" si="95"/>
        <v>0</v>
      </c>
      <c r="S1017">
        <f t="shared" si="96"/>
        <v>0</v>
      </c>
      <c r="T1017">
        <f t="shared" si="97"/>
        <v>0</v>
      </c>
      <c r="U1017">
        <f t="shared" si="98"/>
        <v>0</v>
      </c>
    </row>
    <row r="1018" spans="1:21" x14ac:dyDescent="0.3">
      <c r="A1018" s="4">
        <v>1016</v>
      </c>
      <c r="B1018" s="4">
        <v>-96567739713</v>
      </c>
      <c r="C1018" s="5">
        <v>0</v>
      </c>
      <c r="D1018" s="5">
        <v>-1.2864E-2</v>
      </c>
      <c r="E1018" s="5">
        <v>4.1520000000000003E-3</v>
      </c>
      <c r="F1018" s="5">
        <v>1001852</v>
      </c>
      <c r="G1018" s="5">
        <v>0</v>
      </c>
      <c r="H1018" s="5">
        <v>0</v>
      </c>
      <c r="I1018" s="5">
        <v>0</v>
      </c>
      <c r="J1018" s="5">
        <v>0</v>
      </c>
      <c r="L1018">
        <f t="shared" si="93"/>
        <v>1016</v>
      </c>
      <c r="M1018">
        <f>'Real Analysis'!$B$3+B1018/1000000</f>
        <v>24.260286999997334</v>
      </c>
      <c r="N1018">
        <f t="shared" si="94"/>
        <v>0</v>
      </c>
      <c r="O1018">
        <f>IF(ABS(D1018)&gt;1,D1018/1000000,D1018)*'Real Analysis'!$B$4</f>
        <v>-0.12619584</v>
      </c>
      <c r="P1018">
        <f>IF(ABS(E1018)&gt;1,E1018/1000000,E1018)*'Real Analysis'!$B$4</f>
        <v>4.0731120000000003E-2</v>
      </c>
      <c r="Q1018">
        <f>IF(ABS(F1018)&gt;1,F1018/1000000,F1018)*'Real Analysis'!$B$4</f>
        <v>9.8281681200000008</v>
      </c>
      <c r="R1018">
        <f t="shared" si="95"/>
        <v>0</v>
      </c>
      <c r="S1018">
        <f t="shared" si="96"/>
        <v>0</v>
      </c>
      <c r="T1018">
        <f t="shared" si="97"/>
        <v>0</v>
      </c>
      <c r="U1018">
        <f t="shared" si="98"/>
        <v>0</v>
      </c>
    </row>
    <row r="1019" spans="1:21" x14ac:dyDescent="0.3">
      <c r="A1019" s="4">
        <v>1017</v>
      </c>
      <c r="B1019" s="4">
        <v>-96567709236</v>
      </c>
      <c r="C1019" s="5">
        <v>0</v>
      </c>
      <c r="D1019" s="5">
        <v>-1.2913000000000001E-2</v>
      </c>
      <c r="E1019" s="5">
        <v>-4.8300000000000001E-3</v>
      </c>
      <c r="F1019" s="5">
        <v>1003455</v>
      </c>
      <c r="G1019" s="5">
        <v>0</v>
      </c>
      <c r="H1019" s="5">
        <v>0</v>
      </c>
      <c r="I1019" s="5">
        <v>0</v>
      </c>
      <c r="J1019" s="5">
        <v>0</v>
      </c>
      <c r="L1019">
        <f t="shared" si="93"/>
        <v>1017</v>
      </c>
      <c r="M1019">
        <f>'Real Analysis'!$B$3+B1019/1000000</f>
        <v>24.290764000004856</v>
      </c>
      <c r="N1019">
        <f t="shared" si="94"/>
        <v>0</v>
      </c>
      <c r="O1019">
        <f>IF(ABS(D1019)&gt;1,D1019/1000000,D1019)*'Real Analysis'!$B$4</f>
        <v>-0.12667653000000001</v>
      </c>
      <c r="P1019">
        <f>IF(ABS(E1019)&gt;1,E1019/1000000,E1019)*'Real Analysis'!$B$4</f>
        <v>-4.7382300000000002E-2</v>
      </c>
      <c r="Q1019">
        <f>IF(ABS(F1019)&gt;1,F1019/1000000,F1019)*'Real Analysis'!$B$4</f>
        <v>9.8438935500000007</v>
      </c>
      <c r="R1019">
        <f t="shared" si="95"/>
        <v>0</v>
      </c>
      <c r="S1019">
        <f t="shared" si="96"/>
        <v>0</v>
      </c>
      <c r="T1019">
        <f t="shared" si="97"/>
        <v>0</v>
      </c>
      <c r="U1019">
        <f t="shared" si="98"/>
        <v>0</v>
      </c>
    </row>
    <row r="1020" spans="1:21" x14ac:dyDescent="0.3">
      <c r="A1020" s="4">
        <v>1018</v>
      </c>
      <c r="B1020" s="4">
        <v>-96567687684</v>
      </c>
      <c r="C1020" s="5">
        <v>0</v>
      </c>
      <c r="D1020" s="5">
        <v>-1.2916E-2</v>
      </c>
      <c r="E1020" s="5">
        <v>-3.0790000000000001E-3</v>
      </c>
      <c r="F1020" s="5">
        <v>1004382</v>
      </c>
      <c r="G1020" s="5">
        <v>0</v>
      </c>
      <c r="H1020" s="5">
        <v>0</v>
      </c>
      <c r="I1020" s="5">
        <v>0</v>
      </c>
      <c r="J1020" s="5">
        <v>0</v>
      </c>
      <c r="L1020">
        <f t="shared" si="93"/>
        <v>1018</v>
      </c>
      <c r="M1020">
        <f>'Real Analysis'!$B$3+B1020/1000000</f>
        <v>24.312315999995917</v>
      </c>
      <c r="N1020">
        <f t="shared" si="94"/>
        <v>0</v>
      </c>
      <c r="O1020">
        <f>IF(ABS(D1020)&gt;1,D1020/1000000,D1020)*'Real Analysis'!$B$4</f>
        <v>-0.12670596000000001</v>
      </c>
      <c r="P1020">
        <f>IF(ABS(E1020)&gt;1,E1020/1000000,E1020)*'Real Analysis'!$B$4</f>
        <v>-3.0204990000000004E-2</v>
      </c>
      <c r="Q1020">
        <f>IF(ABS(F1020)&gt;1,F1020/1000000,F1020)*'Real Analysis'!$B$4</f>
        <v>9.8529874200000016</v>
      </c>
      <c r="R1020">
        <f t="shared" si="95"/>
        <v>0</v>
      </c>
      <c r="S1020">
        <f t="shared" si="96"/>
        <v>0</v>
      </c>
      <c r="T1020">
        <f t="shared" si="97"/>
        <v>0</v>
      </c>
      <c r="U1020">
        <f t="shared" si="98"/>
        <v>0</v>
      </c>
    </row>
    <row r="1021" spans="1:21" x14ac:dyDescent="0.3">
      <c r="A1021" s="4">
        <v>1019</v>
      </c>
      <c r="B1021" s="4">
        <v>-96567667117</v>
      </c>
      <c r="C1021" s="5">
        <v>0</v>
      </c>
      <c r="D1021" s="5">
        <v>-2.1443E-2</v>
      </c>
      <c r="E1021" s="5">
        <v>5.0169999999999998E-3</v>
      </c>
      <c r="F1021" s="5">
        <v>1002368</v>
      </c>
      <c r="G1021" s="5">
        <v>0</v>
      </c>
      <c r="H1021" s="5">
        <v>0</v>
      </c>
      <c r="I1021" s="5">
        <v>0</v>
      </c>
      <c r="J1021" s="5">
        <v>0</v>
      </c>
      <c r="L1021">
        <f t="shared" si="93"/>
        <v>1019</v>
      </c>
      <c r="M1021">
        <f>'Real Analysis'!$B$3+B1021/1000000</f>
        <v>24.332882999995491</v>
      </c>
      <c r="N1021">
        <f t="shared" si="94"/>
        <v>0</v>
      </c>
      <c r="O1021">
        <f>IF(ABS(D1021)&gt;1,D1021/1000000,D1021)*'Real Analysis'!$B$4</f>
        <v>-0.21035583000000002</v>
      </c>
      <c r="P1021">
        <f>IF(ABS(E1021)&gt;1,E1021/1000000,E1021)*'Real Analysis'!$B$4</f>
        <v>4.921677E-2</v>
      </c>
      <c r="Q1021">
        <f>IF(ABS(F1021)&gt;1,F1021/1000000,F1021)*'Real Analysis'!$B$4</f>
        <v>9.8332300799999999</v>
      </c>
      <c r="R1021">
        <f t="shared" si="95"/>
        <v>0</v>
      </c>
      <c r="S1021">
        <f t="shared" si="96"/>
        <v>0</v>
      </c>
      <c r="T1021">
        <f t="shared" si="97"/>
        <v>0</v>
      </c>
      <c r="U1021">
        <f t="shared" si="98"/>
        <v>0</v>
      </c>
    </row>
    <row r="1022" spans="1:21" x14ac:dyDescent="0.3">
      <c r="A1022" s="4">
        <v>1020</v>
      </c>
      <c r="B1022" s="4">
        <v>-96567647819</v>
      </c>
      <c r="C1022" s="5">
        <v>0</v>
      </c>
      <c r="D1022" s="5">
        <v>-2.0634E-2</v>
      </c>
      <c r="E1022" s="5">
        <v>2.3210000000000001E-3</v>
      </c>
      <c r="F1022" s="5">
        <v>1001267</v>
      </c>
      <c r="G1022" s="5">
        <v>0</v>
      </c>
      <c r="H1022" s="5">
        <v>0</v>
      </c>
      <c r="I1022" s="5">
        <v>0</v>
      </c>
      <c r="J1022" s="5">
        <v>0</v>
      </c>
      <c r="L1022">
        <f t="shared" si="93"/>
        <v>1020</v>
      </c>
      <c r="M1022">
        <f>'Real Analysis'!$B$3+B1022/1000000</f>
        <v>24.352180999994744</v>
      </c>
      <c r="N1022">
        <f t="shared" si="94"/>
        <v>0</v>
      </c>
      <c r="O1022">
        <f>IF(ABS(D1022)&gt;1,D1022/1000000,D1022)*'Real Analysis'!$B$4</f>
        <v>-0.20241954000000001</v>
      </c>
      <c r="P1022">
        <f>IF(ABS(E1022)&gt;1,E1022/1000000,E1022)*'Real Analysis'!$B$4</f>
        <v>2.2769010000000003E-2</v>
      </c>
      <c r="Q1022">
        <f>IF(ABS(F1022)&gt;1,F1022/1000000,F1022)*'Real Analysis'!$B$4</f>
        <v>9.8224292699999989</v>
      </c>
      <c r="R1022">
        <f t="shared" si="95"/>
        <v>0</v>
      </c>
      <c r="S1022">
        <f t="shared" si="96"/>
        <v>0</v>
      </c>
      <c r="T1022">
        <f t="shared" si="97"/>
        <v>0</v>
      </c>
      <c r="U1022">
        <f t="shared" si="98"/>
        <v>0</v>
      </c>
    </row>
    <row r="1023" spans="1:21" x14ac:dyDescent="0.3">
      <c r="A1023" s="4">
        <v>1021</v>
      </c>
      <c r="B1023" s="4">
        <v>-96567629345</v>
      </c>
      <c r="C1023" s="5">
        <v>0</v>
      </c>
      <c r="D1023" s="5">
        <v>-1.7367E-2</v>
      </c>
      <c r="E1023" s="5">
        <v>4.6299999999999998E-4</v>
      </c>
      <c r="F1023" s="5">
        <v>0.99918600000000002</v>
      </c>
      <c r="G1023" s="5">
        <v>0</v>
      </c>
      <c r="H1023" s="5">
        <v>0</v>
      </c>
      <c r="I1023" s="5">
        <v>0</v>
      </c>
      <c r="J1023" s="5">
        <v>0</v>
      </c>
      <c r="L1023">
        <f t="shared" si="93"/>
        <v>1021</v>
      </c>
      <c r="M1023">
        <f>'Real Analysis'!$B$3+B1023/1000000</f>
        <v>24.370655000006082</v>
      </c>
      <c r="N1023">
        <f t="shared" si="94"/>
        <v>0</v>
      </c>
      <c r="O1023">
        <f>IF(ABS(D1023)&gt;1,D1023/1000000,D1023)*'Real Analysis'!$B$4</f>
        <v>-0.17037027000000002</v>
      </c>
      <c r="P1023">
        <f>IF(ABS(E1023)&gt;1,E1023/1000000,E1023)*'Real Analysis'!$B$4</f>
        <v>4.5420299999999999E-3</v>
      </c>
      <c r="Q1023">
        <f>IF(ABS(F1023)&gt;1,F1023/1000000,F1023)*'Real Analysis'!$B$4</f>
        <v>9.8020146600000011</v>
      </c>
      <c r="R1023">
        <f t="shared" si="95"/>
        <v>0</v>
      </c>
      <c r="S1023">
        <f t="shared" si="96"/>
        <v>0</v>
      </c>
      <c r="T1023">
        <f t="shared" si="97"/>
        <v>0</v>
      </c>
      <c r="U1023">
        <f t="shared" si="98"/>
        <v>0</v>
      </c>
    </row>
    <row r="1024" spans="1:21" x14ac:dyDescent="0.3">
      <c r="A1024" s="4">
        <v>1022</v>
      </c>
      <c r="B1024" s="4">
        <v>-96567613696</v>
      </c>
      <c r="C1024" s="5">
        <v>0</v>
      </c>
      <c r="D1024" s="5">
        <v>-1.2477E-2</v>
      </c>
      <c r="E1024" s="5">
        <v>3.3170000000000001E-3</v>
      </c>
      <c r="F1024" s="5">
        <v>1005968</v>
      </c>
      <c r="G1024" s="5">
        <v>0</v>
      </c>
      <c r="H1024" s="5">
        <v>0</v>
      </c>
      <c r="I1024" s="5">
        <v>0</v>
      </c>
      <c r="J1024" s="5">
        <v>0</v>
      </c>
      <c r="L1024">
        <f t="shared" si="93"/>
        <v>1022</v>
      </c>
      <c r="M1024">
        <f>'Real Analysis'!$B$3+B1024/1000000</f>
        <v>24.386303999999654</v>
      </c>
      <c r="N1024">
        <f t="shared" si="94"/>
        <v>0</v>
      </c>
      <c r="O1024">
        <f>IF(ABS(D1024)&gt;1,D1024/1000000,D1024)*'Real Analysis'!$B$4</f>
        <v>-0.12239937000000001</v>
      </c>
      <c r="P1024">
        <f>IF(ABS(E1024)&gt;1,E1024/1000000,E1024)*'Real Analysis'!$B$4</f>
        <v>3.2539770000000003E-2</v>
      </c>
      <c r="Q1024">
        <f>IF(ABS(F1024)&gt;1,F1024/1000000,F1024)*'Real Analysis'!$B$4</f>
        <v>9.8685460799999998</v>
      </c>
      <c r="R1024">
        <f t="shared" si="95"/>
        <v>0</v>
      </c>
      <c r="S1024">
        <f t="shared" si="96"/>
        <v>0</v>
      </c>
      <c r="T1024">
        <f t="shared" si="97"/>
        <v>0</v>
      </c>
      <c r="U1024">
        <f t="shared" si="98"/>
        <v>0</v>
      </c>
    </row>
    <row r="1025" spans="1:21" x14ac:dyDescent="0.3">
      <c r="A1025" s="4">
        <v>1023</v>
      </c>
      <c r="B1025" s="4">
        <v>-96567588510</v>
      </c>
      <c r="C1025" s="5">
        <v>0</v>
      </c>
      <c r="D1025" s="5">
        <v>-1.2774000000000001E-2</v>
      </c>
      <c r="E1025" s="5">
        <v>4.2659999999999998E-3</v>
      </c>
      <c r="F1025" s="5">
        <v>1001068</v>
      </c>
      <c r="G1025" s="5">
        <v>0</v>
      </c>
      <c r="H1025" s="5">
        <v>0</v>
      </c>
      <c r="I1025" s="5">
        <v>0</v>
      </c>
      <c r="J1025" s="5">
        <v>0</v>
      </c>
      <c r="L1025">
        <f t="shared" si="93"/>
        <v>1023</v>
      </c>
      <c r="M1025">
        <f>'Real Analysis'!$B$3+B1025/1000000</f>
        <v>24.411489999998594</v>
      </c>
      <c r="N1025">
        <f t="shared" si="94"/>
        <v>0</v>
      </c>
      <c r="O1025">
        <f>IF(ABS(D1025)&gt;1,D1025/1000000,D1025)*'Real Analysis'!$B$4</f>
        <v>-0.12531294000000001</v>
      </c>
      <c r="P1025">
        <f>IF(ABS(E1025)&gt;1,E1025/1000000,E1025)*'Real Analysis'!$B$4</f>
        <v>4.1849459999999998E-2</v>
      </c>
      <c r="Q1025">
        <f>IF(ABS(F1025)&gt;1,F1025/1000000,F1025)*'Real Analysis'!$B$4</f>
        <v>9.8204770800000016</v>
      </c>
      <c r="R1025">
        <f t="shared" si="95"/>
        <v>0</v>
      </c>
      <c r="S1025">
        <f t="shared" si="96"/>
        <v>0</v>
      </c>
      <c r="T1025">
        <f t="shared" si="97"/>
        <v>0</v>
      </c>
      <c r="U1025">
        <f t="shared" si="98"/>
        <v>0</v>
      </c>
    </row>
    <row r="1026" spans="1:21" x14ac:dyDescent="0.3">
      <c r="A1026" s="4">
        <v>1024</v>
      </c>
      <c r="B1026" s="4">
        <v>-96567569213</v>
      </c>
      <c r="C1026" s="5">
        <v>0</v>
      </c>
      <c r="D1026" s="5">
        <v>-1.2813E-2</v>
      </c>
      <c r="E1026" s="5">
        <v>4.1370000000000001E-3</v>
      </c>
      <c r="F1026" s="5">
        <v>1005540</v>
      </c>
      <c r="G1026" s="5">
        <v>0</v>
      </c>
      <c r="H1026" s="5">
        <v>0</v>
      </c>
      <c r="I1026" s="5">
        <v>0</v>
      </c>
      <c r="J1026" s="5">
        <v>0</v>
      </c>
      <c r="L1026">
        <f t="shared" si="93"/>
        <v>1024</v>
      </c>
      <c r="M1026">
        <f>'Real Analysis'!$B$3+B1026/1000000</f>
        <v>24.430787000004784</v>
      </c>
      <c r="N1026">
        <f t="shared" si="94"/>
        <v>0</v>
      </c>
      <c r="O1026">
        <f>IF(ABS(D1026)&gt;1,D1026/1000000,D1026)*'Real Analysis'!$B$4</f>
        <v>-0.12569553</v>
      </c>
      <c r="P1026">
        <f>IF(ABS(E1026)&gt;1,E1026/1000000,E1026)*'Real Analysis'!$B$4</f>
        <v>4.0583970000000004E-2</v>
      </c>
      <c r="Q1026">
        <f>IF(ABS(F1026)&gt;1,F1026/1000000,F1026)*'Real Analysis'!$B$4</f>
        <v>9.8643474000000015</v>
      </c>
      <c r="R1026">
        <f t="shared" si="95"/>
        <v>0</v>
      </c>
      <c r="S1026">
        <f t="shared" si="96"/>
        <v>0</v>
      </c>
      <c r="T1026">
        <f t="shared" si="97"/>
        <v>0</v>
      </c>
      <c r="U1026">
        <f t="shared" si="98"/>
        <v>0</v>
      </c>
    </row>
    <row r="1027" spans="1:21" x14ac:dyDescent="0.3">
      <c r="A1027" s="4">
        <v>1025</v>
      </c>
      <c r="B1027" s="4">
        <v>-96567548204</v>
      </c>
      <c r="C1027" s="5">
        <v>0</v>
      </c>
      <c r="D1027" s="5">
        <v>-1.2961E-2</v>
      </c>
      <c r="E1027" s="5">
        <v>4.5279999999999999E-3</v>
      </c>
      <c r="F1027" s="5">
        <v>1004428</v>
      </c>
      <c r="G1027" s="5">
        <v>0</v>
      </c>
      <c r="H1027" s="5">
        <v>0</v>
      </c>
      <c r="I1027" s="5">
        <v>0</v>
      </c>
      <c r="J1027" s="5">
        <v>0</v>
      </c>
      <c r="L1027">
        <f t="shared" ref="L1027:L1090" si="99">A1027</f>
        <v>1025</v>
      </c>
      <c r="M1027">
        <f>'Real Analysis'!$B$3+B1027/1000000</f>
        <v>24.451795999993919</v>
      </c>
      <c r="N1027">
        <f t="shared" ref="N1027:N1090" si="100">C1027</f>
        <v>0</v>
      </c>
      <c r="O1027">
        <f>IF(ABS(D1027)&gt;1,D1027/1000000,D1027)*'Real Analysis'!$B$4</f>
        <v>-0.12714741000000002</v>
      </c>
      <c r="P1027">
        <f>IF(ABS(E1027)&gt;1,E1027/1000000,E1027)*'Real Analysis'!$B$4</f>
        <v>4.4419680000000003E-2</v>
      </c>
      <c r="Q1027">
        <f>IF(ABS(F1027)&gt;1,F1027/1000000,F1027)*'Real Analysis'!$B$4</f>
        <v>9.8534386800000018</v>
      </c>
      <c r="R1027">
        <f t="shared" ref="R1027:R1090" si="101">IF(ABS(G1027)&gt;1,G1027/1000000,G1027)</f>
        <v>0</v>
      </c>
      <c r="S1027">
        <f t="shared" ref="S1027:S1090" si="102">IF(ABS(H1027)&gt;1,H1027/1000000,H1027)</f>
        <v>0</v>
      </c>
      <c r="T1027">
        <f t="shared" ref="T1027:T1090" si="103">IF(ABS(I1027)&gt;1,I1027/1000000,I1027)</f>
        <v>0</v>
      </c>
      <c r="U1027">
        <f t="shared" si="98"/>
        <v>0</v>
      </c>
    </row>
    <row r="1028" spans="1:21" x14ac:dyDescent="0.3">
      <c r="A1028" s="4">
        <v>1026</v>
      </c>
      <c r="B1028" s="4">
        <v>-96567527630</v>
      </c>
      <c r="C1028" s="5">
        <v>0</v>
      </c>
      <c r="D1028" s="5">
        <v>-1.2782999999999999E-2</v>
      </c>
      <c r="E1028" s="5">
        <v>4.4219999999999997E-3</v>
      </c>
      <c r="F1028" s="5">
        <v>1003934</v>
      </c>
      <c r="G1028" s="5">
        <v>0</v>
      </c>
      <c r="H1028" s="5">
        <v>0</v>
      </c>
      <c r="I1028" s="5">
        <v>0</v>
      </c>
      <c r="J1028" s="5">
        <v>0</v>
      </c>
      <c r="L1028">
        <f t="shared" si="99"/>
        <v>1026</v>
      </c>
      <c r="M1028">
        <f>'Real Analysis'!$B$3+B1028/1000000</f>
        <v>24.472370000003139</v>
      </c>
      <c r="N1028">
        <f t="shared" si="100"/>
        <v>0</v>
      </c>
      <c r="O1028">
        <f>IF(ABS(D1028)&gt;1,D1028/1000000,D1028)*'Real Analysis'!$B$4</f>
        <v>-0.12540123</v>
      </c>
      <c r="P1028">
        <f>IF(ABS(E1028)&gt;1,E1028/1000000,E1028)*'Real Analysis'!$B$4</f>
        <v>4.3379819999999999E-2</v>
      </c>
      <c r="Q1028">
        <f>IF(ABS(F1028)&gt;1,F1028/1000000,F1028)*'Real Analysis'!$B$4</f>
        <v>9.8485925400000021</v>
      </c>
      <c r="R1028">
        <f t="shared" si="101"/>
        <v>0</v>
      </c>
      <c r="S1028">
        <f t="shared" si="102"/>
        <v>0</v>
      </c>
      <c r="T1028">
        <f t="shared" si="103"/>
        <v>0</v>
      </c>
      <c r="U1028">
        <f t="shared" si="98"/>
        <v>0</v>
      </c>
    </row>
    <row r="1029" spans="1:21" x14ac:dyDescent="0.3">
      <c r="A1029" s="4">
        <v>1027</v>
      </c>
      <c r="B1029" s="4">
        <v>-96567506647</v>
      </c>
      <c r="C1029" s="5">
        <v>0</v>
      </c>
      <c r="D1029" s="5">
        <v>-1.8037000000000001E-2</v>
      </c>
      <c r="E1029" s="5">
        <v>4.4219999999999997E-3</v>
      </c>
      <c r="F1029" s="5">
        <v>1004015</v>
      </c>
      <c r="G1029" s="5">
        <v>0</v>
      </c>
      <c r="H1029" s="5">
        <v>0</v>
      </c>
      <c r="I1029" s="5">
        <v>0</v>
      </c>
      <c r="J1029" s="5">
        <v>0</v>
      </c>
      <c r="L1029">
        <f t="shared" si="99"/>
        <v>1027</v>
      </c>
      <c r="M1029">
        <f>'Real Analysis'!$B$3+B1029/1000000</f>
        <v>24.493352999998024</v>
      </c>
      <c r="N1029">
        <f t="shared" si="100"/>
        <v>0</v>
      </c>
      <c r="O1029">
        <f>IF(ABS(D1029)&gt;1,D1029/1000000,D1029)*'Real Analysis'!$B$4</f>
        <v>-0.17694297</v>
      </c>
      <c r="P1029">
        <f>IF(ABS(E1029)&gt;1,E1029/1000000,E1029)*'Real Analysis'!$B$4</f>
        <v>4.3379819999999999E-2</v>
      </c>
      <c r="Q1029">
        <f>IF(ABS(F1029)&gt;1,F1029/1000000,F1029)*'Real Analysis'!$B$4</f>
        <v>9.8493871500000019</v>
      </c>
      <c r="R1029">
        <f t="shared" si="101"/>
        <v>0</v>
      </c>
      <c r="S1029">
        <f t="shared" si="102"/>
        <v>0</v>
      </c>
      <c r="T1029">
        <f t="shared" si="103"/>
        <v>0</v>
      </c>
      <c r="U1029">
        <f t="shared" si="98"/>
        <v>0</v>
      </c>
    </row>
    <row r="1030" spans="1:21" x14ac:dyDescent="0.3">
      <c r="A1030" s="4">
        <v>1028</v>
      </c>
      <c r="B1030" s="4">
        <v>-96567486588</v>
      </c>
      <c r="C1030" s="5">
        <v>0</v>
      </c>
      <c r="D1030" s="5">
        <v>-1.2208E-2</v>
      </c>
      <c r="E1030" s="5">
        <v>4.5139999999999998E-3</v>
      </c>
      <c r="F1030" s="5">
        <v>1004159</v>
      </c>
      <c r="G1030" s="5">
        <v>0</v>
      </c>
      <c r="H1030" s="5">
        <v>0</v>
      </c>
      <c r="I1030" s="5">
        <v>0</v>
      </c>
      <c r="J1030" s="5">
        <v>0</v>
      </c>
      <c r="L1030">
        <f t="shared" si="99"/>
        <v>1028</v>
      </c>
      <c r="M1030">
        <f>'Real Analysis'!$B$3+B1030/1000000</f>
        <v>24.513412000000244</v>
      </c>
      <c r="N1030">
        <f t="shared" si="100"/>
        <v>0</v>
      </c>
      <c r="O1030">
        <f>IF(ABS(D1030)&gt;1,D1030/1000000,D1030)*'Real Analysis'!$B$4</f>
        <v>-0.11976048</v>
      </c>
      <c r="P1030">
        <f>IF(ABS(E1030)&gt;1,E1030/1000000,E1030)*'Real Analysis'!$B$4</f>
        <v>4.4282340000000003E-2</v>
      </c>
      <c r="Q1030">
        <f>IF(ABS(F1030)&gt;1,F1030/1000000,F1030)*'Real Analysis'!$B$4</f>
        <v>9.8507997899999999</v>
      </c>
      <c r="R1030">
        <f t="shared" si="101"/>
        <v>0</v>
      </c>
      <c r="S1030">
        <f t="shared" si="102"/>
        <v>0</v>
      </c>
      <c r="T1030">
        <f t="shared" si="103"/>
        <v>0</v>
      </c>
      <c r="U1030">
        <f t="shared" si="98"/>
        <v>0</v>
      </c>
    </row>
    <row r="1031" spans="1:21" x14ac:dyDescent="0.3">
      <c r="A1031" s="4">
        <v>1029</v>
      </c>
      <c r="B1031" s="4">
        <v>-96567472984</v>
      </c>
      <c r="C1031" s="5">
        <v>0</v>
      </c>
      <c r="D1031" s="5">
        <v>-1.3387E-2</v>
      </c>
      <c r="E1031" s="5">
        <v>4.3629999999999997E-3</v>
      </c>
      <c r="F1031" s="5">
        <v>1004136</v>
      </c>
      <c r="G1031" s="5">
        <v>0</v>
      </c>
      <c r="H1031" s="5">
        <v>0</v>
      </c>
      <c r="I1031" s="5">
        <v>0</v>
      </c>
      <c r="J1031" s="5">
        <v>0</v>
      </c>
      <c r="L1031">
        <f t="shared" si="99"/>
        <v>1029</v>
      </c>
      <c r="M1031">
        <f>'Real Analysis'!$B$3+B1031/1000000</f>
        <v>24.527015999992727</v>
      </c>
      <c r="N1031">
        <f t="shared" si="100"/>
        <v>0</v>
      </c>
      <c r="O1031">
        <f>IF(ABS(D1031)&gt;1,D1031/1000000,D1031)*'Real Analysis'!$B$4</f>
        <v>-0.13132647</v>
      </c>
      <c r="P1031">
        <f>IF(ABS(E1031)&gt;1,E1031/1000000,E1031)*'Real Analysis'!$B$4</f>
        <v>4.2801029999999997E-2</v>
      </c>
      <c r="Q1031">
        <f>IF(ABS(F1031)&gt;1,F1031/1000000,F1031)*'Real Analysis'!$B$4</f>
        <v>9.850574159999999</v>
      </c>
      <c r="R1031">
        <f t="shared" si="101"/>
        <v>0</v>
      </c>
      <c r="S1031">
        <f t="shared" si="102"/>
        <v>0</v>
      </c>
      <c r="T1031">
        <f t="shared" si="103"/>
        <v>0</v>
      </c>
      <c r="U1031">
        <f t="shared" si="98"/>
        <v>0</v>
      </c>
    </row>
    <row r="1032" spans="1:21" x14ac:dyDescent="0.3">
      <c r="A1032" s="4">
        <v>1030</v>
      </c>
      <c r="B1032" s="4">
        <v>-96567452009</v>
      </c>
      <c r="C1032" s="5">
        <v>0</v>
      </c>
      <c r="D1032" s="5">
        <v>-1.3058E-2</v>
      </c>
      <c r="E1032" s="5">
        <v>4.2849999999999997E-3</v>
      </c>
      <c r="F1032" s="5">
        <v>1004139</v>
      </c>
      <c r="G1032" s="5">
        <v>0</v>
      </c>
      <c r="H1032" s="5">
        <v>0</v>
      </c>
      <c r="I1032" s="5">
        <v>0</v>
      </c>
      <c r="J1032" s="5">
        <v>0</v>
      </c>
      <c r="L1032">
        <f t="shared" si="99"/>
        <v>1030</v>
      </c>
      <c r="M1032">
        <f>'Real Analysis'!$B$3+B1032/1000000</f>
        <v>24.547990999999456</v>
      </c>
      <c r="N1032">
        <f t="shared" si="100"/>
        <v>0</v>
      </c>
      <c r="O1032">
        <f>IF(ABS(D1032)&gt;1,D1032/1000000,D1032)*'Real Analysis'!$B$4</f>
        <v>-0.12809898</v>
      </c>
      <c r="P1032">
        <f>IF(ABS(E1032)&gt;1,E1032/1000000,E1032)*'Real Analysis'!$B$4</f>
        <v>4.203585E-2</v>
      </c>
      <c r="Q1032">
        <f>IF(ABS(F1032)&gt;1,F1032/1000000,F1032)*'Real Analysis'!$B$4</f>
        <v>9.8506035899999986</v>
      </c>
      <c r="R1032">
        <f t="shared" si="101"/>
        <v>0</v>
      </c>
      <c r="S1032">
        <f t="shared" si="102"/>
        <v>0</v>
      </c>
      <c r="T1032">
        <f t="shared" si="103"/>
        <v>0</v>
      </c>
      <c r="U1032">
        <f t="shared" si="98"/>
        <v>0</v>
      </c>
    </row>
    <row r="1033" spans="1:21" x14ac:dyDescent="0.3">
      <c r="A1033" s="4">
        <v>1031</v>
      </c>
      <c r="B1033" s="4">
        <v>-96567431472</v>
      </c>
      <c r="C1033" s="5">
        <v>0</v>
      </c>
      <c r="D1033" s="5">
        <v>-1.2878000000000001E-2</v>
      </c>
      <c r="E1033" s="5">
        <v>4.47E-3</v>
      </c>
      <c r="F1033" s="5">
        <v>1004154</v>
      </c>
      <c r="G1033" s="5">
        <v>0</v>
      </c>
      <c r="H1033" s="5">
        <v>0</v>
      </c>
      <c r="I1033" s="5">
        <v>0</v>
      </c>
      <c r="J1033" s="5">
        <v>0</v>
      </c>
      <c r="L1033">
        <f t="shared" si="99"/>
        <v>1031</v>
      </c>
      <c r="M1033">
        <f>'Real Analysis'!$B$3+B1033/1000000</f>
        <v>24.568528000003425</v>
      </c>
      <c r="N1033">
        <f t="shared" si="100"/>
        <v>0</v>
      </c>
      <c r="O1033">
        <f>IF(ABS(D1033)&gt;1,D1033/1000000,D1033)*'Real Analysis'!$B$4</f>
        <v>-0.12633318000000002</v>
      </c>
      <c r="P1033">
        <f>IF(ABS(E1033)&gt;1,E1033/1000000,E1033)*'Real Analysis'!$B$4</f>
        <v>4.3850699999999999E-2</v>
      </c>
      <c r="Q1033">
        <f>IF(ABS(F1033)&gt;1,F1033/1000000,F1033)*'Real Analysis'!$B$4</f>
        <v>9.8507507400000005</v>
      </c>
      <c r="R1033">
        <f t="shared" si="101"/>
        <v>0</v>
      </c>
      <c r="S1033">
        <f t="shared" si="102"/>
        <v>0</v>
      </c>
      <c r="T1033">
        <f t="shared" si="103"/>
        <v>0</v>
      </c>
      <c r="U1033">
        <f t="shared" si="98"/>
        <v>0</v>
      </c>
    </row>
    <row r="1034" spans="1:21" x14ac:dyDescent="0.3">
      <c r="A1034" s="4">
        <v>1032</v>
      </c>
      <c r="B1034" s="4">
        <v>-96567407908</v>
      </c>
      <c r="C1034" s="5">
        <v>0</v>
      </c>
      <c r="D1034" s="5">
        <v>-1.2886999999999999E-2</v>
      </c>
      <c r="E1034" s="5">
        <v>4.4229999999999998E-3</v>
      </c>
      <c r="F1034" s="5">
        <v>1004152</v>
      </c>
      <c r="G1034" s="5">
        <v>0</v>
      </c>
      <c r="H1034" s="5">
        <v>0</v>
      </c>
      <c r="I1034" s="5">
        <v>0</v>
      </c>
      <c r="J1034" s="5">
        <v>0</v>
      </c>
      <c r="L1034">
        <f t="shared" si="99"/>
        <v>1032</v>
      </c>
      <c r="M1034">
        <f>'Real Analysis'!$B$3+B1034/1000000</f>
        <v>24.592092000006232</v>
      </c>
      <c r="N1034">
        <f t="shared" si="100"/>
        <v>0</v>
      </c>
      <c r="O1034">
        <f>IF(ABS(D1034)&gt;1,D1034/1000000,D1034)*'Real Analysis'!$B$4</f>
        <v>-0.12642147000000001</v>
      </c>
      <c r="P1034">
        <f>IF(ABS(E1034)&gt;1,E1034/1000000,E1034)*'Real Analysis'!$B$4</f>
        <v>4.3389629999999998E-2</v>
      </c>
      <c r="Q1034">
        <f>IF(ABS(F1034)&gt;1,F1034/1000000,F1034)*'Real Analysis'!$B$4</f>
        <v>9.8507311200000007</v>
      </c>
      <c r="R1034">
        <f t="shared" si="101"/>
        <v>0</v>
      </c>
      <c r="S1034">
        <f t="shared" si="102"/>
        <v>0</v>
      </c>
      <c r="T1034">
        <f t="shared" si="103"/>
        <v>0</v>
      </c>
      <c r="U1034">
        <f t="shared" si="98"/>
        <v>0</v>
      </c>
    </row>
    <row r="1035" spans="1:21" x14ac:dyDescent="0.3">
      <c r="A1035" s="4">
        <v>1033</v>
      </c>
      <c r="B1035" s="4">
        <v>-96567387089</v>
      </c>
      <c r="C1035" s="5">
        <v>0</v>
      </c>
      <c r="D1035" s="5">
        <v>-1.2921E-2</v>
      </c>
      <c r="E1035" s="5">
        <v>-4.1229999999999999E-3</v>
      </c>
      <c r="F1035" s="5">
        <v>1004164</v>
      </c>
      <c r="G1035" s="5">
        <v>0</v>
      </c>
      <c r="H1035" s="5">
        <v>0</v>
      </c>
      <c r="I1035" s="5">
        <v>0</v>
      </c>
      <c r="J1035" s="5">
        <v>0</v>
      </c>
      <c r="L1035">
        <f t="shared" si="99"/>
        <v>1033</v>
      </c>
      <c r="M1035">
        <f>'Real Analysis'!$B$3+B1035/1000000</f>
        <v>24.612911000003805</v>
      </c>
      <c r="N1035">
        <f t="shared" si="100"/>
        <v>0</v>
      </c>
      <c r="O1035">
        <f>IF(ABS(D1035)&gt;1,D1035/1000000,D1035)*'Real Analysis'!$B$4</f>
        <v>-0.12675501</v>
      </c>
      <c r="P1035">
        <f>IF(ABS(E1035)&gt;1,E1035/1000000,E1035)*'Real Analysis'!$B$4</f>
        <v>-4.0446630000000004E-2</v>
      </c>
      <c r="Q1035">
        <f>IF(ABS(F1035)&gt;1,F1035/1000000,F1035)*'Real Analysis'!$B$4</f>
        <v>9.8508488400000012</v>
      </c>
      <c r="R1035">
        <f t="shared" si="101"/>
        <v>0</v>
      </c>
      <c r="S1035">
        <f t="shared" si="102"/>
        <v>0</v>
      </c>
      <c r="T1035">
        <f t="shared" si="103"/>
        <v>0</v>
      </c>
      <c r="U1035">
        <f t="shared" ref="U1035:U1098" si="104">J1035/1000</f>
        <v>0</v>
      </c>
    </row>
    <row r="1036" spans="1:21" x14ac:dyDescent="0.3">
      <c r="A1036" s="4">
        <v>1034</v>
      </c>
      <c r="B1036" s="4">
        <v>-96567369883</v>
      </c>
      <c r="C1036" s="5">
        <v>0</v>
      </c>
      <c r="D1036" s="5">
        <v>-1.2857E-2</v>
      </c>
      <c r="E1036" s="5">
        <v>7.4399999999999998E-4</v>
      </c>
      <c r="F1036" s="5">
        <v>1004156</v>
      </c>
      <c r="G1036" s="5">
        <v>0</v>
      </c>
      <c r="H1036" s="5">
        <v>0</v>
      </c>
      <c r="I1036" s="5">
        <v>0</v>
      </c>
      <c r="J1036" s="5">
        <v>0</v>
      </c>
      <c r="L1036">
        <f t="shared" si="99"/>
        <v>1034</v>
      </c>
      <c r="M1036">
        <f>'Real Analysis'!$B$3+B1036/1000000</f>
        <v>24.630116999993334</v>
      </c>
      <c r="N1036">
        <f t="shared" si="100"/>
        <v>0</v>
      </c>
      <c r="O1036">
        <f>IF(ABS(D1036)&gt;1,D1036/1000000,D1036)*'Real Analysis'!$B$4</f>
        <v>-0.12612717000000001</v>
      </c>
      <c r="P1036">
        <f>IF(ABS(E1036)&gt;1,E1036/1000000,E1036)*'Real Analysis'!$B$4</f>
        <v>7.2986400000000003E-3</v>
      </c>
      <c r="Q1036">
        <f>IF(ABS(F1036)&gt;1,F1036/1000000,F1036)*'Real Analysis'!$B$4</f>
        <v>9.8507703600000003</v>
      </c>
      <c r="R1036">
        <f t="shared" si="101"/>
        <v>0</v>
      </c>
      <c r="S1036">
        <f t="shared" si="102"/>
        <v>0</v>
      </c>
      <c r="T1036">
        <f t="shared" si="103"/>
        <v>0</v>
      </c>
      <c r="U1036">
        <f t="shared" si="104"/>
        <v>0</v>
      </c>
    </row>
    <row r="1037" spans="1:21" x14ac:dyDescent="0.3">
      <c r="A1037" s="4">
        <v>1035</v>
      </c>
      <c r="B1037" s="4">
        <v>-96567352859</v>
      </c>
      <c r="C1037" s="5">
        <v>0</v>
      </c>
      <c r="D1037" s="5">
        <v>-1.2886E-2</v>
      </c>
      <c r="E1037" s="5">
        <v>4.8820000000000001E-3</v>
      </c>
      <c r="F1037" s="5">
        <v>1004149</v>
      </c>
      <c r="G1037" s="5">
        <v>0</v>
      </c>
      <c r="H1037" s="5">
        <v>0</v>
      </c>
      <c r="I1037" s="5">
        <v>0</v>
      </c>
      <c r="J1037" s="5">
        <v>0</v>
      </c>
      <c r="L1037">
        <f t="shared" si="99"/>
        <v>1035</v>
      </c>
      <c r="M1037">
        <f>'Real Analysis'!$B$3+B1037/1000000</f>
        <v>24.647140999994008</v>
      </c>
      <c r="N1037">
        <f t="shared" si="100"/>
        <v>0</v>
      </c>
      <c r="O1037">
        <f>IF(ABS(D1037)&gt;1,D1037/1000000,D1037)*'Real Analysis'!$B$4</f>
        <v>-0.12641166000000001</v>
      </c>
      <c r="P1037">
        <f>IF(ABS(E1037)&gt;1,E1037/1000000,E1037)*'Real Analysis'!$B$4</f>
        <v>4.7892420000000005E-2</v>
      </c>
      <c r="Q1037">
        <f>IF(ABS(F1037)&gt;1,F1037/1000000,F1037)*'Real Analysis'!$B$4</f>
        <v>9.8507016899999993</v>
      </c>
      <c r="R1037">
        <f t="shared" si="101"/>
        <v>0</v>
      </c>
      <c r="S1037">
        <f t="shared" si="102"/>
        <v>0</v>
      </c>
      <c r="T1037">
        <f t="shared" si="103"/>
        <v>0</v>
      </c>
      <c r="U1037">
        <f t="shared" si="104"/>
        <v>0</v>
      </c>
    </row>
    <row r="1038" spans="1:21" x14ac:dyDescent="0.3">
      <c r="A1038" s="4">
        <v>1036</v>
      </c>
      <c r="B1038" s="4">
        <v>-96567331406</v>
      </c>
      <c r="C1038" s="5">
        <v>0</v>
      </c>
      <c r="D1038" s="5">
        <v>-1.2947999999999999E-2</v>
      </c>
      <c r="E1038" s="5">
        <v>4.751E-3</v>
      </c>
      <c r="F1038" s="5">
        <v>1004150</v>
      </c>
      <c r="G1038" s="5">
        <v>0</v>
      </c>
      <c r="H1038" s="5">
        <v>0</v>
      </c>
      <c r="I1038" s="5">
        <v>0</v>
      </c>
      <c r="J1038" s="5">
        <v>0</v>
      </c>
      <c r="L1038">
        <f t="shared" si="99"/>
        <v>1036</v>
      </c>
      <c r="M1038">
        <f>'Real Analysis'!$B$3+B1038/1000000</f>
        <v>24.668594000002486</v>
      </c>
      <c r="N1038">
        <f t="shared" si="100"/>
        <v>0</v>
      </c>
      <c r="O1038">
        <f>IF(ABS(D1038)&gt;1,D1038/1000000,D1038)*'Real Analysis'!$B$4</f>
        <v>-0.12701988</v>
      </c>
      <c r="P1038">
        <f>IF(ABS(E1038)&gt;1,E1038/1000000,E1038)*'Real Analysis'!$B$4</f>
        <v>4.6607310000000006E-2</v>
      </c>
      <c r="Q1038">
        <f>IF(ABS(F1038)&gt;1,F1038/1000000,F1038)*'Real Analysis'!$B$4</f>
        <v>9.850711500000001</v>
      </c>
      <c r="R1038">
        <f t="shared" si="101"/>
        <v>0</v>
      </c>
      <c r="S1038">
        <f t="shared" si="102"/>
        <v>0</v>
      </c>
      <c r="T1038">
        <f t="shared" si="103"/>
        <v>0</v>
      </c>
      <c r="U1038">
        <f t="shared" si="104"/>
        <v>0</v>
      </c>
    </row>
    <row r="1039" spans="1:21" x14ac:dyDescent="0.3">
      <c r="A1039" s="4">
        <v>1037</v>
      </c>
      <c r="B1039" s="4">
        <v>-96567309162</v>
      </c>
      <c r="C1039" s="5">
        <v>0</v>
      </c>
      <c r="D1039" s="5">
        <v>-1.2874999999999999E-2</v>
      </c>
      <c r="E1039" s="5">
        <v>4.2570000000000004E-3</v>
      </c>
      <c r="F1039" s="5">
        <v>1004150</v>
      </c>
      <c r="G1039" s="5">
        <v>0</v>
      </c>
      <c r="H1039" s="5">
        <v>0</v>
      </c>
      <c r="I1039" s="5">
        <v>0</v>
      </c>
      <c r="J1039" s="5">
        <v>0</v>
      </c>
      <c r="L1039">
        <f t="shared" si="99"/>
        <v>1037</v>
      </c>
      <c r="M1039">
        <f>'Real Analysis'!$B$3+B1039/1000000</f>
        <v>24.690837999994983</v>
      </c>
      <c r="N1039">
        <f t="shared" si="100"/>
        <v>0</v>
      </c>
      <c r="O1039">
        <f>IF(ABS(D1039)&gt;1,D1039/1000000,D1039)*'Real Analysis'!$B$4</f>
        <v>-0.12630374999999999</v>
      </c>
      <c r="P1039">
        <f>IF(ABS(E1039)&gt;1,E1039/1000000,E1039)*'Real Analysis'!$B$4</f>
        <v>4.1761170000000007E-2</v>
      </c>
      <c r="Q1039">
        <f>IF(ABS(F1039)&gt;1,F1039/1000000,F1039)*'Real Analysis'!$B$4</f>
        <v>9.850711500000001</v>
      </c>
      <c r="R1039">
        <f t="shared" si="101"/>
        <v>0</v>
      </c>
      <c r="S1039">
        <f t="shared" si="102"/>
        <v>0</v>
      </c>
      <c r="T1039">
        <f t="shared" si="103"/>
        <v>0</v>
      </c>
      <c r="U1039">
        <f t="shared" si="104"/>
        <v>0</v>
      </c>
    </row>
    <row r="1040" spans="1:21" x14ac:dyDescent="0.3">
      <c r="A1040" s="4">
        <v>1038</v>
      </c>
      <c r="B1040" s="4">
        <v>-96567287410</v>
      </c>
      <c r="C1040" s="5">
        <v>0</v>
      </c>
      <c r="D1040" s="5">
        <v>-1.4429000000000001E-2</v>
      </c>
      <c r="E1040" s="5">
        <v>2.8969999999999998E-3</v>
      </c>
      <c r="F1040" s="5">
        <v>1004093</v>
      </c>
      <c r="G1040" s="5">
        <v>0</v>
      </c>
      <c r="H1040" s="5">
        <v>0</v>
      </c>
      <c r="I1040" s="5">
        <v>0</v>
      </c>
      <c r="J1040" s="5">
        <v>0</v>
      </c>
      <c r="L1040">
        <f t="shared" si="99"/>
        <v>1038</v>
      </c>
      <c r="M1040">
        <f>'Real Analysis'!$B$3+B1040/1000000</f>
        <v>24.712589999995544</v>
      </c>
      <c r="N1040">
        <f t="shared" si="100"/>
        <v>0</v>
      </c>
      <c r="O1040">
        <f>IF(ABS(D1040)&gt;1,D1040/1000000,D1040)*'Real Analysis'!$B$4</f>
        <v>-0.14154849000000003</v>
      </c>
      <c r="P1040">
        <f>IF(ABS(E1040)&gt;1,E1040/1000000,E1040)*'Real Analysis'!$B$4</f>
        <v>2.8419569999999998E-2</v>
      </c>
      <c r="Q1040">
        <f>IF(ABS(F1040)&gt;1,F1040/1000000,F1040)*'Real Analysis'!$B$4</f>
        <v>9.8501523300000002</v>
      </c>
      <c r="R1040">
        <f t="shared" si="101"/>
        <v>0</v>
      </c>
      <c r="S1040">
        <f t="shared" si="102"/>
        <v>0</v>
      </c>
      <c r="T1040">
        <f t="shared" si="103"/>
        <v>0</v>
      </c>
      <c r="U1040">
        <f t="shared" si="104"/>
        <v>0</v>
      </c>
    </row>
    <row r="1041" spans="1:21" x14ac:dyDescent="0.3">
      <c r="A1041" s="4">
        <v>1039</v>
      </c>
      <c r="B1041" s="4">
        <v>-96567270841</v>
      </c>
      <c r="C1041" s="5">
        <v>0</v>
      </c>
      <c r="D1041" s="5">
        <v>-1.3495999999999999E-2</v>
      </c>
      <c r="E1041" s="5">
        <v>-4.646E-3</v>
      </c>
      <c r="F1041" s="5">
        <v>1004144</v>
      </c>
      <c r="G1041" s="5">
        <v>0</v>
      </c>
      <c r="H1041" s="5">
        <v>0</v>
      </c>
      <c r="I1041" s="5">
        <v>0</v>
      </c>
      <c r="J1041" s="5">
        <v>0</v>
      </c>
      <c r="L1041">
        <f t="shared" si="99"/>
        <v>1039</v>
      </c>
      <c r="M1041">
        <f>'Real Analysis'!$B$3+B1041/1000000</f>
        <v>24.729158999994979</v>
      </c>
      <c r="N1041">
        <f t="shared" si="100"/>
        <v>0</v>
      </c>
      <c r="O1041">
        <f>IF(ABS(D1041)&gt;1,D1041/1000000,D1041)*'Real Analysis'!$B$4</f>
        <v>-0.13239576</v>
      </c>
      <c r="P1041">
        <f>IF(ABS(E1041)&gt;1,E1041/1000000,E1041)*'Real Analysis'!$B$4</f>
        <v>-4.5577260000000001E-2</v>
      </c>
      <c r="Q1041">
        <f>IF(ABS(F1041)&gt;1,F1041/1000000,F1041)*'Real Analysis'!$B$4</f>
        <v>9.8506526399999998</v>
      </c>
      <c r="R1041">
        <f t="shared" si="101"/>
        <v>0</v>
      </c>
      <c r="S1041">
        <f t="shared" si="102"/>
        <v>0</v>
      </c>
      <c r="T1041">
        <f t="shared" si="103"/>
        <v>0</v>
      </c>
      <c r="U1041">
        <f t="shared" si="104"/>
        <v>0</v>
      </c>
    </row>
    <row r="1042" spans="1:21" x14ac:dyDescent="0.3">
      <c r="A1042" s="4">
        <v>1040</v>
      </c>
      <c r="B1042" s="4">
        <v>-96567251749</v>
      </c>
      <c r="C1042" s="5">
        <v>0</v>
      </c>
      <c r="D1042" s="5">
        <v>-1.265E-2</v>
      </c>
      <c r="E1042" s="5">
        <v>-3.081E-3</v>
      </c>
      <c r="F1042" s="5">
        <v>1004171</v>
      </c>
      <c r="G1042" s="5">
        <v>0</v>
      </c>
      <c r="H1042" s="5">
        <v>0</v>
      </c>
      <c r="I1042" s="5">
        <v>0</v>
      </c>
      <c r="J1042" s="5">
        <v>0</v>
      </c>
      <c r="L1042">
        <f t="shared" si="99"/>
        <v>1040</v>
      </c>
      <c r="M1042">
        <f>'Real Analysis'!$B$3+B1042/1000000</f>
        <v>24.748250999997254</v>
      </c>
      <c r="N1042">
        <f t="shared" si="100"/>
        <v>0</v>
      </c>
      <c r="O1042">
        <f>IF(ABS(D1042)&gt;1,D1042/1000000,D1042)*'Real Analysis'!$B$4</f>
        <v>-0.1240965</v>
      </c>
      <c r="P1042">
        <f>IF(ABS(E1042)&gt;1,E1042/1000000,E1042)*'Real Analysis'!$B$4</f>
        <v>-3.0224610000000002E-2</v>
      </c>
      <c r="Q1042">
        <f>IF(ABS(F1042)&gt;1,F1042/1000000,F1042)*'Real Analysis'!$B$4</f>
        <v>9.8509175100000004</v>
      </c>
      <c r="R1042">
        <f t="shared" si="101"/>
        <v>0</v>
      </c>
      <c r="S1042">
        <f t="shared" si="102"/>
        <v>0</v>
      </c>
      <c r="T1042">
        <f t="shared" si="103"/>
        <v>0</v>
      </c>
      <c r="U1042">
        <f t="shared" si="104"/>
        <v>0</v>
      </c>
    </row>
    <row r="1043" spans="1:21" x14ac:dyDescent="0.3">
      <c r="A1043" s="4">
        <v>1041</v>
      </c>
      <c r="B1043" s="4">
        <v>-96567227817</v>
      </c>
      <c r="C1043" s="5">
        <v>0</v>
      </c>
      <c r="D1043" s="5">
        <v>-1.3051E-2</v>
      </c>
      <c r="E1043" s="5">
        <v>5.0800000000000003E-3</v>
      </c>
      <c r="F1043" s="5">
        <v>1004144</v>
      </c>
      <c r="G1043" s="5">
        <v>0</v>
      </c>
      <c r="H1043" s="5">
        <v>0</v>
      </c>
      <c r="I1043" s="5">
        <v>0</v>
      </c>
      <c r="J1043" s="5">
        <v>0</v>
      </c>
      <c r="L1043">
        <f t="shared" si="99"/>
        <v>1041</v>
      </c>
      <c r="M1043">
        <f>'Real Analysis'!$B$3+B1043/1000000</f>
        <v>24.772182999993674</v>
      </c>
      <c r="N1043">
        <f t="shared" si="100"/>
        <v>0</v>
      </c>
      <c r="O1043">
        <f>IF(ABS(D1043)&gt;1,D1043/1000000,D1043)*'Real Analysis'!$B$4</f>
        <v>-0.12803031000000001</v>
      </c>
      <c r="P1043">
        <f>IF(ABS(E1043)&gt;1,E1043/1000000,E1043)*'Real Analysis'!$B$4</f>
        <v>4.9834800000000005E-2</v>
      </c>
      <c r="Q1043">
        <f>IF(ABS(F1043)&gt;1,F1043/1000000,F1043)*'Real Analysis'!$B$4</f>
        <v>9.8506526399999998</v>
      </c>
      <c r="R1043">
        <f t="shared" si="101"/>
        <v>0</v>
      </c>
      <c r="S1043">
        <f t="shared" si="102"/>
        <v>0</v>
      </c>
      <c r="T1043">
        <f t="shared" si="103"/>
        <v>0</v>
      </c>
      <c r="U1043">
        <f t="shared" si="104"/>
        <v>0</v>
      </c>
    </row>
    <row r="1044" spans="1:21" x14ac:dyDescent="0.3">
      <c r="A1044" s="4">
        <v>1042</v>
      </c>
      <c r="B1044" s="4">
        <v>-96567211026</v>
      </c>
      <c r="C1044" s="5">
        <v>0</v>
      </c>
      <c r="D1044" s="5">
        <v>-1.2846E-2</v>
      </c>
      <c r="E1044" s="5">
        <v>4.346E-3</v>
      </c>
      <c r="F1044" s="5">
        <v>1004153</v>
      </c>
      <c r="G1044" s="5">
        <v>0</v>
      </c>
      <c r="H1044" s="5">
        <v>0</v>
      </c>
      <c r="I1044" s="5">
        <v>0</v>
      </c>
      <c r="J1044" s="5">
        <v>0</v>
      </c>
      <c r="L1044">
        <f t="shared" si="99"/>
        <v>1042</v>
      </c>
      <c r="M1044">
        <f>'Real Analysis'!$B$3+B1044/1000000</f>
        <v>24.788973999995505</v>
      </c>
      <c r="N1044">
        <f t="shared" si="100"/>
        <v>0</v>
      </c>
      <c r="O1044">
        <f>IF(ABS(D1044)&gt;1,D1044/1000000,D1044)*'Real Analysis'!$B$4</f>
        <v>-0.12601925999999999</v>
      </c>
      <c r="P1044">
        <f>IF(ABS(E1044)&gt;1,E1044/1000000,E1044)*'Real Analysis'!$B$4</f>
        <v>4.263426E-2</v>
      </c>
      <c r="Q1044">
        <f>IF(ABS(F1044)&gt;1,F1044/1000000,F1044)*'Real Analysis'!$B$4</f>
        <v>9.8507409300000006</v>
      </c>
      <c r="R1044">
        <f t="shared" si="101"/>
        <v>0</v>
      </c>
      <c r="S1044">
        <f t="shared" si="102"/>
        <v>0</v>
      </c>
      <c r="T1044">
        <f t="shared" si="103"/>
        <v>0</v>
      </c>
      <c r="U1044">
        <f t="shared" si="104"/>
        <v>0</v>
      </c>
    </row>
    <row r="1045" spans="1:21" x14ac:dyDescent="0.3">
      <c r="A1045" s="4">
        <v>1043</v>
      </c>
      <c r="B1045" s="4">
        <v>-96567189348</v>
      </c>
      <c r="C1045" s="5">
        <v>0</v>
      </c>
      <c r="D1045" s="5">
        <v>-1.4487E-2</v>
      </c>
      <c r="E1045" s="5">
        <v>4.2420000000000001E-3</v>
      </c>
      <c r="F1045" s="5">
        <v>1004088</v>
      </c>
      <c r="G1045" s="5">
        <v>0</v>
      </c>
      <c r="H1045" s="5">
        <v>0</v>
      </c>
      <c r="I1045" s="5">
        <v>0</v>
      </c>
      <c r="J1045" s="5">
        <v>0</v>
      </c>
      <c r="L1045">
        <f t="shared" si="99"/>
        <v>1043</v>
      </c>
      <c r="M1045">
        <f>'Real Analysis'!$B$3+B1045/1000000</f>
        <v>24.810652000000118</v>
      </c>
      <c r="N1045">
        <f t="shared" si="100"/>
        <v>0</v>
      </c>
      <c r="O1045">
        <f>IF(ABS(D1045)&gt;1,D1045/1000000,D1045)*'Real Analysis'!$B$4</f>
        <v>-0.14211747</v>
      </c>
      <c r="P1045">
        <f>IF(ABS(E1045)&gt;1,E1045/1000000,E1045)*'Real Analysis'!$B$4</f>
        <v>4.1614020000000002E-2</v>
      </c>
      <c r="Q1045">
        <f>IF(ABS(F1045)&gt;1,F1045/1000000,F1045)*'Real Analysis'!$B$4</f>
        <v>9.8501032800000008</v>
      </c>
      <c r="R1045">
        <f t="shared" si="101"/>
        <v>0</v>
      </c>
      <c r="S1045">
        <f t="shared" si="102"/>
        <v>0</v>
      </c>
      <c r="T1045">
        <f t="shared" si="103"/>
        <v>0</v>
      </c>
      <c r="U1045">
        <f t="shared" si="104"/>
        <v>0</v>
      </c>
    </row>
    <row r="1046" spans="1:21" x14ac:dyDescent="0.3">
      <c r="A1046" s="4">
        <v>1044</v>
      </c>
      <c r="B1046" s="4">
        <v>-96567169098</v>
      </c>
      <c r="C1046" s="5">
        <v>0</v>
      </c>
      <c r="D1046" s="5">
        <v>-1.3587E-2</v>
      </c>
      <c r="E1046" s="5">
        <v>-4.1180000000000001E-3</v>
      </c>
      <c r="F1046" s="5">
        <v>1004137</v>
      </c>
      <c r="G1046" s="5">
        <v>0</v>
      </c>
      <c r="H1046" s="5">
        <v>0</v>
      </c>
      <c r="I1046" s="5">
        <v>0</v>
      </c>
      <c r="J1046" s="5">
        <v>0</v>
      </c>
      <c r="L1046">
        <f t="shared" si="99"/>
        <v>1044</v>
      </c>
      <c r="M1046">
        <f>'Real Analysis'!$B$3+B1046/1000000</f>
        <v>24.830902000001515</v>
      </c>
      <c r="N1046">
        <f t="shared" si="100"/>
        <v>0</v>
      </c>
      <c r="O1046">
        <f>IF(ABS(D1046)&gt;1,D1046/1000000,D1046)*'Real Analysis'!$B$4</f>
        <v>-0.13328847000000002</v>
      </c>
      <c r="P1046">
        <f>IF(ABS(E1046)&gt;1,E1046/1000000,E1046)*'Real Analysis'!$B$4</f>
        <v>-4.0397580000000002E-2</v>
      </c>
      <c r="Q1046">
        <f>IF(ABS(F1046)&gt;1,F1046/1000000,F1046)*'Real Analysis'!$B$4</f>
        <v>9.8505839700000006</v>
      </c>
      <c r="R1046">
        <f t="shared" si="101"/>
        <v>0</v>
      </c>
      <c r="S1046">
        <f t="shared" si="102"/>
        <v>0</v>
      </c>
      <c r="T1046">
        <f t="shared" si="103"/>
        <v>0</v>
      </c>
      <c r="U1046">
        <f t="shared" si="104"/>
        <v>0</v>
      </c>
    </row>
    <row r="1047" spans="1:21" x14ac:dyDescent="0.3">
      <c r="A1047" s="4">
        <v>1045</v>
      </c>
      <c r="B1047" s="4">
        <v>-96567148420</v>
      </c>
      <c r="C1047" s="5">
        <v>0</v>
      </c>
      <c r="D1047" s="5">
        <v>-1.264E-2</v>
      </c>
      <c r="E1047" s="5">
        <v>-3.1930000000000001E-3</v>
      </c>
      <c r="F1047" s="5">
        <v>1004173</v>
      </c>
      <c r="G1047" s="5">
        <v>0</v>
      </c>
      <c r="H1047" s="5">
        <v>0</v>
      </c>
      <c r="I1047" s="5">
        <v>0</v>
      </c>
      <c r="J1047" s="5">
        <v>0</v>
      </c>
      <c r="L1047">
        <f t="shared" si="99"/>
        <v>1045</v>
      </c>
      <c r="M1047">
        <f>'Real Analysis'!$B$3+B1047/1000000</f>
        <v>24.851580000002286</v>
      </c>
      <c r="N1047">
        <f t="shared" si="100"/>
        <v>0</v>
      </c>
      <c r="O1047">
        <f>IF(ABS(D1047)&gt;1,D1047/1000000,D1047)*'Real Analysis'!$B$4</f>
        <v>-0.12399840000000001</v>
      </c>
      <c r="P1047">
        <f>IF(ABS(E1047)&gt;1,E1047/1000000,E1047)*'Real Analysis'!$B$4</f>
        <v>-3.1323330000000003E-2</v>
      </c>
      <c r="Q1047">
        <f>IF(ABS(F1047)&gt;1,F1047/1000000,F1047)*'Real Analysis'!$B$4</f>
        <v>9.8509371300000002</v>
      </c>
      <c r="R1047">
        <f t="shared" si="101"/>
        <v>0</v>
      </c>
      <c r="S1047">
        <f t="shared" si="102"/>
        <v>0</v>
      </c>
      <c r="T1047">
        <f t="shared" si="103"/>
        <v>0</v>
      </c>
      <c r="U1047">
        <f t="shared" si="104"/>
        <v>0</v>
      </c>
    </row>
    <row r="1048" spans="1:21" x14ac:dyDescent="0.3">
      <c r="A1048" s="4">
        <v>1046</v>
      </c>
      <c r="B1048" s="4">
        <v>-96567136359</v>
      </c>
      <c r="C1048" s="5">
        <v>0</v>
      </c>
      <c r="D1048" s="5">
        <v>-1.3143E-2</v>
      </c>
      <c r="E1048" s="5">
        <v>-3.5239999999999998E-3</v>
      </c>
      <c r="F1048" s="5">
        <v>1004153</v>
      </c>
      <c r="G1048" s="5">
        <v>0</v>
      </c>
      <c r="H1048" s="5">
        <v>0</v>
      </c>
      <c r="I1048" s="5">
        <v>0</v>
      </c>
      <c r="J1048" s="5">
        <v>0</v>
      </c>
      <c r="L1048">
        <f t="shared" si="99"/>
        <v>1046</v>
      </c>
      <c r="M1048">
        <f>'Real Analysis'!$B$3+B1048/1000000</f>
        <v>24.863641000003554</v>
      </c>
      <c r="N1048">
        <f t="shared" si="100"/>
        <v>0</v>
      </c>
      <c r="O1048">
        <f>IF(ABS(D1048)&gt;1,D1048/1000000,D1048)*'Real Analysis'!$B$4</f>
        <v>-0.12893283</v>
      </c>
      <c r="P1048">
        <f>IF(ABS(E1048)&gt;1,E1048/1000000,E1048)*'Real Analysis'!$B$4</f>
        <v>-3.4570440000000001E-2</v>
      </c>
      <c r="Q1048">
        <f>IF(ABS(F1048)&gt;1,F1048/1000000,F1048)*'Real Analysis'!$B$4</f>
        <v>9.8507409300000006</v>
      </c>
      <c r="R1048">
        <f t="shared" si="101"/>
        <v>0</v>
      </c>
      <c r="S1048">
        <f t="shared" si="102"/>
        <v>0</v>
      </c>
      <c r="T1048">
        <f t="shared" si="103"/>
        <v>0</v>
      </c>
      <c r="U1048">
        <f t="shared" si="104"/>
        <v>0</v>
      </c>
    </row>
    <row r="1049" spans="1:21" x14ac:dyDescent="0.3">
      <c r="A1049" s="4">
        <v>1047</v>
      </c>
      <c r="B1049" s="4">
        <v>-96567110785</v>
      </c>
      <c r="C1049" s="5">
        <v>0</v>
      </c>
      <c r="D1049" s="5">
        <v>-1.3068E-2</v>
      </c>
      <c r="E1049" s="5">
        <v>-3.392E-3</v>
      </c>
      <c r="F1049" s="5">
        <v>1004159</v>
      </c>
      <c r="G1049" s="5">
        <v>0</v>
      </c>
      <c r="H1049" s="5">
        <v>0</v>
      </c>
      <c r="I1049" s="5">
        <v>0</v>
      </c>
      <c r="J1049" s="5">
        <v>0</v>
      </c>
      <c r="L1049">
        <f t="shared" si="99"/>
        <v>1047</v>
      </c>
      <c r="M1049">
        <f>'Real Analysis'!$B$3+B1049/1000000</f>
        <v>24.889215000002878</v>
      </c>
      <c r="N1049">
        <f t="shared" si="100"/>
        <v>0</v>
      </c>
      <c r="O1049">
        <f>IF(ABS(D1049)&gt;1,D1049/1000000,D1049)*'Real Analysis'!$B$4</f>
        <v>-0.12819707999999999</v>
      </c>
      <c r="P1049">
        <f>IF(ABS(E1049)&gt;1,E1049/1000000,E1049)*'Real Analysis'!$B$4</f>
        <v>-3.3275520000000003E-2</v>
      </c>
      <c r="Q1049">
        <f>IF(ABS(F1049)&gt;1,F1049/1000000,F1049)*'Real Analysis'!$B$4</f>
        <v>9.8507997899999999</v>
      </c>
      <c r="R1049">
        <f t="shared" si="101"/>
        <v>0</v>
      </c>
      <c r="S1049">
        <f t="shared" si="102"/>
        <v>0</v>
      </c>
      <c r="T1049">
        <f t="shared" si="103"/>
        <v>0</v>
      </c>
      <c r="U1049">
        <f t="shared" si="104"/>
        <v>0</v>
      </c>
    </row>
    <row r="1050" spans="1:21" x14ac:dyDescent="0.3">
      <c r="A1050" s="4">
        <v>1048</v>
      </c>
      <c r="B1050" s="4">
        <v>-96567094825</v>
      </c>
      <c r="C1050" s="5">
        <v>0</v>
      </c>
      <c r="D1050" s="5">
        <v>-1.2942E-2</v>
      </c>
      <c r="E1050" s="5">
        <v>7.3999999999999996E-5</v>
      </c>
      <c r="F1050" s="5">
        <v>1004155</v>
      </c>
      <c r="G1050" s="5">
        <v>0</v>
      </c>
      <c r="H1050" s="5">
        <v>0</v>
      </c>
      <c r="I1050" s="5">
        <v>0</v>
      </c>
      <c r="J1050" s="5">
        <v>0</v>
      </c>
      <c r="L1050">
        <f t="shared" si="99"/>
        <v>1048</v>
      </c>
      <c r="M1050">
        <f>'Real Analysis'!$B$3+B1050/1000000</f>
        <v>24.905175000007148</v>
      </c>
      <c r="N1050">
        <f t="shared" si="100"/>
        <v>0</v>
      </c>
      <c r="O1050">
        <f>IF(ABS(D1050)&gt;1,D1050/1000000,D1050)*'Real Analysis'!$B$4</f>
        <v>-0.12696102000000001</v>
      </c>
      <c r="P1050">
        <f>IF(ABS(E1050)&gt;1,E1050/1000000,E1050)*'Real Analysis'!$B$4</f>
        <v>7.2594000000000001E-4</v>
      </c>
      <c r="Q1050">
        <f>IF(ABS(F1050)&gt;1,F1050/1000000,F1050)*'Real Analysis'!$B$4</f>
        <v>9.8507605500000004</v>
      </c>
      <c r="R1050">
        <f t="shared" si="101"/>
        <v>0</v>
      </c>
      <c r="S1050">
        <f t="shared" si="102"/>
        <v>0</v>
      </c>
      <c r="T1050">
        <f t="shared" si="103"/>
        <v>0</v>
      </c>
      <c r="U1050">
        <f t="shared" si="104"/>
        <v>0</v>
      </c>
    </row>
    <row r="1051" spans="1:21" x14ac:dyDescent="0.3">
      <c r="A1051" s="4">
        <v>1049</v>
      </c>
      <c r="B1051" s="4">
        <v>-96567076119</v>
      </c>
      <c r="C1051" s="5">
        <v>0</v>
      </c>
      <c r="D1051" s="5">
        <v>-1.444E-2</v>
      </c>
      <c r="E1051" s="5">
        <v>-3.6819999999999999E-3</v>
      </c>
      <c r="F1051" s="5">
        <v>1004106</v>
      </c>
      <c r="G1051" s="5">
        <v>0</v>
      </c>
      <c r="H1051" s="5">
        <v>0</v>
      </c>
      <c r="I1051" s="5">
        <v>0</v>
      </c>
      <c r="J1051" s="5">
        <v>0</v>
      </c>
      <c r="L1051">
        <f t="shared" si="99"/>
        <v>1049</v>
      </c>
      <c r="M1051">
        <f>'Real Analysis'!$B$3+B1051/1000000</f>
        <v>24.923880999995163</v>
      </c>
      <c r="N1051">
        <f t="shared" si="100"/>
        <v>0</v>
      </c>
      <c r="O1051">
        <f>IF(ABS(D1051)&gt;1,D1051/1000000,D1051)*'Real Analysis'!$B$4</f>
        <v>-0.14165640000000002</v>
      </c>
      <c r="P1051">
        <f>IF(ABS(E1051)&gt;1,E1051/1000000,E1051)*'Real Analysis'!$B$4</f>
        <v>-3.612042E-2</v>
      </c>
      <c r="Q1051">
        <f>IF(ABS(F1051)&gt;1,F1051/1000000,F1051)*'Real Analysis'!$B$4</f>
        <v>9.8502798600000006</v>
      </c>
      <c r="R1051">
        <f t="shared" si="101"/>
        <v>0</v>
      </c>
      <c r="S1051">
        <f t="shared" si="102"/>
        <v>0</v>
      </c>
      <c r="T1051">
        <f t="shared" si="103"/>
        <v>0</v>
      </c>
      <c r="U1051">
        <f t="shared" si="104"/>
        <v>0</v>
      </c>
    </row>
    <row r="1052" spans="1:21" x14ac:dyDescent="0.3">
      <c r="A1052" s="4">
        <v>1050</v>
      </c>
      <c r="B1052" s="4">
        <v>-96567047423</v>
      </c>
      <c r="C1052" s="5">
        <v>0</v>
      </c>
      <c r="D1052" s="5">
        <v>-1.2253999999999999E-2</v>
      </c>
      <c r="E1052" s="5">
        <v>-3.0109999999999998E-3</v>
      </c>
      <c r="F1052" s="5">
        <v>1004188</v>
      </c>
      <c r="G1052" s="5">
        <v>0</v>
      </c>
      <c r="H1052" s="5">
        <v>0</v>
      </c>
      <c r="I1052" s="5">
        <v>0</v>
      </c>
      <c r="J1052" s="5">
        <v>0</v>
      </c>
      <c r="L1052">
        <f t="shared" si="99"/>
        <v>1050</v>
      </c>
      <c r="M1052">
        <f>'Real Analysis'!$B$3+B1052/1000000</f>
        <v>24.952577000003657</v>
      </c>
      <c r="N1052">
        <f t="shared" si="100"/>
        <v>0</v>
      </c>
      <c r="O1052">
        <f>IF(ABS(D1052)&gt;1,D1052/1000000,D1052)*'Real Analysis'!$B$4</f>
        <v>-0.12021174</v>
      </c>
      <c r="P1052">
        <f>IF(ABS(E1052)&gt;1,E1052/1000000,E1052)*'Real Analysis'!$B$4</f>
        <v>-2.9537910000000001E-2</v>
      </c>
      <c r="Q1052">
        <f>IF(ABS(F1052)&gt;1,F1052/1000000,F1052)*'Real Analysis'!$B$4</f>
        <v>9.851084280000002</v>
      </c>
      <c r="R1052">
        <f t="shared" si="101"/>
        <v>0</v>
      </c>
      <c r="S1052">
        <f t="shared" si="102"/>
        <v>0</v>
      </c>
      <c r="T1052">
        <f t="shared" si="103"/>
        <v>0</v>
      </c>
      <c r="U1052">
        <f t="shared" si="104"/>
        <v>0</v>
      </c>
    </row>
    <row r="1053" spans="1:21" x14ac:dyDescent="0.3">
      <c r="A1053" s="4">
        <v>1051</v>
      </c>
      <c r="B1053" s="4">
        <v>-96567029440</v>
      </c>
      <c r="C1053" s="5">
        <v>0</v>
      </c>
      <c r="D1053" s="5">
        <v>-1.3729E-2</v>
      </c>
      <c r="E1053" s="5">
        <v>5.202E-3</v>
      </c>
      <c r="F1053" s="5">
        <v>1004117</v>
      </c>
      <c r="G1053" s="5">
        <v>0</v>
      </c>
      <c r="H1053" s="5">
        <v>0</v>
      </c>
      <c r="I1053" s="5">
        <v>0</v>
      </c>
      <c r="J1053" s="5">
        <v>0</v>
      </c>
      <c r="L1053">
        <f t="shared" si="99"/>
        <v>1051</v>
      </c>
      <c r="M1053">
        <f>'Real Analysis'!$B$3+B1053/1000000</f>
        <v>24.970560000001569</v>
      </c>
      <c r="N1053">
        <f t="shared" si="100"/>
        <v>0</v>
      </c>
      <c r="O1053">
        <f>IF(ABS(D1053)&gt;1,D1053/1000000,D1053)*'Real Analysis'!$B$4</f>
        <v>-0.13468149000000001</v>
      </c>
      <c r="P1053">
        <f>IF(ABS(E1053)&gt;1,E1053/1000000,E1053)*'Real Analysis'!$B$4</f>
        <v>5.103162E-2</v>
      </c>
      <c r="Q1053">
        <f>IF(ABS(F1053)&gt;1,F1053/1000000,F1053)*'Real Analysis'!$B$4</f>
        <v>9.8503877699999993</v>
      </c>
      <c r="R1053">
        <f t="shared" si="101"/>
        <v>0</v>
      </c>
      <c r="S1053">
        <f t="shared" si="102"/>
        <v>0</v>
      </c>
      <c r="T1053">
        <f t="shared" si="103"/>
        <v>0</v>
      </c>
      <c r="U1053">
        <f t="shared" si="104"/>
        <v>0</v>
      </c>
    </row>
    <row r="1054" spans="1:21" x14ac:dyDescent="0.3">
      <c r="A1054" s="4">
        <v>1052</v>
      </c>
      <c r="B1054" s="4">
        <v>-96567009446</v>
      </c>
      <c r="C1054" s="5">
        <v>0</v>
      </c>
      <c r="D1054" s="5">
        <v>-1.6167999999999998E-2</v>
      </c>
      <c r="E1054" s="5">
        <v>4.2779999999999997E-3</v>
      </c>
      <c r="F1054" s="5">
        <v>1004026</v>
      </c>
      <c r="G1054" s="5">
        <v>0</v>
      </c>
      <c r="H1054" s="5">
        <v>0</v>
      </c>
      <c r="I1054" s="5">
        <v>0</v>
      </c>
      <c r="J1054" s="5">
        <v>0</v>
      </c>
      <c r="L1054">
        <f t="shared" si="99"/>
        <v>1052</v>
      </c>
      <c r="M1054">
        <f>'Real Analysis'!$B$3+B1054/1000000</f>
        <v>24.990554000003613</v>
      </c>
      <c r="N1054">
        <f t="shared" si="100"/>
        <v>0</v>
      </c>
      <c r="O1054">
        <f>IF(ABS(D1054)&gt;1,D1054/1000000,D1054)*'Real Analysis'!$B$4</f>
        <v>-0.15860807999999998</v>
      </c>
      <c r="P1054">
        <f>IF(ABS(E1054)&gt;1,E1054/1000000,E1054)*'Real Analysis'!$B$4</f>
        <v>4.196718E-2</v>
      </c>
      <c r="Q1054">
        <f>IF(ABS(F1054)&gt;1,F1054/1000000,F1054)*'Real Analysis'!$B$4</f>
        <v>9.8494950600000006</v>
      </c>
      <c r="R1054">
        <f t="shared" si="101"/>
        <v>0</v>
      </c>
      <c r="S1054">
        <f t="shared" si="102"/>
        <v>0</v>
      </c>
      <c r="T1054">
        <f t="shared" si="103"/>
        <v>0</v>
      </c>
      <c r="U1054">
        <f t="shared" si="104"/>
        <v>0</v>
      </c>
    </row>
    <row r="1055" spans="1:21" x14ac:dyDescent="0.3">
      <c r="A1055" s="4">
        <v>1053</v>
      </c>
      <c r="B1055" s="4">
        <v>-96566990535</v>
      </c>
      <c r="C1055" s="5">
        <v>0</v>
      </c>
      <c r="D1055" s="5">
        <v>-1.8036E-2</v>
      </c>
      <c r="E1055" s="5">
        <v>4.2859999999999999E-3</v>
      </c>
      <c r="F1055" s="5">
        <v>1003958</v>
      </c>
      <c r="G1055" s="5">
        <v>0</v>
      </c>
      <c r="H1055" s="5">
        <v>0</v>
      </c>
      <c r="I1055" s="5">
        <v>0</v>
      </c>
      <c r="J1055" s="5">
        <v>0</v>
      </c>
      <c r="L1055">
        <f t="shared" si="99"/>
        <v>1053</v>
      </c>
      <c r="M1055">
        <f>'Real Analysis'!$B$3+B1055/1000000</f>
        <v>25.009464999995544</v>
      </c>
      <c r="N1055">
        <f t="shared" si="100"/>
        <v>0</v>
      </c>
      <c r="O1055">
        <f>IF(ABS(D1055)&gt;1,D1055/1000000,D1055)*'Real Analysis'!$B$4</f>
        <v>-0.17693316000000001</v>
      </c>
      <c r="P1055">
        <f>IF(ABS(E1055)&gt;1,E1055/1000000,E1055)*'Real Analysis'!$B$4</f>
        <v>4.2045659999999999E-2</v>
      </c>
      <c r="Q1055">
        <f>IF(ABS(F1055)&gt;1,F1055/1000000,F1055)*'Real Analysis'!$B$4</f>
        <v>9.8488279799999994</v>
      </c>
      <c r="R1055">
        <f t="shared" si="101"/>
        <v>0</v>
      </c>
      <c r="S1055">
        <f t="shared" si="102"/>
        <v>0</v>
      </c>
      <c r="T1055">
        <f t="shared" si="103"/>
        <v>0</v>
      </c>
      <c r="U1055">
        <f t="shared" si="104"/>
        <v>0</v>
      </c>
    </row>
    <row r="1056" spans="1:21" x14ac:dyDescent="0.3">
      <c r="A1056" s="4">
        <v>1054</v>
      </c>
      <c r="B1056" s="4">
        <v>-96566970862</v>
      </c>
      <c r="C1056" s="5">
        <v>0</v>
      </c>
      <c r="D1056" s="5">
        <v>-1.2796999999999999E-2</v>
      </c>
      <c r="E1056" s="5">
        <v>-4.176E-3</v>
      </c>
      <c r="F1056" s="5">
        <v>1004166</v>
      </c>
      <c r="G1056" s="5">
        <v>0</v>
      </c>
      <c r="H1056" s="5">
        <v>0</v>
      </c>
      <c r="I1056" s="5">
        <v>0</v>
      </c>
      <c r="J1056" s="5">
        <v>0</v>
      </c>
      <c r="L1056">
        <f t="shared" si="99"/>
        <v>1054</v>
      </c>
      <c r="M1056">
        <f>'Real Analysis'!$B$3+B1056/1000000</f>
        <v>25.029137999998056</v>
      </c>
      <c r="N1056">
        <f t="shared" si="100"/>
        <v>0</v>
      </c>
      <c r="O1056">
        <f>IF(ABS(D1056)&gt;1,D1056/1000000,D1056)*'Real Analysis'!$B$4</f>
        <v>-0.12553856999999999</v>
      </c>
      <c r="P1056">
        <f>IF(ABS(E1056)&gt;1,E1056/1000000,E1056)*'Real Analysis'!$B$4</f>
        <v>-4.0966559999999999E-2</v>
      </c>
      <c r="Q1056">
        <f>IF(ABS(F1056)&gt;1,F1056/1000000,F1056)*'Real Analysis'!$B$4</f>
        <v>9.8508684599999992</v>
      </c>
      <c r="R1056">
        <f t="shared" si="101"/>
        <v>0</v>
      </c>
      <c r="S1056">
        <f t="shared" si="102"/>
        <v>0</v>
      </c>
      <c r="T1056">
        <f t="shared" si="103"/>
        <v>0</v>
      </c>
      <c r="U1056">
        <f t="shared" si="104"/>
        <v>0</v>
      </c>
    </row>
    <row r="1057" spans="1:21" x14ac:dyDescent="0.3">
      <c r="A1057" s="4">
        <v>1055</v>
      </c>
      <c r="B1057" s="4">
        <v>-96566950432</v>
      </c>
      <c r="C1057" s="5">
        <v>0</v>
      </c>
      <c r="D1057" s="5">
        <v>-1.2267E-2</v>
      </c>
      <c r="E1057" s="5">
        <v>-3.258E-3</v>
      </c>
      <c r="F1057" s="5">
        <v>1004186</v>
      </c>
      <c r="G1057" s="5">
        <v>0</v>
      </c>
      <c r="H1057" s="5">
        <v>0</v>
      </c>
      <c r="I1057" s="5">
        <v>0</v>
      </c>
      <c r="J1057" s="5">
        <v>0</v>
      </c>
      <c r="L1057">
        <f t="shared" si="99"/>
        <v>1055</v>
      </c>
      <c r="M1057">
        <f>'Real Analysis'!$B$3+B1057/1000000</f>
        <v>25.049568000002182</v>
      </c>
      <c r="N1057">
        <f t="shared" si="100"/>
        <v>0</v>
      </c>
      <c r="O1057">
        <f>IF(ABS(D1057)&gt;1,D1057/1000000,D1057)*'Real Analysis'!$B$4</f>
        <v>-0.12033927000000001</v>
      </c>
      <c r="P1057">
        <f>IF(ABS(E1057)&gt;1,E1057/1000000,E1057)*'Real Analysis'!$B$4</f>
        <v>-3.196098E-2</v>
      </c>
      <c r="Q1057">
        <f>IF(ABS(F1057)&gt;1,F1057/1000000,F1057)*'Real Analysis'!$B$4</f>
        <v>9.8510646600000005</v>
      </c>
      <c r="R1057">
        <f t="shared" si="101"/>
        <v>0</v>
      </c>
      <c r="S1057">
        <f t="shared" si="102"/>
        <v>0</v>
      </c>
      <c r="T1057">
        <f t="shared" si="103"/>
        <v>0</v>
      </c>
      <c r="U1057">
        <f t="shared" si="104"/>
        <v>0</v>
      </c>
    </row>
    <row r="1058" spans="1:21" x14ac:dyDescent="0.3">
      <c r="A1058" s="4">
        <v>1056</v>
      </c>
      <c r="B1058" s="4">
        <v>-96566930489</v>
      </c>
      <c r="C1058" s="5">
        <v>0</v>
      </c>
      <c r="D1058" s="5">
        <v>-1.8208999999999999E-2</v>
      </c>
      <c r="E1058" s="5">
        <v>1.6639999999999999E-3</v>
      </c>
      <c r="F1058" s="5">
        <v>1003950</v>
      </c>
      <c r="G1058" s="5">
        <v>0</v>
      </c>
      <c r="H1058" s="5">
        <v>0</v>
      </c>
      <c r="I1058" s="5">
        <v>0</v>
      </c>
      <c r="J1058" s="5">
        <v>0</v>
      </c>
      <c r="L1058">
        <f t="shared" si="99"/>
        <v>1056</v>
      </c>
      <c r="M1058">
        <f>'Real Analysis'!$B$3+B1058/1000000</f>
        <v>25.069510999994236</v>
      </c>
      <c r="N1058">
        <f t="shared" si="100"/>
        <v>0</v>
      </c>
      <c r="O1058">
        <f>IF(ABS(D1058)&gt;1,D1058/1000000,D1058)*'Real Analysis'!$B$4</f>
        <v>-0.17863029</v>
      </c>
      <c r="P1058">
        <f>IF(ABS(E1058)&gt;1,E1058/1000000,E1058)*'Real Analysis'!$B$4</f>
        <v>1.6323839999999999E-2</v>
      </c>
      <c r="Q1058">
        <f>IF(ABS(F1058)&gt;1,F1058/1000000,F1058)*'Real Analysis'!$B$4</f>
        <v>9.8487495000000003</v>
      </c>
      <c r="R1058">
        <f t="shared" si="101"/>
        <v>0</v>
      </c>
      <c r="S1058">
        <f t="shared" si="102"/>
        <v>0</v>
      </c>
      <c r="T1058">
        <f t="shared" si="103"/>
        <v>0</v>
      </c>
      <c r="U1058">
        <f t="shared" si="104"/>
        <v>0</v>
      </c>
    </row>
    <row r="1059" spans="1:21" x14ac:dyDescent="0.3">
      <c r="A1059" s="4">
        <v>1057</v>
      </c>
      <c r="B1059" s="4">
        <v>-96566909936</v>
      </c>
      <c r="C1059" s="5">
        <v>0</v>
      </c>
      <c r="D1059" s="5">
        <v>-1.2146000000000001E-2</v>
      </c>
      <c r="E1059" s="5">
        <v>4.274E-3</v>
      </c>
      <c r="F1059" s="5">
        <v>1004178</v>
      </c>
      <c r="G1059" s="5">
        <v>0</v>
      </c>
      <c r="H1059" s="5">
        <v>0</v>
      </c>
      <c r="I1059" s="5">
        <v>0</v>
      </c>
      <c r="J1059" s="5">
        <v>0</v>
      </c>
      <c r="L1059">
        <f t="shared" si="99"/>
        <v>1057</v>
      </c>
      <c r="M1059">
        <f>'Real Analysis'!$B$3+B1059/1000000</f>
        <v>25.090064000003622</v>
      </c>
      <c r="N1059">
        <f t="shared" si="100"/>
        <v>0</v>
      </c>
      <c r="O1059">
        <f>IF(ABS(D1059)&gt;1,D1059/1000000,D1059)*'Real Analysis'!$B$4</f>
        <v>-0.11915226000000001</v>
      </c>
      <c r="P1059">
        <f>IF(ABS(E1059)&gt;1,E1059/1000000,E1059)*'Real Analysis'!$B$4</f>
        <v>4.1927940000000004E-2</v>
      </c>
      <c r="Q1059">
        <f>IF(ABS(F1059)&gt;1,F1059/1000000,F1059)*'Real Analysis'!$B$4</f>
        <v>9.8509861800000014</v>
      </c>
      <c r="R1059">
        <f t="shared" si="101"/>
        <v>0</v>
      </c>
      <c r="S1059">
        <f t="shared" si="102"/>
        <v>0</v>
      </c>
      <c r="T1059">
        <f t="shared" si="103"/>
        <v>0</v>
      </c>
      <c r="U1059">
        <f t="shared" si="104"/>
        <v>0</v>
      </c>
    </row>
    <row r="1060" spans="1:21" x14ac:dyDescent="0.3">
      <c r="A1060" s="4">
        <v>1058</v>
      </c>
      <c r="B1060" s="4">
        <v>-96566887920</v>
      </c>
      <c r="C1060" s="5">
        <v>0</v>
      </c>
      <c r="D1060" s="5">
        <v>-1.2282E-2</v>
      </c>
      <c r="E1060" s="5">
        <v>3.6310000000000001E-3</v>
      </c>
      <c r="F1060" s="5">
        <v>1004173</v>
      </c>
      <c r="G1060" s="5">
        <v>0</v>
      </c>
      <c r="H1060" s="5">
        <v>0</v>
      </c>
      <c r="I1060" s="5">
        <v>0</v>
      </c>
      <c r="J1060" s="5">
        <v>0</v>
      </c>
      <c r="L1060">
        <f t="shared" si="99"/>
        <v>1058</v>
      </c>
      <c r="M1060">
        <f>'Real Analysis'!$B$3+B1060/1000000</f>
        <v>25.112080000006245</v>
      </c>
      <c r="N1060">
        <f t="shared" si="100"/>
        <v>0</v>
      </c>
      <c r="O1060">
        <f>IF(ABS(D1060)&gt;1,D1060/1000000,D1060)*'Real Analysis'!$B$4</f>
        <v>-0.12048642</v>
      </c>
      <c r="P1060">
        <f>IF(ABS(E1060)&gt;1,E1060/1000000,E1060)*'Real Analysis'!$B$4</f>
        <v>3.5620110000000003E-2</v>
      </c>
      <c r="Q1060">
        <f>IF(ABS(F1060)&gt;1,F1060/1000000,F1060)*'Real Analysis'!$B$4</f>
        <v>9.8509371300000002</v>
      </c>
      <c r="R1060">
        <f t="shared" si="101"/>
        <v>0</v>
      </c>
      <c r="S1060">
        <f t="shared" si="102"/>
        <v>0</v>
      </c>
      <c r="T1060">
        <f t="shared" si="103"/>
        <v>0</v>
      </c>
      <c r="U1060">
        <f t="shared" si="104"/>
        <v>0</v>
      </c>
    </row>
    <row r="1061" spans="1:21" x14ac:dyDescent="0.3">
      <c r="A1061" s="4">
        <v>1059</v>
      </c>
      <c r="B1061" s="4">
        <v>-96566869868</v>
      </c>
      <c r="C1061" s="5">
        <v>0</v>
      </c>
      <c r="D1061" s="5">
        <v>-1.3065999999999999E-2</v>
      </c>
      <c r="E1061" s="5">
        <v>4.7699999999999999E-3</v>
      </c>
      <c r="F1061" s="5">
        <v>1004142</v>
      </c>
      <c r="G1061" s="5">
        <v>0</v>
      </c>
      <c r="H1061" s="5">
        <v>0</v>
      </c>
      <c r="I1061" s="5">
        <v>0</v>
      </c>
      <c r="J1061" s="5">
        <v>0</v>
      </c>
      <c r="L1061">
        <f t="shared" si="99"/>
        <v>1059</v>
      </c>
      <c r="M1061">
        <f>'Real Analysis'!$B$3+B1061/1000000</f>
        <v>25.130132000005688</v>
      </c>
      <c r="N1061">
        <f t="shared" si="100"/>
        <v>0</v>
      </c>
      <c r="O1061">
        <f>IF(ABS(D1061)&gt;1,D1061/1000000,D1061)*'Real Analysis'!$B$4</f>
        <v>-0.12817745999999999</v>
      </c>
      <c r="P1061">
        <f>IF(ABS(E1061)&gt;1,E1061/1000000,E1061)*'Real Analysis'!$B$4</f>
        <v>4.6793700000000001E-2</v>
      </c>
      <c r="Q1061">
        <f>IF(ABS(F1061)&gt;1,F1061/1000000,F1061)*'Real Analysis'!$B$4</f>
        <v>9.8506330200000018</v>
      </c>
      <c r="R1061">
        <f t="shared" si="101"/>
        <v>0</v>
      </c>
      <c r="S1061">
        <f t="shared" si="102"/>
        <v>0</v>
      </c>
      <c r="T1061">
        <f t="shared" si="103"/>
        <v>0</v>
      </c>
      <c r="U1061">
        <f t="shared" si="104"/>
        <v>0</v>
      </c>
    </row>
    <row r="1062" spans="1:21" x14ac:dyDescent="0.3">
      <c r="A1062" s="4">
        <v>1060</v>
      </c>
      <c r="B1062" s="4">
        <v>-96566848753</v>
      </c>
      <c r="C1062" s="5">
        <v>0</v>
      </c>
      <c r="D1062" s="5">
        <v>-1.2855E-2</v>
      </c>
      <c r="E1062" s="5">
        <v>4.3080000000000002E-3</v>
      </c>
      <c r="F1062" s="5">
        <v>1004150</v>
      </c>
      <c r="G1062" s="5">
        <v>0</v>
      </c>
      <c r="H1062" s="5">
        <v>0</v>
      </c>
      <c r="I1062" s="5">
        <v>0</v>
      </c>
      <c r="J1062" s="5">
        <v>0</v>
      </c>
      <c r="L1062">
        <f t="shared" si="99"/>
        <v>1060</v>
      </c>
      <c r="M1062">
        <f>'Real Analysis'!$B$3+B1062/1000000</f>
        <v>25.151247000001604</v>
      </c>
      <c r="N1062">
        <f t="shared" si="100"/>
        <v>0</v>
      </c>
      <c r="O1062">
        <f>IF(ABS(D1062)&gt;1,D1062/1000000,D1062)*'Real Analysis'!$B$4</f>
        <v>-0.12610755000000001</v>
      </c>
      <c r="P1062">
        <f>IF(ABS(E1062)&gt;1,E1062/1000000,E1062)*'Real Analysis'!$B$4</f>
        <v>4.2261480000000004E-2</v>
      </c>
      <c r="Q1062">
        <f>IF(ABS(F1062)&gt;1,F1062/1000000,F1062)*'Real Analysis'!$B$4</f>
        <v>9.850711500000001</v>
      </c>
      <c r="R1062">
        <f t="shared" si="101"/>
        <v>0</v>
      </c>
      <c r="S1062">
        <f t="shared" si="102"/>
        <v>0</v>
      </c>
      <c r="T1062">
        <f t="shared" si="103"/>
        <v>0</v>
      </c>
      <c r="U1062">
        <f t="shared" si="104"/>
        <v>0</v>
      </c>
    </row>
    <row r="1063" spans="1:21" x14ac:dyDescent="0.3">
      <c r="A1063" s="4">
        <v>1061</v>
      </c>
      <c r="B1063" s="4">
        <v>-96566829986</v>
      </c>
      <c r="C1063" s="5">
        <v>0</v>
      </c>
      <c r="D1063" s="5">
        <v>-1.2914E-2</v>
      </c>
      <c r="E1063" s="5">
        <v>2.8219999999999999E-3</v>
      </c>
      <c r="F1063" s="5">
        <v>1002468</v>
      </c>
      <c r="G1063" s="5">
        <v>0</v>
      </c>
      <c r="H1063" s="5">
        <v>0</v>
      </c>
      <c r="I1063" s="5">
        <v>0</v>
      </c>
      <c r="J1063" s="5">
        <v>0</v>
      </c>
      <c r="L1063">
        <f t="shared" si="99"/>
        <v>1061</v>
      </c>
      <c r="M1063">
        <f>'Real Analysis'!$B$3+B1063/1000000</f>
        <v>25.170014000002993</v>
      </c>
      <c r="N1063">
        <f t="shared" si="100"/>
        <v>0</v>
      </c>
      <c r="O1063">
        <f>IF(ABS(D1063)&gt;1,D1063/1000000,D1063)*'Real Analysis'!$B$4</f>
        <v>-0.12668634000000001</v>
      </c>
      <c r="P1063">
        <f>IF(ABS(E1063)&gt;1,E1063/1000000,E1063)*'Real Analysis'!$B$4</f>
        <v>2.7683820000000001E-2</v>
      </c>
      <c r="Q1063">
        <f>IF(ABS(F1063)&gt;1,F1063/1000000,F1063)*'Real Analysis'!$B$4</f>
        <v>9.8342110799999993</v>
      </c>
      <c r="R1063">
        <f t="shared" si="101"/>
        <v>0</v>
      </c>
      <c r="S1063">
        <f t="shared" si="102"/>
        <v>0</v>
      </c>
      <c r="T1063">
        <f t="shared" si="103"/>
        <v>0</v>
      </c>
      <c r="U1063">
        <f t="shared" si="104"/>
        <v>0</v>
      </c>
    </row>
    <row r="1064" spans="1:21" x14ac:dyDescent="0.3">
      <c r="A1064" s="4">
        <v>1062</v>
      </c>
      <c r="B1064" s="4">
        <v>-96566808589</v>
      </c>
      <c r="C1064" s="5">
        <v>0</v>
      </c>
      <c r="D1064" s="5">
        <v>-1.2989000000000001E-2</v>
      </c>
      <c r="E1064" s="5">
        <v>2.3410000000000002E-3</v>
      </c>
      <c r="F1064" s="5">
        <v>1005492</v>
      </c>
      <c r="G1064" s="5">
        <v>0</v>
      </c>
      <c r="H1064" s="5">
        <v>0</v>
      </c>
      <c r="I1064" s="5">
        <v>0</v>
      </c>
      <c r="J1064" s="5">
        <v>0</v>
      </c>
      <c r="L1064">
        <f t="shared" si="99"/>
        <v>1062</v>
      </c>
      <c r="M1064">
        <f>'Real Analysis'!$B$3+B1064/1000000</f>
        <v>25.191411000007065</v>
      </c>
      <c r="N1064">
        <f t="shared" si="100"/>
        <v>0</v>
      </c>
      <c r="O1064">
        <f>IF(ABS(D1064)&gt;1,D1064/1000000,D1064)*'Real Analysis'!$B$4</f>
        <v>-0.12742209000000002</v>
      </c>
      <c r="P1064">
        <f>IF(ABS(E1064)&gt;1,E1064/1000000,E1064)*'Real Analysis'!$B$4</f>
        <v>2.2965210000000003E-2</v>
      </c>
      <c r="Q1064">
        <f>IF(ABS(F1064)&gt;1,F1064/1000000,F1064)*'Real Analysis'!$B$4</f>
        <v>9.8638765200000016</v>
      </c>
      <c r="R1064">
        <f t="shared" si="101"/>
        <v>0</v>
      </c>
      <c r="S1064">
        <f t="shared" si="102"/>
        <v>0</v>
      </c>
      <c r="T1064">
        <f t="shared" si="103"/>
        <v>0</v>
      </c>
      <c r="U1064">
        <f t="shared" si="104"/>
        <v>0</v>
      </c>
    </row>
    <row r="1065" spans="1:21" x14ac:dyDescent="0.3">
      <c r="A1065" s="4">
        <v>1063</v>
      </c>
      <c r="B1065" s="4">
        <v>-96566804125</v>
      </c>
      <c r="C1065" s="5">
        <v>0</v>
      </c>
      <c r="D1065" s="5">
        <v>-1.2961E-2</v>
      </c>
      <c r="E1065" s="5">
        <v>-3.8769999999999998E-3</v>
      </c>
      <c r="F1065" s="5">
        <v>1004381</v>
      </c>
      <c r="G1065" s="5">
        <v>0</v>
      </c>
      <c r="H1065" s="5">
        <v>0</v>
      </c>
      <c r="I1065" s="5">
        <v>0</v>
      </c>
      <c r="J1065" s="5">
        <v>0</v>
      </c>
      <c r="L1065">
        <f t="shared" si="99"/>
        <v>1063</v>
      </c>
      <c r="M1065">
        <f>'Real Analysis'!$B$3+B1065/1000000</f>
        <v>25.195875000004889</v>
      </c>
      <c r="N1065">
        <f t="shared" si="100"/>
        <v>0</v>
      </c>
      <c r="O1065">
        <f>IF(ABS(D1065)&gt;1,D1065/1000000,D1065)*'Real Analysis'!$B$4</f>
        <v>-0.12714741000000002</v>
      </c>
      <c r="P1065">
        <f>IF(ABS(E1065)&gt;1,E1065/1000000,E1065)*'Real Analysis'!$B$4</f>
        <v>-3.8033369999999997E-2</v>
      </c>
      <c r="Q1065">
        <f>IF(ABS(F1065)&gt;1,F1065/1000000,F1065)*'Real Analysis'!$B$4</f>
        <v>9.8529776099999999</v>
      </c>
      <c r="R1065">
        <f t="shared" si="101"/>
        <v>0</v>
      </c>
      <c r="S1065">
        <f t="shared" si="102"/>
        <v>0</v>
      </c>
      <c r="T1065">
        <f t="shared" si="103"/>
        <v>0</v>
      </c>
      <c r="U1065">
        <f t="shared" si="104"/>
        <v>0</v>
      </c>
    </row>
    <row r="1066" spans="1:21" x14ac:dyDescent="0.3">
      <c r="A1066" s="4">
        <v>1064</v>
      </c>
      <c r="B1066" s="4">
        <v>-96566766127</v>
      </c>
      <c r="C1066" s="5">
        <v>0</v>
      </c>
      <c r="D1066" s="5">
        <v>-1.291E-2</v>
      </c>
      <c r="E1066" s="5">
        <v>1.539E-3</v>
      </c>
      <c r="F1066" s="5">
        <v>1004024</v>
      </c>
      <c r="G1066" s="5">
        <v>0</v>
      </c>
      <c r="H1066" s="5">
        <v>0</v>
      </c>
      <c r="I1066" s="5">
        <v>0</v>
      </c>
      <c r="J1066" s="5">
        <v>0</v>
      </c>
      <c r="L1066">
        <f t="shared" si="99"/>
        <v>1064</v>
      </c>
      <c r="M1066">
        <f>'Real Analysis'!$B$3+B1066/1000000</f>
        <v>25.233873000004678</v>
      </c>
      <c r="N1066">
        <f t="shared" si="100"/>
        <v>0</v>
      </c>
      <c r="O1066">
        <f>IF(ABS(D1066)&gt;1,D1066/1000000,D1066)*'Real Analysis'!$B$4</f>
        <v>-0.12664710000000001</v>
      </c>
      <c r="P1066">
        <f>IF(ABS(E1066)&gt;1,E1066/1000000,E1066)*'Real Analysis'!$B$4</f>
        <v>1.5097590000000001E-2</v>
      </c>
      <c r="Q1066">
        <f>IF(ABS(F1066)&gt;1,F1066/1000000,F1066)*'Real Analysis'!$B$4</f>
        <v>9.8494754400000009</v>
      </c>
      <c r="R1066">
        <f t="shared" si="101"/>
        <v>0</v>
      </c>
      <c r="S1066">
        <f t="shared" si="102"/>
        <v>0</v>
      </c>
      <c r="T1066">
        <f t="shared" si="103"/>
        <v>0</v>
      </c>
      <c r="U1066">
        <f t="shared" si="104"/>
        <v>0</v>
      </c>
    </row>
    <row r="1067" spans="1:21" x14ac:dyDescent="0.3">
      <c r="A1067" s="4">
        <v>1065</v>
      </c>
      <c r="B1067" s="4">
        <v>-96566751408</v>
      </c>
      <c r="C1067" s="5">
        <v>0</v>
      </c>
      <c r="D1067" s="5">
        <v>-1.6289999999999999E-2</v>
      </c>
      <c r="E1067" s="5">
        <v>5.3420000000000004E-3</v>
      </c>
      <c r="F1067" s="5">
        <v>1004104</v>
      </c>
      <c r="G1067" s="5">
        <v>0</v>
      </c>
      <c r="H1067" s="5">
        <v>0</v>
      </c>
      <c r="I1067" s="5">
        <v>0</v>
      </c>
      <c r="J1067" s="5">
        <v>0</v>
      </c>
      <c r="L1067">
        <f t="shared" si="99"/>
        <v>1065</v>
      </c>
      <c r="M1067">
        <f>'Real Analysis'!$B$3+B1067/1000000</f>
        <v>25.248592000003555</v>
      </c>
      <c r="N1067">
        <f t="shared" si="100"/>
        <v>0</v>
      </c>
      <c r="O1067">
        <f>IF(ABS(D1067)&gt;1,D1067/1000000,D1067)*'Real Analysis'!$B$4</f>
        <v>-0.1598049</v>
      </c>
      <c r="P1067">
        <f>IF(ABS(E1067)&gt;1,E1067/1000000,E1067)*'Real Analysis'!$B$4</f>
        <v>5.2405020000000004E-2</v>
      </c>
      <c r="Q1067">
        <f>IF(ABS(F1067)&gt;1,F1067/1000000,F1067)*'Real Analysis'!$B$4</f>
        <v>9.8502602400000008</v>
      </c>
      <c r="R1067">
        <f t="shared" si="101"/>
        <v>0</v>
      </c>
      <c r="S1067">
        <f t="shared" si="102"/>
        <v>0</v>
      </c>
      <c r="T1067">
        <f t="shared" si="103"/>
        <v>0</v>
      </c>
      <c r="U1067">
        <f t="shared" si="104"/>
        <v>0</v>
      </c>
    </row>
    <row r="1068" spans="1:21" x14ac:dyDescent="0.3">
      <c r="A1068" s="4">
        <v>1066</v>
      </c>
      <c r="B1068" s="4">
        <v>-96566729515</v>
      </c>
      <c r="C1068" s="5">
        <v>0</v>
      </c>
      <c r="D1068" s="5">
        <v>-1.3124E-2</v>
      </c>
      <c r="E1068" s="5">
        <v>4.823E-3</v>
      </c>
      <c r="F1068" s="5">
        <v>1004179</v>
      </c>
      <c r="G1068" s="5">
        <v>0</v>
      </c>
      <c r="H1068" s="5">
        <v>0</v>
      </c>
      <c r="I1068" s="5">
        <v>0</v>
      </c>
      <c r="J1068" s="5">
        <v>0</v>
      </c>
      <c r="L1068">
        <f t="shared" si="99"/>
        <v>1066</v>
      </c>
      <c r="M1068">
        <f>'Real Analysis'!$B$3+B1068/1000000</f>
        <v>25.270485000000917</v>
      </c>
      <c r="N1068">
        <f t="shared" si="100"/>
        <v>0</v>
      </c>
      <c r="O1068">
        <f>IF(ABS(D1068)&gt;1,D1068/1000000,D1068)*'Real Analysis'!$B$4</f>
        <v>-0.12874644000000002</v>
      </c>
      <c r="P1068">
        <f>IF(ABS(E1068)&gt;1,E1068/1000000,E1068)*'Real Analysis'!$B$4</f>
        <v>4.7313630000000002E-2</v>
      </c>
      <c r="Q1068">
        <f>IF(ABS(F1068)&gt;1,F1068/1000000,F1068)*'Real Analysis'!$B$4</f>
        <v>9.8509959899999995</v>
      </c>
      <c r="R1068">
        <f t="shared" si="101"/>
        <v>0</v>
      </c>
      <c r="S1068">
        <f t="shared" si="102"/>
        <v>0</v>
      </c>
      <c r="T1068">
        <f t="shared" si="103"/>
        <v>0</v>
      </c>
      <c r="U1068">
        <f t="shared" si="104"/>
        <v>0</v>
      </c>
    </row>
    <row r="1069" spans="1:21" x14ac:dyDescent="0.3">
      <c r="A1069" s="4">
        <v>1067</v>
      </c>
      <c r="B1069" s="4">
        <v>-96566708350</v>
      </c>
      <c r="C1069" s="5">
        <v>0</v>
      </c>
      <c r="D1069" s="5">
        <v>-1.8905000000000002E-2</v>
      </c>
      <c r="E1069" s="5">
        <v>4.1749999999999999E-3</v>
      </c>
      <c r="F1069" s="5">
        <v>1003909</v>
      </c>
      <c r="G1069" s="5">
        <v>0</v>
      </c>
      <c r="H1069" s="5">
        <v>0</v>
      </c>
      <c r="I1069" s="5">
        <v>0</v>
      </c>
      <c r="J1069" s="5">
        <v>0</v>
      </c>
      <c r="L1069">
        <f t="shared" si="99"/>
        <v>1067</v>
      </c>
      <c r="M1069">
        <f>'Real Analysis'!$B$3+B1069/1000000</f>
        <v>25.291649999999208</v>
      </c>
      <c r="N1069">
        <f t="shared" si="100"/>
        <v>0</v>
      </c>
      <c r="O1069">
        <f>IF(ABS(D1069)&gt;1,D1069/1000000,D1069)*'Real Analysis'!$B$4</f>
        <v>-0.18545805000000001</v>
      </c>
      <c r="P1069">
        <f>IF(ABS(E1069)&gt;1,E1069/1000000,E1069)*'Real Analysis'!$B$4</f>
        <v>4.095675E-2</v>
      </c>
      <c r="Q1069">
        <f>IF(ABS(F1069)&gt;1,F1069/1000000,F1069)*'Real Analysis'!$B$4</f>
        <v>9.8483472899999995</v>
      </c>
      <c r="R1069">
        <f t="shared" si="101"/>
        <v>0</v>
      </c>
      <c r="S1069">
        <f t="shared" si="102"/>
        <v>0</v>
      </c>
      <c r="T1069">
        <f t="shared" si="103"/>
        <v>0</v>
      </c>
      <c r="U1069">
        <f t="shared" si="104"/>
        <v>0</v>
      </c>
    </row>
    <row r="1070" spans="1:21" x14ac:dyDescent="0.3">
      <c r="A1070" s="4">
        <v>1068</v>
      </c>
      <c r="B1070" s="4">
        <v>-96566688587</v>
      </c>
      <c r="C1070" s="5">
        <v>0</v>
      </c>
      <c r="D1070" s="5">
        <v>-1.2212000000000001E-2</v>
      </c>
      <c r="E1070" s="5">
        <v>-2.4369999999999999E-3</v>
      </c>
      <c r="F1070" s="5">
        <v>1002270</v>
      </c>
      <c r="G1070" s="5">
        <v>0</v>
      </c>
      <c r="H1070" s="5">
        <v>0</v>
      </c>
      <c r="I1070" s="5">
        <v>0</v>
      </c>
      <c r="J1070" s="5">
        <v>0</v>
      </c>
      <c r="L1070">
        <f t="shared" si="99"/>
        <v>1068</v>
      </c>
      <c r="M1070">
        <f>'Real Analysis'!$B$3+B1070/1000000</f>
        <v>25.311413000003085</v>
      </c>
      <c r="N1070">
        <f t="shared" si="100"/>
        <v>0</v>
      </c>
      <c r="O1070">
        <f>IF(ABS(D1070)&gt;1,D1070/1000000,D1070)*'Real Analysis'!$B$4</f>
        <v>-0.11979972000000001</v>
      </c>
      <c r="P1070">
        <f>IF(ABS(E1070)&gt;1,E1070/1000000,E1070)*'Real Analysis'!$B$4</f>
        <v>-2.390697E-2</v>
      </c>
      <c r="Q1070">
        <f>IF(ABS(F1070)&gt;1,F1070/1000000,F1070)*'Real Analysis'!$B$4</f>
        <v>9.8322687000000002</v>
      </c>
      <c r="R1070">
        <f t="shared" si="101"/>
        <v>0</v>
      </c>
      <c r="S1070">
        <f t="shared" si="102"/>
        <v>0</v>
      </c>
      <c r="T1070">
        <f t="shared" si="103"/>
        <v>0</v>
      </c>
      <c r="U1070">
        <f t="shared" si="104"/>
        <v>0</v>
      </c>
    </row>
    <row r="1071" spans="1:21" x14ac:dyDescent="0.3">
      <c r="A1071" s="4">
        <v>1069</v>
      </c>
      <c r="B1071" s="4">
        <v>-96566668914</v>
      </c>
      <c r="C1071" s="5">
        <v>0</v>
      </c>
      <c r="D1071" s="5">
        <v>-1.702E-2</v>
      </c>
      <c r="E1071" s="5">
        <v>-2.7000000000000001E-3</v>
      </c>
      <c r="F1071" s="5">
        <v>0.99753700000000001</v>
      </c>
      <c r="G1071" s="5">
        <v>0</v>
      </c>
      <c r="H1071" s="5">
        <v>0</v>
      </c>
      <c r="I1071" s="5">
        <v>0</v>
      </c>
      <c r="J1071" s="5">
        <v>0</v>
      </c>
      <c r="L1071">
        <f t="shared" si="99"/>
        <v>1069</v>
      </c>
      <c r="M1071">
        <f>'Real Analysis'!$B$3+B1071/1000000</f>
        <v>25.331086000005598</v>
      </c>
      <c r="N1071">
        <f t="shared" si="100"/>
        <v>0</v>
      </c>
      <c r="O1071">
        <f>IF(ABS(D1071)&gt;1,D1071/1000000,D1071)*'Real Analysis'!$B$4</f>
        <v>-0.16696620000000001</v>
      </c>
      <c r="P1071">
        <f>IF(ABS(E1071)&gt;1,E1071/1000000,E1071)*'Real Analysis'!$B$4</f>
        <v>-2.6487000000000004E-2</v>
      </c>
      <c r="Q1071">
        <f>IF(ABS(F1071)&gt;1,F1071/1000000,F1071)*'Real Analysis'!$B$4</f>
        <v>9.7858379700000011</v>
      </c>
      <c r="R1071">
        <f t="shared" si="101"/>
        <v>0</v>
      </c>
      <c r="S1071">
        <f t="shared" si="102"/>
        <v>0</v>
      </c>
      <c r="T1071">
        <f t="shared" si="103"/>
        <v>0</v>
      </c>
      <c r="U1071">
        <f t="shared" si="104"/>
        <v>0</v>
      </c>
    </row>
    <row r="1072" spans="1:21" x14ac:dyDescent="0.3">
      <c r="A1072" s="4">
        <v>1070</v>
      </c>
      <c r="B1072" s="4">
        <v>-96566653461</v>
      </c>
      <c r="C1072" s="5">
        <v>0</v>
      </c>
      <c r="D1072" s="5">
        <v>-1.3943000000000001E-2</v>
      </c>
      <c r="E1072" s="5">
        <v>-3.859E-3</v>
      </c>
      <c r="F1072" s="5">
        <v>1005810</v>
      </c>
      <c r="G1072" s="5">
        <v>0</v>
      </c>
      <c r="H1072" s="5">
        <v>0</v>
      </c>
      <c r="I1072" s="5">
        <v>0</v>
      </c>
      <c r="J1072" s="5">
        <v>0</v>
      </c>
      <c r="L1072">
        <f t="shared" si="99"/>
        <v>1070</v>
      </c>
      <c r="M1072">
        <f>'Real Analysis'!$B$3+B1072/1000000</f>
        <v>25.346539000005578</v>
      </c>
      <c r="N1072">
        <f t="shared" si="100"/>
        <v>0</v>
      </c>
      <c r="O1072">
        <f>IF(ABS(D1072)&gt;1,D1072/1000000,D1072)*'Real Analysis'!$B$4</f>
        <v>-0.13678083000000002</v>
      </c>
      <c r="P1072">
        <f>IF(ABS(E1072)&gt;1,E1072/1000000,E1072)*'Real Analysis'!$B$4</f>
        <v>-3.7856790000000001E-2</v>
      </c>
      <c r="Q1072">
        <f>IF(ABS(F1072)&gt;1,F1072/1000000,F1072)*'Real Analysis'!$B$4</f>
        <v>9.8669961000000015</v>
      </c>
      <c r="R1072">
        <f t="shared" si="101"/>
        <v>0</v>
      </c>
      <c r="S1072">
        <f t="shared" si="102"/>
        <v>0</v>
      </c>
      <c r="T1072">
        <f t="shared" si="103"/>
        <v>0</v>
      </c>
      <c r="U1072">
        <f t="shared" si="104"/>
        <v>0</v>
      </c>
    </row>
    <row r="1073" spans="1:21" x14ac:dyDescent="0.3">
      <c r="A1073" s="4">
        <v>1071</v>
      </c>
      <c r="B1073" s="4">
        <v>-96566633194</v>
      </c>
      <c r="C1073" s="5">
        <v>0</v>
      </c>
      <c r="D1073" s="5">
        <v>-1.4385999999999999E-2</v>
      </c>
      <c r="E1073" s="5">
        <v>-3.3570000000000002E-3</v>
      </c>
      <c r="F1073" s="5">
        <v>1003720</v>
      </c>
      <c r="G1073" s="5">
        <v>0</v>
      </c>
      <c r="H1073" s="5">
        <v>0</v>
      </c>
      <c r="I1073" s="5">
        <v>0</v>
      </c>
      <c r="J1073" s="5">
        <v>0</v>
      </c>
      <c r="L1073">
        <f t="shared" si="99"/>
        <v>1071</v>
      </c>
      <c r="M1073">
        <f>'Real Analysis'!$B$3+B1073/1000000</f>
        <v>25.366806000005454</v>
      </c>
      <c r="N1073">
        <f t="shared" si="100"/>
        <v>0</v>
      </c>
      <c r="O1073">
        <f>IF(ABS(D1073)&gt;1,D1073/1000000,D1073)*'Real Analysis'!$B$4</f>
        <v>-0.14112666000000001</v>
      </c>
      <c r="P1073">
        <f>IF(ABS(E1073)&gt;1,E1073/1000000,E1073)*'Real Analysis'!$B$4</f>
        <v>-3.2932170000000004E-2</v>
      </c>
      <c r="Q1073">
        <f>IF(ABS(F1073)&gt;1,F1073/1000000,F1073)*'Real Analysis'!$B$4</f>
        <v>9.8464931999999994</v>
      </c>
      <c r="R1073">
        <f t="shared" si="101"/>
        <v>0</v>
      </c>
      <c r="S1073">
        <f t="shared" si="102"/>
        <v>0</v>
      </c>
      <c r="T1073">
        <f t="shared" si="103"/>
        <v>0</v>
      </c>
      <c r="U1073">
        <f t="shared" si="104"/>
        <v>0</v>
      </c>
    </row>
    <row r="1074" spans="1:21" x14ac:dyDescent="0.3">
      <c r="A1074" s="4">
        <v>1072</v>
      </c>
      <c r="B1074" s="4">
        <v>-96566608242</v>
      </c>
      <c r="C1074" s="5">
        <v>0</v>
      </c>
      <c r="D1074" s="5">
        <v>-1.5219E-2</v>
      </c>
      <c r="E1074" s="5">
        <v>5.1009999999999996E-3</v>
      </c>
      <c r="F1074" s="5">
        <v>1003973</v>
      </c>
      <c r="G1074" s="5">
        <v>0</v>
      </c>
      <c r="H1074" s="5">
        <v>0</v>
      </c>
      <c r="I1074" s="5">
        <v>0</v>
      </c>
      <c r="J1074" s="5">
        <v>0</v>
      </c>
      <c r="L1074">
        <f t="shared" si="99"/>
        <v>1072</v>
      </c>
      <c r="M1074">
        <f>'Real Analysis'!$B$3+B1074/1000000</f>
        <v>25.391757999997935</v>
      </c>
      <c r="N1074">
        <f t="shared" si="100"/>
        <v>0</v>
      </c>
      <c r="O1074">
        <f>IF(ABS(D1074)&gt;1,D1074/1000000,D1074)*'Real Analysis'!$B$4</f>
        <v>-0.14929839</v>
      </c>
      <c r="P1074">
        <f>IF(ABS(E1074)&gt;1,E1074/1000000,E1074)*'Real Analysis'!$B$4</f>
        <v>5.0040809999999998E-2</v>
      </c>
      <c r="Q1074">
        <f>IF(ABS(F1074)&gt;1,F1074/1000000,F1074)*'Real Analysis'!$B$4</f>
        <v>9.8489751300000012</v>
      </c>
      <c r="R1074">
        <f t="shared" si="101"/>
        <v>0</v>
      </c>
      <c r="S1074">
        <f t="shared" si="102"/>
        <v>0</v>
      </c>
      <c r="T1074">
        <f t="shared" si="103"/>
        <v>0</v>
      </c>
      <c r="U1074">
        <f t="shared" si="104"/>
        <v>0</v>
      </c>
    </row>
    <row r="1075" spans="1:21" x14ac:dyDescent="0.3">
      <c r="A1075" s="4">
        <v>1073</v>
      </c>
      <c r="B1075" s="4">
        <v>-96566590125</v>
      </c>
      <c r="C1075" s="5">
        <v>0</v>
      </c>
      <c r="D1075" s="5">
        <v>-1.5295E-2</v>
      </c>
      <c r="E1075" s="5">
        <v>1.0399999999999999E-4</v>
      </c>
      <c r="F1075" s="5">
        <v>1004184</v>
      </c>
      <c r="G1075" s="5">
        <v>0</v>
      </c>
      <c r="H1075" s="5">
        <v>0</v>
      </c>
      <c r="I1075" s="5">
        <v>0</v>
      </c>
      <c r="J1075" s="5">
        <v>0</v>
      </c>
      <c r="L1075">
        <f t="shared" si="99"/>
        <v>1073</v>
      </c>
      <c r="M1075">
        <f>'Real Analysis'!$B$3+B1075/1000000</f>
        <v>25.409874999997555</v>
      </c>
      <c r="N1075">
        <f t="shared" si="100"/>
        <v>0</v>
      </c>
      <c r="O1075">
        <f>IF(ABS(D1075)&gt;1,D1075/1000000,D1075)*'Real Analysis'!$B$4</f>
        <v>-0.15004395000000001</v>
      </c>
      <c r="P1075">
        <f>IF(ABS(E1075)&gt;1,E1075/1000000,E1075)*'Real Analysis'!$B$4</f>
        <v>1.0202399999999999E-3</v>
      </c>
      <c r="Q1075">
        <f>IF(ABS(F1075)&gt;1,F1075/1000000,F1075)*'Real Analysis'!$B$4</f>
        <v>9.8510450400000007</v>
      </c>
      <c r="R1075">
        <f t="shared" si="101"/>
        <v>0</v>
      </c>
      <c r="S1075">
        <f t="shared" si="102"/>
        <v>0</v>
      </c>
      <c r="T1075">
        <f t="shared" si="103"/>
        <v>0</v>
      </c>
      <c r="U1075">
        <f t="shared" si="104"/>
        <v>0</v>
      </c>
    </row>
    <row r="1076" spans="1:21" x14ac:dyDescent="0.3">
      <c r="A1076" s="4">
        <v>1074</v>
      </c>
      <c r="B1076" s="4">
        <v>-96566567304</v>
      </c>
      <c r="C1076" s="5">
        <v>0</v>
      </c>
      <c r="D1076" s="5">
        <v>-1.2324E-2</v>
      </c>
      <c r="E1076" s="5">
        <v>3.86E-4</v>
      </c>
      <c r="F1076" s="5">
        <v>1004211</v>
      </c>
      <c r="G1076" s="5">
        <v>0</v>
      </c>
      <c r="H1076" s="5">
        <v>0</v>
      </c>
      <c r="I1076" s="5">
        <v>0</v>
      </c>
      <c r="J1076" s="5">
        <v>0</v>
      </c>
      <c r="L1076">
        <f t="shared" si="99"/>
        <v>1074</v>
      </c>
      <c r="M1076">
        <f>'Real Analysis'!$B$3+B1076/1000000</f>
        <v>25.432696000003489</v>
      </c>
      <c r="N1076">
        <f t="shared" si="100"/>
        <v>0</v>
      </c>
      <c r="O1076">
        <f>IF(ABS(D1076)&gt;1,D1076/1000000,D1076)*'Real Analysis'!$B$4</f>
        <v>-0.12089844000000001</v>
      </c>
      <c r="P1076">
        <f>IF(ABS(E1076)&gt;1,E1076/1000000,E1076)*'Real Analysis'!$B$4</f>
        <v>3.7866600000000003E-3</v>
      </c>
      <c r="Q1076">
        <f>IF(ABS(F1076)&gt;1,F1076/1000000,F1076)*'Real Analysis'!$B$4</f>
        <v>9.8513099099999994</v>
      </c>
      <c r="R1076">
        <f t="shared" si="101"/>
        <v>0</v>
      </c>
      <c r="S1076">
        <f t="shared" si="102"/>
        <v>0</v>
      </c>
      <c r="T1076">
        <f t="shared" si="103"/>
        <v>0</v>
      </c>
      <c r="U1076">
        <f t="shared" si="104"/>
        <v>0</v>
      </c>
    </row>
    <row r="1077" spans="1:21" x14ac:dyDescent="0.3">
      <c r="A1077" s="4">
        <v>1075</v>
      </c>
      <c r="B1077" s="4">
        <v>-96566551181</v>
      </c>
      <c r="C1077" s="5">
        <v>0</v>
      </c>
      <c r="D1077" s="5">
        <v>-1.3847E-2</v>
      </c>
      <c r="E1077" s="5">
        <v>2.6979999999999999E-3</v>
      </c>
      <c r="F1077" s="5">
        <v>1004115</v>
      </c>
      <c r="G1077" s="5">
        <v>0</v>
      </c>
      <c r="H1077" s="5">
        <v>0</v>
      </c>
      <c r="I1077" s="5">
        <v>0</v>
      </c>
      <c r="J1077" s="5">
        <v>0</v>
      </c>
      <c r="L1077">
        <f t="shared" si="99"/>
        <v>1075</v>
      </c>
      <c r="M1077">
        <f>'Real Analysis'!$B$3+B1077/1000000</f>
        <v>25.448818999997457</v>
      </c>
      <c r="N1077">
        <f t="shared" si="100"/>
        <v>0</v>
      </c>
      <c r="O1077">
        <f>IF(ABS(D1077)&gt;1,D1077/1000000,D1077)*'Real Analysis'!$B$4</f>
        <v>-0.13583907000000001</v>
      </c>
      <c r="P1077">
        <f>IF(ABS(E1077)&gt;1,E1077/1000000,E1077)*'Real Analysis'!$B$4</f>
        <v>2.6467379999999999E-2</v>
      </c>
      <c r="Q1077">
        <f>IF(ABS(F1077)&gt;1,F1077/1000000,F1077)*'Real Analysis'!$B$4</f>
        <v>9.8503681500000013</v>
      </c>
      <c r="R1077">
        <f t="shared" si="101"/>
        <v>0</v>
      </c>
      <c r="S1077">
        <f t="shared" si="102"/>
        <v>0</v>
      </c>
      <c r="T1077">
        <f t="shared" si="103"/>
        <v>0</v>
      </c>
      <c r="U1077">
        <f t="shared" si="104"/>
        <v>0</v>
      </c>
    </row>
    <row r="1078" spans="1:21" x14ac:dyDescent="0.3">
      <c r="A1078" s="4">
        <v>1076</v>
      </c>
      <c r="B1078" s="4">
        <v>-96566532677</v>
      </c>
      <c r="C1078" s="5">
        <v>0</v>
      </c>
      <c r="D1078" s="5">
        <v>-2.1426000000000001E-2</v>
      </c>
      <c r="E1078" s="5">
        <v>3.5920000000000001E-3</v>
      </c>
      <c r="F1078" s="5">
        <v>1003835</v>
      </c>
      <c r="G1078" s="5">
        <v>0</v>
      </c>
      <c r="H1078" s="5">
        <v>0</v>
      </c>
      <c r="I1078" s="5">
        <v>0</v>
      </c>
      <c r="J1078" s="5">
        <v>0</v>
      </c>
      <c r="L1078">
        <f t="shared" si="99"/>
        <v>1076</v>
      </c>
      <c r="M1078">
        <f>'Real Analysis'!$B$3+B1078/1000000</f>
        <v>25.467323000004399</v>
      </c>
      <c r="N1078">
        <f t="shared" si="100"/>
        <v>0</v>
      </c>
      <c r="O1078">
        <f>IF(ABS(D1078)&gt;1,D1078/1000000,D1078)*'Real Analysis'!$B$4</f>
        <v>-0.21018906000000001</v>
      </c>
      <c r="P1078">
        <f>IF(ABS(E1078)&gt;1,E1078/1000000,E1078)*'Real Analysis'!$B$4</f>
        <v>3.5237520000000001E-2</v>
      </c>
      <c r="Q1078">
        <f>IF(ABS(F1078)&gt;1,F1078/1000000,F1078)*'Real Analysis'!$B$4</f>
        <v>9.8476213500000007</v>
      </c>
      <c r="R1078">
        <f t="shared" si="101"/>
        <v>0</v>
      </c>
      <c r="S1078">
        <f t="shared" si="102"/>
        <v>0</v>
      </c>
      <c r="T1078">
        <f t="shared" si="103"/>
        <v>0</v>
      </c>
      <c r="U1078">
        <f t="shared" si="104"/>
        <v>0</v>
      </c>
    </row>
    <row r="1079" spans="1:21" x14ac:dyDescent="0.3">
      <c r="A1079" s="4">
        <v>1077</v>
      </c>
      <c r="B1079" s="4">
        <v>-96566512644</v>
      </c>
      <c r="C1079" s="5">
        <v>0</v>
      </c>
      <c r="D1079" s="5">
        <v>-1.3756000000000001E-2</v>
      </c>
      <c r="E1079" s="5">
        <v>1.2669999999999999E-3</v>
      </c>
      <c r="F1079" s="5">
        <v>1004120</v>
      </c>
      <c r="G1079" s="5">
        <v>0</v>
      </c>
      <c r="H1079" s="5">
        <v>0</v>
      </c>
      <c r="I1079" s="5">
        <v>0</v>
      </c>
      <c r="J1079" s="5">
        <v>0</v>
      </c>
      <c r="L1079">
        <f t="shared" si="99"/>
        <v>1077</v>
      </c>
      <c r="M1079">
        <f>'Real Analysis'!$B$3+B1079/1000000</f>
        <v>25.487355999997817</v>
      </c>
      <c r="N1079">
        <f t="shared" si="100"/>
        <v>0</v>
      </c>
      <c r="O1079">
        <f>IF(ABS(D1079)&gt;1,D1079/1000000,D1079)*'Real Analysis'!$B$4</f>
        <v>-0.13494636000000002</v>
      </c>
      <c r="P1079">
        <f>IF(ABS(E1079)&gt;1,E1079/1000000,E1079)*'Real Analysis'!$B$4</f>
        <v>1.2429269999999999E-2</v>
      </c>
      <c r="Q1079">
        <f>IF(ABS(F1079)&gt;1,F1079/1000000,F1079)*'Real Analysis'!$B$4</f>
        <v>9.850417199999999</v>
      </c>
      <c r="R1079">
        <f t="shared" si="101"/>
        <v>0</v>
      </c>
      <c r="S1079">
        <f t="shared" si="102"/>
        <v>0</v>
      </c>
      <c r="T1079">
        <f t="shared" si="103"/>
        <v>0</v>
      </c>
      <c r="U1079">
        <f t="shared" si="104"/>
        <v>0</v>
      </c>
    </row>
    <row r="1080" spans="1:21" x14ac:dyDescent="0.3">
      <c r="A1080" s="4">
        <v>1078</v>
      </c>
      <c r="B1080" s="4">
        <v>-96566487321</v>
      </c>
      <c r="C1080" s="5">
        <v>0</v>
      </c>
      <c r="D1080" s="5">
        <v>-1.2943E-2</v>
      </c>
      <c r="E1080" s="5">
        <v>6.4000000000000003E-3</v>
      </c>
      <c r="F1080" s="5">
        <v>1004141</v>
      </c>
      <c r="G1080" s="5">
        <v>0</v>
      </c>
      <c r="H1080" s="5">
        <v>0</v>
      </c>
      <c r="I1080" s="5">
        <v>0</v>
      </c>
      <c r="J1080" s="5">
        <v>0</v>
      </c>
      <c r="L1080">
        <f t="shared" si="99"/>
        <v>1078</v>
      </c>
      <c r="M1080">
        <f>'Real Analysis'!$B$3+B1080/1000000</f>
        <v>25.512679000006756</v>
      </c>
      <c r="N1080">
        <f t="shared" si="100"/>
        <v>0</v>
      </c>
      <c r="O1080">
        <f>IF(ABS(D1080)&gt;1,D1080/1000000,D1080)*'Real Analysis'!$B$4</f>
        <v>-0.12697083000000001</v>
      </c>
      <c r="P1080">
        <f>IF(ABS(E1080)&gt;1,E1080/1000000,E1080)*'Real Analysis'!$B$4</f>
        <v>6.2784000000000006E-2</v>
      </c>
      <c r="Q1080">
        <f>IF(ABS(F1080)&gt;1,F1080/1000000,F1080)*'Real Analysis'!$B$4</f>
        <v>9.8506232100000002</v>
      </c>
      <c r="R1080">
        <f t="shared" si="101"/>
        <v>0</v>
      </c>
      <c r="S1080">
        <f t="shared" si="102"/>
        <v>0</v>
      </c>
      <c r="T1080">
        <f t="shared" si="103"/>
        <v>0</v>
      </c>
      <c r="U1080">
        <f t="shared" si="104"/>
        <v>0</v>
      </c>
    </row>
    <row r="1081" spans="1:21" x14ac:dyDescent="0.3">
      <c r="A1081" s="4">
        <v>1079</v>
      </c>
      <c r="B1081" s="4">
        <v>-96566467793</v>
      </c>
      <c r="C1081" s="5">
        <v>0</v>
      </c>
      <c r="D1081" s="5">
        <v>-1.3108E-2</v>
      </c>
      <c r="E1081" s="5">
        <v>3.882E-3</v>
      </c>
      <c r="F1081" s="5">
        <v>1004148</v>
      </c>
      <c r="G1081" s="5">
        <v>0</v>
      </c>
      <c r="H1081" s="5">
        <v>0</v>
      </c>
      <c r="I1081" s="5">
        <v>0</v>
      </c>
      <c r="J1081" s="5">
        <v>0</v>
      </c>
      <c r="L1081">
        <f t="shared" si="99"/>
        <v>1079</v>
      </c>
      <c r="M1081">
        <f>'Real Analysis'!$B$3+B1081/1000000</f>
        <v>25.532206999996561</v>
      </c>
      <c r="N1081">
        <f t="shared" si="100"/>
        <v>0</v>
      </c>
      <c r="O1081">
        <f>IF(ABS(D1081)&gt;1,D1081/1000000,D1081)*'Real Analysis'!$B$4</f>
        <v>-0.12858948000000001</v>
      </c>
      <c r="P1081">
        <f>IF(ABS(E1081)&gt;1,E1081/1000000,E1081)*'Real Analysis'!$B$4</f>
        <v>3.8082420000000006E-2</v>
      </c>
      <c r="Q1081">
        <f>IF(ABS(F1081)&gt;1,F1081/1000000,F1081)*'Real Analysis'!$B$4</f>
        <v>9.8506918800000012</v>
      </c>
      <c r="R1081">
        <f t="shared" si="101"/>
        <v>0</v>
      </c>
      <c r="S1081">
        <f t="shared" si="102"/>
        <v>0</v>
      </c>
      <c r="T1081">
        <f t="shared" si="103"/>
        <v>0</v>
      </c>
      <c r="U1081">
        <f t="shared" si="104"/>
        <v>0</v>
      </c>
    </row>
    <row r="1082" spans="1:21" x14ac:dyDescent="0.3">
      <c r="A1082" s="4">
        <v>1080</v>
      </c>
      <c r="B1082" s="4">
        <v>-96566449920</v>
      </c>
      <c r="C1082" s="5">
        <v>0</v>
      </c>
      <c r="D1082" s="5">
        <v>-1.3043000000000001E-2</v>
      </c>
      <c r="E1082" s="5">
        <v>4.4479999999999997E-3</v>
      </c>
      <c r="F1082" s="5">
        <v>1004147</v>
      </c>
      <c r="G1082" s="5">
        <v>0</v>
      </c>
      <c r="H1082" s="5">
        <v>0</v>
      </c>
      <c r="I1082" s="5">
        <v>0</v>
      </c>
      <c r="J1082" s="5">
        <v>0</v>
      </c>
      <c r="L1082">
        <f t="shared" si="99"/>
        <v>1080</v>
      </c>
      <c r="M1082">
        <f>'Real Analysis'!$B$3+B1082/1000000</f>
        <v>25.550080000000889</v>
      </c>
      <c r="N1082">
        <f t="shared" si="100"/>
        <v>0</v>
      </c>
      <c r="O1082">
        <f>IF(ABS(D1082)&gt;1,D1082/1000000,D1082)*'Real Analysis'!$B$4</f>
        <v>-0.12795183000000002</v>
      </c>
      <c r="P1082">
        <f>IF(ABS(E1082)&gt;1,E1082/1000000,E1082)*'Real Analysis'!$B$4</f>
        <v>4.3634880000000001E-2</v>
      </c>
      <c r="Q1082">
        <f>IF(ABS(F1082)&gt;1,F1082/1000000,F1082)*'Real Analysis'!$B$4</f>
        <v>9.8506820699999995</v>
      </c>
      <c r="R1082">
        <f t="shared" si="101"/>
        <v>0</v>
      </c>
      <c r="S1082">
        <f t="shared" si="102"/>
        <v>0</v>
      </c>
      <c r="T1082">
        <f t="shared" si="103"/>
        <v>0</v>
      </c>
      <c r="U1082">
        <f t="shared" si="104"/>
        <v>0</v>
      </c>
    </row>
    <row r="1083" spans="1:21" x14ac:dyDescent="0.3">
      <c r="A1083" s="4">
        <v>1081</v>
      </c>
      <c r="B1083" s="4">
        <v>-96566431328</v>
      </c>
      <c r="C1083" s="5">
        <v>0</v>
      </c>
      <c r="D1083" s="5">
        <v>-1.2924E-2</v>
      </c>
      <c r="E1083" s="5">
        <v>-4.6080000000000001E-3</v>
      </c>
      <c r="F1083" s="5">
        <v>1004164</v>
      </c>
      <c r="G1083" s="5">
        <v>0</v>
      </c>
      <c r="H1083" s="5">
        <v>0</v>
      </c>
      <c r="I1083" s="5">
        <v>0</v>
      </c>
      <c r="J1083" s="5">
        <v>0</v>
      </c>
      <c r="L1083">
        <f t="shared" si="99"/>
        <v>1081</v>
      </c>
      <c r="M1083">
        <f>'Real Analysis'!$B$3+B1083/1000000</f>
        <v>25.568671999993967</v>
      </c>
      <c r="N1083">
        <f t="shared" si="100"/>
        <v>0</v>
      </c>
      <c r="O1083">
        <f>IF(ABS(D1083)&gt;1,D1083/1000000,D1083)*'Real Analysis'!$B$4</f>
        <v>-0.12678444</v>
      </c>
      <c r="P1083">
        <f>IF(ABS(E1083)&gt;1,E1083/1000000,E1083)*'Real Analysis'!$B$4</f>
        <v>-4.5204480000000005E-2</v>
      </c>
      <c r="Q1083">
        <f>IF(ABS(F1083)&gt;1,F1083/1000000,F1083)*'Real Analysis'!$B$4</f>
        <v>9.8508488400000012</v>
      </c>
      <c r="R1083">
        <f t="shared" si="101"/>
        <v>0</v>
      </c>
      <c r="S1083">
        <f t="shared" si="102"/>
        <v>0</v>
      </c>
      <c r="T1083">
        <f t="shared" si="103"/>
        <v>0</v>
      </c>
      <c r="U1083">
        <f t="shared" si="104"/>
        <v>0</v>
      </c>
    </row>
    <row r="1084" spans="1:21" x14ac:dyDescent="0.3">
      <c r="A1084" s="4">
        <v>1082</v>
      </c>
      <c r="B1084" s="4">
        <v>-96566408005</v>
      </c>
      <c r="C1084" s="5">
        <v>0</v>
      </c>
      <c r="D1084" s="5">
        <v>-1.2978E-2</v>
      </c>
      <c r="E1084" s="5">
        <v>-3.0490000000000001E-3</v>
      </c>
      <c r="F1084" s="5">
        <v>1004163</v>
      </c>
      <c r="G1084" s="5">
        <v>0</v>
      </c>
      <c r="H1084" s="5">
        <v>0</v>
      </c>
      <c r="I1084" s="5">
        <v>0</v>
      </c>
      <c r="J1084" s="5">
        <v>0</v>
      </c>
      <c r="L1084">
        <f t="shared" si="99"/>
        <v>1082</v>
      </c>
      <c r="M1084">
        <f>'Real Analysis'!$B$3+B1084/1000000</f>
        <v>25.591994999995222</v>
      </c>
      <c r="N1084">
        <f t="shared" si="100"/>
        <v>0</v>
      </c>
      <c r="O1084">
        <f>IF(ABS(D1084)&gt;1,D1084/1000000,D1084)*'Real Analysis'!$B$4</f>
        <v>-0.12731418</v>
      </c>
      <c r="P1084">
        <f>IF(ABS(E1084)&gt;1,E1084/1000000,E1084)*'Real Analysis'!$B$4</f>
        <v>-2.9910690000000004E-2</v>
      </c>
      <c r="Q1084">
        <f>IF(ABS(F1084)&gt;1,F1084/1000000,F1084)*'Real Analysis'!$B$4</f>
        <v>9.8508390299999995</v>
      </c>
      <c r="R1084">
        <f t="shared" si="101"/>
        <v>0</v>
      </c>
      <c r="S1084">
        <f t="shared" si="102"/>
        <v>0</v>
      </c>
      <c r="T1084">
        <f t="shared" si="103"/>
        <v>0</v>
      </c>
      <c r="U1084">
        <f t="shared" si="104"/>
        <v>0</v>
      </c>
    </row>
    <row r="1085" spans="1:21" x14ac:dyDescent="0.3">
      <c r="A1085" s="4">
        <v>1083</v>
      </c>
      <c r="B1085" s="4">
        <v>-96566395841</v>
      </c>
      <c r="C1085" s="5">
        <v>0</v>
      </c>
      <c r="D1085" s="5">
        <v>-1.2913000000000001E-2</v>
      </c>
      <c r="E1085" s="5">
        <v>-3.297E-3</v>
      </c>
      <c r="F1085" s="5">
        <v>1002598</v>
      </c>
      <c r="G1085" s="5">
        <v>0</v>
      </c>
      <c r="H1085" s="5">
        <v>0</v>
      </c>
      <c r="I1085" s="5">
        <v>0</v>
      </c>
      <c r="J1085" s="5">
        <v>0</v>
      </c>
      <c r="L1085">
        <f t="shared" si="99"/>
        <v>1083</v>
      </c>
      <c r="M1085">
        <f>'Real Analysis'!$B$3+B1085/1000000</f>
        <v>25.604158999994979</v>
      </c>
      <c r="N1085">
        <f t="shared" si="100"/>
        <v>0</v>
      </c>
      <c r="O1085">
        <f>IF(ABS(D1085)&gt;1,D1085/1000000,D1085)*'Real Analysis'!$B$4</f>
        <v>-0.12667653000000001</v>
      </c>
      <c r="P1085">
        <f>IF(ABS(E1085)&gt;1,E1085/1000000,E1085)*'Real Analysis'!$B$4</f>
        <v>-3.2343570000000002E-2</v>
      </c>
      <c r="Q1085">
        <f>IF(ABS(F1085)&gt;1,F1085/1000000,F1085)*'Real Analysis'!$B$4</f>
        <v>9.8354863800000008</v>
      </c>
      <c r="R1085">
        <f t="shared" si="101"/>
        <v>0</v>
      </c>
      <c r="S1085">
        <f t="shared" si="102"/>
        <v>0</v>
      </c>
      <c r="T1085">
        <f t="shared" si="103"/>
        <v>0</v>
      </c>
      <c r="U1085">
        <f t="shared" si="104"/>
        <v>0</v>
      </c>
    </row>
    <row r="1086" spans="1:21" x14ac:dyDescent="0.3">
      <c r="A1086" s="4">
        <v>1084</v>
      </c>
      <c r="B1086" s="4">
        <v>-96566371448</v>
      </c>
      <c r="C1086" s="5">
        <v>0</v>
      </c>
      <c r="D1086" s="5">
        <v>-1.2727E-2</v>
      </c>
      <c r="E1086" s="5">
        <v>-3.4480000000000001E-3</v>
      </c>
      <c r="F1086" s="5">
        <v>0.99556699999999998</v>
      </c>
      <c r="G1086" s="5">
        <v>0</v>
      </c>
      <c r="H1086" s="5">
        <v>0</v>
      </c>
      <c r="I1086" s="5">
        <v>0</v>
      </c>
      <c r="J1086" s="5">
        <v>0</v>
      </c>
      <c r="L1086">
        <f t="shared" si="99"/>
        <v>1084</v>
      </c>
      <c r="M1086">
        <f>'Real Analysis'!$B$3+B1086/1000000</f>
        <v>25.62855199999467</v>
      </c>
      <c r="N1086">
        <f t="shared" si="100"/>
        <v>0</v>
      </c>
      <c r="O1086">
        <f>IF(ABS(D1086)&gt;1,D1086/1000000,D1086)*'Real Analysis'!$B$4</f>
        <v>-0.12485187000000002</v>
      </c>
      <c r="P1086">
        <f>IF(ABS(E1086)&gt;1,E1086/1000000,E1086)*'Real Analysis'!$B$4</f>
        <v>-3.3824880000000002E-2</v>
      </c>
      <c r="Q1086">
        <f>IF(ABS(F1086)&gt;1,F1086/1000000,F1086)*'Real Analysis'!$B$4</f>
        <v>9.7665122699999998</v>
      </c>
      <c r="R1086">
        <f t="shared" si="101"/>
        <v>0</v>
      </c>
      <c r="S1086">
        <f t="shared" si="102"/>
        <v>0</v>
      </c>
      <c r="T1086">
        <f t="shared" si="103"/>
        <v>0</v>
      </c>
      <c r="U1086">
        <f t="shared" si="104"/>
        <v>0</v>
      </c>
    </row>
    <row r="1087" spans="1:21" x14ac:dyDescent="0.3">
      <c r="A1087" s="4">
        <v>1085</v>
      </c>
      <c r="B1087" s="4">
        <v>-96566350839</v>
      </c>
      <c r="C1087" s="5">
        <v>0</v>
      </c>
      <c r="D1087" s="5">
        <v>-1.2748000000000001E-2</v>
      </c>
      <c r="E1087" s="5">
        <v>-3.5869999999999999E-3</v>
      </c>
      <c r="F1087" s="5">
        <v>0.99562300000000004</v>
      </c>
      <c r="G1087" s="5">
        <v>0</v>
      </c>
      <c r="H1087" s="5">
        <v>0</v>
      </c>
      <c r="I1087" s="5">
        <v>0</v>
      </c>
      <c r="J1087" s="5">
        <v>0</v>
      </c>
      <c r="L1087">
        <f t="shared" si="99"/>
        <v>1085</v>
      </c>
      <c r="M1087">
        <f>'Real Analysis'!$B$3+B1087/1000000</f>
        <v>25.64916099999391</v>
      </c>
      <c r="N1087">
        <f t="shared" si="100"/>
        <v>0</v>
      </c>
      <c r="O1087">
        <f>IF(ABS(D1087)&gt;1,D1087/1000000,D1087)*'Real Analysis'!$B$4</f>
        <v>-0.12505788000000001</v>
      </c>
      <c r="P1087">
        <f>IF(ABS(E1087)&gt;1,E1087/1000000,E1087)*'Real Analysis'!$B$4</f>
        <v>-3.5188469999999999E-2</v>
      </c>
      <c r="Q1087">
        <f>IF(ABS(F1087)&gt;1,F1087/1000000,F1087)*'Real Analysis'!$B$4</f>
        <v>9.7670616300000006</v>
      </c>
      <c r="R1087">
        <f t="shared" si="101"/>
        <v>0</v>
      </c>
      <c r="S1087">
        <f t="shared" si="102"/>
        <v>0</v>
      </c>
      <c r="T1087">
        <f t="shared" si="103"/>
        <v>0</v>
      </c>
      <c r="U1087">
        <f t="shared" si="104"/>
        <v>0</v>
      </c>
    </row>
    <row r="1088" spans="1:21" x14ac:dyDescent="0.3">
      <c r="A1088" s="4">
        <v>1086</v>
      </c>
      <c r="B1088" s="4">
        <v>-96566329909</v>
      </c>
      <c r="C1088" s="5">
        <v>0</v>
      </c>
      <c r="D1088" s="5">
        <v>-1.2874E-2</v>
      </c>
      <c r="E1088" s="5">
        <v>-1.1400000000000001E-4</v>
      </c>
      <c r="F1088" s="5">
        <v>1004997</v>
      </c>
      <c r="G1088" s="5">
        <v>0</v>
      </c>
      <c r="H1088" s="5">
        <v>0</v>
      </c>
      <c r="I1088" s="5">
        <v>0</v>
      </c>
      <c r="J1088" s="5">
        <v>0</v>
      </c>
      <c r="L1088">
        <f t="shared" si="99"/>
        <v>1086</v>
      </c>
      <c r="M1088">
        <f>'Real Analysis'!$B$3+B1088/1000000</f>
        <v>25.670091000007233</v>
      </c>
      <c r="N1088">
        <f t="shared" si="100"/>
        <v>0</v>
      </c>
      <c r="O1088">
        <f>IF(ABS(D1088)&gt;1,D1088/1000000,D1088)*'Real Analysis'!$B$4</f>
        <v>-0.12629393999999999</v>
      </c>
      <c r="P1088">
        <f>IF(ABS(E1088)&gt;1,E1088/1000000,E1088)*'Real Analysis'!$B$4</f>
        <v>-1.1183400000000002E-3</v>
      </c>
      <c r="Q1088">
        <f>IF(ABS(F1088)&gt;1,F1088/1000000,F1088)*'Real Analysis'!$B$4</f>
        <v>9.8590205700000002</v>
      </c>
      <c r="R1088">
        <f t="shared" si="101"/>
        <v>0</v>
      </c>
      <c r="S1088">
        <f t="shared" si="102"/>
        <v>0</v>
      </c>
      <c r="T1088">
        <f t="shared" si="103"/>
        <v>0</v>
      </c>
      <c r="U1088">
        <f t="shared" si="104"/>
        <v>0</v>
      </c>
    </row>
    <row r="1089" spans="1:21" x14ac:dyDescent="0.3">
      <c r="A1089" s="4">
        <v>1087</v>
      </c>
      <c r="B1089" s="4">
        <v>-96566311840</v>
      </c>
      <c r="C1089" s="5">
        <v>0</v>
      </c>
      <c r="D1089" s="5">
        <v>-1.2813E-2</v>
      </c>
      <c r="E1089" s="5">
        <v>4.9410000000000001E-3</v>
      </c>
      <c r="F1089" s="5">
        <v>1003981</v>
      </c>
      <c r="G1089" s="5">
        <v>0</v>
      </c>
      <c r="H1089" s="5">
        <v>0</v>
      </c>
      <c r="I1089" s="5">
        <v>0</v>
      </c>
      <c r="J1089" s="5">
        <v>0</v>
      </c>
      <c r="L1089">
        <f t="shared" si="99"/>
        <v>1087</v>
      </c>
      <c r="M1089">
        <f>'Real Analysis'!$B$3+B1089/1000000</f>
        <v>25.688160000005155</v>
      </c>
      <c r="N1089">
        <f t="shared" si="100"/>
        <v>0</v>
      </c>
      <c r="O1089">
        <f>IF(ABS(D1089)&gt;1,D1089/1000000,D1089)*'Real Analysis'!$B$4</f>
        <v>-0.12569553</v>
      </c>
      <c r="P1089">
        <f>IF(ABS(E1089)&gt;1,E1089/1000000,E1089)*'Real Analysis'!$B$4</f>
        <v>4.8471210000000001E-2</v>
      </c>
      <c r="Q1089">
        <f>IF(ABS(F1089)&gt;1,F1089/1000000,F1089)*'Real Analysis'!$B$4</f>
        <v>9.8490536100000003</v>
      </c>
      <c r="R1089">
        <f t="shared" si="101"/>
        <v>0</v>
      </c>
      <c r="S1089">
        <f t="shared" si="102"/>
        <v>0</v>
      </c>
      <c r="T1089">
        <f t="shared" si="103"/>
        <v>0</v>
      </c>
      <c r="U1089">
        <f t="shared" si="104"/>
        <v>0</v>
      </c>
    </row>
    <row r="1090" spans="1:21" x14ac:dyDescent="0.3">
      <c r="A1090" s="4">
        <v>1088</v>
      </c>
      <c r="B1090" s="4">
        <v>-96566290677</v>
      </c>
      <c r="C1090" s="5">
        <v>0</v>
      </c>
      <c r="D1090" s="5">
        <v>-1.2895999999999999E-2</v>
      </c>
      <c r="E1090" s="5">
        <v>4.8739999999999999E-3</v>
      </c>
      <c r="F1090" s="5">
        <v>1004031</v>
      </c>
      <c r="G1090" s="5">
        <v>0</v>
      </c>
      <c r="H1090" s="5">
        <v>0</v>
      </c>
      <c r="I1090" s="5">
        <v>0</v>
      </c>
      <c r="J1090" s="5">
        <v>0</v>
      </c>
      <c r="L1090">
        <f t="shared" si="99"/>
        <v>1088</v>
      </c>
      <c r="M1090">
        <f>'Real Analysis'!$B$3+B1090/1000000</f>
        <v>25.709323000002769</v>
      </c>
      <c r="N1090">
        <f t="shared" si="100"/>
        <v>0</v>
      </c>
      <c r="O1090">
        <f>IF(ABS(D1090)&gt;1,D1090/1000000,D1090)*'Real Analysis'!$B$4</f>
        <v>-0.12650976</v>
      </c>
      <c r="P1090">
        <f>IF(ABS(E1090)&gt;1,E1090/1000000,E1090)*'Real Analysis'!$B$4</f>
        <v>4.7813939999999999E-2</v>
      </c>
      <c r="Q1090">
        <f>IF(ABS(F1090)&gt;1,F1090/1000000,F1090)*'Real Analysis'!$B$4</f>
        <v>9.8495441100000001</v>
      </c>
      <c r="R1090">
        <f t="shared" si="101"/>
        <v>0</v>
      </c>
      <c r="S1090">
        <f t="shared" si="102"/>
        <v>0</v>
      </c>
      <c r="T1090">
        <f t="shared" si="103"/>
        <v>0</v>
      </c>
      <c r="U1090">
        <f t="shared" si="104"/>
        <v>0</v>
      </c>
    </row>
    <row r="1091" spans="1:21" x14ac:dyDescent="0.3">
      <c r="A1091" s="4">
        <v>1089</v>
      </c>
      <c r="B1091" s="4">
        <v>-96566271593</v>
      </c>
      <c r="C1091" s="5">
        <v>0</v>
      </c>
      <c r="D1091" s="5">
        <v>-1.6407000000000001E-2</v>
      </c>
      <c r="E1091" s="5">
        <v>4.274E-3</v>
      </c>
      <c r="F1091" s="5">
        <v>1004049</v>
      </c>
      <c r="G1091" s="5">
        <v>0</v>
      </c>
      <c r="H1091" s="5">
        <v>0</v>
      </c>
      <c r="I1091" s="5">
        <v>0</v>
      </c>
      <c r="J1091" s="5">
        <v>0</v>
      </c>
      <c r="L1091">
        <f t="shared" ref="L1091:L1124" si="105">A1091</f>
        <v>1089</v>
      </c>
      <c r="M1091">
        <f>'Real Analysis'!$B$3+B1091/1000000</f>
        <v>25.728407000002335</v>
      </c>
      <c r="N1091">
        <f t="shared" ref="N1091:N1124" si="106">C1091</f>
        <v>0</v>
      </c>
      <c r="O1091">
        <f>IF(ABS(D1091)&gt;1,D1091/1000000,D1091)*'Real Analysis'!$B$4</f>
        <v>-0.16095267000000002</v>
      </c>
      <c r="P1091">
        <f>IF(ABS(E1091)&gt;1,E1091/1000000,E1091)*'Real Analysis'!$B$4</f>
        <v>4.1927940000000004E-2</v>
      </c>
      <c r="Q1091">
        <f>IF(ABS(F1091)&gt;1,F1091/1000000,F1091)*'Real Analysis'!$B$4</f>
        <v>9.8497206899999998</v>
      </c>
      <c r="R1091">
        <f t="shared" ref="R1091:R1124" si="107">IF(ABS(G1091)&gt;1,G1091/1000000,G1091)</f>
        <v>0</v>
      </c>
      <c r="S1091">
        <f t="shared" ref="S1091:S1124" si="108">IF(ABS(H1091)&gt;1,H1091/1000000,H1091)</f>
        <v>0</v>
      </c>
      <c r="T1091">
        <f t="shared" ref="T1091:T1124" si="109">IF(ABS(I1091)&gt;1,I1091/1000000,I1091)</f>
        <v>0</v>
      </c>
      <c r="U1091">
        <f t="shared" si="104"/>
        <v>0</v>
      </c>
    </row>
    <row r="1092" spans="1:21" x14ac:dyDescent="0.3">
      <c r="A1092" s="4">
        <v>1090</v>
      </c>
      <c r="B1092" s="4">
        <v>-96566247668</v>
      </c>
      <c r="C1092" s="5">
        <v>0</v>
      </c>
      <c r="D1092" s="5">
        <v>-1.1554E-2</v>
      </c>
      <c r="E1092" s="5">
        <v>2.5790000000000001E-3</v>
      </c>
      <c r="F1092" s="5">
        <v>1004231</v>
      </c>
      <c r="G1092" s="5">
        <v>0</v>
      </c>
      <c r="H1092" s="5">
        <v>0</v>
      </c>
      <c r="I1092" s="5">
        <v>0</v>
      </c>
      <c r="J1092" s="5">
        <v>0</v>
      </c>
      <c r="L1092">
        <f t="shared" si="105"/>
        <v>1090</v>
      </c>
      <c r="M1092">
        <f>'Real Analysis'!$B$3+B1092/1000000</f>
        <v>25.752332000003662</v>
      </c>
      <c r="N1092">
        <f t="shared" si="106"/>
        <v>0</v>
      </c>
      <c r="O1092">
        <f>IF(ABS(D1092)&gt;1,D1092/1000000,D1092)*'Real Analysis'!$B$4</f>
        <v>-0.11334474</v>
      </c>
      <c r="P1092">
        <f>IF(ABS(E1092)&gt;1,E1092/1000000,E1092)*'Real Analysis'!$B$4</f>
        <v>2.5299990000000001E-2</v>
      </c>
      <c r="Q1092">
        <f>IF(ABS(F1092)&gt;1,F1092/1000000,F1092)*'Real Analysis'!$B$4</f>
        <v>9.8515061100000008</v>
      </c>
      <c r="R1092">
        <f t="shared" si="107"/>
        <v>0</v>
      </c>
      <c r="S1092">
        <f t="shared" si="108"/>
        <v>0</v>
      </c>
      <c r="T1092">
        <f t="shared" si="109"/>
        <v>0</v>
      </c>
      <c r="U1092">
        <f t="shared" si="104"/>
        <v>0</v>
      </c>
    </row>
    <row r="1093" spans="1:21" x14ac:dyDescent="0.3">
      <c r="A1093" s="4">
        <v>1091</v>
      </c>
      <c r="B1093" s="4">
        <v>-96566231117</v>
      </c>
      <c r="C1093" s="5">
        <v>0</v>
      </c>
      <c r="D1093" s="5">
        <v>-1.2543E-2</v>
      </c>
      <c r="E1093" s="5">
        <v>4.9919999999999999E-3</v>
      </c>
      <c r="F1093" s="5">
        <v>1004144</v>
      </c>
      <c r="G1093" s="5">
        <v>0</v>
      </c>
      <c r="H1093" s="5">
        <v>0</v>
      </c>
      <c r="I1093" s="5">
        <v>0</v>
      </c>
      <c r="J1093" s="5">
        <v>0</v>
      </c>
      <c r="L1093">
        <f t="shared" si="105"/>
        <v>1091</v>
      </c>
      <c r="M1093">
        <f>'Real Analysis'!$B$3+B1093/1000000</f>
        <v>25.768882999997004</v>
      </c>
      <c r="N1093">
        <f t="shared" si="106"/>
        <v>0</v>
      </c>
      <c r="O1093">
        <f>IF(ABS(D1093)&gt;1,D1093/1000000,D1093)*'Real Analysis'!$B$4</f>
        <v>-0.12304683000000001</v>
      </c>
      <c r="P1093">
        <f>IF(ABS(E1093)&gt;1,E1093/1000000,E1093)*'Real Analysis'!$B$4</f>
        <v>4.8971520000000004E-2</v>
      </c>
      <c r="Q1093">
        <f>IF(ABS(F1093)&gt;1,F1093/1000000,F1093)*'Real Analysis'!$B$4</f>
        <v>9.8506526399999998</v>
      </c>
      <c r="R1093">
        <f t="shared" si="107"/>
        <v>0</v>
      </c>
      <c r="S1093">
        <f t="shared" si="108"/>
        <v>0</v>
      </c>
      <c r="T1093">
        <f t="shared" si="109"/>
        <v>0</v>
      </c>
      <c r="U1093">
        <f t="shared" si="104"/>
        <v>0</v>
      </c>
    </row>
    <row r="1094" spans="1:21" x14ac:dyDescent="0.3">
      <c r="A1094" s="4">
        <v>1092</v>
      </c>
      <c r="B1094" s="4">
        <v>-96566209919</v>
      </c>
      <c r="C1094" s="5">
        <v>0</v>
      </c>
      <c r="D1094" s="5">
        <v>-1.4726E-2</v>
      </c>
      <c r="E1094" s="5">
        <v>3.5950000000000001E-3</v>
      </c>
      <c r="F1094" s="5">
        <v>1004087</v>
      </c>
      <c r="G1094" s="5">
        <v>0</v>
      </c>
      <c r="H1094" s="5">
        <v>0</v>
      </c>
      <c r="I1094" s="5">
        <v>0</v>
      </c>
      <c r="J1094" s="5">
        <v>0</v>
      </c>
      <c r="L1094">
        <f t="shared" si="105"/>
        <v>1092</v>
      </c>
      <c r="M1094">
        <f>'Real Analysis'!$B$3+B1094/1000000</f>
        <v>25.790080999999191</v>
      </c>
      <c r="N1094">
        <f t="shared" si="106"/>
        <v>0</v>
      </c>
      <c r="O1094">
        <f>IF(ABS(D1094)&gt;1,D1094/1000000,D1094)*'Real Analysis'!$B$4</f>
        <v>-0.14446206</v>
      </c>
      <c r="P1094">
        <f>IF(ABS(E1094)&gt;1,E1094/1000000,E1094)*'Real Analysis'!$B$4</f>
        <v>3.5266950000000005E-2</v>
      </c>
      <c r="Q1094">
        <f>IF(ABS(F1094)&gt;1,F1094/1000000,F1094)*'Real Analysis'!$B$4</f>
        <v>9.8500934700000009</v>
      </c>
      <c r="R1094">
        <f t="shared" si="107"/>
        <v>0</v>
      </c>
      <c r="S1094">
        <f t="shared" si="108"/>
        <v>0</v>
      </c>
      <c r="T1094">
        <f t="shared" si="109"/>
        <v>0</v>
      </c>
      <c r="U1094">
        <f t="shared" si="104"/>
        <v>0</v>
      </c>
    </row>
    <row r="1095" spans="1:21" x14ac:dyDescent="0.3">
      <c r="A1095" s="4">
        <v>1093</v>
      </c>
      <c r="B1095" s="4">
        <v>-96566191149</v>
      </c>
      <c r="C1095" s="5">
        <v>0</v>
      </c>
      <c r="D1095" s="5">
        <v>-2.1949E-2</v>
      </c>
      <c r="E1095" s="5">
        <v>4.6369999999999996E-3</v>
      </c>
      <c r="F1095" s="5">
        <v>1003804</v>
      </c>
      <c r="G1095" s="5">
        <v>0</v>
      </c>
      <c r="H1095" s="5">
        <v>0</v>
      </c>
      <c r="I1095" s="5">
        <v>0</v>
      </c>
      <c r="J1095" s="5">
        <v>0</v>
      </c>
      <c r="L1095">
        <f t="shared" si="105"/>
        <v>1093</v>
      </c>
      <c r="M1095">
        <f>'Real Analysis'!$B$3+B1095/1000000</f>
        <v>25.80885099999432</v>
      </c>
      <c r="N1095">
        <f t="shared" si="106"/>
        <v>0</v>
      </c>
      <c r="O1095">
        <f>IF(ABS(D1095)&gt;1,D1095/1000000,D1095)*'Real Analysis'!$B$4</f>
        <v>-0.21531969000000001</v>
      </c>
      <c r="P1095">
        <f>IF(ABS(E1095)&gt;1,E1095/1000000,E1095)*'Real Analysis'!$B$4</f>
        <v>4.5488969999999997E-2</v>
      </c>
      <c r="Q1095">
        <f>IF(ABS(F1095)&gt;1,F1095/1000000,F1095)*'Real Analysis'!$B$4</f>
        <v>9.8473172399999989</v>
      </c>
      <c r="R1095">
        <f t="shared" si="107"/>
        <v>0</v>
      </c>
      <c r="S1095">
        <f t="shared" si="108"/>
        <v>0</v>
      </c>
      <c r="T1095">
        <f t="shared" si="109"/>
        <v>0</v>
      </c>
      <c r="U1095">
        <f t="shared" si="104"/>
        <v>0</v>
      </c>
    </row>
    <row r="1096" spans="1:21" x14ac:dyDescent="0.3">
      <c r="A1096" s="4">
        <v>1094</v>
      </c>
      <c r="B1096" s="4">
        <v>-96566170267</v>
      </c>
      <c r="C1096" s="5">
        <v>0</v>
      </c>
      <c r="D1096" s="5">
        <v>-2.0296999999999999E-2</v>
      </c>
      <c r="E1096" s="5">
        <v>4.2180000000000004E-3</v>
      </c>
      <c r="F1096" s="5">
        <v>0.995139</v>
      </c>
      <c r="G1096" s="5">
        <v>0</v>
      </c>
      <c r="H1096" s="5">
        <v>0</v>
      </c>
      <c r="I1096" s="5">
        <v>0</v>
      </c>
      <c r="J1096" s="5">
        <v>0</v>
      </c>
      <c r="L1096">
        <f t="shared" si="105"/>
        <v>1094</v>
      </c>
      <c r="M1096">
        <f>'Real Analysis'!$B$3+B1096/1000000</f>
        <v>25.829733000005945</v>
      </c>
      <c r="N1096">
        <f t="shared" si="106"/>
        <v>0</v>
      </c>
      <c r="O1096">
        <f>IF(ABS(D1096)&gt;1,D1096/1000000,D1096)*'Real Analysis'!$B$4</f>
        <v>-0.19911356999999999</v>
      </c>
      <c r="P1096">
        <f>IF(ABS(E1096)&gt;1,E1096/1000000,E1096)*'Real Analysis'!$B$4</f>
        <v>4.1378580000000005E-2</v>
      </c>
      <c r="Q1096">
        <f>IF(ABS(F1096)&gt;1,F1096/1000000,F1096)*'Real Analysis'!$B$4</f>
        <v>9.7623135899999998</v>
      </c>
      <c r="R1096">
        <f t="shared" si="107"/>
        <v>0</v>
      </c>
      <c r="S1096">
        <f t="shared" si="108"/>
        <v>0</v>
      </c>
      <c r="T1096">
        <f t="shared" si="109"/>
        <v>0</v>
      </c>
      <c r="U1096">
        <f t="shared" si="104"/>
        <v>0</v>
      </c>
    </row>
    <row r="1097" spans="1:21" x14ac:dyDescent="0.3">
      <c r="A1097" s="4">
        <v>1095</v>
      </c>
      <c r="B1097" s="4">
        <v>-96566155815</v>
      </c>
      <c r="C1097" s="5">
        <v>0</v>
      </c>
      <c r="D1097" s="5">
        <v>-1.3795E-2</v>
      </c>
      <c r="E1097" s="5">
        <v>2.7929999999999999E-3</v>
      </c>
      <c r="F1097" s="5">
        <v>1003900</v>
      </c>
      <c r="G1097" s="5">
        <v>0</v>
      </c>
      <c r="H1097" s="5">
        <v>0</v>
      </c>
      <c r="I1097" s="5">
        <v>0</v>
      </c>
      <c r="J1097" s="5">
        <v>0</v>
      </c>
      <c r="L1097">
        <f t="shared" si="105"/>
        <v>1095</v>
      </c>
      <c r="M1097">
        <f>'Real Analysis'!$B$3+B1097/1000000</f>
        <v>25.844184999994468</v>
      </c>
      <c r="N1097">
        <f t="shared" si="106"/>
        <v>0</v>
      </c>
      <c r="O1097">
        <f>IF(ABS(D1097)&gt;1,D1097/1000000,D1097)*'Real Analysis'!$B$4</f>
        <v>-0.13532895</v>
      </c>
      <c r="P1097">
        <f>IF(ABS(E1097)&gt;1,E1097/1000000,E1097)*'Real Analysis'!$B$4</f>
        <v>2.739933E-2</v>
      </c>
      <c r="Q1097">
        <f>IF(ABS(F1097)&gt;1,F1097/1000000,F1097)*'Real Analysis'!$B$4</f>
        <v>9.8482590000000005</v>
      </c>
      <c r="R1097">
        <f t="shared" si="107"/>
        <v>0</v>
      </c>
      <c r="S1097">
        <f t="shared" si="108"/>
        <v>0</v>
      </c>
      <c r="T1097">
        <f t="shared" si="109"/>
        <v>0</v>
      </c>
      <c r="U1097">
        <f t="shared" si="104"/>
        <v>0</v>
      </c>
    </row>
    <row r="1098" spans="1:21" x14ac:dyDescent="0.3">
      <c r="A1098" s="4">
        <v>1096</v>
      </c>
      <c r="B1098" s="4">
        <v>-96566130015</v>
      </c>
      <c r="C1098" s="5">
        <v>0</v>
      </c>
      <c r="D1098" s="5">
        <v>-1.3728000000000001E-2</v>
      </c>
      <c r="E1098" s="5">
        <v>2.1740000000000002E-3</v>
      </c>
      <c r="F1098" s="5">
        <v>1003226</v>
      </c>
      <c r="G1098" s="5">
        <v>0</v>
      </c>
      <c r="H1098" s="5">
        <v>0</v>
      </c>
      <c r="I1098" s="5">
        <v>0</v>
      </c>
      <c r="J1098" s="5">
        <v>0</v>
      </c>
      <c r="L1098">
        <f t="shared" si="105"/>
        <v>1096</v>
      </c>
      <c r="M1098">
        <f>'Real Analysis'!$B$3+B1098/1000000</f>
        <v>25.869984999997541</v>
      </c>
      <c r="N1098">
        <f t="shared" si="106"/>
        <v>0</v>
      </c>
      <c r="O1098">
        <f>IF(ABS(D1098)&gt;1,D1098/1000000,D1098)*'Real Analysis'!$B$4</f>
        <v>-0.13467168000000002</v>
      </c>
      <c r="P1098">
        <f>IF(ABS(E1098)&gt;1,E1098/1000000,E1098)*'Real Analysis'!$B$4</f>
        <v>2.1326940000000003E-2</v>
      </c>
      <c r="Q1098">
        <f>IF(ABS(F1098)&gt;1,F1098/1000000,F1098)*'Real Analysis'!$B$4</f>
        <v>9.8416470599999997</v>
      </c>
      <c r="R1098">
        <f t="shared" si="107"/>
        <v>0</v>
      </c>
      <c r="S1098">
        <f t="shared" si="108"/>
        <v>0</v>
      </c>
      <c r="T1098">
        <f t="shared" si="109"/>
        <v>0</v>
      </c>
      <c r="U1098">
        <f t="shared" si="104"/>
        <v>0</v>
      </c>
    </row>
    <row r="1099" spans="1:21" x14ac:dyDescent="0.3">
      <c r="A1099" s="4">
        <v>1097</v>
      </c>
      <c r="B1099" s="4">
        <v>-96566110185</v>
      </c>
      <c r="C1099" s="5">
        <v>0</v>
      </c>
      <c r="D1099" s="5">
        <v>-1.4538000000000001E-2</v>
      </c>
      <c r="E1099" s="5">
        <v>-5.2599999999999999E-3</v>
      </c>
      <c r="F1099" s="5">
        <v>1003937</v>
      </c>
      <c r="G1099" s="5">
        <v>0</v>
      </c>
      <c r="H1099" s="5">
        <v>0</v>
      </c>
      <c r="I1099" s="5">
        <v>0</v>
      </c>
      <c r="J1099" s="5">
        <v>0</v>
      </c>
      <c r="L1099">
        <f t="shared" si="105"/>
        <v>1097</v>
      </c>
      <c r="M1099">
        <f>'Real Analysis'!$B$3+B1099/1000000</f>
        <v>25.889815000002272</v>
      </c>
      <c r="N1099">
        <f t="shared" si="106"/>
        <v>0</v>
      </c>
      <c r="O1099">
        <f>IF(ABS(D1099)&gt;1,D1099/1000000,D1099)*'Real Analysis'!$B$4</f>
        <v>-0.14261778</v>
      </c>
      <c r="P1099">
        <f>IF(ABS(E1099)&gt;1,E1099/1000000,E1099)*'Real Analysis'!$B$4</f>
        <v>-5.1600600000000003E-2</v>
      </c>
      <c r="Q1099">
        <f>IF(ABS(F1099)&gt;1,F1099/1000000,F1099)*'Real Analysis'!$B$4</f>
        <v>9.8486219700000017</v>
      </c>
      <c r="R1099">
        <f t="shared" si="107"/>
        <v>0</v>
      </c>
      <c r="S1099">
        <f t="shared" si="108"/>
        <v>0</v>
      </c>
      <c r="T1099">
        <f t="shared" si="109"/>
        <v>0</v>
      </c>
      <c r="U1099">
        <f t="shared" ref="U1099:U1123" si="110">J1099/1000</f>
        <v>0</v>
      </c>
    </row>
    <row r="1100" spans="1:21" x14ac:dyDescent="0.3">
      <c r="A1100" s="4">
        <v>1098</v>
      </c>
      <c r="B1100" s="4">
        <v>-96566089243</v>
      </c>
      <c r="C1100" s="5">
        <v>0</v>
      </c>
      <c r="D1100" s="5">
        <v>-1.34E-2</v>
      </c>
      <c r="E1100" s="5">
        <v>-3.0100000000000001E-3</v>
      </c>
      <c r="F1100" s="5">
        <v>1002229</v>
      </c>
      <c r="G1100" s="5">
        <v>0</v>
      </c>
      <c r="H1100" s="5">
        <v>0</v>
      </c>
      <c r="I1100" s="5">
        <v>0</v>
      </c>
      <c r="J1100" s="5">
        <v>0</v>
      </c>
      <c r="L1100">
        <f t="shared" si="105"/>
        <v>1098</v>
      </c>
      <c r="M1100">
        <f>'Real Analysis'!$B$3+B1100/1000000</f>
        <v>25.910757000005106</v>
      </c>
      <c r="N1100">
        <f t="shared" si="106"/>
        <v>0</v>
      </c>
      <c r="O1100">
        <f>IF(ABS(D1100)&gt;1,D1100/1000000,D1100)*'Real Analysis'!$B$4</f>
        <v>-0.13145400000000002</v>
      </c>
      <c r="P1100">
        <f>IF(ABS(E1100)&gt;1,E1100/1000000,E1100)*'Real Analysis'!$B$4</f>
        <v>-2.9528100000000002E-2</v>
      </c>
      <c r="Q1100">
        <f>IF(ABS(F1100)&gt;1,F1100/1000000,F1100)*'Real Analysis'!$B$4</f>
        <v>9.8318664900000012</v>
      </c>
      <c r="R1100">
        <f t="shared" si="107"/>
        <v>0</v>
      </c>
      <c r="S1100">
        <f t="shared" si="108"/>
        <v>0</v>
      </c>
      <c r="T1100">
        <f t="shared" si="109"/>
        <v>0</v>
      </c>
      <c r="U1100">
        <f t="shared" si="110"/>
        <v>0</v>
      </c>
    </row>
    <row r="1101" spans="1:21" x14ac:dyDescent="0.3">
      <c r="A1101" s="4">
        <v>1099</v>
      </c>
      <c r="B1101" s="4">
        <v>-96566070599</v>
      </c>
      <c r="C1101" s="5">
        <v>0</v>
      </c>
      <c r="D1101" s="5">
        <v>-1.2489999999999999E-2</v>
      </c>
      <c r="E1101" s="5">
        <v>5.0229999999999997E-3</v>
      </c>
      <c r="F1101" s="5">
        <v>0.99618200000000001</v>
      </c>
      <c r="G1101" s="5">
        <v>0</v>
      </c>
      <c r="H1101" s="5">
        <v>0</v>
      </c>
      <c r="I1101" s="5">
        <v>0</v>
      </c>
      <c r="J1101" s="5">
        <v>0</v>
      </c>
      <c r="L1101">
        <f t="shared" si="105"/>
        <v>1099</v>
      </c>
      <c r="M1101">
        <f>'Real Analysis'!$B$3+B1101/1000000</f>
        <v>25.929401000001235</v>
      </c>
      <c r="N1101">
        <f t="shared" si="106"/>
        <v>0</v>
      </c>
      <c r="O1101">
        <f>IF(ABS(D1101)&gt;1,D1101/1000000,D1101)*'Real Analysis'!$B$4</f>
        <v>-0.12252689999999999</v>
      </c>
      <c r="P1101">
        <f>IF(ABS(E1101)&gt;1,E1101/1000000,E1101)*'Real Analysis'!$B$4</f>
        <v>4.9275630000000001E-2</v>
      </c>
      <c r="Q1101">
        <f>IF(ABS(F1101)&gt;1,F1101/1000000,F1101)*'Real Analysis'!$B$4</f>
        <v>9.7725454200000001</v>
      </c>
      <c r="R1101">
        <f t="shared" si="107"/>
        <v>0</v>
      </c>
      <c r="S1101">
        <f t="shared" si="108"/>
        <v>0</v>
      </c>
      <c r="T1101">
        <f t="shared" si="109"/>
        <v>0</v>
      </c>
      <c r="U1101">
        <f t="shared" si="110"/>
        <v>0</v>
      </c>
    </row>
    <row r="1102" spans="1:21" x14ac:dyDescent="0.3">
      <c r="A1102" s="4">
        <v>1100</v>
      </c>
      <c r="B1102" s="4">
        <v>-96566050375</v>
      </c>
      <c r="C1102" s="5">
        <v>0</v>
      </c>
      <c r="D1102" s="5">
        <v>-1.2961E-2</v>
      </c>
      <c r="E1102" s="5">
        <v>4.156E-3</v>
      </c>
      <c r="F1102" s="5">
        <v>0.99884099999999998</v>
      </c>
      <c r="G1102" s="5">
        <v>0</v>
      </c>
      <c r="H1102" s="5">
        <v>0</v>
      </c>
      <c r="I1102" s="5">
        <v>0</v>
      </c>
      <c r="J1102" s="5">
        <v>0</v>
      </c>
      <c r="L1102">
        <f t="shared" si="105"/>
        <v>1100</v>
      </c>
      <c r="M1102">
        <f>'Real Analysis'!$B$3+B1102/1000000</f>
        <v>25.94962499999383</v>
      </c>
      <c r="N1102">
        <f t="shared" si="106"/>
        <v>0</v>
      </c>
      <c r="O1102">
        <f>IF(ABS(D1102)&gt;1,D1102/1000000,D1102)*'Real Analysis'!$B$4</f>
        <v>-0.12714741000000002</v>
      </c>
      <c r="P1102">
        <f>IF(ABS(E1102)&gt;1,E1102/1000000,E1102)*'Real Analysis'!$B$4</f>
        <v>4.0770359999999999E-2</v>
      </c>
      <c r="Q1102">
        <f>IF(ABS(F1102)&gt;1,F1102/1000000,F1102)*'Real Analysis'!$B$4</f>
        <v>9.7986302100000007</v>
      </c>
      <c r="R1102">
        <f t="shared" si="107"/>
        <v>0</v>
      </c>
      <c r="S1102">
        <f t="shared" si="108"/>
        <v>0</v>
      </c>
      <c r="T1102">
        <f t="shared" si="109"/>
        <v>0</v>
      </c>
      <c r="U1102">
        <f t="shared" si="110"/>
        <v>0</v>
      </c>
    </row>
    <row r="1103" spans="1:21" x14ac:dyDescent="0.3">
      <c r="A1103" s="4">
        <v>1101</v>
      </c>
      <c r="B1103" s="4">
        <v>-96566027222</v>
      </c>
      <c r="C1103" s="5">
        <v>0</v>
      </c>
      <c r="D1103" s="5">
        <v>-1.2888999999999999E-2</v>
      </c>
      <c r="E1103" s="5">
        <v>4.1599999999999996E-3</v>
      </c>
      <c r="F1103" s="5">
        <v>1003086</v>
      </c>
      <c r="G1103" s="5">
        <v>0</v>
      </c>
      <c r="H1103" s="5">
        <v>0</v>
      </c>
      <c r="I1103" s="5">
        <v>0</v>
      </c>
      <c r="J1103" s="5">
        <v>0</v>
      </c>
      <c r="L1103">
        <f t="shared" si="105"/>
        <v>1101</v>
      </c>
      <c r="M1103">
        <f>'Real Analysis'!$B$3+B1103/1000000</f>
        <v>25.972777999995742</v>
      </c>
      <c r="N1103">
        <f t="shared" si="106"/>
        <v>0</v>
      </c>
      <c r="O1103">
        <f>IF(ABS(D1103)&gt;1,D1103/1000000,D1103)*'Real Analysis'!$B$4</f>
        <v>-0.12644109000000001</v>
      </c>
      <c r="P1103">
        <f>IF(ABS(E1103)&gt;1,E1103/1000000,E1103)*'Real Analysis'!$B$4</f>
        <v>4.0809600000000001E-2</v>
      </c>
      <c r="Q1103">
        <f>IF(ABS(F1103)&gt;1,F1103/1000000,F1103)*'Real Analysis'!$B$4</f>
        <v>9.8402736599999994</v>
      </c>
      <c r="R1103">
        <f t="shared" si="107"/>
        <v>0</v>
      </c>
      <c r="S1103">
        <f t="shared" si="108"/>
        <v>0</v>
      </c>
      <c r="T1103">
        <f t="shared" si="109"/>
        <v>0</v>
      </c>
      <c r="U1103">
        <f t="shared" si="110"/>
        <v>0</v>
      </c>
    </row>
    <row r="1104" spans="1:21" x14ac:dyDescent="0.3">
      <c r="A1104" s="4">
        <v>1102</v>
      </c>
      <c r="B1104" s="4">
        <v>-96566009986</v>
      </c>
      <c r="C1104" s="5">
        <v>0</v>
      </c>
      <c r="D1104" s="5">
        <v>-1.2808999999999999E-2</v>
      </c>
      <c r="E1104" s="5">
        <v>4.4330000000000003E-3</v>
      </c>
      <c r="F1104" s="5">
        <v>1005245</v>
      </c>
      <c r="G1104" s="5">
        <v>0</v>
      </c>
      <c r="H1104" s="5">
        <v>0</v>
      </c>
      <c r="I1104" s="5">
        <v>0</v>
      </c>
      <c r="J1104" s="5">
        <v>0</v>
      </c>
      <c r="L1104">
        <f t="shared" si="105"/>
        <v>1102</v>
      </c>
      <c r="M1104">
        <f>'Real Analysis'!$B$3+B1104/1000000</f>
        <v>25.990013999995426</v>
      </c>
      <c r="N1104">
        <f t="shared" si="106"/>
        <v>0</v>
      </c>
      <c r="O1104">
        <f>IF(ABS(D1104)&gt;1,D1104/1000000,D1104)*'Real Analysis'!$B$4</f>
        <v>-0.12565629</v>
      </c>
      <c r="P1104">
        <f>IF(ABS(E1104)&gt;1,E1104/1000000,E1104)*'Real Analysis'!$B$4</f>
        <v>4.3487730000000002E-2</v>
      </c>
      <c r="Q1104">
        <f>IF(ABS(F1104)&gt;1,F1104/1000000,F1104)*'Real Analysis'!$B$4</f>
        <v>9.8614534499999991</v>
      </c>
      <c r="R1104">
        <f t="shared" si="107"/>
        <v>0</v>
      </c>
      <c r="S1104">
        <f t="shared" si="108"/>
        <v>0</v>
      </c>
      <c r="T1104">
        <f t="shared" si="109"/>
        <v>0</v>
      </c>
      <c r="U1104">
        <f t="shared" si="110"/>
        <v>0</v>
      </c>
    </row>
    <row r="1105" spans="1:21" x14ac:dyDescent="0.3">
      <c r="A1105" s="4">
        <v>1103</v>
      </c>
      <c r="B1105" s="4">
        <v>-96565989573</v>
      </c>
      <c r="C1105" s="5">
        <v>0</v>
      </c>
      <c r="D1105" s="5">
        <v>-1.2782E-2</v>
      </c>
      <c r="E1105" s="5">
        <v>4.4730000000000004E-3</v>
      </c>
      <c r="F1105" s="5">
        <v>1003123</v>
      </c>
      <c r="G1105" s="5">
        <v>0</v>
      </c>
      <c r="H1105" s="5">
        <v>0</v>
      </c>
      <c r="I1105" s="5">
        <v>0</v>
      </c>
      <c r="J1105" s="5">
        <v>0</v>
      </c>
      <c r="L1105">
        <f t="shared" si="105"/>
        <v>1103</v>
      </c>
      <c r="M1105">
        <f>'Real Analysis'!$B$3+B1105/1000000</f>
        <v>26.010427000001073</v>
      </c>
      <c r="N1105">
        <f t="shared" si="106"/>
        <v>0</v>
      </c>
      <c r="O1105">
        <f>IF(ABS(D1105)&gt;1,D1105/1000000,D1105)*'Real Analysis'!$B$4</f>
        <v>-0.12539142</v>
      </c>
      <c r="P1105">
        <f>IF(ABS(E1105)&gt;1,E1105/1000000,E1105)*'Real Analysis'!$B$4</f>
        <v>4.3880130000000003E-2</v>
      </c>
      <c r="Q1105">
        <f>IF(ABS(F1105)&gt;1,F1105/1000000,F1105)*'Real Analysis'!$B$4</f>
        <v>9.8406366300000006</v>
      </c>
      <c r="R1105">
        <f t="shared" si="107"/>
        <v>0</v>
      </c>
      <c r="S1105">
        <f t="shared" si="108"/>
        <v>0</v>
      </c>
      <c r="T1105">
        <f t="shared" si="109"/>
        <v>0</v>
      </c>
      <c r="U1105">
        <f t="shared" si="110"/>
        <v>0</v>
      </c>
    </row>
    <row r="1106" spans="1:21" x14ac:dyDescent="0.3">
      <c r="A1106" s="4">
        <v>1104</v>
      </c>
      <c r="B1106" s="4">
        <v>-96565967440</v>
      </c>
      <c r="C1106" s="5">
        <v>0</v>
      </c>
      <c r="D1106" s="5">
        <v>-1.2815999999999999E-2</v>
      </c>
      <c r="E1106" s="5">
        <v>-6.9700000000000003E-4</v>
      </c>
      <c r="F1106" s="5">
        <v>0.997336</v>
      </c>
      <c r="G1106" s="5">
        <v>0</v>
      </c>
      <c r="H1106" s="5">
        <v>0</v>
      </c>
      <c r="I1106" s="5">
        <v>0</v>
      </c>
      <c r="J1106" s="5">
        <v>0</v>
      </c>
      <c r="L1106">
        <f t="shared" si="105"/>
        <v>1104</v>
      </c>
      <c r="M1106">
        <f>'Real Analysis'!$B$3+B1106/1000000</f>
        <v>26.032560000006924</v>
      </c>
      <c r="N1106">
        <f t="shared" si="106"/>
        <v>0</v>
      </c>
      <c r="O1106">
        <f>IF(ABS(D1106)&gt;1,D1106/1000000,D1106)*'Real Analysis'!$B$4</f>
        <v>-0.12572496</v>
      </c>
      <c r="P1106">
        <f>IF(ABS(E1106)&gt;1,E1106/1000000,E1106)*'Real Analysis'!$B$4</f>
        <v>-6.8375700000000003E-3</v>
      </c>
      <c r="Q1106">
        <f>IF(ABS(F1106)&gt;1,F1106/1000000,F1106)*'Real Analysis'!$B$4</f>
        <v>9.7838661600000005</v>
      </c>
      <c r="R1106">
        <f t="shared" si="107"/>
        <v>0</v>
      </c>
      <c r="S1106">
        <f t="shared" si="108"/>
        <v>0</v>
      </c>
      <c r="T1106">
        <f t="shared" si="109"/>
        <v>0</v>
      </c>
      <c r="U1106">
        <f t="shared" si="110"/>
        <v>0</v>
      </c>
    </row>
    <row r="1107" spans="1:21" x14ac:dyDescent="0.3">
      <c r="A1107" s="4">
        <v>1105</v>
      </c>
      <c r="B1107" s="4">
        <v>-96565948386</v>
      </c>
      <c r="C1107" s="5">
        <v>0</v>
      </c>
      <c r="D1107" s="5">
        <v>-1.2760000000000001E-2</v>
      </c>
      <c r="E1107" s="5">
        <v>2.1610000000000002E-3</v>
      </c>
      <c r="F1107" s="5">
        <v>0.99681200000000003</v>
      </c>
      <c r="G1107" s="5">
        <v>0</v>
      </c>
      <c r="H1107" s="5">
        <v>0</v>
      </c>
      <c r="I1107" s="5">
        <v>0</v>
      </c>
      <c r="J1107" s="5">
        <v>0</v>
      </c>
      <c r="L1107">
        <f t="shared" si="105"/>
        <v>1105</v>
      </c>
      <c r="M1107">
        <f>'Real Analysis'!$B$3+B1107/1000000</f>
        <v>26.051613999996334</v>
      </c>
      <c r="N1107">
        <f t="shared" si="106"/>
        <v>0</v>
      </c>
      <c r="O1107">
        <f>IF(ABS(D1107)&gt;1,D1107/1000000,D1107)*'Real Analysis'!$B$4</f>
        <v>-0.1251756</v>
      </c>
      <c r="P1107">
        <f>IF(ABS(E1107)&gt;1,E1107/1000000,E1107)*'Real Analysis'!$B$4</f>
        <v>2.1199410000000002E-2</v>
      </c>
      <c r="Q1107">
        <f>IF(ABS(F1107)&gt;1,F1107/1000000,F1107)*'Real Analysis'!$B$4</f>
        <v>9.7787257200000006</v>
      </c>
      <c r="R1107">
        <f t="shared" si="107"/>
        <v>0</v>
      </c>
      <c r="S1107">
        <f t="shared" si="108"/>
        <v>0</v>
      </c>
      <c r="T1107">
        <f t="shared" si="109"/>
        <v>0</v>
      </c>
      <c r="U1107">
        <f t="shared" si="110"/>
        <v>0</v>
      </c>
    </row>
    <row r="1108" spans="1:21" x14ac:dyDescent="0.3">
      <c r="A1108" s="4">
        <v>1106</v>
      </c>
      <c r="B1108" s="4">
        <v>-96565927404</v>
      </c>
      <c r="C1108" s="5">
        <v>0</v>
      </c>
      <c r="D1108" s="5">
        <v>-1.9851000000000001E-2</v>
      </c>
      <c r="E1108" s="5">
        <v>2.4000000000000001E-5</v>
      </c>
      <c r="F1108" s="5">
        <v>1002806</v>
      </c>
      <c r="G1108" s="5">
        <v>0</v>
      </c>
      <c r="H1108" s="5">
        <v>0</v>
      </c>
      <c r="I1108" s="5">
        <v>0</v>
      </c>
      <c r="J1108" s="5">
        <v>0</v>
      </c>
      <c r="L1108">
        <f t="shared" si="105"/>
        <v>1106</v>
      </c>
      <c r="M1108">
        <f>'Real Analysis'!$B$3+B1108/1000000</f>
        <v>26.072595999998157</v>
      </c>
      <c r="N1108">
        <f t="shared" si="106"/>
        <v>0</v>
      </c>
      <c r="O1108">
        <f>IF(ABS(D1108)&gt;1,D1108/1000000,D1108)*'Real Analysis'!$B$4</f>
        <v>-0.19473831000000003</v>
      </c>
      <c r="P1108">
        <f>IF(ABS(E1108)&gt;1,E1108/1000000,E1108)*'Real Analysis'!$B$4</f>
        <v>2.3544000000000001E-4</v>
      </c>
      <c r="Q1108">
        <f>IF(ABS(F1108)&gt;1,F1108/1000000,F1108)*'Real Analysis'!$B$4</f>
        <v>9.8375268600000005</v>
      </c>
      <c r="R1108">
        <f t="shared" si="107"/>
        <v>0</v>
      </c>
      <c r="S1108">
        <f t="shared" si="108"/>
        <v>0</v>
      </c>
      <c r="T1108">
        <f t="shared" si="109"/>
        <v>0</v>
      </c>
      <c r="U1108">
        <f t="shared" si="110"/>
        <v>0</v>
      </c>
    </row>
    <row r="1109" spans="1:21" x14ac:dyDescent="0.3">
      <c r="A1109" s="4">
        <v>1107</v>
      </c>
      <c r="B1109" s="4">
        <v>-96565907621</v>
      </c>
      <c r="C1109" s="5">
        <v>0</v>
      </c>
      <c r="D1109" s="5">
        <v>-1.4987E-2</v>
      </c>
      <c r="E1109" s="5">
        <v>-3.7160000000000001E-3</v>
      </c>
      <c r="F1109" s="5">
        <v>1003188</v>
      </c>
      <c r="G1109" s="5">
        <v>0</v>
      </c>
      <c r="H1109" s="5">
        <v>0</v>
      </c>
      <c r="I1109" s="5">
        <v>0</v>
      </c>
      <c r="J1109" s="5">
        <v>0</v>
      </c>
      <c r="L1109">
        <f t="shared" si="105"/>
        <v>1107</v>
      </c>
      <c r="M1109">
        <f>'Real Analysis'!$B$3+B1109/1000000</f>
        <v>26.092378999994253</v>
      </c>
      <c r="N1109">
        <f t="shared" si="106"/>
        <v>0</v>
      </c>
      <c r="O1109">
        <f>IF(ABS(D1109)&gt;1,D1109/1000000,D1109)*'Real Analysis'!$B$4</f>
        <v>-0.14702247000000002</v>
      </c>
      <c r="P1109">
        <f>IF(ABS(E1109)&gt;1,E1109/1000000,E1109)*'Real Analysis'!$B$4</f>
        <v>-3.6453960000000001E-2</v>
      </c>
      <c r="Q1109">
        <f>IF(ABS(F1109)&gt;1,F1109/1000000,F1109)*'Real Analysis'!$B$4</f>
        <v>9.8412742800000004</v>
      </c>
      <c r="R1109">
        <f t="shared" si="107"/>
        <v>0</v>
      </c>
      <c r="S1109">
        <f t="shared" si="108"/>
        <v>0</v>
      </c>
      <c r="T1109">
        <f t="shared" si="109"/>
        <v>0</v>
      </c>
      <c r="U1109">
        <f t="shared" si="110"/>
        <v>0</v>
      </c>
    </row>
    <row r="1110" spans="1:21" x14ac:dyDescent="0.3">
      <c r="A1110" s="4">
        <v>1108</v>
      </c>
      <c r="B1110" s="4">
        <v>-96565887323</v>
      </c>
      <c r="C1110" s="5">
        <v>0</v>
      </c>
      <c r="D1110" s="5">
        <v>-1.1858E-2</v>
      </c>
      <c r="E1110" s="5">
        <v>-3.9509999999999997E-3</v>
      </c>
      <c r="F1110" s="5">
        <v>1004363</v>
      </c>
      <c r="G1110" s="5">
        <v>0</v>
      </c>
      <c r="H1110" s="5">
        <v>0</v>
      </c>
      <c r="I1110" s="5">
        <v>0</v>
      </c>
      <c r="J1110" s="5">
        <v>0</v>
      </c>
      <c r="L1110">
        <f t="shared" si="105"/>
        <v>1108</v>
      </c>
      <c r="M1110">
        <f>'Real Analysis'!$B$3+B1110/1000000</f>
        <v>26.112676999997348</v>
      </c>
      <c r="N1110">
        <f t="shared" si="106"/>
        <v>0</v>
      </c>
      <c r="O1110">
        <f>IF(ABS(D1110)&gt;1,D1110/1000000,D1110)*'Real Analysis'!$B$4</f>
        <v>-0.11632698000000001</v>
      </c>
      <c r="P1110">
        <f>IF(ABS(E1110)&gt;1,E1110/1000000,E1110)*'Real Analysis'!$B$4</f>
        <v>-3.8759309999999998E-2</v>
      </c>
      <c r="Q1110">
        <f>IF(ABS(F1110)&gt;1,F1110/1000000,F1110)*'Real Analysis'!$B$4</f>
        <v>9.8528010300000002</v>
      </c>
      <c r="R1110">
        <f t="shared" si="107"/>
        <v>0</v>
      </c>
      <c r="S1110">
        <f t="shared" si="108"/>
        <v>0</v>
      </c>
      <c r="T1110">
        <f t="shared" si="109"/>
        <v>0</v>
      </c>
      <c r="U1110">
        <f t="shared" si="110"/>
        <v>0</v>
      </c>
    </row>
    <row r="1111" spans="1:21" x14ac:dyDescent="0.3">
      <c r="A1111" s="4">
        <v>1109</v>
      </c>
      <c r="B1111" s="4">
        <v>-96565869305</v>
      </c>
      <c r="C1111" s="5">
        <v>0</v>
      </c>
      <c r="D1111" s="5">
        <v>-1.6118E-2</v>
      </c>
      <c r="E1111" s="5">
        <v>3.5950000000000001E-3</v>
      </c>
      <c r="F1111" s="5">
        <v>1004133</v>
      </c>
      <c r="G1111" s="5">
        <v>0</v>
      </c>
      <c r="H1111" s="5">
        <v>0</v>
      </c>
      <c r="I1111" s="5">
        <v>0</v>
      </c>
      <c r="J1111" s="5">
        <v>0</v>
      </c>
      <c r="L1111">
        <f t="shared" si="105"/>
        <v>1109</v>
      </c>
      <c r="M1111">
        <f>'Real Analysis'!$B$3+B1111/1000000</f>
        <v>26.130694999999832</v>
      </c>
      <c r="N1111">
        <f t="shared" si="106"/>
        <v>0</v>
      </c>
      <c r="O1111">
        <f>IF(ABS(D1111)&gt;1,D1111/1000000,D1111)*'Real Analysis'!$B$4</f>
        <v>-0.15811758000000001</v>
      </c>
      <c r="P1111">
        <f>IF(ABS(E1111)&gt;1,E1111/1000000,E1111)*'Real Analysis'!$B$4</f>
        <v>3.5266950000000005E-2</v>
      </c>
      <c r="Q1111">
        <f>IF(ABS(F1111)&gt;1,F1111/1000000,F1111)*'Real Analysis'!$B$4</f>
        <v>9.8505447299999993</v>
      </c>
      <c r="R1111">
        <f t="shared" si="107"/>
        <v>0</v>
      </c>
      <c r="S1111">
        <f t="shared" si="108"/>
        <v>0</v>
      </c>
      <c r="T1111">
        <f t="shared" si="109"/>
        <v>0</v>
      </c>
      <c r="U1111">
        <f t="shared" si="110"/>
        <v>0</v>
      </c>
    </row>
    <row r="1112" spans="1:21" x14ac:dyDescent="0.3">
      <c r="A1112" s="4">
        <v>1110</v>
      </c>
      <c r="B1112" s="4">
        <v>-96565848485</v>
      </c>
      <c r="C1112" s="5">
        <v>0</v>
      </c>
      <c r="D1112" s="5">
        <v>-2.1461999999999998E-2</v>
      </c>
      <c r="E1112" s="5">
        <v>3.6099999999999999E-3</v>
      </c>
      <c r="F1112" s="5">
        <v>1002200</v>
      </c>
      <c r="G1112" s="5">
        <v>0</v>
      </c>
      <c r="H1112" s="5">
        <v>0</v>
      </c>
      <c r="I1112" s="5">
        <v>0</v>
      </c>
      <c r="J1112" s="5">
        <v>0</v>
      </c>
      <c r="L1112">
        <f t="shared" si="105"/>
        <v>1110</v>
      </c>
      <c r="M1112">
        <f>'Real Analysis'!$B$3+B1112/1000000</f>
        <v>26.15151500000502</v>
      </c>
      <c r="N1112">
        <f t="shared" si="106"/>
        <v>0</v>
      </c>
      <c r="O1112">
        <f>IF(ABS(D1112)&gt;1,D1112/1000000,D1112)*'Real Analysis'!$B$4</f>
        <v>-0.21054222</v>
      </c>
      <c r="P1112">
        <f>IF(ABS(E1112)&gt;1,E1112/1000000,E1112)*'Real Analysis'!$B$4</f>
        <v>3.5414100000000004E-2</v>
      </c>
      <c r="Q1112">
        <f>IF(ABS(F1112)&gt;1,F1112/1000000,F1112)*'Real Analysis'!$B$4</f>
        <v>9.8315820000000009</v>
      </c>
      <c r="R1112">
        <f t="shared" si="107"/>
        <v>0</v>
      </c>
      <c r="S1112">
        <f t="shared" si="108"/>
        <v>0</v>
      </c>
      <c r="T1112">
        <f t="shared" si="109"/>
        <v>0</v>
      </c>
      <c r="U1112">
        <f t="shared" si="110"/>
        <v>0</v>
      </c>
    </row>
    <row r="1113" spans="1:21" x14ac:dyDescent="0.3">
      <c r="A1113" s="4">
        <v>1111</v>
      </c>
      <c r="B1113" s="4">
        <v>-96565839051</v>
      </c>
      <c r="C1113" s="5">
        <v>0</v>
      </c>
      <c r="D1113" s="5">
        <v>-2.0507000000000001E-2</v>
      </c>
      <c r="E1113" s="5">
        <v>3.9820000000000003E-3</v>
      </c>
      <c r="F1113" s="5">
        <v>1000319</v>
      </c>
      <c r="G1113" s="5">
        <v>0</v>
      </c>
      <c r="H1113" s="5">
        <v>0</v>
      </c>
      <c r="I1113" s="5">
        <v>0</v>
      </c>
      <c r="J1113" s="5">
        <v>0</v>
      </c>
      <c r="L1113">
        <f t="shared" si="105"/>
        <v>1111</v>
      </c>
      <c r="M1113">
        <f>'Real Analysis'!$B$3+B1113/1000000</f>
        <v>26.160948999997345</v>
      </c>
      <c r="N1113">
        <f t="shared" si="106"/>
        <v>0</v>
      </c>
      <c r="O1113">
        <f>IF(ABS(D1113)&gt;1,D1113/1000000,D1113)*'Real Analysis'!$B$4</f>
        <v>-0.20117367000000003</v>
      </c>
      <c r="P1113">
        <f>IF(ABS(E1113)&gt;1,E1113/1000000,E1113)*'Real Analysis'!$B$4</f>
        <v>3.9063420000000001E-2</v>
      </c>
      <c r="Q1113">
        <f>IF(ABS(F1113)&gt;1,F1113/1000000,F1113)*'Real Analysis'!$B$4</f>
        <v>9.8131293900000003</v>
      </c>
      <c r="R1113">
        <f t="shared" si="107"/>
        <v>0</v>
      </c>
      <c r="S1113">
        <f t="shared" si="108"/>
        <v>0</v>
      </c>
      <c r="T1113">
        <f t="shared" si="109"/>
        <v>0</v>
      </c>
      <c r="U1113">
        <f t="shared" si="110"/>
        <v>0</v>
      </c>
    </row>
    <row r="1114" spans="1:21" x14ac:dyDescent="0.3">
      <c r="A1114" s="4">
        <v>1112</v>
      </c>
      <c r="B1114" s="4">
        <v>-96565807805</v>
      </c>
      <c r="C1114" s="5">
        <v>0</v>
      </c>
      <c r="D1114" s="5">
        <v>-1.4068000000000001E-2</v>
      </c>
      <c r="E1114" s="5">
        <v>-4.633E-3</v>
      </c>
      <c r="F1114" s="5">
        <v>1004335</v>
      </c>
      <c r="G1114" s="5">
        <v>0</v>
      </c>
      <c r="H1114" s="5">
        <v>0</v>
      </c>
      <c r="I1114" s="5">
        <v>0</v>
      </c>
      <c r="J1114" s="5">
        <v>0</v>
      </c>
      <c r="L1114">
        <f t="shared" si="105"/>
        <v>1112</v>
      </c>
      <c r="M1114">
        <f>'Real Analysis'!$B$3+B1114/1000000</f>
        <v>26.192194999995991</v>
      </c>
      <c r="N1114">
        <f t="shared" si="106"/>
        <v>0</v>
      </c>
      <c r="O1114">
        <f>IF(ABS(D1114)&gt;1,D1114/1000000,D1114)*'Real Analysis'!$B$4</f>
        <v>-0.13800708</v>
      </c>
      <c r="P1114">
        <f>IF(ABS(E1114)&gt;1,E1114/1000000,E1114)*'Real Analysis'!$B$4</f>
        <v>-4.5449730000000001E-2</v>
      </c>
      <c r="Q1114">
        <f>IF(ABS(F1114)&gt;1,F1114/1000000,F1114)*'Real Analysis'!$B$4</f>
        <v>9.8525263499999998</v>
      </c>
      <c r="R1114">
        <f t="shared" si="107"/>
        <v>0</v>
      </c>
      <c r="S1114">
        <f t="shared" si="108"/>
        <v>0</v>
      </c>
      <c r="T1114">
        <f t="shared" si="109"/>
        <v>0</v>
      </c>
      <c r="U1114">
        <f t="shared" si="110"/>
        <v>0</v>
      </c>
    </row>
    <row r="1115" spans="1:21" x14ac:dyDescent="0.3">
      <c r="A1115" s="4">
        <v>1113</v>
      </c>
      <c r="B1115" s="4">
        <v>-96565787536</v>
      </c>
      <c r="C1115" s="5">
        <v>0</v>
      </c>
      <c r="D1115" s="5">
        <v>-1.2317E-2</v>
      </c>
      <c r="E1115" s="5">
        <v>5.3090000000000004E-3</v>
      </c>
      <c r="F1115" s="5">
        <v>1004039</v>
      </c>
      <c r="G1115" s="5">
        <v>0</v>
      </c>
      <c r="H1115" s="5">
        <v>0</v>
      </c>
      <c r="I1115" s="5">
        <v>0</v>
      </c>
      <c r="J1115" s="5">
        <v>0</v>
      </c>
      <c r="L1115">
        <f t="shared" si="105"/>
        <v>1113</v>
      </c>
      <c r="M1115">
        <f>'Real Analysis'!$B$3+B1115/1000000</f>
        <v>26.212463999996544</v>
      </c>
      <c r="N1115">
        <f t="shared" si="106"/>
        <v>0</v>
      </c>
      <c r="O1115">
        <f>IF(ABS(D1115)&gt;1,D1115/1000000,D1115)*'Real Analysis'!$B$4</f>
        <v>-0.12082977</v>
      </c>
      <c r="P1115">
        <f>IF(ABS(E1115)&gt;1,E1115/1000000,E1115)*'Real Analysis'!$B$4</f>
        <v>5.2081290000000009E-2</v>
      </c>
      <c r="Q1115">
        <f>IF(ABS(F1115)&gt;1,F1115/1000000,F1115)*'Real Analysis'!$B$4</f>
        <v>9.8496225899999992</v>
      </c>
      <c r="R1115">
        <f t="shared" si="107"/>
        <v>0</v>
      </c>
      <c r="S1115">
        <f t="shared" si="108"/>
        <v>0</v>
      </c>
      <c r="T1115">
        <f t="shared" si="109"/>
        <v>0</v>
      </c>
      <c r="U1115">
        <f t="shared" si="110"/>
        <v>0</v>
      </c>
    </row>
    <row r="1116" spans="1:21" x14ac:dyDescent="0.3">
      <c r="A1116" s="4">
        <v>1114</v>
      </c>
      <c r="B1116" s="4">
        <v>-96565768229</v>
      </c>
      <c r="C1116" s="5">
        <v>0</v>
      </c>
      <c r="D1116" s="5">
        <v>-1.7357000000000001E-2</v>
      </c>
      <c r="E1116" s="5">
        <v>4.3870000000000003E-3</v>
      </c>
      <c r="F1116" s="5">
        <v>1004047</v>
      </c>
      <c r="G1116" s="5">
        <v>0</v>
      </c>
      <c r="H1116" s="5">
        <v>0</v>
      </c>
      <c r="I1116" s="5">
        <v>0</v>
      </c>
      <c r="J1116" s="5">
        <v>0</v>
      </c>
      <c r="L1116">
        <f t="shared" si="105"/>
        <v>1114</v>
      </c>
      <c r="M1116">
        <f>'Real Analysis'!$B$3+B1116/1000000</f>
        <v>26.23177100000612</v>
      </c>
      <c r="N1116">
        <f t="shared" si="106"/>
        <v>0</v>
      </c>
      <c r="O1116">
        <f>IF(ABS(D1116)&gt;1,D1116/1000000,D1116)*'Real Analysis'!$B$4</f>
        <v>-0.17027217000000003</v>
      </c>
      <c r="P1116">
        <f>IF(ABS(E1116)&gt;1,E1116/1000000,E1116)*'Real Analysis'!$B$4</f>
        <v>4.3036470000000007E-2</v>
      </c>
      <c r="Q1116">
        <f>IF(ABS(F1116)&gt;1,F1116/1000000,F1116)*'Real Analysis'!$B$4</f>
        <v>9.8497010700000001</v>
      </c>
      <c r="R1116">
        <f t="shared" si="107"/>
        <v>0</v>
      </c>
      <c r="S1116">
        <f t="shared" si="108"/>
        <v>0</v>
      </c>
      <c r="T1116">
        <f t="shared" si="109"/>
        <v>0</v>
      </c>
      <c r="U1116">
        <f t="shared" si="110"/>
        <v>0</v>
      </c>
    </row>
    <row r="1117" spans="1:21" x14ac:dyDescent="0.3">
      <c r="A1117" s="4">
        <v>1115</v>
      </c>
      <c r="B1117" s="4">
        <v>-96565747677</v>
      </c>
      <c r="C1117" s="5">
        <v>0</v>
      </c>
      <c r="D1117" s="5">
        <v>-2.1243999999999999E-2</v>
      </c>
      <c r="E1117" s="5">
        <v>2.7590000000000002E-3</v>
      </c>
      <c r="F1117" s="5">
        <v>1000300</v>
      </c>
      <c r="G1117" s="5">
        <v>0</v>
      </c>
      <c r="H1117" s="5">
        <v>0</v>
      </c>
      <c r="I1117" s="5">
        <v>0</v>
      </c>
      <c r="J1117" s="5">
        <v>0</v>
      </c>
      <c r="L1117">
        <f t="shared" si="105"/>
        <v>1115</v>
      </c>
      <c r="M1117">
        <f>'Real Analysis'!$B$3+B1117/1000000</f>
        <v>26.252322999993339</v>
      </c>
      <c r="N1117">
        <f t="shared" si="106"/>
        <v>0</v>
      </c>
      <c r="O1117">
        <f>IF(ABS(D1117)&gt;1,D1117/1000000,D1117)*'Real Analysis'!$B$4</f>
        <v>-0.20840364</v>
      </c>
      <c r="P1117">
        <f>IF(ABS(E1117)&gt;1,E1117/1000000,E1117)*'Real Analysis'!$B$4</f>
        <v>2.7065790000000003E-2</v>
      </c>
      <c r="Q1117">
        <f>IF(ABS(F1117)&gt;1,F1117/1000000,F1117)*'Real Analysis'!$B$4</f>
        <v>9.8129430000000006</v>
      </c>
      <c r="R1117">
        <f t="shared" si="107"/>
        <v>0</v>
      </c>
      <c r="S1117">
        <f t="shared" si="108"/>
        <v>0</v>
      </c>
      <c r="T1117">
        <f t="shared" si="109"/>
        <v>0</v>
      </c>
      <c r="U1117">
        <f t="shared" si="110"/>
        <v>0</v>
      </c>
    </row>
    <row r="1118" spans="1:21" x14ac:dyDescent="0.3">
      <c r="A1118" s="4">
        <v>1116</v>
      </c>
      <c r="B1118" s="4">
        <v>-96565733473</v>
      </c>
      <c r="C1118" s="5">
        <v>0</v>
      </c>
      <c r="D1118" s="5">
        <v>-1.6104E-2</v>
      </c>
      <c r="E1118" s="5">
        <v>-4.0790000000000002E-3</v>
      </c>
      <c r="F1118" s="5">
        <v>1003213</v>
      </c>
      <c r="G1118" s="5">
        <v>0</v>
      </c>
      <c r="H1118" s="5">
        <v>0</v>
      </c>
      <c r="I1118" s="5">
        <v>0</v>
      </c>
      <c r="J1118" s="5">
        <v>0</v>
      </c>
      <c r="L1118">
        <f t="shared" si="105"/>
        <v>1116</v>
      </c>
      <c r="M1118">
        <f>'Real Analysis'!$B$3+B1118/1000000</f>
        <v>26.266526999999769</v>
      </c>
      <c r="N1118">
        <f t="shared" si="106"/>
        <v>0</v>
      </c>
      <c r="O1118">
        <f>IF(ABS(D1118)&gt;1,D1118/1000000,D1118)*'Real Analysis'!$B$4</f>
        <v>-0.15798024000000002</v>
      </c>
      <c r="P1118">
        <f>IF(ABS(E1118)&gt;1,E1118/1000000,E1118)*'Real Analysis'!$B$4</f>
        <v>-4.001499E-2</v>
      </c>
      <c r="Q1118">
        <f>IF(ABS(F1118)&gt;1,F1118/1000000,F1118)*'Real Analysis'!$B$4</f>
        <v>9.8415195299999993</v>
      </c>
      <c r="R1118">
        <f t="shared" si="107"/>
        <v>0</v>
      </c>
      <c r="S1118">
        <f t="shared" si="108"/>
        <v>0</v>
      </c>
      <c r="T1118">
        <f t="shared" si="109"/>
        <v>0</v>
      </c>
      <c r="U1118">
        <f t="shared" si="110"/>
        <v>0</v>
      </c>
    </row>
    <row r="1119" spans="1:21" x14ac:dyDescent="0.3">
      <c r="A1119" s="4">
        <v>1117</v>
      </c>
      <c r="B1119" s="4">
        <v>-96565710869</v>
      </c>
      <c r="C1119" s="5">
        <v>0</v>
      </c>
      <c r="D1119" s="5">
        <v>-1.2666E-2</v>
      </c>
      <c r="E1119" s="5">
        <v>-2.006E-3</v>
      </c>
      <c r="F1119" s="5">
        <v>0.99748700000000001</v>
      </c>
      <c r="G1119" s="5">
        <v>0</v>
      </c>
      <c r="H1119" s="5">
        <v>0</v>
      </c>
      <c r="I1119" s="5">
        <v>0</v>
      </c>
      <c r="J1119" s="5">
        <v>0</v>
      </c>
      <c r="L1119">
        <f t="shared" si="105"/>
        <v>1117</v>
      </c>
      <c r="M1119">
        <f>'Real Analysis'!$B$3+B1119/1000000</f>
        <v>26.289130999997724</v>
      </c>
      <c r="N1119">
        <f t="shared" si="106"/>
        <v>0</v>
      </c>
      <c r="O1119">
        <f>IF(ABS(D1119)&gt;1,D1119/1000000,D1119)*'Real Analysis'!$B$4</f>
        <v>-0.12425346000000001</v>
      </c>
      <c r="P1119">
        <f>IF(ABS(E1119)&gt;1,E1119/1000000,E1119)*'Real Analysis'!$B$4</f>
        <v>-1.9678859999999999E-2</v>
      </c>
      <c r="Q1119">
        <f>IF(ABS(F1119)&gt;1,F1119/1000000,F1119)*'Real Analysis'!$B$4</f>
        <v>9.7853474700000014</v>
      </c>
      <c r="R1119">
        <f t="shared" si="107"/>
        <v>0</v>
      </c>
      <c r="S1119">
        <f t="shared" si="108"/>
        <v>0</v>
      </c>
      <c r="T1119">
        <f t="shared" si="109"/>
        <v>0</v>
      </c>
      <c r="U1119">
        <f t="shared" si="110"/>
        <v>0</v>
      </c>
    </row>
    <row r="1120" spans="1:21" x14ac:dyDescent="0.3">
      <c r="A1120" s="4">
        <v>1118</v>
      </c>
      <c r="B1120" s="4">
        <v>-96565692723</v>
      </c>
      <c r="C1120" s="5">
        <v>0</v>
      </c>
      <c r="D1120" s="5">
        <v>-1.2309E-2</v>
      </c>
      <c r="E1120" s="5">
        <v>2.2850000000000001E-3</v>
      </c>
      <c r="F1120" s="5">
        <v>1001694</v>
      </c>
      <c r="G1120" s="5">
        <v>0</v>
      </c>
      <c r="H1120" s="5">
        <v>0</v>
      </c>
      <c r="I1120" s="5">
        <v>0</v>
      </c>
      <c r="J1120" s="5">
        <v>0</v>
      </c>
      <c r="L1120">
        <f t="shared" si="105"/>
        <v>1118</v>
      </c>
      <c r="M1120">
        <f>'Real Analysis'!$B$3+B1120/1000000</f>
        <v>26.307276999999885</v>
      </c>
      <c r="N1120">
        <f t="shared" si="106"/>
        <v>0</v>
      </c>
      <c r="O1120">
        <f>IF(ABS(D1120)&gt;1,D1120/1000000,D1120)*'Real Analysis'!$B$4</f>
        <v>-0.12075129000000001</v>
      </c>
      <c r="P1120">
        <f>IF(ABS(E1120)&gt;1,E1120/1000000,E1120)*'Real Analysis'!$B$4</f>
        <v>2.2415850000000001E-2</v>
      </c>
      <c r="Q1120">
        <f>IF(ABS(F1120)&gt;1,F1120/1000000,F1120)*'Real Analysis'!$B$4</f>
        <v>9.8266181400000008</v>
      </c>
      <c r="R1120">
        <f t="shared" si="107"/>
        <v>0</v>
      </c>
      <c r="S1120">
        <f t="shared" si="108"/>
        <v>0</v>
      </c>
      <c r="T1120">
        <f t="shared" si="109"/>
        <v>0</v>
      </c>
      <c r="U1120">
        <f t="shared" si="110"/>
        <v>0</v>
      </c>
    </row>
    <row r="1121" spans="1:21" x14ac:dyDescent="0.3">
      <c r="A1121" s="4">
        <v>1119</v>
      </c>
      <c r="B1121" s="4">
        <v>-96565671415</v>
      </c>
      <c r="C1121" s="5">
        <v>0</v>
      </c>
      <c r="D1121" s="5">
        <v>-1.3139E-2</v>
      </c>
      <c r="E1121" s="5">
        <v>5.4299999999999999E-3</v>
      </c>
      <c r="F1121" s="5">
        <v>1005918</v>
      </c>
      <c r="G1121" s="5">
        <v>0</v>
      </c>
      <c r="H1121" s="5">
        <v>0</v>
      </c>
      <c r="I1121" s="5">
        <v>0</v>
      </c>
      <c r="J1121" s="5">
        <v>0</v>
      </c>
      <c r="L1121">
        <f t="shared" si="105"/>
        <v>1119</v>
      </c>
      <c r="M1121">
        <f>'Real Analysis'!$B$3+B1121/1000000</f>
        <v>26.328584999995655</v>
      </c>
      <c r="N1121">
        <f t="shared" si="106"/>
        <v>0</v>
      </c>
      <c r="O1121">
        <f>IF(ABS(D1121)&gt;1,D1121/1000000,D1121)*'Real Analysis'!$B$4</f>
        <v>-0.12889359</v>
      </c>
      <c r="P1121">
        <f>IF(ABS(E1121)&gt;1,E1121/1000000,E1121)*'Real Analysis'!$B$4</f>
        <v>5.3268300000000005E-2</v>
      </c>
      <c r="Q1121">
        <f>IF(ABS(F1121)&gt;1,F1121/1000000,F1121)*'Real Analysis'!$B$4</f>
        <v>9.8680555800000018</v>
      </c>
      <c r="R1121">
        <f t="shared" si="107"/>
        <v>0</v>
      </c>
      <c r="S1121">
        <f t="shared" si="108"/>
        <v>0</v>
      </c>
      <c r="T1121">
        <f t="shared" si="109"/>
        <v>0</v>
      </c>
      <c r="U1121">
        <f t="shared" si="110"/>
        <v>0</v>
      </c>
    </row>
    <row r="1122" spans="1:21" x14ac:dyDescent="0.3">
      <c r="A1122" s="4">
        <v>1120</v>
      </c>
      <c r="B1122" s="4">
        <v>-96565647321</v>
      </c>
      <c r="C1122" s="5">
        <v>0</v>
      </c>
      <c r="D1122" s="5">
        <v>-1.2904000000000001E-2</v>
      </c>
      <c r="E1122" s="5">
        <v>1.0059999999999999E-3</v>
      </c>
      <c r="F1122" s="5">
        <v>1004458</v>
      </c>
      <c r="G1122" s="5">
        <v>0</v>
      </c>
      <c r="H1122" s="5">
        <v>0</v>
      </c>
      <c r="I1122" s="5">
        <v>0</v>
      </c>
      <c r="J1122" s="5">
        <v>0</v>
      </c>
      <c r="L1122">
        <f t="shared" si="105"/>
        <v>1120</v>
      </c>
      <c r="M1122">
        <f>'Real Analysis'!$B$3+B1122/1000000</f>
        <v>26.352679000003263</v>
      </c>
      <c r="N1122">
        <f t="shared" si="106"/>
        <v>0</v>
      </c>
      <c r="O1122">
        <f>IF(ABS(D1122)&gt;1,D1122/1000000,D1122)*'Real Analysis'!$B$4</f>
        <v>-0.12658824000000002</v>
      </c>
      <c r="P1122">
        <f>IF(ABS(E1122)&gt;1,E1122/1000000,E1122)*'Real Analysis'!$B$4</f>
        <v>9.8688600000000001E-3</v>
      </c>
      <c r="Q1122">
        <f>IF(ABS(F1122)&gt;1,F1122/1000000,F1122)*'Real Analysis'!$B$4</f>
        <v>9.853732980000002</v>
      </c>
      <c r="R1122">
        <f t="shared" si="107"/>
        <v>0</v>
      </c>
      <c r="S1122">
        <f t="shared" si="108"/>
        <v>0</v>
      </c>
      <c r="T1122">
        <f t="shared" si="109"/>
        <v>0</v>
      </c>
      <c r="U1122">
        <f t="shared" si="110"/>
        <v>0</v>
      </c>
    </row>
    <row r="1123" spans="1:21" x14ac:dyDescent="0.3">
      <c r="A1123" s="4">
        <v>1121</v>
      </c>
      <c r="B1123" s="4">
        <v>-96565627397</v>
      </c>
      <c r="C1123" s="5">
        <v>0</v>
      </c>
      <c r="D1123" s="5">
        <v>-1.2848E-2</v>
      </c>
      <c r="E1123" s="5">
        <v>-2.3519999999999999E-3</v>
      </c>
      <c r="F1123" s="5">
        <v>1004197</v>
      </c>
      <c r="G1123" s="5">
        <v>0</v>
      </c>
      <c r="H1123" s="5">
        <v>0</v>
      </c>
      <c r="I1123" s="5">
        <v>0</v>
      </c>
      <c r="J1123" s="5">
        <v>0</v>
      </c>
      <c r="L1123">
        <f t="shared" si="105"/>
        <v>1121</v>
      </c>
      <c r="M1123">
        <f>'Real Analysis'!$B$3+B1123/1000000</f>
        <v>26.372602999996161</v>
      </c>
      <c r="N1123">
        <f t="shared" si="106"/>
        <v>0</v>
      </c>
      <c r="O1123">
        <f>IF(ABS(D1123)&gt;1,D1123/1000000,D1123)*'Real Analysis'!$B$4</f>
        <v>-0.12603888000000002</v>
      </c>
      <c r="P1123">
        <f>IF(ABS(E1123)&gt;1,E1123/1000000,E1123)*'Real Analysis'!$B$4</f>
        <v>-2.3073119999999999E-2</v>
      </c>
      <c r="Q1123">
        <f>IF(ABS(F1123)&gt;1,F1123/1000000,F1123)*'Real Analysis'!$B$4</f>
        <v>9.851172570000001</v>
      </c>
      <c r="R1123">
        <f t="shared" si="107"/>
        <v>0</v>
      </c>
      <c r="S1123">
        <f t="shared" si="108"/>
        <v>0</v>
      </c>
      <c r="T1123">
        <f t="shared" si="109"/>
        <v>0</v>
      </c>
      <c r="U1123">
        <f t="shared" si="110"/>
        <v>0</v>
      </c>
    </row>
    <row r="1124" spans="1:21" x14ac:dyDescent="0.3">
      <c r="A1124" s="4">
        <v>1122</v>
      </c>
      <c r="B1124" s="4">
        <v>-96565610530</v>
      </c>
      <c r="C1124" s="5">
        <v>0</v>
      </c>
      <c r="D1124" s="5">
        <v>-1.1056E-2</v>
      </c>
      <c r="E1124" s="5">
        <v>5.5409999999999999E-3</v>
      </c>
      <c r="F1124" s="5">
        <v>1004276</v>
      </c>
      <c r="G1124" s="5">
        <v>0</v>
      </c>
      <c r="H1124" s="5">
        <v>0</v>
      </c>
      <c r="I1124" s="5">
        <v>0</v>
      </c>
      <c r="J1124" s="5">
        <v>0</v>
      </c>
      <c r="L1124">
        <f t="shared" si="105"/>
        <v>1122</v>
      </c>
      <c r="M1124">
        <f>'Real Analysis'!$B$3+B1124/1000000</f>
        <v>26.389469999994617</v>
      </c>
      <c r="N1124">
        <f t="shared" si="106"/>
        <v>0</v>
      </c>
      <c r="O1124">
        <f>IF(ABS(D1124)&gt;1,D1124/1000000,D1124)*'Real Analysis'!$B$4</f>
        <v>-0.10845936</v>
      </c>
      <c r="P1124">
        <f>IF(ABS(E1124)&gt;1,E1124/1000000,E1124)*'Real Analysis'!$B$4</f>
        <v>5.4357210000000003E-2</v>
      </c>
      <c r="Q1124">
        <f>IF(ABS(F1124)&gt;1,F1124/1000000,F1124)*'Real Analysis'!$B$4</f>
        <v>9.8519475599999993</v>
      </c>
      <c r="R1124">
        <f t="shared" si="107"/>
        <v>0</v>
      </c>
      <c r="S1124">
        <f t="shared" si="108"/>
        <v>0</v>
      </c>
      <c r="T1124">
        <f t="shared" si="109"/>
        <v>0</v>
      </c>
      <c r="U1124">
        <f>J1124/1000</f>
        <v>0</v>
      </c>
    </row>
    <row r="1125" spans="1:21" x14ac:dyDescent="0.3">
      <c r="A1125" s="4"/>
      <c r="B1125" s="4"/>
    </row>
    <row r="1126" spans="1:21" x14ac:dyDescent="0.3">
      <c r="A1126" s="4"/>
      <c r="B1126" s="4"/>
    </row>
    <row r="1127" spans="1:21" x14ac:dyDescent="0.3">
      <c r="A1127" s="4"/>
      <c r="B1127" s="4"/>
    </row>
    <row r="1128" spans="1:21" x14ac:dyDescent="0.3">
      <c r="A1128" s="4"/>
      <c r="B1128" s="4"/>
    </row>
    <row r="1129" spans="1:21" x14ac:dyDescent="0.3">
      <c r="A1129" s="4"/>
      <c r="B1129" s="4"/>
    </row>
    <row r="1130" spans="1:21" x14ac:dyDescent="0.3">
      <c r="A1130" s="4"/>
      <c r="B1130" s="4"/>
    </row>
    <row r="1131" spans="1:21" x14ac:dyDescent="0.3">
      <c r="A1131" s="4"/>
      <c r="B1131" s="4"/>
    </row>
    <row r="1132" spans="1:21" x14ac:dyDescent="0.3">
      <c r="A1132" s="4"/>
      <c r="B1132" s="4"/>
    </row>
    <row r="1133" spans="1:21" x14ac:dyDescent="0.3">
      <c r="A1133" s="4"/>
      <c r="B1133" s="4"/>
    </row>
    <row r="1134" spans="1:21" x14ac:dyDescent="0.3">
      <c r="A1134" s="4"/>
      <c r="B1134" s="4"/>
    </row>
    <row r="1135" spans="1:21" x14ac:dyDescent="0.3">
      <c r="A1135" s="4"/>
      <c r="B1135" s="4"/>
    </row>
    <row r="1136" spans="1:21" x14ac:dyDescent="0.3">
      <c r="A1136" s="4"/>
      <c r="B1136" s="4"/>
    </row>
    <row r="1137" spans="1:2" x14ac:dyDescent="0.3">
      <c r="A1137" s="4"/>
      <c r="B1137" s="4"/>
    </row>
    <row r="1138" spans="1:2" x14ac:dyDescent="0.3">
      <c r="A1138" s="4"/>
      <c r="B1138" s="4"/>
    </row>
    <row r="1139" spans="1:2" x14ac:dyDescent="0.3">
      <c r="A1139" s="4"/>
      <c r="B1139" s="4"/>
    </row>
    <row r="1140" spans="1:2" x14ac:dyDescent="0.3">
      <c r="A1140" s="4"/>
      <c r="B1140" s="4"/>
    </row>
    <row r="1141" spans="1:2" x14ac:dyDescent="0.3">
      <c r="A1141" s="4"/>
      <c r="B1141" s="4"/>
    </row>
    <row r="1142" spans="1:2" x14ac:dyDescent="0.3">
      <c r="A1142" s="4"/>
      <c r="B1142" s="4"/>
    </row>
    <row r="1143" spans="1:2" x14ac:dyDescent="0.3">
      <c r="A1143" s="4"/>
      <c r="B1143" s="4"/>
    </row>
    <row r="1144" spans="1:2" x14ac:dyDescent="0.3">
      <c r="A1144" s="4"/>
      <c r="B1144" s="4"/>
    </row>
    <row r="1145" spans="1:2" x14ac:dyDescent="0.3">
      <c r="A1145" s="4"/>
      <c r="B1145" s="4"/>
    </row>
    <row r="1146" spans="1:2" x14ac:dyDescent="0.3">
      <c r="A1146" s="4"/>
      <c r="B1146" s="4"/>
    </row>
    <row r="1147" spans="1:2" x14ac:dyDescent="0.3">
      <c r="A1147" s="4"/>
      <c r="B1147" s="4"/>
    </row>
    <row r="1148" spans="1:2" x14ac:dyDescent="0.3">
      <c r="A1148" s="4"/>
      <c r="B1148" s="4"/>
    </row>
    <row r="1149" spans="1:2" x14ac:dyDescent="0.3">
      <c r="A1149" s="4"/>
      <c r="B1149" s="4"/>
    </row>
    <row r="1150" spans="1:2" x14ac:dyDescent="0.3">
      <c r="A1150" s="4"/>
      <c r="B1150" s="4"/>
    </row>
    <row r="1151" spans="1:2" x14ac:dyDescent="0.3">
      <c r="A1151" s="4"/>
      <c r="B1151" s="4"/>
    </row>
    <row r="1152" spans="1:2" x14ac:dyDescent="0.3">
      <c r="A1152" s="4"/>
      <c r="B1152" s="4"/>
    </row>
    <row r="1153" spans="1:2" x14ac:dyDescent="0.3">
      <c r="A1153" s="4"/>
      <c r="B1153" s="4"/>
    </row>
    <row r="1154" spans="1:2" x14ac:dyDescent="0.3">
      <c r="A1154" s="4"/>
      <c r="B1154" s="4"/>
    </row>
    <row r="1155" spans="1:2" x14ac:dyDescent="0.3">
      <c r="A1155" s="4"/>
      <c r="B1155" s="4"/>
    </row>
    <row r="1156" spans="1:2" x14ac:dyDescent="0.3">
      <c r="A1156" s="4"/>
      <c r="B1156" s="4"/>
    </row>
    <row r="1157" spans="1:2" x14ac:dyDescent="0.3">
      <c r="A1157" s="4"/>
      <c r="B1157" s="4"/>
    </row>
    <row r="1158" spans="1:2" x14ac:dyDescent="0.3">
      <c r="A1158" s="4"/>
      <c r="B1158" s="4"/>
    </row>
    <row r="1159" spans="1:2" x14ac:dyDescent="0.3">
      <c r="A1159" s="4"/>
      <c r="B1159" s="4"/>
    </row>
    <row r="1160" spans="1:2" x14ac:dyDescent="0.3">
      <c r="A1160" s="4"/>
      <c r="B1160" s="4"/>
    </row>
    <row r="1161" spans="1:2" x14ac:dyDescent="0.3">
      <c r="A1161" s="4"/>
      <c r="B1161" s="4"/>
    </row>
    <row r="1162" spans="1:2" x14ac:dyDescent="0.3">
      <c r="A1162" s="4"/>
      <c r="B1162" s="4"/>
    </row>
    <row r="1163" spans="1:2" x14ac:dyDescent="0.3">
      <c r="A1163" s="4"/>
      <c r="B1163" s="4"/>
    </row>
    <row r="1164" spans="1:2" x14ac:dyDescent="0.3">
      <c r="A1164" s="4"/>
      <c r="B1164" s="4"/>
    </row>
    <row r="1165" spans="1:2" x14ac:dyDescent="0.3">
      <c r="A1165" s="4"/>
      <c r="B1165" s="4"/>
    </row>
    <row r="1166" spans="1:2" x14ac:dyDescent="0.3">
      <c r="A1166" s="4"/>
      <c r="B1166" s="4"/>
    </row>
    <row r="1167" spans="1:2" x14ac:dyDescent="0.3">
      <c r="A1167" s="4"/>
      <c r="B1167" s="4"/>
    </row>
    <row r="1168" spans="1:2" x14ac:dyDescent="0.3">
      <c r="A1168" s="4"/>
      <c r="B1168" s="4"/>
    </row>
    <row r="1169" spans="1:2" x14ac:dyDescent="0.3">
      <c r="A1169" s="4"/>
      <c r="B1169" s="4"/>
    </row>
    <row r="1170" spans="1:2" x14ac:dyDescent="0.3">
      <c r="A1170" s="4"/>
      <c r="B1170" s="4"/>
    </row>
    <row r="1171" spans="1:2" x14ac:dyDescent="0.3">
      <c r="A1171" s="4"/>
      <c r="B1171" s="4"/>
    </row>
    <row r="1172" spans="1:2" x14ac:dyDescent="0.3">
      <c r="A1172" s="4"/>
      <c r="B1172" s="4"/>
    </row>
    <row r="1173" spans="1:2" x14ac:dyDescent="0.3">
      <c r="A1173" s="4"/>
      <c r="B1173" s="4"/>
    </row>
    <row r="1174" spans="1:2" x14ac:dyDescent="0.3">
      <c r="A1174" s="4"/>
      <c r="B1174" s="4"/>
    </row>
    <row r="1175" spans="1:2" x14ac:dyDescent="0.3">
      <c r="A1175" s="4"/>
      <c r="B1175" s="4"/>
    </row>
    <row r="1176" spans="1:2" x14ac:dyDescent="0.3">
      <c r="A1176" s="4"/>
      <c r="B1176" s="4"/>
    </row>
    <row r="1177" spans="1:2" x14ac:dyDescent="0.3">
      <c r="A1177" s="4"/>
      <c r="B1177" s="4"/>
    </row>
    <row r="1178" spans="1:2" x14ac:dyDescent="0.3">
      <c r="A1178" s="4"/>
      <c r="B1178" s="4"/>
    </row>
    <row r="1179" spans="1:2" x14ac:dyDescent="0.3">
      <c r="A1179" s="4"/>
      <c r="B1179" s="4"/>
    </row>
    <row r="1180" spans="1:2" x14ac:dyDescent="0.3">
      <c r="A1180" s="4"/>
      <c r="B1180" s="4"/>
    </row>
    <row r="1181" spans="1:2" x14ac:dyDescent="0.3">
      <c r="A1181" s="4"/>
      <c r="B1181" s="4"/>
    </row>
    <row r="1182" spans="1:2" x14ac:dyDescent="0.3">
      <c r="A1182" s="4"/>
      <c r="B1182" s="4"/>
    </row>
    <row r="1183" spans="1:2" x14ac:dyDescent="0.3">
      <c r="A1183" s="4"/>
      <c r="B1183" s="4"/>
    </row>
    <row r="1184" spans="1:2" x14ac:dyDescent="0.3">
      <c r="A1184" s="4"/>
      <c r="B1184" s="4"/>
    </row>
    <row r="1185" spans="1:2" x14ac:dyDescent="0.3">
      <c r="A1185" s="4"/>
      <c r="B1185" s="4"/>
    </row>
    <row r="1186" spans="1:2" x14ac:dyDescent="0.3">
      <c r="A1186" s="4"/>
      <c r="B1186" s="4"/>
    </row>
    <row r="1187" spans="1:2" x14ac:dyDescent="0.3">
      <c r="A1187" s="4"/>
      <c r="B1187" s="4"/>
    </row>
    <row r="1188" spans="1:2" x14ac:dyDescent="0.3">
      <c r="A1188" s="4"/>
      <c r="B1188" s="4"/>
    </row>
    <row r="1189" spans="1:2" x14ac:dyDescent="0.3">
      <c r="A1189" s="4"/>
      <c r="B1189" s="4"/>
    </row>
    <row r="1190" spans="1:2" x14ac:dyDescent="0.3">
      <c r="A1190" s="4"/>
      <c r="B1190" s="4"/>
    </row>
    <row r="1191" spans="1:2" x14ac:dyDescent="0.3">
      <c r="A1191" s="4"/>
      <c r="B1191" s="4"/>
    </row>
    <row r="1192" spans="1:2" x14ac:dyDescent="0.3">
      <c r="A1192" s="4"/>
      <c r="B1192" s="4"/>
    </row>
    <row r="1193" spans="1:2" x14ac:dyDescent="0.3">
      <c r="A1193" s="4"/>
      <c r="B1193" s="4"/>
    </row>
    <row r="1194" spans="1:2" x14ac:dyDescent="0.3">
      <c r="A1194" s="4"/>
      <c r="B1194" s="4"/>
    </row>
    <row r="1195" spans="1:2" x14ac:dyDescent="0.3">
      <c r="A1195" s="4"/>
      <c r="B1195" s="4"/>
    </row>
    <row r="1196" spans="1:2" x14ac:dyDescent="0.3">
      <c r="A1196" s="4"/>
      <c r="B1196" s="4"/>
    </row>
    <row r="1197" spans="1:2" x14ac:dyDescent="0.3">
      <c r="A1197" s="4"/>
      <c r="B1197" s="4"/>
    </row>
    <row r="1198" spans="1:2" x14ac:dyDescent="0.3">
      <c r="A1198" s="4"/>
      <c r="B1198" s="4"/>
    </row>
    <row r="1199" spans="1:2" x14ac:dyDescent="0.3">
      <c r="A1199" s="4"/>
      <c r="B1199" s="4"/>
    </row>
    <row r="1200" spans="1:2" x14ac:dyDescent="0.3">
      <c r="A1200" s="4"/>
      <c r="B1200" s="4"/>
    </row>
    <row r="1201" spans="1:2" x14ac:dyDescent="0.3">
      <c r="A1201" s="4"/>
      <c r="B1201" s="4"/>
    </row>
    <row r="1202" spans="1:2" x14ac:dyDescent="0.3">
      <c r="A1202" s="4"/>
      <c r="B1202" s="4"/>
    </row>
    <row r="1203" spans="1:2" x14ac:dyDescent="0.3">
      <c r="A1203" s="4"/>
      <c r="B1203" s="4"/>
    </row>
    <row r="1204" spans="1:2" x14ac:dyDescent="0.3">
      <c r="A1204" s="4"/>
      <c r="B1204" s="4"/>
    </row>
    <row r="1205" spans="1:2" x14ac:dyDescent="0.3">
      <c r="A1205" s="4"/>
      <c r="B1205" s="4"/>
    </row>
    <row r="1206" spans="1:2" x14ac:dyDescent="0.3">
      <c r="A1206" s="4"/>
      <c r="B1206" s="4"/>
    </row>
    <row r="1207" spans="1:2" x14ac:dyDescent="0.3">
      <c r="A1207" s="4"/>
      <c r="B1207" s="4"/>
    </row>
    <row r="1208" spans="1:2" x14ac:dyDescent="0.3">
      <c r="A1208" s="4"/>
      <c r="B1208" s="4"/>
    </row>
    <row r="1209" spans="1:2" x14ac:dyDescent="0.3">
      <c r="A1209" s="4"/>
      <c r="B1209" s="4"/>
    </row>
    <row r="1210" spans="1:2" x14ac:dyDescent="0.3">
      <c r="A1210" s="4"/>
      <c r="B1210" s="4"/>
    </row>
    <row r="1211" spans="1:2" x14ac:dyDescent="0.3">
      <c r="A1211" s="4"/>
      <c r="B1211" s="4"/>
    </row>
    <row r="1212" spans="1:2" x14ac:dyDescent="0.3">
      <c r="A1212" s="4"/>
      <c r="B1212" s="4"/>
    </row>
    <row r="1213" spans="1:2" x14ac:dyDescent="0.3">
      <c r="A1213" s="4"/>
      <c r="B1213" s="4"/>
    </row>
    <row r="1214" spans="1:2" x14ac:dyDescent="0.3">
      <c r="A1214" s="4"/>
      <c r="B1214" s="4"/>
    </row>
    <row r="1215" spans="1:2" x14ac:dyDescent="0.3">
      <c r="A1215" s="4"/>
      <c r="B1215" s="4"/>
    </row>
    <row r="1216" spans="1:2" x14ac:dyDescent="0.3">
      <c r="A1216" s="4"/>
      <c r="B1216" s="4"/>
    </row>
    <row r="1217" spans="1:2" x14ac:dyDescent="0.3">
      <c r="A1217" s="4"/>
      <c r="B1217" s="4"/>
    </row>
    <row r="1218" spans="1:2" x14ac:dyDescent="0.3">
      <c r="A1218" s="4"/>
      <c r="B1218" s="4"/>
    </row>
    <row r="1219" spans="1:2" x14ac:dyDescent="0.3">
      <c r="A1219" s="4"/>
      <c r="B1219" s="4"/>
    </row>
    <row r="1220" spans="1:2" x14ac:dyDescent="0.3">
      <c r="A1220" s="4"/>
      <c r="B1220" s="4"/>
    </row>
    <row r="1221" spans="1:2" x14ac:dyDescent="0.3">
      <c r="A1221" s="4"/>
      <c r="B1221" s="4"/>
    </row>
    <row r="1222" spans="1:2" x14ac:dyDescent="0.3">
      <c r="A1222" s="4"/>
      <c r="B1222" s="4"/>
    </row>
    <row r="1223" spans="1:2" x14ac:dyDescent="0.3">
      <c r="A1223" s="4"/>
      <c r="B1223" s="4"/>
    </row>
    <row r="1224" spans="1:2" x14ac:dyDescent="0.3">
      <c r="A1224" s="4"/>
      <c r="B1224" s="4"/>
    </row>
    <row r="1225" spans="1:2" x14ac:dyDescent="0.3">
      <c r="A1225" s="4"/>
      <c r="B1225" s="4"/>
    </row>
    <row r="1226" spans="1:2" x14ac:dyDescent="0.3">
      <c r="A1226" s="4"/>
      <c r="B1226" s="4"/>
    </row>
    <row r="1227" spans="1:2" x14ac:dyDescent="0.3">
      <c r="A1227" s="4"/>
      <c r="B1227" s="4"/>
    </row>
    <row r="1228" spans="1:2" x14ac:dyDescent="0.3">
      <c r="A1228" s="4"/>
      <c r="B1228" s="4"/>
    </row>
    <row r="1229" spans="1:2" x14ac:dyDescent="0.3">
      <c r="A1229" s="4"/>
      <c r="B1229" s="4"/>
    </row>
    <row r="1230" spans="1:2" x14ac:dyDescent="0.3">
      <c r="A1230" s="4"/>
      <c r="B1230" s="4"/>
    </row>
    <row r="1231" spans="1:2" x14ac:dyDescent="0.3">
      <c r="A1231" s="4"/>
      <c r="B1231" s="4"/>
    </row>
    <row r="1232" spans="1:2" x14ac:dyDescent="0.3">
      <c r="A1232" s="4"/>
      <c r="B1232" s="4"/>
    </row>
    <row r="1233" spans="1:2" x14ac:dyDescent="0.3">
      <c r="A1233" s="4"/>
      <c r="B1233" s="4"/>
    </row>
    <row r="1234" spans="1:2" x14ac:dyDescent="0.3">
      <c r="A1234" s="4"/>
      <c r="B1234" s="4"/>
    </row>
    <row r="1235" spans="1:2" x14ac:dyDescent="0.3">
      <c r="A1235" s="4"/>
      <c r="B1235" s="4"/>
    </row>
    <row r="1236" spans="1:2" x14ac:dyDescent="0.3">
      <c r="A1236" s="4"/>
      <c r="B1236" s="4"/>
    </row>
    <row r="1237" spans="1:2" x14ac:dyDescent="0.3">
      <c r="A1237" s="4"/>
      <c r="B1237" s="4"/>
    </row>
    <row r="1238" spans="1:2" x14ac:dyDescent="0.3">
      <c r="A1238" s="4"/>
      <c r="B1238" s="4"/>
    </row>
    <row r="1239" spans="1:2" x14ac:dyDescent="0.3">
      <c r="A1239" s="4"/>
      <c r="B1239" s="4"/>
    </row>
    <row r="1240" spans="1:2" x14ac:dyDescent="0.3">
      <c r="A1240" s="4"/>
      <c r="B1240" s="4"/>
    </row>
    <row r="1241" spans="1:2" x14ac:dyDescent="0.3">
      <c r="A1241" s="4"/>
      <c r="B1241" s="4"/>
    </row>
    <row r="1242" spans="1:2" x14ac:dyDescent="0.3">
      <c r="A1242" s="4"/>
      <c r="B1242" s="4"/>
    </row>
    <row r="1243" spans="1:2" x14ac:dyDescent="0.3">
      <c r="A1243" s="4"/>
      <c r="B1243" s="4"/>
    </row>
    <row r="1244" spans="1:2" x14ac:dyDescent="0.3">
      <c r="A1244" s="4"/>
      <c r="B1244" s="4"/>
    </row>
    <row r="1245" spans="1:2" x14ac:dyDescent="0.3">
      <c r="A1245" s="4"/>
      <c r="B1245" s="4"/>
    </row>
    <row r="1246" spans="1:2" x14ac:dyDescent="0.3">
      <c r="A1246" s="4"/>
      <c r="B1246" s="4"/>
    </row>
    <row r="1247" spans="1:2" x14ac:dyDescent="0.3">
      <c r="A1247" s="4"/>
      <c r="B1247" s="4"/>
    </row>
    <row r="1248" spans="1:2" x14ac:dyDescent="0.3">
      <c r="A1248" s="4"/>
      <c r="B1248" s="4"/>
    </row>
    <row r="1249" spans="1:2" x14ac:dyDescent="0.3">
      <c r="A1249" s="4"/>
      <c r="B1249" s="4"/>
    </row>
    <row r="1250" spans="1:2" x14ac:dyDescent="0.3">
      <c r="A1250" s="4"/>
      <c r="B1250" s="4"/>
    </row>
    <row r="1251" spans="1:2" x14ac:dyDescent="0.3">
      <c r="A1251" s="4"/>
      <c r="B1251" s="4"/>
    </row>
    <row r="1252" spans="1:2" x14ac:dyDescent="0.3">
      <c r="A1252" s="4"/>
      <c r="B1252" s="4"/>
    </row>
    <row r="1253" spans="1:2" x14ac:dyDescent="0.3">
      <c r="A1253" s="4"/>
      <c r="B1253" s="4"/>
    </row>
    <row r="1254" spans="1:2" x14ac:dyDescent="0.3">
      <c r="A1254" s="4"/>
      <c r="B1254" s="4"/>
    </row>
    <row r="1255" spans="1:2" x14ac:dyDescent="0.3">
      <c r="A1255" s="4"/>
      <c r="B1255" s="4"/>
    </row>
    <row r="1256" spans="1:2" x14ac:dyDescent="0.3">
      <c r="A1256" s="4"/>
      <c r="B1256" s="4"/>
    </row>
    <row r="1257" spans="1:2" x14ac:dyDescent="0.3">
      <c r="A1257" s="4"/>
      <c r="B1257" s="4"/>
    </row>
    <row r="1258" spans="1:2" x14ac:dyDescent="0.3">
      <c r="A1258" s="4"/>
      <c r="B1258" s="4"/>
    </row>
    <row r="1259" spans="1:2" x14ac:dyDescent="0.3">
      <c r="A1259" s="4"/>
      <c r="B1259" s="4"/>
    </row>
    <row r="1260" spans="1:2" x14ac:dyDescent="0.3">
      <c r="A1260" s="4"/>
      <c r="B1260" s="4"/>
    </row>
    <row r="1261" spans="1:2" x14ac:dyDescent="0.3">
      <c r="A1261" s="4"/>
      <c r="B1261" s="4"/>
    </row>
    <row r="1262" spans="1:2" x14ac:dyDescent="0.3">
      <c r="A1262" s="4"/>
      <c r="B1262" s="4"/>
    </row>
    <row r="1263" spans="1:2" x14ac:dyDescent="0.3">
      <c r="A1263" s="4"/>
      <c r="B1263" s="4"/>
    </row>
    <row r="1264" spans="1:2" x14ac:dyDescent="0.3">
      <c r="A1264" s="4"/>
      <c r="B1264" s="4"/>
    </row>
    <row r="1265" spans="1:2" x14ac:dyDescent="0.3">
      <c r="A1265" s="4"/>
      <c r="B1265" s="4"/>
    </row>
    <row r="1266" spans="1:2" x14ac:dyDescent="0.3">
      <c r="A1266" s="4"/>
      <c r="B1266" s="4"/>
    </row>
    <row r="1267" spans="1:2" x14ac:dyDescent="0.3">
      <c r="A1267" s="4"/>
      <c r="B1267" s="4"/>
    </row>
    <row r="1268" spans="1:2" x14ac:dyDescent="0.3">
      <c r="A1268" s="4"/>
      <c r="B1268" s="4"/>
    </row>
    <row r="1269" spans="1:2" x14ac:dyDescent="0.3">
      <c r="A1269" s="4"/>
      <c r="B1269" s="4"/>
    </row>
    <row r="1270" spans="1:2" x14ac:dyDescent="0.3">
      <c r="A1270" s="4"/>
      <c r="B1270" s="4"/>
    </row>
    <row r="1271" spans="1:2" x14ac:dyDescent="0.3">
      <c r="A1271" s="4"/>
      <c r="B1271" s="4"/>
    </row>
    <row r="1272" spans="1:2" x14ac:dyDescent="0.3">
      <c r="A1272" s="4"/>
      <c r="B1272" s="4"/>
    </row>
    <row r="1273" spans="1:2" x14ac:dyDescent="0.3">
      <c r="A1273" s="4"/>
      <c r="B1273" s="4"/>
    </row>
    <row r="1274" spans="1:2" x14ac:dyDescent="0.3">
      <c r="A1274" s="4"/>
      <c r="B1274" s="4"/>
    </row>
    <row r="1275" spans="1:2" x14ac:dyDescent="0.3">
      <c r="A1275" s="4"/>
      <c r="B1275" s="4"/>
    </row>
    <row r="1276" spans="1:2" x14ac:dyDescent="0.3">
      <c r="A1276" s="4"/>
      <c r="B1276" s="4"/>
    </row>
    <row r="1277" spans="1:2" x14ac:dyDescent="0.3">
      <c r="A1277" s="4"/>
      <c r="B1277" s="4"/>
    </row>
    <row r="1278" spans="1:2" x14ac:dyDescent="0.3">
      <c r="A1278" s="4"/>
      <c r="B1278" s="4"/>
    </row>
    <row r="1279" spans="1:2" x14ac:dyDescent="0.3">
      <c r="A1279" s="4"/>
      <c r="B1279" s="4"/>
    </row>
    <row r="1280" spans="1:2" x14ac:dyDescent="0.3">
      <c r="A1280" s="4"/>
      <c r="B1280" s="4"/>
    </row>
    <row r="1281" spans="1:2" x14ac:dyDescent="0.3">
      <c r="A1281" s="4"/>
      <c r="B1281" s="4"/>
    </row>
    <row r="1282" spans="1:2" x14ac:dyDescent="0.3">
      <c r="A1282" s="4"/>
      <c r="B1282" s="4"/>
    </row>
    <row r="1283" spans="1:2" x14ac:dyDescent="0.3">
      <c r="A1283" s="4"/>
      <c r="B1283" s="4"/>
    </row>
    <row r="1284" spans="1:2" x14ac:dyDescent="0.3">
      <c r="A1284" s="4"/>
      <c r="B1284" s="4"/>
    </row>
    <row r="1285" spans="1:2" x14ac:dyDescent="0.3">
      <c r="A1285" s="4"/>
      <c r="B1285" s="4"/>
    </row>
    <row r="1286" spans="1:2" x14ac:dyDescent="0.3">
      <c r="A1286" s="4"/>
      <c r="B1286" s="4"/>
    </row>
    <row r="1287" spans="1:2" x14ac:dyDescent="0.3">
      <c r="A1287" s="4"/>
      <c r="B1287" s="4"/>
    </row>
    <row r="1288" spans="1:2" x14ac:dyDescent="0.3">
      <c r="A1288" s="4"/>
      <c r="B1288" s="4"/>
    </row>
    <row r="1289" spans="1:2" x14ac:dyDescent="0.3">
      <c r="A1289" s="4"/>
      <c r="B1289" s="4"/>
    </row>
    <row r="1290" spans="1:2" x14ac:dyDescent="0.3">
      <c r="A1290" s="4"/>
      <c r="B1290" s="4"/>
    </row>
    <row r="1291" spans="1:2" x14ac:dyDescent="0.3">
      <c r="A1291" s="4"/>
      <c r="B1291" s="4"/>
    </row>
    <row r="1292" spans="1:2" x14ac:dyDescent="0.3">
      <c r="A1292" s="4"/>
      <c r="B1292" s="4"/>
    </row>
    <row r="1293" spans="1:2" x14ac:dyDescent="0.3">
      <c r="A1293" s="4"/>
      <c r="B1293" s="4"/>
    </row>
    <row r="1294" spans="1:2" x14ac:dyDescent="0.3">
      <c r="A1294" s="4"/>
      <c r="B1294" s="4"/>
    </row>
    <row r="1295" spans="1:2" x14ac:dyDescent="0.3">
      <c r="A1295" s="4"/>
      <c r="B1295" s="4"/>
    </row>
    <row r="1296" spans="1:2" x14ac:dyDescent="0.3">
      <c r="A1296" s="4"/>
      <c r="B1296" s="4"/>
    </row>
    <row r="1297" spans="1:2" x14ac:dyDescent="0.3">
      <c r="A1297" s="4"/>
      <c r="B1297" s="4"/>
    </row>
    <row r="1298" spans="1:2" x14ac:dyDescent="0.3">
      <c r="A1298" s="4"/>
      <c r="B1298" s="4"/>
    </row>
    <row r="1299" spans="1:2" x14ac:dyDescent="0.3">
      <c r="A1299" s="4"/>
      <c r="B1299" s="4"/>
    </row>
    <row r="1300" spans="1:2" x14ac:dyDescent="0.3">
      <c r="A1300" s="4"/>
      <c r="B1300" s="4"/>
    </row>
    <row r="1301" spans="1:2" x14ac:dyDescent="0.3">
      <c r="A1301" s="4"/>
      <c r="B1301" s="4"/>
    </row>
    <row r="1302" spans="1:2" x14ac:dyDescent="0.3">
      <c r="A1302" s="4"/>
      <c r="B1302" s="4"/>
    </row>
    <row r="1303" spans="1:2" x14ac:dyDescent="0.3">
      <c r="A1303" s="4"/>
      <c r="B1303" s="4"/>
    </row>
    <row r="1304" spans="1:2" x14ac:dyDescent="0.3">
      <c r="A1304" s="4"/>
      <c r="B1304" s="4"/>
    </row>
    <row r="1305" spans="1:2" x14ac:dyDescent="0.3">
      <c r="A1305" s="4"/>
      <c r="B1305" s="4"/>
    </row>
    <row r="1306" spans="1:2" x14ac:dyDescent="0.3">
      <c r="A1306" s="4"/>
      <c r="B1306" s="4"/>
    </row>
    <row r="1307" spans="1:2" x14ac:dyDescent="0.3">
      <c r="A1307" s="4"/>
      <c r="B1307" s="4"/>
    </row>
    <row r="1308" spans="1:2" x14ac:dyDescent="0.3">
      <c r="A1308" s="4"/>
      <c r="B1308" s="4"/>
    </row>
    <row r="1309" spans="1:2" x14ac:dyDescent="0.3">
      <c r="A1309" s="4"/>
      <c r="B1309" s="4"/>
    </row>
    <row r="1310" spans="1:2" x14ac:dyDescent="0.3">
      <c r="A1310" s="4"/>
      <c r="B1310" s="4"/>
    </row>
    <row r="1311" spans="1:2" x14ac:dyDescent="0.3">
      <c r="A1311" s="4"/>
      <c r="B1311" s="4"/>
    </row>
    <row r="1312" spans="1:2" x14ac:dyDescent="0.3">
      <c r="A1312" s="4"/>
      <c r="B1312" s="4"/>
    </row>
    <row r="1313" spans="1:2" x14ac:dyDescent="0.3">
      <c r="A1313" s="4"/>
      <c r="B1313" s="4"/>
    </row>
    <row r="1314" spans="1:2" x14ac:dyDescent="0.3">
      <c r="A1314" s="4"/>
      <c r="B1314" s="4"/>
    </row>
    <row r="1315" spans="1:2" x14ac:dyDescent="0.3">
      <c r="A1315" s="4"/>
      <c r="B1315" s="4"/>
    </row>
    <row r="1316" spans="1:2" x14ac:dyDescent="0.3">
      <c r="A1316" s="4"/>
      <c r="B1316" s="4"/>
    </row>
    <row r="1317" spans="1:2" x14ac:dyDescent="0.3">
      <c r="A1317" s="4"/>
      <c r="B1317" s="4"/>
    </row>
    <row r="1318" spans="1:2" x14ac:dyDescent="0.3">
      <c r="A1318" s="4"/>
      <c r="B1318" s="4"/>
    </row>
    <row r="1319" spans="1:2" x14ac:dyDescent="0.3">
      <c r="A1319" s="4"/>
      <c r="B1319" s="4"/>
    </row>
    <row r="1320" spans="1:2" x14ac:dyDescent="0.3">
      <c r="A1320" s="4"/>
      <c r="B1320" s="4"/>
    </row>
    <row r="1321" spans="1:2" x14ac:dyDescent="0.3">
      <c r="A1321" s="4"/>
      <c r="B1321" s="4"/>
    </row>
    <row r="1322" spans="1:2" x14ac:dyDescent="0.3">
      <c r="A1322" s="4"/>
      <c r="B1322" s="4"/>
    </row>
    <row r="1323" spans="1:2" x14ac:dyDescent="0.3">
      <c r="A1323" s="4"/>
      <c r="B1323" s="4"/>
    </row>
    <row r="1324" spans="1:2" x14ac:dyDescent="0.3">
      <c r="A1324" s="4"/>
      <c r="B1324" s="4"/>
    </row>
    <row r="1325" spans="1:2" x14ac:dyDescent="0.3">
      <c r="A1325" s="4"/>
      <c r="B1325" s="4"/>
    </row>
    <row r="1326" spans="1:2" x14ac:dyDescent="0.3">
      <c r="A1326" s="4"/>
      <c r="B1326" s="4"/>
    </row>
    <row r="1327" spans="1:2" x14ac:dyDescent="0.3">
      <c r="A1327" s="4"/>
      <c r="B1327" s="4"/>
    </row>
    <row r="1328" spans="1:2" x14ac:dyDescent="0.3">
      <c r="A1328" s="4"/>
      <c r="B1328" s="4"/>
    </row>
    <row r="1329" spans="1:2" x14ac:dyDescent="0.3">
      <c r="A1329" s="4"/>
      <c r="B1329" s="4"/>
    </row>
    <row r="1330" spans="1:2" x14ac:dyDescent="0.3">
      <c r="A1330" s="4"/>
      <c r="B1330" s="4"/>
    </row>
    <row r="1331" spans="1:2" x14ac:dyDescent="0.3">
      <c r="A1331" s="4"/>
      <c r="B1331" s="4"/>
    </row>
    <row r="1332" spans="1:2" x14ac:dyDescent="0.3">
      <c r="A1332" s="4"/>
      <c r="B1332" s="4"/>
    </row>
    <row r="1333" spans="1:2" x14ac:dyDescent="0.3">
      <c r="A1333" s="4"/>
      <c r="B1333" s="4"/>
    </row>
    <row r="1334" spans="1:2" x14ac:dyDescent="0.3">
      <c r="A1334" s="4"/>
      <c r="B1334" s="4"/>
    </row>
    <row r="1335" spans="1:2" x14ac:dyDescent="0.3">
      <c r="A1335" s="4"/>
      <c r="B1335" s="4"/>
    </row>
    <row r="1336" spans="1:2" x14ac:dyDescent="0.3">
      <c r="A1336" s="4"/>
      <c r="B1336" s="4"/>
    </row>
    <row r="1337" spans="1:2" x14ac:dyDescent="0.3">
      <c r="A1337" s="4"/>
      <c r="B1337" s="4"/>
    </row>
    <row r="1338" spans="1:2" x14ac:dyDescent="0.3">
      <c r="A1338" s="4"/>
      <c r="B1338" s="4"/>
    </row>
    <row r="1339" spans="1:2" x14ac:dyDescent="0.3">
      <c r="A1339" s="4"/>
      <c r="B1339" s="4"/>
    </row>
    <row r="1340" spans="1:2" x14ac:dyDescent="0.3">
      <c r="A1340" s="4"/>
      <c r="B1340" s="4"/>
    </row>
    <row r="1341" spans="1:2" x14ac:dyDescent="0.3">
      <c r="A1341" s="4"/>
      <c r="B1341" s="4"/>
    </row>
    <row r="1342" spans="1:2" x14ac:dyDescent="0.3">
      <c r="A1342" s="4"/>
      <c r="B1342" s="4"/>
    </row>
    <row r="1343" spans="1:2" x14ac:dyDescent="0.3">
      <c r="A1343" s="4"/>
      <c r="B1343" s="4"/>
    </row>
    <row r="1344" spans="1:2" x14ac:dyDescent="0.3">
      <c r="A1344" s="4"/>
      <c r="B1344" s="4"/>
    </row>
    <row r="1345" spans="1:2" x14ac:dyDescent="0.3">
      <c r="A1345" s="4"/>
      <c r="B1345" s="4"/>
    </row>
    <row r="1346" spans="1:2" x14ac:dyDescent="0.3">
      <c r="A1346" s="4"/>
      <c r="B1346" s="4"/>
    </row>
    <row r="1347" spans="1:2" x14ac:dyDescent="0.3">
      <c r="A1347" s="4"/>
      <c r="B1347" s="4"/>
    </row>
    <row r="1348" spans="1:2" x14ac:dyDescent="0.3">
      <c r="A1348" s="4"/>
      <c r="B1348" s="4"/>
    </row>
    <row r="1349" spans="1:2" x14ac:dyDescent="0.3">
      <c r="A1349" s="4"/>
      <c r="B1349" s="4"/>
    </row>
    <row r="1350" spans="1:2" x14ac:dyDescent="0.3">
      <c r="A1350" s="4"/>
      <c r="B1350" s="4"/>
    </row>
    <row r="1351" spans="1:2" x14ac:dyDescent="0.3">
      <c r="A1351" s="4"/>
      <c r="B1351" s="4"/>
    </row>
    <row r="1352" spans="1:2" x14ac:dyDescent="0.3">
      <c r="A1352" s="4"/>
      <c r="B1352" s="4"/>
    </row>
    <row r="1353" spans="1:2" x14ac:dyDescent="0.3">
      <c r="A1353" s="4"/>
      <c r="B1353" s="4"/>
    </row>
    <row r="1354" spans="1:2" x14ac:dyDescent="0.3">
      <c r="A1354" s="4"/>
      <c r="B1354" s="4"/>
    </row>
    <row r="1355" spans="1:2" x14ac:dyDescent="0.3">
      <c r="A1355" s="4"/>
      <c r="B1355" s="4"/>
    </row>
    <row r="1356" spans="1:2" x14ac:dyDescent="0.3">
      <c r="A1356" s="4"/>
      <c r="B1356" s="4"/>
    </row>
    <row r="1357" spans="1:2" x14ac:dyDescent="0.3">
      <c r="A1357" s="4"/>
      <c r="B1357" s="4"/>
    </row>
    <row r="1358" spans="1:2" x14ac:dyDescent="0.3">
      <c r="A1358" s="4"/>
      <c r="B1358" s="4"/>
    </row>
    <row r="1359" spans="1:2" x14ac:dyDescent="0.3">
      <c r="A1359" s="4"/>
      <c r="B1359" s="4"/>
    </row>
    <row r="1360" spans="1:2" x14ac:dyDescent="0.3">
      <c r="A1360" s="4"/>
      <c r="B1360" s="4"/>
    </row>
    <row r="1361" spans="1:2" x14ac:dyDescent="0.3">
      <c r="A1361" s="4"/>
      <c r="B1361" s="4"/>
    </row>
    <row r="1362" spans="1:2" x14ac:dyDescent="0.3">
      <c r="A1362" s="4"/>
      <c r="B1362" s="4"/>
    </row>
    <row r="1363" spans="1:2" x14ac:dyDescent="0.3">
      <c r="A1363" s="4"/>
      <c r="B1363" s="4"/>
    </row>
    <row r="1364" spans="1:2" x14ac:dyDescent="0.3">
      <c r="A1364" s="4"/>
      <c r="B1364" s="4"/>
    </row>
    <row r="1365" spans="1:2" x14ac:dyDescent="0.3">
      <c r="A1365" s="4"/>
      <c r="B1365" s="4"/>
    </row>
    <row r="1366" spans="1:2" x14ac:dyDescent="0.3">
      <c r="A1366" s="4"/>
      <c r="B1366" s="4"/>
    </row>
    <row r="1367" spans="1:2" x14ac:dyDescent="0.3">
      <c r="A1367" s="4"/>
      <c r="B1367" s="4"/>
    </row>
    <row r="1368" spans="1:2" x14ac:dyDescent="0.3">
      <c r="A1368" s="4"/>
      <c r="B1368" s="4"/>
    </row>
    <row r="1369" spans="1:2" x14ac:dyDescent="0.3">
      <c r="A1369" s="4"/>
      <c r="B1369" s="4"/>
    </row>
    <row r="1370" spans="1:2" x14ac:dyDescent="0.3">
      <c r="A1370" s="4"/>
      <c r="B1370" s="4"/>
    </row>
    <row r="1371" spans="1:2" x14ac:dyDescent="0.3">
      <c r="A1371" s="4"/>
      <c r="B1371" s="4"/>
    </row>
    <row r="1372" spans="1:2" x14ac:dyDescent="0.3">
      <c r="A1372" s="4"/>
      <c r="B1372" s="4"/>
    </row>
    <row r="1373" spans="1:2" x14ac:dyDescent="0.3">
      <c r="A1373" s="4"/>
      <c r="B1373" s="4"/>
    </row>
    <row r="1374" spans="1:2" x14ac:dyDescent="0.3">
      <c r="A1374" s="4"/>
      <c r="B1374" s="4"/>
    </row>
    <row r="1375" spans="1:2" x14ac:dyDescent="0.3">
      <c r="A1375" s="4"/>
      <c r="B1375" s="4"/>
    </row>
    <row r="1376" spans="1:2" x14ac:dyDescent="0.3">
      <c r="A1376" s="4"/>
      <c r="B1376" s="4"/>
    </row>
    <row r="1377" spans="1:2" x14ac:dyDescent="0.3">
      <c r="A1377" s="4"/>
      <c r="B1377" s="4"/>
    </row>
    <row r="1378" spans="1:2" x14ac:dyDescent="0.3">
      <c r="A1378" s="4"/>
      <c r="B1378" s="4"/>
    </row>
    <row r="1379" spans="1:2" x14ac:dyDescent="0.3">
      <c r="A1379" s="4"/>
      <c r="B1379" s="4"/>
    </row>
    <row r="1380" spans="1:2" x14ac:dyDescent="0.3">
      <c r="A1380" s="4"/>
      <c r="B1380" s="4"/>
    </row>
    <row r="1381" spans="1:2" x14ac:dyDescent="0.3">
      <c r="A1381" s="4"/>
      <c r="B1381" s="4"/>
    </row>
    <row r="1382" spans="1:2" x14ac:dyDescent="0.3">
      <c r="A1382" s="4"/>
      <c r="B1382" s="4"/>
    </row>
    <row r="1383" spans="1:2" x14ac:dyDescent="0.3">
      <c r="A1383" s="4"/>
      <c r="B1383" s="4"/>
    </row>
    <row r="1384" spans="1:2" x14ac:dyDescent="0.3">
      <c r="A1384" s="4"/>
      <c r="B1384" s="4"/>
    </row>
    <row r="1385" spans="1:2" x14ac:dyDescent="0.3">
      <c r="A1385" s="4"/>
      <c r="B1385" s="4"/>
    </row>
    <row r="1386" spans="1:2" x14ac:dyDescent="0.3">
      <c r="A1386" s="4"/>
      <c r="B1386" s="4"/>
    </row>
    <row r="1387" spans="1:2" x14ac:dyDescent="0.3">
      <c r="A1387" s="4"/>
      <c r="B1387" s="4"/>
    </row>
    <row r="1388" spans="1:2" x14ac:dyDescent="0.3">
      <c r="A1388" s="4"/>
      <c r="B1388" s="4"/>
    </row>
    <row r="1389" spans="1:2" x14ac:dyDescent="0.3">
      <c r="A1389" s="4"/>
      <c r="B1389" s="4"/>
    </row>
    <row r="1390" spans="1:2" x14ac:dyDescent="0.3">
      <c r="A1390" s="4"/>
      <c r="B1390" s="4"/>
    </row>
    <row r="1391" spans="1:2" x14ac:dyDescent="0.3">
      <c r="A1391" s="4"/>
      <c r="B1391" s="4"/>
    </row>
    <row r="1392" spans="1:2" x14ac:dyDescent="0.3">
      <c r="A1392" s="4"/>
      <c r="B1392" s="4"/>
    </row>
    <row r="1393" spans="1:2" x14ac:dyDescent="0.3">
      <c r="A1393" s="4"/>
      <c r="B1393" s="4"/>
    </row>
    <row r="1394" spans="1:2" x14ac:dyDescent="0.3">
      <c r="A1394" s="4"/>
      <c r="B1394" s="4"/>
    </row>
    <row r="1395" spans="1:2" x14ac:dyDescent="0.3">
      <c r="A1395" s="4"/>
      <c r="B1395" s="4"/>
    </row>
    <row r="1396" spans="1:2" x14ac:dyDescent="0.3">
      <c r="A1396" s="4"/>
      <c r="B1396" s="4"/>
    </row>
    <row r="1397" spans="1:2" x14ac:dyDescent="0.3">
      <c r="A1397" s="4"/>
      <c r="B1397" s="4"/>
    </row>
    <row r="1398" spans="1:2" x14ac:dyDescent="0.3">
      <c r="A1398" s="4"/>
      <c r="B1398" s="4"/>
    </row>
    <row r="1399" spans="1:2" x14ac:dyDescent="0.3">
      <c r="A1399" s="4"/>
      <c r="B1399" s="4"/>
    </row>
    <row r="1400" spans="1:2" x14ac:dyDescent="0.3">
      <c r="A1400" s="4"/>
      <c r="B1400" s="4"/>
    </row>
    <row r="1401" spans="1:2" x14ac:dyDescent="0.3">
      <c r="A1401" s="4"/>
      <c r="B1401" s="4"/>
    </row>
    <row r="1402" spans="1:2" x14ac:dyDescent="0.3">
      <c r="A1402" s="4"/>
      <c r="B1402" s="4"/>
    </row>
    <row r="1403" spans="1:2" x14ac:dyDescent="0.3">
      <c r="A1403" s="4"/>
      <c r="B1403" s="4"/>
    </row>
    <row r="1404" spans="1:2" x14ac:dyDescent="0.3">
      <c r="A1404" s="4"/>
      <c r="B1404" s="4"/>
    </row>
    <row r="1405" spans="1:2" x14ac:dyDescent="0.3">
      <c r="A1405" s="4"/>
      <c r="B1405" s="4"/>
    </row>
    <row r="1406" spans="1:2" x14ac:dyDescent="0.3">
      <c r="A1406" s="4"/>
      <c r="B1406" s="4"/>
    </row>
    <row r="1407" spans="1:2" x14ac:dyDescent="0.3">
      <c r="A1407" s="4"/>
      <c r="B1407" s="4"/>
    </row>
    <row r="1408" spans="1:2" x14ac:dyDescent="0.3">
      <c r="A1408" s="4"/>
      <c r="B1408" s="4"/>
    </row>
    <row r="1409" spans="1:2" x14ac:dyDescent="0.3">
      <c r="A1409" s="4"/>
      <c r="B1409" s="4"/>
    </row>
    <row r="1410" spans="1:2" x14ac:dyDescent="0.3">
      <c r="A1410" s="4"/>
      <c r="B1410" s="4"/>
    </row>
    <row r="1411" spans="1:2" x14ac:dyDescent="0.3">
      <c r="A1411" s="4"/>
      <c r="B1411" s="4"/>
    </row>
    <row r="1412" spans="1:2" x14ac:dyDescent="0.3">
      <c r="A1412" s="4"/>
      <c r="B1412" s="4"/>
    </row>
    <row r="1413" spans="1:2" x14ac:dyDescent="0.3">
      <c r="A1413" s="4"/>
      <c r="B1413" s="4"/>
    </row>
    <row r="1414" spans="1:2" x14ac:dyDescent="0.3">
      <c r="A1414" s="4"/>
      <c r="B1414" s="4"/>
    </row>
    <row r="1415" spans="1:2" x14ac:dyDescent="0.3">
      <c r="A1415" s="4"/>
      <c r="B1415" s="4"/>
    </row>
    <row r="1416" spans="1:2" x14ac:dyDescent="0.3">
      <c r="A1416" s="4"/>
      <c r="B1416" s="4"/>
    </row>
    <row r="1417" spans="1:2" x14ac:dyDescent="0.3">
      <c r="A1417" s="4"/>
      <c r="B1417" s="4"/>
    </row>
    <row r="1418" spans="1:2" x14ac:dyDescent="0.3">
      <c r="A1418" s="4"/>
      <c r="B1418" s="4"/>
    </row>
    <row r="1419" spans="1:2" x14ac:dyDescent="0.3">
      <c r="A1419" s="4"/>
      <c r="B1419" s="4"/>
    </row>
    <row r="1420" spans="1:2" x14ac:dyDescent="0.3">
      <c r="A1420" s="4"/>
      <c r="B1420" s="4"/>
    </row>
    <row r="1421" spans="1:2" x14ac:dyDescent="0.3">
      <c r="A1421" s="4"/>
      <c r="B1421" s="4"/>
    </row>
    <row r="1422" spans="1:2" x14ac:dyDescent="0.3">
      <c r="A1422" s="4"/>
      <c r="B1422" s="4"/>
    </row>
    <row r="1423" spans="1:2" x14ac:dyDescent="0.3">
      <c r="A1423" s="4"/>
      <c r="B1423" s="4"/>
    </row>
    <row r="1424" spans="1:2" x14ac:dyDescent="0.3">
      <c r="A1424" s="4"/>
      <c r="B1424" s="4"/>
    </row>
    <row r="1425" spans="1:2" x14ac:dyDescent="0.3">
      <c r="A1425" s="4"/>
      <c r="B1425" s="4"/>
    </row>
    <row r="1426" spans="1:2" x14ac:dyDescent="0.3">
      <c r="A1426" s="4"/>
      <c r="B1426" s="4"/>
    </row>
    <row r="1427" spans="1:2" x14ac:dyDescent="0.3">
      <c r="A1427" s="4"/>
      <c r="B1427" s="4"/>
    </row>
    <row r="1428" spans="1:2" x14ac:dyDescent="0.3">
      <c r="A1428" s="4"/>
      <c r="B1428" s="4"/>
    </row>
    <row r="1429" spans="1:2" x14ac:dyDescent="0.3">
      <c r="A1429" s="4"/>
      <c r="B1429" s="4"/>
    </row>
    <row r="1430" spans="1:2" x14ac:dyDescent="0.3">
      <c r="A1430" s="4"/>
      <c r="B1430" s="4"/>
    </row>
    <row r="1431" spans="1:2" x14ac:dyDescent="0.3">
      <c r="A1431" s="4"/>
      <c r="B1431" s="4"/>
    </row>
    <row r="1432" spans="1:2" x14ac:dyDescent="0.3">
      <c r="A1432" s="4"/>
      <c r="B1432" s="4"/>
    </row>
    <row r="1433" spans="1:2" x14ac:dyDescent="0.3">
      <c r="A1433" s="4"/>
      <c r="B1433" s="4"/>
    </row>
    <row r="1434" spans="1:2" x14ac:dyDescent="0.3">
      <c r="A1434" s="4"/>
      <c r="B1434" s="4"/>
    </row>
    <row r="1435" spans="1:2" x14ac:dyDescent="0.3">
      <c r="A1435" s="4"/>
      <c r="B1435" s="4"/>
    </row>
    <row r="1436" spans="1:2" x14ac:dyDescent="0.3">
      <c r="A1436" s="4"/>
      <c r="B1436" s="4"/>
    </row>
    <row r="1437" spans="1:2" x14ac:dyDescent="0.3">
      <c r="A1437" s="4"/>
      <c r="B1437" s="4"/>
    </row>
    <row r="1438" spans="1:2" x14ac:dyDescent="0.3">
      <c r="A1438" s="4"/>
      <c r="B1438" s="4"/>
    </row>
    <row r="1439" spans="1:2" x14ac:dyDescent="0.3">
      <c r="A1439" s="4"/>
      <c r="B1439" s="4"/>
    </row>
    <row r="1440" spans="1:2" x14ac:dyDescent="0.3">
      <c r="A1440" s="4"/>
      <c r="B1440" s="4"/>
    </row>
    <row r="1441" spans="1:2" x14ac:dyDescent="0.3">
      <c r="A1441" s="4"/>
      <c r="B1441" s="4"/>
    </row>
    <row r="1442" spans="1:2" x14ac:dyDescent="0.3">
      <c r="A1442" s="4"/>
      <c r="B1442" s="4"/>
    </row>
    <row r="1443" spans="1:2" x14ac:dyDescent="0.3">
      <c r="A1443" s="4"/>
      <c r="B1443" s="4"/>
    </row>
    <row r="1444" spans="1:2" x14ac:dyDescent="0.3">
      <c r="A1444" s="4"/>
      <c r="B1444" s="4"/>
    </row>
    <row r="1445" spans="1:2" x14ac:dyDescent="0.3">
      <c r="A1445" s="4"/>
      <c r="B1445" s="4"/>
    </row>
    <row r="1446" spans="1:2" x14ac:dyDescent="0.3">
      <c r="A1446" s="4"/>
      <c r="B1446" s="4"/>
    </row>
    <row r="1447" spans="1:2" x14ac:dyDescent="0.3">
      <c r="A1447" s="4"/>
      <c r="B1447" s="4"/>
    </row>
    <row r="1448" spans="1:2" x14ac:dyDescent="0.3">
      <c r="A1448" s="4"/>
      <c r="B1448" s="4"/>
    </row>
    <row r="1449" spans="1:2" x14ac:dyDescent="0.3">
      <c r="A1449" s="4"/>
      <c r="B1449" s="4"/>
    </row>
    <row r="1450" spans="1:2" x14ac:dyDescent="0.3">
      <c r="A1450" s="4"/>
      <c r="B1450" s="4"/>
    </row>
    <row r="1451" spans="1:2" x14ac:dyDescent="0.3">
      <c r="A1451" s="4"/>
      <c r="B1451" s="4"/>
    </row>
    <row r="1452" spans="1:2" x14ac:dyDescent="0.3">
      <c r="A1452" s="4"/>
      <c r="B1452" s="4"/>
    </row>
    <row r="1453" spans="1:2" x14ac:dyDescent="0.3">
      <c r="A1453" s="4"/>
      <c r="B1453" s="4"/>
    </row>
    <row r="1454" spans="1:2" x14ac:dyDescent="0.3">
      <c r="A1454" s="4"/>
      <c r="B1454" s="4"/>
    </row>
    <row r="1455" spans="1:2" x14ac:dyDescent="0.3">
      <c r="A1455" s="4"/>
      <c r="B1455" s="4"/>
    </row>
    <row r="1456" spans="1:2" x14ac:dyDescent="0.3">
      <c r="A1456" s="4"/>
      <c r="B1456" s="4"/>
    </row>
    <row r="1457" spans="1:2" x14ac:dyDescent="0.3">
      <c r="A1457" s="4"/>
      <c r="B1457" s="4"/>
    </row>
    <row r="1458" spans="1:2" x14ac:dyDescent="0.3">
      <c r="A1458" s="4"/>
      <c r="B1458" s="4"/>
    </row>
    <row r="1459" spans="1:2" x14ac:dyDescent="0.3">
      <c r="A1459" s="4"/>
      <c r="B1459" s="4"/>
    </row>
    <row r="1460" spans="1:2" x14ac:dyDescent="0.3">
      <c r="A1460" s="4"/>
      <c r="B1460" s="4"/>
    </row>
    <row r="1461" spans="1:2" x14ac:dyDescent="0.3">
      <c r="A1461" s="4"/>
      <c r="B1461" s="4"/>
    </row>
    <row r="1462" spans="1:2" x14ac:dyDescent="0.3">
      <c r="A1462" s="4"/>
      <c r="B1462" s="4"/>
    </row>
    <row r="1463" spans="1:2" x14ac:dyDescent="0.3">
      <c r="A1463" s="4"/>
      <c r="B1463" s="4"/>
    </row>
    <row r="1464" spans="1:2" x14ac:dyDescent="0.3">
      <c r="A1464" s="4"/>
      <c r="B1464" s="4"/>
    </row>
    <row r="1465" spans="1:2" x14ac:dyDescent="0.3">
      <c r="A1465" s="4"/>
      <c r="B1465" s="4"/>
    </row>
    <row r="1466" spans="1:2" x14ac:dyDescent="0.3">
      <c r="A1466" s="4"/>
      <c r="B1466" s="4"/>
    </row>
    <row r="1467" spans="1:2" x14ac:dyDescent="0.3">
      <c r="A1467" s="4"/>
      <c r="B1467" s="4"/>
    </row>
    <row r="1468" spans="1:2" x14ac:dyDescent="0.3">
      <c r="A1468" s="4"/>
      <c r="B1468" s="4"/>
    </row>
    <row r="1469" spans="1:2" x14ac:dyDescent="0.3">
      <c r="A1469" s="4"/>
      <c r="B1469" s="4"/>
    </row>
    <row r="1470" spans="1:2" x14ac:dyDescent="0.3">
      <c r="A1470" s="4"/>
      <c r="B1470" s="4"/>
    </row>
    <row r="1471" spans="1:2" x14ac:dyDescent="0.3">
      <c r="A1471" s="4"/>
      <c r="B1471" s="4"/>
    </row>
    <row r="1472" spans="1:2" x14ac:dyDescent="0.3">
      <c r="A1472" s="4"/>
      <c r="B1472" s="4"/>
    </row>
    <row r="1473" spans="1:2" x14ac:dyDescent="0.3">
      <c r="A1473" s="4"/>
      <c r="B1473" s="4"/>
    </row>
    <row r="1474" spans="1:2" x14ac:dyDescent="0.3">
      <c r="A1474" s="4"/>
      <c r="B1474" s="4"/>
    </row>
    <row r="1475" spans="1:2" x14ac:dyDescent="0.3">
      <c r="A1475" s="4"/>
      <c r="B1475" s="4"/>
    </row>
    <row r="1476" spans="1:2" x14ac:dyDescent="0.3">
      <c r="A1476" s="4"/>
      <c r="B1476" s="4"/>
    </row>
    <row r="1477" spans="1:2" x14ac:dyDescent="0.3">
      <c r="A1477" s="4"/>
      <c r="B1477" s="4"/>
    </row>
    <row r="1478" spans="1:2" x14ac:dyDescent="0.3">
      <c r="A1478" s="4"/>
      <c r="B1478" s="4"/>
    </row>
    <row r="1479" spans="1:2" x14ac:dyDescent="0.3">
      <c r="A1479" s="4"/>
      <c r="B1479" s="4"/>
    </row>
    <row r="1480" spans="1:2" x14ac:dyDescent="0.3">
      <c r="A1480" s="4"/>
      <c r="B1480" s="4"/>
    </row>
    <row r="1481" spans="1:2" x14ac:dyDescent="0.3">
      <c r="A1481" s="4"/>
      <c r="B1481" s="4"/>
    </row>
    <row r="1482" spans="1:2" x14ac:dyDescent="0.3">
      <c r="A1482" s="4"/>
      <c r="B1482" s="4"/>
    </row>
    <row r="1483" spans="1:2" x14ac:dyDescent="0.3">
      <c r="A1483" s="4"/>
      <c r="B1483" s="4"/>
    </row>
    <row r="1484" spans="1:2" x14ac:dyDescent="0.3">
      <c r="A1484" s="4"/>
      <c r="B1484" s="4"/>
    </row>
    <row r="1485" spans="1:2" x14ac:dyDescent="0.3">
      <c r="A1485" s="4"/>
      <c r="B1485" s="4"/>
    </row>
    <row r="1486" spans="1:2" x14ac:dyDescent="0.3">
      <c r="A1486" s="4"/>
      <c r="B1486" s="4"/>
    </row>
    <row r="1487" spans="1:2" x14ac:dyDescent="0.3">
      <c r="A1487" s="4"/>
      <c r="B1487" s="4"/>
    </row>
    <row r="1488" spans="1:2" x14ac:dyDescent="0.3">
      <c r="A1488" s="4"/>
      <c r="B1488" s="4"/>
    </row>
    <row r="1489" spans="1:2" x14ac:dyDescent="0.3">
      <c r="A1489" s="4"/>
      <c r="B1489" s="4"/>
    </row>
    <row r="1490" spans="1:2" x14ac:dyDescent="0.3">
      <c r="A1490" s="4"/>
      <c r="B1490" s="4"/>
    </row>
    <row r="1491" spans="1:2" x14ac:dyDescent="0.3">
      <c r="A1491" s="4"/>
      <c r="B1491" s="4"/>
    </row>
    <row r="1492" spans="1:2" x14ac:dyDescent="0.3">
      <c r="A1492" s="4"/>
      <c r="B1492" s="4"/>
    </row>
    <row r="1493" spans="1:2" x14ac:dyDescent="0.3">
      <c r="A1493" s="4"/>
      <c r="B1493" s="4"/>
    </row>
    <row r="1494" spans="1:2" x14ac:dyDescent="0.3">
      <c r="A1494" s="4"/>
      <c r="B1494" s="4"/>
    </row>
    <row r="1495" spans="1:2" x14ac:dyDescent="0.3">
      <c r="A1495" s="4"/>
      <c r="B1495" s="4"/>
    </row>
    <row r="1496" spans="1:2" x14ac:dyDescent="0.3">
      <c r="A1496" s="4"/>
      <c r="B1496" s="4"/>
    </row>
    <row r="1497" spans="1:2" x14ac:dyDescent="0.3">
      <c r="A1497" s="4"/>
      <c r="B1497" s="4"/>
    </row>
    <row r="1498" spans="1:2" x14ac:dyDescent="0.3">
      <c r="A1498" s="4"/>
      <c r="B1498" s="4"/>
    </row>
    <row r="1499" spans="1:2" x14ac:dyDescent="0.3">
      <c r="A1499" s="4"/>
      <c r="B1499" s="4"/>
    </row>
    <row r="1500" spans="1:2" x14ac:dyDescent="0.3">
      <c r="A1500" s="4"/>
      <c r="B1500" s="4"/>
    </row>
    <row r="1501" spans="1:2" x14ac:dyDescent="0.3">
      <c r="A1501" s="4"/>
      <c r="B1501" s="4"/>
    </row>
    <row r="1502" spans="1:2" x14ac:dyDescent="0.3">
      <c r="A1502" s="4"/>
      <c r="B1502" s="4"/>
    </row>
    <row r="1503" spans="1:2" x14ac:dyDescent="0.3">
      <c r="A1503" s="4"/>
      <c r="B1503" s="4"/>
    </row>
    <row r="1504" spans="1:2" x14ac:dyDescent="0.3">
      <c r="A1504" s="4"/>
      <c r="B1504" s="4"/>
    </row>
    <row r="1505" spans="1:2" x14ac:dyDescent="0.3">
      <c r="A1505" s="4"/>
      <c r="B1505" s="4"/>
    </row>
    <row r="1506" spans="1:2" x14ac:dyDescent="0.3">
      <c r="A1506" s="4"/>
      <c r="B1506" s="4"/>
    </row>
    <row r="1507" spans="1:2" x14ac:dyDescent="0.3">
      <c r="A1507" s="4"/>
      <c r="B1507" s="4"/>
    </row>
    <row r="1508" spans="1:2" x14ac:dyDescent="0.3">
      <c r="A1508" s="4"/>
      <c r="B1508" s="4"/>
    </row>
    <row r="1509" spans="1:2" x14ac:dyDescent="0.3">
      <c r="A1509" s="4"/>
      <c r="B1509" s="4"/>
    </row>
    <row r="1510" spans="1:2" x14ac:dyDescent="0.3">
      <c r="A1510" s="4"/>
      <c r="B1510" s="4"/>
    </row>
    <row r="1511" spans="1:2" x14ac:dyDescent="0.3">
      <c r="A1511" s="4"/>
      <c r="B1511" s="4"/>
    </row>
    <row r="1512" spans="1:2" x14ac:dyDescent="0.3">
      <c r="A1512" s="4"/>
      <c r="B1512" s="4"/>
    </row>
    <row r="1513" spans="1:2" x14ac:dyDescent="0.3">
      <c r="A1513" s="4"/>
      <c r="B1513" s="4"/>
    </row>
    <row r="1514" spans="1:2" x14ac:dyDescent="0.3">
      <c r="A1514" s="4"/>
      <c r="B1514" s="4"/>
    </row>
    <row r="1515" spans="1:2" x14ac:dyDescent="0.3">
      <c r="A1515" s="4"/>
      <c r="B1515" s="4"/>
    </row>
    <row r="1516" spans="1:2" x14ac:dyDescent="0.3">
      <c r="A1516" s="4"/>
      <c r="B1516" s="4"/>
    </row>
    <row r="1517" spans="1:2" x14ac:dyDescent="0.3">
      <c r="A1517" s="4"/>
      <c r="B1517" s="4"/>
    </row>
    <row r="1518" spans="1:2" x14ac:dyDescent="0.3">
      <c r="A1518" s="4"/>
      <c r="B1518" s="4"/>
    </row>
    <row r="1519" spans="1:2" x14ac:dyDescent="0.3">
      <c r="A1519" s="4"/>
      <c r="B1519" s="4"/>
    </row>
    <row r="1520" spans="1:2" x14ac:dyDescent="0.3">
      <c r="A1520" s="4"/>
      <c r="B1520" s="4"/>
    </row>
    <row r="1521" spans="1:2" x14ac:dyDescent="0.3">
      <c r="A1521" s="4"/>
      <c r="B1521" s="4"/>
    </row>
    <row r="1522" spans="1:2" x14ac:dyDescent="0.3">
      <c r="A1522" s="4"/>
      <c r="B1522" s="4"/>
    </row>
    <row r="1523" spans="1:2" x14ac:dyDescent="0.3">
      <c r="A1523" s="4"/>
      <c r="B1523" s="4"/>
    </row>
    <row r="1524" spans="1:2" x14ac:dyDescent="0.3">
      <c r="A1524" s="4"/>
      <c r="B1524" s="4"/>
    </row>
    <row r="1525" spans="1:2" x14ac:dyDescent="0.3">
      <c r="A1525" s="4"/>
      <c r="B1525" s="4"/>
    </row>
    <row r="1526" spans="1:2" x14ac:dyDescent="0.3">
      <c r="A1526" s="4"/>
      <c r="B1526" s="4"/>
    </row>
    <row r="1527" spans="1:2" x14ac:dyDescent="0.3">
      <c r="A1527" s="4"/>
      <c r="B1527" s="4"/>
    </row>
    <row r="1528" spans="1:2" x14ac:dyDescent="0.3">
      <c r="A1528" s="4"/>
      <c r="B1528" s="4"/>
    </row>
    <row r="1529" spans="1:2" x14ac:dyDescent="0.3">
      <c r="A1529" s="4"/>
      <c r="B1529" s="4"/>
    </row>
    <row r="1530" spans="1:2" x14ac:dyDescent="0.3">
      <c r="A1530" s="4"/>
      <c r="B1530" s="4"/>
    </row>
    <row r="1531" spans="1:2" x14ac:dyDescent="0.3">
      <c r="A1531" s="4"/>
      <c r="B1531" s="4"/>
    </row>
    <row r="1532" spans="1:2" x14ac:dyDescent="0.3">
      <c r="A1532" s="4"/>
      <c r="B1532" s="4"/>
    </row>
    <row r="1533" spans="1:2" x14ac:dyDescent="0.3">
      <c r="A1533" s="4"/>
      <c r="B1533" s="4"/>
    </row>
    <row r="1534" spans="1:2" x14ac:dyDescent="0.3">
      <c r="A1534" s="4"/>
      <c r="B1534" s="4"/>
    </row>
    <row r="1535" spans="1:2" x14ac:dyDescent="0.3">
      <c r="A1535" s="4"/>
      <c r="B1535" s="4"/>
    </row>
    <row r="1536" spans="1:2" x14ac:dyDescent="0.3">
      <c r="A1536" s="4"/>
      <c r="B1536" s="4"/>
    </row>
    <row r="1537" spans="1:2" x14ac:dyDescent="0.3">
      <c r="A1537" s="4"/>
      <c r="B1537" s="4"/>
    </row>
    <row r="1538" spans="1:2" x14ac:dyDescent="0.3">
      <c r="A1538" s="4"/>
      <c r="B1538" s="4"/>
    </row>
    <row r="1539" spans="1:2" x14ac:dyDescent="0.3">
      <c r="A1539" s="4"/>
      <c r="B1539" s="4"/>
    </row>
    <row r="1540" spans="1:2" x14ac:dyDescent="0.3">
      <c r="A1540" s="4"/>
      <c r="B1540" s="4"/>
    </row>
    <row r="1541" spans="1:2" x14ac:dyDescent="0.3">
      <c r="A1541" s="4"/>
      <c r="B1541" s="4"/>
    </row>
    <row r="1542" spans="1:2" x14ac:dyDescent="0.3">
      <c r="A1542" s="4"/>
      <c r="B1542" s="4"/>
    </row>
    <row r="1543" spans="1:2" x14ac:dyDescent="0.3">
      <c r="A1543" s="4"/>
      <c r="B1543" s="4"/>
    </row>
    <row r="1544" spans="1:2" x14ac:dyDescent="0.3">
      <c r="A1544" s="4"/>
      <c r="B1544" s="4"/>
    </row>
    <row r="1545" spans="1:2" x14ac:dyDescent="0.3">
      <c r="A1545" s="4"/>
      <c r="B1545" s="4"/>
    </row>
    <row r="1546" spans="1:2" x14ac:dyDescent="0.3">
      <c r="A1546" s="4"/>
      <c r="B1546" s="4"/>
    </row>
    <row r="1547" spans="1:2" x14ac:dyDescent="0.3">
      <c r="A1547" s="4"/>
      <c r="B1547" s="4"/>
    </row>
    <row r="1548" spans="1:2" x14ac:dyDescent="0.3">
      <c r="A1548" s="4"/>
      <c r="B1548" s="4"/>
    </row>
    <row r="1549" spans="1:2" x14ac:dyDescent="0.3">
      <c r="A1549" s="4"/>
      <c r="B1549" s="4"/>
    </row>
    <row r="1550" spans="1:2" x14ac:dyDescent="0.3">
      <c r="A1550" s="4"/>
      <c r="B1550" s="4"/>
    </row>
    <row r="1551" spans="1:2" x14ac:dyDescent="0.3">
      <c r="A1551" s="4"/>
      <c r="B1551" s="4"/>
    </row>
    <row r="1552" spans="1:2" x14ac:dyDescent="0.3">
      <c r="A1552" s="4"/>
      <c r="B1552" s="4"/>
    </row>
    <row r="1553" spans="1:2" x14ac:dyDescent="0.3">
      <c r="A1553" s="4"/>
      <c r="B1553" s="4"/>
    </row>
    <row r="1554" spans="1:2" x14ac:dyDescent="0.3">
      <c r="A1554" s="4"/>
      <c r="B1554" s="4"/>
    </row>
    <row r="1555" spans="1:2" x14ac:dyDescent="0.3">
      <c r="A1555" s="4"/>
      <c r="B1555" s="4"/>
    </row>
    <row r="1556" spans="1:2" x14ac:dyDescent="0.3">
      <c r="A1556" s="4"/>
      <c r="B1556" s="4"/>
    </row>
    <row r="1557" spans="1:2" x14ac:dyDescent="0.3">
      <c r="A1557" s="4"/>
      <c r="B1557" s="4"/>
    </row>
    <row r="1558" spans="1:2" x14ac:dyDescent="0.3">
      <c r="A1558" s="4"/>
      <c r="B1558" s="4"/>
    </row>
    <row r="1559" spans="1:2" x14ac:dyDescent="0.3">
      <c r="A1559" s="4"/>
      <c r="B1559" s="4"/>
    </row>
    <row r="1560" spans="1:2" x14ac:dyDescent="0.3">
      <c r="A1560" s="4"/>
      <c r="B1560" s="4"/>
    </row>
    <row r="1561" spans="1:2" x14ac:dyDescent="0.3">
      <c r="A1561" s="4"/>
      <c r="B1561" s="4"/>
    </row>
    <row r="1562" spans="1:2" x14ac:dyDescent="0.3">
      <c r="A1562" s="4"/>
      <c r="B1562" s="4"/>
    </row>
    <row r="1563" spans="1:2" x14ac:dyDescent="0.3">
      <c r="A1563" s="4"/>
      <c r="B1563" s="4"/>
    </row>
    <row r="1564" spans="1:2" x14ac:dyDescent="0.3">
      <c r="A1564" s="4"/>
      <c r="B1564" s="4"/>
    </row>
    <row r="1565" spans="1:2" x14ac:dyDescent="0.3">
      <c r="A1565" s="4"/>
      <c r="B1565" s="4"/>
    </row>
    <row r="1566" spans="1:2" x14ac:dyDescent="0.3">
      <c r="A1566" s="4"/>
      <c r="B1566" s="4"/>
    </row>
    <row r="1567" spans="1:2" x14ac:dyDescent="0.3">
      <c r="A1567" s="4"/>
      <c r="B1567" s="4"/>
    </row>
    <row r="1568" spans="1:2" x14ac:dyDescent="0.3">
      <c r="A1568" s="4"/>
      <c r="B1568" s="4"/>
    </row>
    <row r="1569" spans="1:2" x14ac:dyDescent="0.3">
      <c r="A1569" s="4"/>
      <c r="B1569" s="4"/>
    </row>
    <row r="1570" spans="1:2" x14ac:dyDescent="0.3">
      <c r="A1570" s="4"/>
      <c r="B1570" s="4"/>
    </row>
    <row r="1571" spans="1:2" x14ac:dyDescent="0.3">
      <c r="A1571" s="4"/>
      <c r="B1571" s="4"/>
    </row>
    <row r="1572" spans="1:2" x14ac:dyDescent="0.3">
      <c r="A1572" s="4"/>
      <c r="B1572" s="4"/>
    </row>
    <row r="1573" spans="1:2" x14ac:dyDescent="0.3">
      <c r="A1573" s="4"/>
      <c r="B1573" s="4"/>
    </row>
    <row r="1574" spans="1:2" x14ac:dyDescent="0.3">
      <c r="A1574" s="4"/>
      <c r="B1574" s="4"/>
    </row>
    <row r="1575" spans="1:2" x14ac:dyDescent="0.3">
      <c r="A1575" s="4"/>
      <c r="B1575" s="4"/>
    </row>
    <row r="1576" spans="1:2" x14ac:dyDescent="0.3">
      <c r="A1576" s="4"/>
      <c r="B1576" s="4"/>
    </row>
    <row r="1577" spans="1:2" x14ac:dyDescent="0.3">
      <c r="A1577" s="4"/>
      <c r="B1577" s="4"/>
    </row>
    <row r="1578" spans="1:2" x14ac:dyDescent="0.3">
      <c r="A1578" s="4"/>
      <c r="B1578" s="4"/>
    </row>
    <row r="1579" spans="1:2" x14ac:dyDescent="0.3">
      <c r="A1579" s="4"/>
      <c r="B1579" s="4"/>
    </row>
    <row r="1580" spans="1:2" x14ac:dyDescent="0.3">
      <c r="A1580" s="4"/>
      <c r="B1580" s="4"/>
    </row>
    <row r="1581" spans="1:2" x14ac:dyDescent="0.3">
      <c r="A1581" s="4"/>
      <c r="B1581" s="4"/>
    </row>
    <row r="1582" spans="1:2" x14ac:dyDescent="0.3">
      <c r="A1582" s="4"/>
      <c r="B1582" s="4"/>
    </row>
    <row r="1583" spans="1:2" x14ac:dyDescent="0.3">
      <c r="A1583" s="4"/>
      <c r="B1583" s="4"/>
    </row>
    <row r="1584" spans="1:2" x14ac:dyDescent="0.3">
      <c r="A1584" s="4"/>
      <c r="B1584" s="4"/>
    </row>
    <row r="1585" spans="1:2" x14ac:dyDescent="0.3">
      <c r="A1585" s="4"/>
      <c r="B1585" s="4"/>
    </row>
    <row r="1586" spans="1:2" x14ac:dyDescent="0.3">
      <c r="A1586" s="4"/>
      <c r="B1586" s="4"/>
    </row>
    <row r="1587" spans="1:2" x14ac:dyDescent="0.3">
      <c r="A1587" s="4"/>
      <c r="B1587" s="4"/>
    </row>
    <row r="1588" spans="1:2" x14ac:dyDescent="0.3">
      <c r="A1588" s="4"/>
      <c r="B1588" s="4"/>
    </row>
    <row r="1589" spans="1:2" x14ac:dyDescent="0.3">
      <c r="A1589" s="4"/>
      <c r="B1589" s="4"/>
    </row>
    <row r="1590" spans="1:2" x14ac:dyDescent="0.3">
      <c r="A1590" s="4"/>
      <c r="B1590" s="4"/>
    </row>
    <row r="1591" spans="1:2" x14ac:dyDescent="0.3">
      <c r="A1591" s="4"/>
      <c r="B1591" s="4"/>
    </row>
    <row r="1592" spans="1:2" x14ac:dyDescent="0.3">
      <c r="A1592" s="4"/>
      <c r="B1592" s="4"/>
    </row>
    <row r="1593" spans="1:2" x14ac:dyDescent="0.3">
      <c r="A1593" s="4"/>
      <c r="B1593" s="4"/>
    </row>
    <row r="1594" spans="1:2" x14ac:dyDescent="0.3">
      <c r="A1594" s="4"/>
      <c r="B1594" s="4"/>
    </row>
    <row r="1595" spans="1:2" x14ac:dyDescent="0.3">
      <c r="A1595" s="4"/>
      <c r="B1595" s="4"/>
    </row>
    <row r="1596" spans="1:2" x14ac:dyDescent="0.3">
      <c r="A1596" s="4"/>
      <c r="B1596" s="4"/>
    </row>
    <row r="1597" spans="1:2" x14ac:dyDescent="0.3">
      <c r="A1597" s="4"/>
      <c r="B1597" s="4"/>
    </row>
    <row r="1598" spans="1:2" x14ac:dyDescent="0.3">
      <c r="A1598" s="4"/>
      <c r="B1598" s="4"/>
    </row>
    <row r="1599" spans="1:2" x14ac:dyDescent="0.3">
      <c r="A1599" s="4"/>
      <c r="B1599" s="4"/>
    </row>
    <row r="1600" spans="1:2" x14ac:dyDescent="0.3">
      <c r="A1600" s="4"/>
      <c r="B1600" s="4"/>
    </row>
    <row r="1601" spans="1:2" x14ac:dyDescent="0.3">
      <c r="A1601" s="4"/>
      <c r="B1601" s="4"/>
    </row>
    <row r="1602" spans="1:2" x14ac:dyDescent="0.3">
      <c r="A1602" s="4"/>
      <c r="B1602" s="4"/>
    </row>
    <row r="1603" spans="1:2" x14ac:dyDescent="0.3">
      <c r="A1603" s="4"/>
      <c r="B1603" s="4"/>
    </row>
    <row r="1604" spans="1:2" x14ac:dyDescent="0.3">
      <c r="A1604" s="4"/>
      <c r="B1604" s="4"/>
    </row>
    <row r="1605" spans="1:2" x14ac:dyDescent="0.3">
      <c r="A1605" s="4"/>
      <c r="B1605" s="4"/>
    </row>
    <row r="1606" spans="1:2" x14ac:dyDescent="0.3">
      <c r="A1606" s="4"/>
      <c r="B1606" s="4"/>
    </row>
    <row r="1607" spans="1:2" x14ac:dyDescent="0.3">
      <c r="A1607" s="4"/>
      <c r="B1607" s="4"/>
    </row>
    <row r="1608" spans="1:2" x14ac:dyDescent="0.3">
      <c r="A1608" s="4"/>
      <c r="B1608" s="4"/>
    </row>
    <row r="1609" spans="1:2" x14ac:dyDescent="0.3">
      <c r="A1609" s="4"/>
      <c r="B1609" s="4"/>
    </row>
    <row r="1610" spans="1:2" x14ac:dyDescent="0.3">
      <c r="A1610" s="4"/>
      <c r="B1610" s="4"/>
    </row>
    <row r="1611" spans="1:2" x14ac:dyDescent="0.3">
      <c r="A1611" s="4"/>
      <c r="B1611" s="4"/>
    </row>
    <row r="1612" spans="1:2" x14ac:dyDescent="0.3">
      <c r="A1612" s="4"/>
      <c r="B1612" s="4"/>
    </row>
    <row r="1613" spans="1:2" x14ac:dyDescent="0.3">
      <c r="A1613" s="4"/>
      <c r="B1613" s="4"/>
    </row>
    <row r="1614" spans="1:2" x14ac:dyDescent="0.3">
      <c r="A1614" s="4"/>
      <c r="B1614" s="4"/>
    </row>
    <row r="1615" spans="1:2" x14ac:dyDescent="0.3">
      <c r="A1615" s="4"/>
      <c r="B1615" s="4"/>
    </row>
    <row r="1616" spans="1:2" x14ac:dyDescent="0.3">
      <c r="A1616" s="4"/>
      <c r="B1616" s="4"/>
    </row>
    <row r="1617" spans="1:2" x14ac:dyDescent="0.3">
      <c r="A1617" s="4"/>
      <c r="B1617" s="4"/>
    </row>
    <row r="1618" spans="1:2" x14ac:dyDescent="0.3">
      <c r="A1618" s="4"/>
      <c r="B1618" s="4"/>
    </row>
    <row r="1619" spans="1:2" x14ac:dyDescent="0.3">
      <c r="A1619" s="4"/>
      <c r="B1619" s="4"/>
    </row>
    <row r="1620" spans="1:2" x14ac:dyDescent="0.3">
      <c r="A1620" s="4"/>
      <c r="B1620" s="4"/>
    </row>
    <row r="1621" spans="1:2" x14ac:dyDescent="0.3">
      <c r="A1621" s="4"/>
      <c r="B1621" s="4"/>
    </row>
    <row r="1622" spans="1:2" x14ac:dyDescent="0.3">
      <c r="A1622" s="4"/>
      <c r="B1622" s="4"/>
    </row>
    <row r="1623" spans="1:2" x14ac:dyDescent="0.3">
      <c r="A1623" s="4"/>
      <c r="B1623" s="4"/>
    </row>
    <row r="1624" spans="1:2" x14ac:dyDescent="0.3">
      <c r="A1624" s="4"/>
      <c r="B1624" s="4"/>
    </row>
    <row r="1625" spans="1:2" x14ac:dyDescent="0.3">
      <c r="A1625" s="4"/>
      <c r="B1625" s="4"/>
    </row>
    <row r="1626" spans="1:2" x14ac:dyDescent="0.3">
      <c r="A1626" s="4"/>
      <c r="B1626" s="4"/>
    </row>
    <row r="1627" spans="1:2" x14ac:dyDescent="0.3">
      <c r="A1627" s="4"/>
      <c r="B1627" s="4"/>
    </row>
    <row r="1628" spans="1:2" x14ac:dyDescent="0.3">
      <c r="A1628" s="4"/>
      <c r="B1628" s="4"/>
    </row>
    <row r="1629" spans="1:2" x14ac:dyDescent="0.3">
      <c r="A1629" s="4"/>
      <c r="B1629" s="4"/>
    </row>
    <row r="1630" spans="1:2" x14ac:dyDescent="0.3">
      <c r="A1630" s="4"/>
      <c r="B1630" s="4"/>
    </row>
    <row r="1631" spans="1:2" x14ac:dyDescent="0.3">
      <c r="A1631" s="4"/>
      <c r="B1631" s="4"/>
    </row>
    <row r="1632" spans="1:2" x14ac:dyDescent="0.3">
      <c r="A1632" s="4"/>
      <c r="B1632" s="4"/>
    </row>
    <row r="1633" spans="1:2" x14ac:dyDescent="0.3">
      <c r="A1633" s="4"/>
      <c r="B1633" s="4"/>
    </row>
    <row r="1634" spans="1:2" x14ac:dyDescent="0.3">
      <c r="A1634" s="4"/>
      <c r="B1634" s="4"/>
    </row>
    <row r="1635" spans="1:2" x14ac:dyDescent="0.3">
      <c r="A1635" s="4"/>
      <c r="B1635" s="4"/>
    </row>
    <row r="1636" spans="1:2" x14ac:dyDescent="0.3">
      <c r="A1636" s="4"/>
      <c r="B1636" s="4"/>
    </row>
    <row r="1637" spans="1:2" x14ac:dyDescent="0.3">
      <c r="A1637" s="4"/>
      <c r="B1637" s="4"/>
    </row>
    <row r="1638" spans="1:2" x14ac:dyDescent="0.3">
      <c r="A1638" s="4"/>
      <c r="B1638" s="4"/>
    </row>
    <row r="1639" spans="1:2" x14ac:dyDescent="0.3">
      <c r="A1639" s="4"/>
      <c r="B1639" s="4"/>
    </row>
    <row r="1640" spans="1:2" x14ac:dyDescent="0.3">
      <c r="A1640" s="4"/>
      <c r="B1640" s="4"/>
    </row>
    <row r="1641" spans="1:2" x14ac:dyDescent="0.3">
      <c r="A1641" s="4"/>
      <c r="B1641" s="4"/>
    </row>
    <row r="1642" spans="1:2" x14ac:dyDescent="0.3">
      <c r="A1642" s="4"/>
      <c r="B1642" s="4"/>
    </row>
    <row r="1643" spans="1:2" x14ac:dyDescent="0.3">
      <c r="A1643" s="4"/>
      <c r="B1643" s="4"/>
    </row>
    <row r="1644" spans="1:2" x14ac:dyDescent="0.3">
      <c r="A1644" s="4"/>
      <c r="B1644" s="4"/>
    </row>
    <row r="1645" spans="1:2" x14ac:dyDescent="0.3">
      <c r="A1645" s="4"/>
      <c r="B1645" s="4"/>
    </row>
    <row r="1646" spans="1:2" x14ac:dyDescent="0.3">
      <c r="A1646" s="4"/>
      <c r="B1646" s="4"/>
    </row>
    <row r="1647" spans="1:2" x14ac:dyDescent="0.3">
      <c r="A1647" s="4"/>
      <c r="B1647" s="4"/>
    </row>
    <row r="1648" spans="1:2" x14ac:dyDescent="0.3">
      <c r="A1648" s="4"/>
      <c r="B1648" s="4"/>
    </row>
    <row r="1649" spans="1:2" x14ac:dyDescent="0.3">
      <c r="A1649" s="4"/>
      <c r="B1649" s="4"/>
    </row>
    <row r="1650" spans="1:2" x14ac:dyDescent="0.3">
      <c r="A1650" s="4"/>
      <c r="B1650" s="4"/>
    </row>
    <row r="1651" spans="1:2" x14ac:dyDescent="0.3">
      <c r="A1651" s="4"/>
      <c r="B1651" s="4"/>
    </row>
    <row r="1652" spans="1:2" x14ac:dyDescent="0.3">
      <c r="A1652" s="4"/>
      <c r="B1652" s="4"/>
    </row>
    <row r="1653" spans="1:2" x14ac:dyDescent="0.3">
      <c r="A1653" s="4"/>
      <c r="B1653" s="4"/>
    </row>
    <row r="1654" spans="1:2" x14ac:dyDescent="0.3">
      <c r="A1654" s="4"/>
      <c r="B1654" s="4"/>
    </row>
    <row r="1655" spans="1:2" x14ac:dyDescent="0.3">
      <c r="A1655" s="4"/>
      <c r="B1655" s="4"/>
    </row>
    <row r="1656" spans="1:2" x14ac:dyDescent="0.3">
      <c r="A1656" s="4"/>
      <c r="B1656" s="4"/>
    </row>
    <row r="1657" spans="1:2" x14ac:dyDescent="0.3">
      <c r="A1657" s="4"/>
      <c r="B1657" s="4"/>
    </row>
    <row r="1658" spans="1:2" x14ac:dyDescent="0.3">
      <c r="A1658" s="4"/>
      <c r="B1658" s="4"/>
    </row>
    <row r="1659" spans="1:2" x14ac:dyDescent="0.3">
      <c r="A1659" s="4"/>
      <c r="B1659" s="4"/>
    </row>
    <row r="1660" spans="1:2" x14ac:dyDescent="0.3">
      <c r="A1660" s="4"/>
      <c r="B1660" s="4"/>
    </row>
    <row r="1661" spans="1:2" x14ac:dyDescent="0.3">
      <c r="A1661" s="4"/>
      <c r="B1661" s="4"/>
    </row>
    <row r="1662" spans="1:2" x14ac:dyDescent="0.3">
      <c r="A1662" s="4"/>
      <c r="B1662" s="4"/>
    </row>
    <row r="1663" spans="1:2" x14ac:dyDescent="0.3">
      <c r="A1663" s="4"/>
      <c r="B1663" s="4"/>
    </row>
    <row r="1664" spans="1:2" x14ac:dyDescent="0.3">
      <c r="A1664" s="4"/>
      <c r="B1664" s="4"/>
    </row>
    <row r="1665" spans="1:2" x14ac:dyDescent="0.3">
      <c r="A1665" s="4"/>
      <c r="B1665" s="4"/>
    </row>
    <row r="1666" spans="1:2" x14ac:dyDescent="0.3">
      <c r="A1666" s="4"/>
      <c r="B1666" s="4"/>
    </row>
    <row r="1667" spans="1:2" x14ac:dyDescent="0.3">
      <c r="A1667" s="4"/>
      <c r="B1667" s="4"/>
    </row>
    <row r="1668" spans="1:2" x14ac:dyDescent="0.3">
      <c r="A1668" s="4"/>
      <c r="B1668" s="4"/>
    </row>
    <row r="1669" spans="1:2" x14ac:dyDescent="0.3">
      <c r="A1669" s="4"/>
      <c r="B1669" s="4"/>
    </row>
    <row r="1670" spans="1:2" x14ac:dyDescent="0.3">
      <c r="A1670" s="4"/>
      <c r="B1670" s="4"/>
    </row>
    <row r="1671" spans="1:2" x14ac:dyDescent="0.3">
      <c r="A1671" s="4"/>
      <c r="B1671" s="4"/>
    </row>
    <row r="1672" spans="1:2" x14ac:dyDescent="0.3">
      <c r="A1672" s="4"/>
      <c r="B1672" s="4"/>
    </row>
    <row r="1673" spans="1:2" x14ac:dyDescent="0.3">
      <c r="A1673" s="4"/>
      <c r="B1673" s="4"/>
    </row>
    <row r="1674" spans="1:2" x14ac:dyDescent="0.3">
      <c r="A1674" s="4"/>
      <c r="B1674" s="4"/>
    </row>
    <row r="1675" spans="1:2" x14ac:dyDescent="0.3">
      <c r="A1675" s="4"/>
      <c r="B1675" s="4"/>
    </row>
    <row r="1676" spans="1:2" x14ac:dyDescent="0.3">
      <c r="A1676" s="4"/>
      <c r="B1676" s="4"/>
    </row>
    <row r="1677" spans="1:2" x14ac:dyDescent="0.3">
      <c r="A1677" s="4"/>
      <c r="B1677" s="4"/>
    </row>
    <row r="1678" spans="1:2" x14ac:dyDescent="0.3">
      <c r="A1678" s="4"/>
      <c r="B1678" s="4"/>
    </row>
    <row r="1679" spans="1:2" x14ac:dyDescent="0.3">
      <c r="A1679" s="4"/>
      <c r="B1679" s="4"/>
    </row>
    <row r="1680" spans="1:2" x14ac:dyDescent="0.3">
      <c r="A1680" s="4"/>
      <c r="B1680" s="4"/>
    </row>
    <row r="1681" spans="1:2" x14ac:dyDescent="0.3">
      <c r="A1681" s="4"/>
      <c r="B1681" s="4"/>
    </row>
    <row r="1682" spans="1:2" x14ac:dyDescent="0.3">
      <c r="A1682" s="4"/>
      <c r="B1682" s="4"/>
    </row>
    <row r="1683" spans="1:2" x14ac:dyDescent="0.3">
      <c r="A1683" s="4"/>
      <c r="B1683" s="4"/>
    </row>
    <row r="1684" spans="1:2" x14ac:dyDescent="0.3">
      <c r="A1684" s="4"/>
      <c r="B1684" s="4"/>
    </row>
    <row r="1685" spans="1:2" x14ac:dyDescent="0.3">
      <c r="A1685" s="4"/>
      <c r="B1685" s="4"/>
    </row>
    <row r="1686" spans="1:2" x14ac:dyDescent="0.3">
      <c r="A1686" s="4"/>
      <c r="B1686" s="4"/>
    </row>
    <row r="1687" spans="1:2" x14ac:dyDescent="0.3">
      <c r="A1687" s="4"/>
      <c r="B1687" s="4"/>
    </row>
    <row r="1688" spans="1:2" x14ac:dyDescent="0.3">
      <c r="A1688" s="4"/>
      <c r="B1688" s="4"/>
    </row>
    <row r="1689" spans="1:2" x14ac:dyDescent="0.3">
      <c r="A1689" s="4"/>
      <c r="B1689" s="4"/>
    </row>
    <row r="1690" spans="1:2" x14ac:dyDescent="0.3">
      <c r="A1690" s="4"/>
      <c r="B1690" s="4"/>
    </row>
    <row r="1691" spans="1:2" x14ac:dyDescent="0.3">
      <c r="A1691" s="4"/>
      <c r="B1691" s="4"/>
    </row>
    <row r="1692" spans="1:2" x14ac:dyDescent="0.3">
      <c r="A1692" s="4"/>
      <c r="B1692" s="4"/>
    </row>
    <row r="1693" spans="1:2" x14ac:dyDescent="0.3">
      <c r="A1693" s="4"/>
      <c r="B1693" s="4"/>
    </row>
    <row r="1694" spans="1:2" x14ac:dyDescent="0.3">
      <c r="A1694" s="4"/>
      <c r="B1694" s="4"/>
    </row>
    <row r="1695" spans="1:2" x14ac:dyDescent="0.3">
      <c r="A1695" s="4"/>
      <c r="B1695" s="4"/>
    </row>
    <row r="1696" spans="1:2" x14ac:dyDescent="0.3">
      <c r="A1696" s="4"/>
      <c r="B1696" s="4"/>
    </row>
    <row r="1697" spans="1:2" x14ac:dyDescent="0.3">
      <c r="A1697" s="4"/>
      <c r="B1697" s="4"/>
    </row>
    <row r="1698" spans="1:2" x14ac:dyDescent="0.3">
      <c r="A1698" s="4"/>
      <c r="B1698" s="4"/>
    </row>
    <row r="1699" spans="1:2" x14ac:dyDescent="0.3">
      <c r="A1699" s="4"/>
      <c r="B1699" s="4"/>
    </row>
    <row r="1700" spans="1:2" x14ac:dyDescent="0.3">
      <c r="A1700" s="4"/>
      <c r="B1700" s="4"/>
    </row>
    <row r="1701" spans="1:2" x14ac:dyDescent="0.3">
      <c r="A1701" s="4"/>
      <c r="B1701" s="4"/>
    </row>
    <row r="1702" spans="1:2" x14ac:dyDescent="0.3">
      <c r="A1702" s="4"/>
      <c r="B1702" s="4"/>
    </row>
    <row r="1703" spans="1:2" x14ac:dyDescent="0.3">
      <c r="A1703" s="4"/>
      <c r="B1703" s="4"/>
    </row>
    <row r="1704" spans="1:2" x14ac:dyDescent="0.3">
      <c r="A1704" s="4"/>
      <c r="B1704" s="4"/>
    </row>
    <row r="1705" spans="1:2" x14ac:dyDescent="0.3">
      <c r="A1705" s="4"/>
      <c r="B1705" s="4"/>
    </row>
    <row r="1706" spans="1:2" x14ac:dyDescent="0.3">
      <c r="A1706" s="4"/>
      <c r="B1706" s="4"/>
    </row>
    <row r="1707" spans="1:2" x14ac:dyDescent="0.3">
      <c r="A1707" s="4"/>
      <c r="B1707" s="4"/>
    </row>
    <row r="1708" spans="1:2" x14ac:dyDescent="0.3">
      <c r="A1708" s="4"/>
      <c r="B1708" s="4"/>
    </row>
    <row r="1709" spans="1:2" x14ac:dyDescent="0.3">
      <c r="A1709" s="4"/>
      <c r="B1709" s="4"/>
    </row>
    <row r="1710" spans="1:2" x14ac:dyDescent="0.3">
      <c r="A1710" s="4"/>
      <c r="B1710" s="4"/>
    </row>
    <row r="1711" spans="1:2" x14ac:dyDescent="0.3">
      <c r="A1711" s="4"/>
      <c r="B1711" s="4"/>
    </row>
    <row r="1712" spans="1:2" x14ac:dyDescent="0.3">
      <c r="A1712" s="4"/>
      <c r="B1712" s="4"/>
    </row>
    <row r="1713" spans="1:2" x14ac:dyDescent="0.3">
      <c r="A1713" s="4"/>
      <c r="B1713" s="4"/>
    </row>
    <row r="1714" spans="1:2" x14ac:dyDescent="0.3">
      <c r="A1714" s="4"/>
      <c r="B1714" s="4"/>
    </row>
    <row r="1715" spans="1:2" x14ac:dyDescent="0.3">
      <c r="A1715" s="4"/>
      <c r="B1715" s="4"/>
    </row>
    <row r="1716" spans="1:2" x14ac:dyDescent="0.3">
      <c r="A1716" s="4"/>
      <c r="B1716" s="4"/>
    </row>
    <row r="1717" spans="1:2" x14ac:dyDescent="0.3">
      <c r="A1717" s="4"/>
      <c r="B1717" s="4"/>
    </row>
    <row r="1718" spans="1:2" x14ac:dyDescent="0.3">
      <c r="A1718" s="4"/>
      <c r="B1718" s="4"/>
    </row>
    <row r="1719" spans="1:2" x14ac:dyDescent="0.3">
      <c r="A1719" s="4"/>
      <c r="B1719" s="4"/>
    </row>
    <row r="1720" spans="1:2" x14ac:dyDescent="0.3">
      <c r="A1720" s="4"/>
      <c r="B1720" s="4"/>
    </row>
    <row r="1721" spans="1:2" x14ac:dyDescent="0.3">
      <c r="A1721" s="4"/>
      <c r="B1721" s="4"/>
    </row>
    <row r="1722" spans="1:2" x14ac:dyDescent="0.3">
      <c r="A1722" s="4"/>
      <c r="B1722" s="4"/>
    </row>
    <row r="1723" spans="1:2" x14ac:dyDescent="0.3">
      <c r="A1723" s="4"/>
      <c r="B1723" s="4"/>
    </row>
    <row r="1724" spans="1:2" x14ac:dyDescent="0.3">
      <c r="A1724" s="4"/>
      <c r="B1724" s="4"/>
    </row>
    <row r="1725" spans="1:2" x14ac:dyDescent="0.3">
      <c r="A1725" s="4"/>
      <c r="B1725" s="4"/>
    </row>
    <row r="1726" spans="1:2" x14ac:dyDescent="0.3">
      <c r="A1726" s="4"/>
      <c r="B1726" s="4"/>
    </row>
    <row r="1727" spans="1:2" x14ac:dyDescent="0.3">
      <c r="A1727" s="4"/>
      <c r="B1727" s="4"/>
    </row>
    <row r="1728" spans="1:2" x14ac:dyDescent="0.3">
      <c r="A1728" s="4"/>
      <c r="B1728" s="4"/>
    </row>
    <row r="1729" spans="1:2" x14ac:dyDescent="0.3">
      <c r="A1729" s="4"/>
      <c r="B1729" s="4"/>
    </row>
    <row r="1730" spans="1:2" x14ac:dyDescent="0.3">
      <c r="A1730" s="4"/>
      <c r="B1730" s="4"/>
    </row>
    <row r="1731" spans="1:2" x14ac:dyDescent="0.3">
      <c r="A1731" s="4"/>
      <c r="B1731" s="4"/>
    </row>
    <row r="1732" spans="1:2" x14ac:dyDescent="0.3">
      <c r="A1732" s="4"/>
      <c r="B1732" s="4"/>
    </row>
    <row r="1733" spans="1:2" x14ac:dyDescent="0.3">
      <c r="A1733" s="4"/>
      <c r="B1733" s="4"/>
    </row>
    <row r="1734" spans="1:2" x14ac:dyDescent="0.3">
      <c r="A1734" s="4"/>
      <c r="B1734" s="4"/>
    </row>
    <row r="1735" spans="1:2" x14ac:dyDescent="0.3">
      <c r="A1735" s="4"/>
      <c r="B1735" s="4"/>
    </row>
    <row r="1736" spans="1:2" x14ac:dyDescent="0.3">
      <c r="A1736" s="4"/>
      <c r="B1736" s="4"/>
    </row>
    <row r="1737" spans="1:2" x14ac:dyDescent="0.3">
      <c r="A1737" s="4"/>
      <c r="B1737" s="4"/>
    </row>
    <row r="1738" spans="1:2" x14ac:dyDescent="0.3">
      <c r="A1738" s="4"/>
      <c r="B1738" s="4"/>
    </row>
    <row r="1739" spans="1:2" x14ac:dyDescent="0.3">
      <c r="A1739" s="4"/>
      <c r="B1739" s="4"/>
    </row>
    <row r="1740" spans="1:2" x14ac:dyDescent="0.3">
      <c r="A1740" s="4"/>
      <c r="B1740" s="4"/>
    </row>
    <row r="1741" spans="1:2" x14ac:dyDescent="0.3">
      <c r="A1741" s="4"/>
      <c r="B1741" s="4"/>
    </row>
    <row r="1742" spans="1:2" x14ac:dyDescent="0.3">
      <c r="A1742" s="4"/>
      <c r="B1742" s="4"/>
    </row>
    <row r="1743" spans="1:2" x14ac:dyDescent="0.3">
      <c r="A1743" s="4"/>
      <c r="B1743" s="4"/>
    </row>
    <row r="1744" spans="1:2" x14ac:dyDescent="0.3">
      <c r="A1744" s="4"/>
      <c r="B1744" s="4"/>
    </row>
    <row r="1745" spans="1:2" x14ac:dyDescent="0.3">
      <c r="A1745" s="4"/>
      <c r="B1745" s="4"/>
    </row>
    <row r="1746" spans="1:2" x14ac:dyDescent="0.3">
      <c r="A1746" s="4"/>
      <c r="B1746" s="4"/>
    </row>
    <row r="1747" spans="1:2" x14ac:dyDescent="0.3">
      <c r="A1747" s="4"/>
      <c r="B1747" s="4"/>
    </row>
    <row r="1748" spans="1:2" x14ac:dyDescent="0.3">
      <c r="A1748" s="4"/>
      <c r="B1748" s="4"/>
    </row>
    <row r="1749" spans="1:2" x14ac:dyDescent="0.3">
      <c r="A1749" s="4"/>
      <c r="B1749" s="4"/>
    </row>
    <row r="1750" spans="1:2" x14ac:dyDescent="0.3">
      <c r="A1750" s="4"/>
      <c r="B1750" s="4"/>
    </row>
    <row r="1751" spans="1:2" x14ac:dyDescent="0.3">
      <c r="A1751" s="4"/>
      <c r="B1751" s="4"/>
    </row>
    <row r="1752" spans="1:2" x14ac:dyDescent="0.3">
      <c r="A1752" s="4"/>
      <c r="B1752" s="4"/>
    </row>
    <row r="1753" spans="1:2" x14ac:dyDescent="0.3">
      <c r="A1753" s="4"/>
      <c r="B1753" s="4"/>
    </row>
    <row r="1754" spans="1:2" x14ac:dyDescent="0.3">
      <c r="A1754" s="4"/>
      <c r="B1754" s="4"/>
    </row>
    <row r="1755" spans="1:2" x14ac:dyDescent="0.3">
      <c r="A1755" s="4"/>
      <c r="B1755" s="4"/>
    </row>
    <row r="1756" spans="1:2" x14ac:dyDescent="0.3">
      <c r="A1756" s="4"/>
      <c r="B1756" s="4"/>
    </row>
    <row r="1757" spans="1:2" x14ac:dyDescent="0.3">
      <c r="A1757" s="4"/>
      <c r="B1757" s="4"/>
    </row>
    <row r="1758" spans="1:2" x14ac:dyDescent="0.3">
      <c r="A1758" s="4"/>
      <c r="B1758" s="4"/>
    </row>
    <row r="1759" spans="1:2" x14ac:dyDescent="0.3">
      <c r="A1759" s="4"/>
      <c r="B1759" s="4"/>
    </row>
    <row r="1760" spans="1:2" x14ac:dyDescent="0.3">
      <c r="A1760" s="4"/>
      <c r="B1760" s="4"/>
    </row>
    <row r="1761" spans="1:2" x14ac:dyDescent="0.3">
      <c r="A1761" s="4"/>
      <c r="B1761" s="4"/>
    </row>
    <row r="1762" spans="1:2" x14ac:dyDescent="0.3">
      <c r="A1762" s="4"/>
      <c r="B1762" s="4"/>
    </row>
    <row r="1763" spans="1:2" x14ac:dyDescent="0.3">
      <c r="A1763" s="4"/>
      <c r="B1763" s="4"/>
    </row>
    <row r="1764" spans="1:2" x14ac:dyDescent="0.3">
      <c r="A1764" s="4"/>
      <c r="B1764" s="4"/>
    </row>
    <row r="1765" spans="1:2" x14ac:dyDescent="0.3">
      <c r="A1765" s="4"/>
      <c r="B1765" s="4"/>
    </row>
    <row r="1766" spans="1:2" x14ac:dyDescent="0.3">
      <c r="A1766" s="4"/>
      <c r="B1766" s="4"/>
    </row>
    <row r="1767" spans="1:2" x14ac:dyDescent="0.3">
      <c r="A1767" s="4"/>
      <c r="B1767" s="4"/>
    </row>
    <row r="1768" spans="1:2" x14ac:dyDescent="0.3">
      <c r="A1768" s="4"/>
      <c r="B1768" s="4"/>
    </row>
    <row r="1769" spans="1:2" x14ac:dyDescent="0.3">
      <c r="A1769" s="4"/>
      <c r="B1769" s="4"/>
    </row>
    <row r="1770" spans="1:2" x14ac:dyDescent="0.3">
      <c r="A1770" s="4"/>
      <c r="B1770" s="4"/>
    </row>
    <row r="1771" spans="1:2" x14ac:dyDescent="0.3">
      <c r="A1771" s="4"/>
      <c r="B1771" s="4"/>
    </row>
    <row r="1772" spans="1:2" x14ac:dyDescent="0.3">
      <c r="A1772" s="4"/>
      <c r="B1772" s="4"/>
    </row>
    <row r="1773" spans="1:2" x14ac:dyDescent="0.3">
      <c r="A1773" s="4"/>
      <c r="B1773" s="4"/>
    </row>
    <row r="1774" spans="1:2" x14ac:dyDescent="0.3">
      <c r="A1774" s="4"/>
      <c r="B1774" s="4"/>
    </row>
    <row r="1775" spans="1:2" x14ac:dyDescent="0.3">
      <c r="A1775" s="4"/>
      <c r="B1775" s="4"/>
    </row>
    <row r="1776" spans="1:2" x14ac:dyDescent="0.3">
      <c r="A1776" s="4"/>
      <c r="B1776" s="4"/>
    </row>
    <row r="1777" spans="1:2" x14ac:dyDescent="0.3">
      <c r="A1777" s="4"/>
      <c r="B1777" s="4"/>
    </row>
    <row r="1778" spans="1:2" x14ac:dyDescent="0.3">
      <c r="A1778" s="4"/>
      <c r="B1778" s="4"/>
    </row>
    <row r="1779" spans="1:2" x14ac:dyDescent="0.3">
      <c r="A1779" s="4"/>
      <c r="B1779" s="4"/>
    </row>
    <row r="1780" spans="1:2" x14ac:dyDescent="0.3">
      <c r="A1780" s="4"/>
      <c r="B1780" s="4"/>
    </row>
    <row r="1781" spans="1:2" x14ac:dyDescent="0.3">
      <c r="A1781" s="4"/>
      <c r="B1781" s="4"/>
    </row>
    <row r="1782" spans="1:2" x14ac:dyDescent="0.3">
      <c r="A1782" s="4"/>
      <c r="B1782" s="4"/>
    </row>
    <row r="1783" spans="1:2" x14ac:dyDescent="0.3">
      <c r="A1783" s="4"/>
      <c r="B1783" s="4"/>
    </row>
    <row r="1784" spans="1:2" x14ac:dyDescent="0.3">
      <c r="A1784" s="4"/>
      <c r="B1784" s="4"/>
    </row>
    <row r="1785" spans="1:2" x14ac:dyDescent="0.3">
      <c r="A1785" s="4"/>
      <c r="B1785" s="4"/>
    </row>
    <row r="1786" spans="1:2" x14ac:dyDescent="0.3">
      <c r="A1786" s="4"/>
      <c r="B1786" s="4"/>
    </row>
    <row r="1787" spans="1:2" x14ac:dyDescent="0.3">
      <c r="A1787" s="4"/>
      <c r="B1787" s="4"/>
    </row>
    <row r="1788" spans="1:2" x14ac:dyDescent="0.3">
      <c r="A1788" s="4"/>
      <c r="B1788" s="4"/>
    </row>
    <row r="1789" spans="1:2" x14ac:dyDescent="0.3">
      <c r="A1789" s="4"/>
      <c r="B1789" s="4"/>
    </row>
    <row r="1790" spans="1:2" x14ac:dyDescent="0.3">
      <c r="A1790" s="4"/>
      <c r="B1790" s="4"/>
    </row>
    <row r="1791" spans="1:2" x14ac:dyDescent="0.3">
      <c r="A1791" s="4"/>
      <c r="B1791" s="4"/>
    </row>
    <row r="1792" spans="1:2" x14ac:dyDescent="0.3">
      <c r="A1792" s="4"/>
      <c r="B1792" s="4"/>
    </row>
    <row r="1793" spans="1:2" x14ac:dyDescent="0.3">
      <c r="A1793" s="4"/>
      <c r="B1793" s="4"/>
    </row>
    <row r="1794" spans="1:2" x14ac:dyDescent="0.3">
      <c r="A1794" s="4"/>
      <c r="B1794" s="4"/>
    </row>
    <row r="1795" spans="1:2" x14ac:dyDescent="0.3">
      <c r="B1795" s="4"/>
    </row>
    <row r="1796" spans="1:2" x14ac:dyDescent="0.3">
      <c r="B1796" s="4"/>
    </row>
    <row r="1797" spans="1:2" x14ac:dyDescent="0.3">
      <c r="B1797" s="4"/>
    </row>
    <row r="1798" spans="1:2" x14ac:dyDescent="0.3">
      <c r="B1798" s="4"/>
    </row>
    <row r="1799" spans="1:2" x14ac:dyDescent="0.3">
      <c r="B1799" s="4"/>
    </row>
    <row r="1800" spans="1:2" x14ac:dyDescent="0.3">
      <c r="B1800" s="4"/>
    </row>
    <row r="1801" spans="1:2" x14ac:dyDescent="0.3">
      <c r="B1801" s="4"/>
    </row>
    <row r="1802" spans="1:2" x14ac:dyDescent="0.3">
      <c r="B1802" s="4"/>
    </row>
    <row r="1803" spans="1:2" x14ac:dyDescent="0.3">
      <c r="B1803" s="4"/>
    </row>
    <row r="1804" spans="1:2" x14ac:dyDescent="0.3">
      <c r="B1804" s="4"/>
    </row>
    <row r="1805" spans="1:2" x14ac:dyDescent="0.3">
      <c r="B1805" s="4"/>
    </row>
    <row r="1806" spans="1:2" x14ac:dyDescent="0.3">
      <c r="B1806" s="4"/>
    </row>
    <row r="1807" spans="1:2" x14ac:dyDescent="0.3">
      <c r="B1807" s="4"/>
    </row>
    <row r="1808" spans="1:2" x14ac:dyDescent="0.3">
      <c r="B1808" s="4"/>
    </row>
    <row r="1809" spans="2:2" x14ac:dyDescent="0.3">
      <c r="B1809" s="4"/>
    </row>
    <row r="1810" spans="2:2" x14ac:dyDescent="0.3">
      <c r="B1810" s="4"/>
    </row>
    <row r="1811" spans="2:2" x14ac:dyDescent="0.3">
      <c r="B1811" s="4"/>
    </row>
    <row r="1812" spans="2:2" x14ac:dyDescent="0.3">
      <c r="B1812" s="4"/>
    </row>
    <row r="1813" spans="2:2" x14ac:dyDescent="0.3">
      <c r="B1813" s="4"/>
    </row>
    <row r="1814" spans="2:2" x14ac:dyDescent="0.3">
      <c r="B1814" s="4"/>
    </row>
    <row r="1815" spans="2:2" x14ac:dyDescent="0.3">
      <c r="B1815" s="4"/>
    </row>
    <row r="1816" spans="2:2" x14ac:dyDescent="0.3">
      <c r="B1816" s="4"/>
    </row>
    <row r="1817" spans="2:2" x14ac:dyDescent="0.3">
      <c r="B1817" s="4"/>
    </row>
    <row r="1818" spans="2:2" x14ac:dyDescent="0.3">
      <c r="B1818" s="4"/>
    </row>
    <row r="1819" spans="2:2" x14ac:dyDescent="0.3">
      <c r="B1819" s="4"/>
    </row>
    <row r="1820" spans="2:2" x14ac:dyDescent="0.3">
      <c r="B1820" s="4"/>
    </row>
    <row r="1821" spans="2:2" x14ac:dyDescent="0.3">
      <c r="B1821" s="4"/>
    </row>
    <row r="1822" spans="2:2" x14ac:dyDescent="0.3">
      <c r="B1822" s="4"/>
    </row>
    <row r="1823" spans="2:2" x14ac:dyDescent="0.3">
      <c r="B1823" s="4"/>
    </row>
    <row r="1824" spans="2:2" x14ac:dyDescent="0.3">
      <c r="B1824" s="4"/>
    </row>
    <row r="1825" spans="2:2" x14ac:dyDescent="0.3">
      <c r="B1825" s="4"/>
    </row>
    <row r="1826" spans="2:2" x14ac:dyDescent="0.3">
      <c r="B1826" s="4"/>
    </row>
    <row r="1827" spans="2:2" x14ac:dyDescent="0.3">
      <c r="B1827" s="4"/>
    </row>
    <row r="1828" spans="2:2" x14ac:dyDescent="0.3">
      <c r="B1828" s="4"/>
    </row>
    <row r="1829" spans="2:2" x14ac:dyDescent="0.3">
      <c r="B1829" s="4"/>
    </row>
    <row r="1830" spans="2:2" x14ac:dyDescent="0.3">
      <c r="B1830" s="4"/>
    </row>
    <row r="1831" spans="2:2" x14ac:dyDescent="0.3">
      <c r="B1831" s="4"/>
    </row>
    <row r="1832" spans="2:2" x14ac:dyDescent="0.3">
      <c r="B1832" s="4"/>
    </row>
    <row r="1833" spans="2:2" x14ac:dyDescent="0.3">
      <c r="B1833" s="4"/>
    </row>
    <row r="1834" spans="2:2" x14ac:dyDescent="0.3">
      <c r="B1834" s="4"/>
    </row>
    <row r="1835" spans="2:2" x14ac:dyDescent="0.3">
      <c r="B1835" s="4"/>
    </row>
    <row r="1836" spans="2:2" x14ac:dyDescent="0.3">
      <c r="B1836" s="4"/>
    </row>
    <row r="1837" spans="2:2" x14ac:dyDescent="0.3">
      <c r="B1837" s="4"/>
    </row>
    <row r="1838" spans="2:2" x14ac:dyDescent="0.3">
      <c r="B1838" s="4"/>
    </row>
    <row r="1839" spans="2:2" x14ac:dyDescent="0.3">
      <c r="B1839" s="4"/>
    </row>
    <row r="1840" spans="2:2" x14ac:dyDescent="0.3">
      <c r="B1840" s="4"/>
    </row>
    <row r="1841" spans="2:2" x14ac:dyDescent="0.3">
      <c r="B1841" s="4"/>
    </row>
    <row r="1842" spans="2:2" x14ac:dyDescent="0.3">
      <c r="B1842" s="4"/>
    </row>
    <row r="1843" spans="2:2" x14ac:dyDescent="0.3">
      <c r="B1843" s="4"/>
    </row>
    <row r="1844" spans="2:2" x14ac:dyDescent="0.3">
      <c r="B1844" s="4"/>
    </row>
    <row r="1845" spans="2:2" x14ac:dyDescent="0.3">
      <c r="B1845" s="4"/>
    </row>
    <row r="1846" spans="2:2" x14ac:dyDescent="0.3">
      <c r="B1846" s="4"/>
    </row>
    <row r="1847" spans="2:2" x14ac:dyDescent="0.3">
      <c r="B1847" s="4"/>
    </row>
    <row r="1848" spans="2:2" x14ac:dyDescent="0.3">
      <c r="B1848" s="4"/>
    </row>
    <row r="1849" spans="2:2" x14ac:dyDescent="0.3">
      <c r="B1849" s="4"/>
    </row>
    <row r="1850" spans="2:2" x14ac:dyDescent="0.3">
      <c r="B1850" s="4"/>
    </row>
    <row r="1851" spans="2:2" x14ac:dyDescent="0.3">
      <c r="B1851" s="4"/>
    </row>
    <row r="1852" spans="2:2" x14ac:dyDescent="0.3">
      <c r="B1852" s="4"/>
    </row>
    <row r="1853" spans="2:2" x14ac:dyDescent="0.3">
      <c r="B1853" s="4"/>
    </row>
    <row r="1854" spans="2:2" x14ac:dyDescent="0.3">
      <c r="B1854" s="4"/>
    </row>
    <row r="1855" spans="2:2" x14ac:dyDescent="0.3">
      <c r="B1855" s="4"/>
    </row>
    <row r="1856" spans="2:2" x14ac:dyDescent="0.3">
      <c r="B1856" s="4"/>
    </row>
    <row r="1857" spans="2:2" x14ac:dyDescent="0.3">
      <c r="B1857" s="4"/>
    </row>
    <row r="1858" spans="2:2" x14ac:dyDescent="0.3">
      <c r="B1858" s="4"/>
    </row>
    <row r="1859" spans="2:2" x14ac:dyDescent="0.3">
      <c r="B1859" s="4"/>
    </row>
    <row r="1860" spans="2:2" x14ac:dyDescent="0.3">
      <c r="B1860" s="4"/>
    </row>
    <row r="1861" spans="2:2" x14ac:dyDescent="0.3">
      <c r="B1861" s="4"/>
    </row>
    <row r="1862" spans="2:2" x14ac:dyDescent="0.3">
      <c r="B1862" s="4"/>
    </row>
    <row r="1863" spans="2:2" x14ac:dyDescent="0.3">
      <c r="B1863" s="4"/>
    </row>
    <row r="1864" spans="2:2" x14ac:dyDescent="0.3">
      <c r="B1864" s="4"/>
    </row>
    <row r="1865" spans="2:2" x14ac:dyDescent="0.3">
      <c r="B1865" s="4"/>
    </row>
    <row r="1866" spans="2:2" x14ac:dyDescent="0.3">
      <c r="B1866" s="4"/>
    </row>
    <row r="1867" spans="2:2" x14ac:dyDescent="0.3">
      <c r="B1867" s="4"/>
    </row>
    <row r="1868" spans="2:2" x14ac:dyDescent="0.3">
      <c r="B1868" s="4"/>
    </row>
    <row r="1869" spans="2:2" x14ac:dyDescent="0.3">
      <c r="B1869" s="4"/>
    </row>
    <row r="1870" spans="2:2" x14ac:dyDescent="0.3">
      <c r="B1870" s="4"/>
    </row>
    <row r="1871" spans="2:2" x14ac:dyDescent="0.3">
      <c r="B1871" s="4"/>
    </row>
    <row r="1872" spans="2:2" x14ac:dyDescent="0.3">
      <c r="B1872" s="4"/>
    </row>
    <row r="1873" spans="2:2" x14ac:dyDescent="0.3">
      <c r="B1873" s="4"/>
    </row>
    <row r="1874" spans="2:2" x14ac:dyDescent="0.3">
      <c r="B1874" s="4"/>
    </row>
    <row r="1875" spans="2:2" x14ac:dyDescent="0.3">
      <c r="B1875" s="4"/>
    </row>
    <row r="1876" spans="2:2" x14ac:dyDescent="0.3">
      <c r="B1876" s="4"/>
    </row>
    <row r="1877" spans="2:2" x14ac:dyDescent="0.3">
      <c r="B1877" s="4"/>
    </row>
    <row r="1878" spans="2:2" x14ac:dyDescent="0.3">
      <c r="B1878" s="4"/>
    </row>
    <row r="1879" spans="2:2" x14ac:dyDescent="0.3">
      <c r="B1879" s="4"/>
    </row>
    <row r="1880" spans="2:2" x14ac:dyDescent="0.3">
      <c r="B1880" s="4"/>
    </row>
    <row r="1881" spans="2:2" x14ac:dyDescent="0.3">
      <c r="B1881" s="4"/>
    </row>
    <row r="1882" spans="2:2" x14ac:dyDescent="0.3">
      <c r="B1882" s="4"/>
    </row>
    <row r="1883" spans="2:2" x14ac:dyDescent="0.3">
      <c r="B1883" s="4"/>
    </row>
    <row r="1884" spans="2:2" x14ac:dyDescent="0.3">
      <c r="B1884" s="4"/>
    </row>
    <row r="1885" spans="2:2" x14ac:dyDescent="0.3">
      <c r="B1885" s="4"/>
    </row>
    <row r="1886" spans="2:2" x14ac:dyDescent="0.3">
      <c r="B1886" s="4"/>
    </row>
    <row r="1887" spans="2:2" x14ac:dyDescent="0.3">
      <c r="B1887" s="4"/>
    </row>
    <row r="1888" spans="2:2" x14ac:dyDescent="0.3">
      <c r="B1888" s="4"/>
    </row>
    <row r="1889" spans="2:2" x14ac:dyDescent="0.3">
      <c r="B1889" s="4"/>
    </row>
    <row r="1890" spans="2:2" x14ac:dyDescent="0.3">
      <c r="B1890" s="4"/>
    </row>
    <row r="1891" spans="2:2" x14ac:dyDescent="0.3">
      <c r="B1891" s="4"/>
    </row>
    <row r="1892" spans="2:2" x14ac:dyDescent="0.3">
      <c r="B1892" s="4"/>
    </row>
    <row r="1893" spans="2:2" x14ac:dyDescent="0.3">
      <c r="B1893" s="4"/>
    </row>
    <row r="1894" spans="2:2" x14ac:dyDescent="0.3">
      <c r="B1894" s="4"/>
    </row>
    <row r="1895" spans="2:2" x14ac:dyDescent="0.3">
      <c r="B1895" s="4"/>
    </row>
    <row r="1896" spans="2:2" x14ac:dyDescent="0.3">
      <c r="B1896" s="4"/>
    </row>
    <row r="1897" spans="2:2" x14ac:dyDescent="0.3">
      <c r="B1897" s="4"/>
    </row>
    <row r="1898" spans="2:2" x14ac:dyDescent="0.3">
      <c r="B1898" s="4"/>
    </row>
    <row r="1899" spans="2:2" x14ac:dyDescent="0.3">
      <c r="B1899" s="4"/>
    </row>
    <row r="1900" spans="2:2" x14ac:dyDescent="0.3">
      <c r="B1900" s="4"/>
    </row>
    <row r="1901" spans="2:2" x14ac:dyDescent="0.3">
      <c r="B1901" s="4"/>
    </row>
    <row r="1902" spans="2:2" x14ac:dyDescent="0.3">
      <c r="B1902" s="4"/>
    </row>
    <row r="1903" spans="2:2" x14ac:dyDescent="0.3">
      <c r="B1903" s="4"/>
    </row>
    <row r="1904" spans="2:2" x14ac:dyDescent="0.3">
      <c r="B1904" s="4"/>
    </row>
    <row r="1905" spans="2:2" x14ac:dyDescent="0.3">
      <c r="B1905" s="4"/>
    </row>
    <row r="1906" spans="2:2" x14ac:dyDescent="0.3">
      <c r="B1906" s="4"/>
    </row>
    <row r="1907" spans="2:2" x14ac:dyDescent="0.3">
      <c r="B1907" s="4"/>
    </row>
    <row r="1908" spans="2:2" x14ac:dyDescent="0.3">
      <c r="B1908" s="4"/>
    </row>
    <row r="1909" spans="2:2" x14ac:dyDescent="0.3">
      <c r="B1909" s="4"/>
    </row>
    <row r="1910" spans="2:2" x14ac:dyDescent="0.3">
      <c r="B1910" s="4"/>
    </row>
    <row r="1911" spans="2:2" x14ac:dyDescent="0.3">
      <c r="B1911" s="4"/>
    </row>
    <row r="1912" spans="2:2" x14ac:dyDescent="0.3">
      <c r="B1912" s="4"/>
    </row>
    <row r="1913" spans="2:2" x14ac:dyDescent="0.3">
      <c r="B1913" s="4"/>
    </row>
    <row r="1914" spans="2:2" x14ac:dyDescent="0.3">
      <c r="B1914" s="4"/>
    </row>
  </sheetData>
  <pageMargins left="0.7" right="0.7" top="0.78740157499999996" bottom="0.78740157499999996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4"/>
  <dimension ref="A1:D34"/>
  <sheetViews>
    <sheetView workbookViewId="0">
      <selection activeCell="E25" sqref="E25"/>
    </sheetView>
  </sheetViews>
  <sheetFormatPr baseColWidth="10" defaultRowHeight="14.4" x14ac:dyDescent="0.3"/>
  <cols>
    <col min="1" max="1" width="19.33203125" bestFit="1" customWidth="1"/>
    <col min="3" max="3" width="6.44140625" customWidth="1"/>
    <col min="4" max="4" width="5.21875" customWidth="1"/>
  </cols>
  <sheetData>
    <row r="1" spans="1:3" x14ac:dyDescent="0.3">
      <c r="A1" s="1" t="s">
        <v>12</v>
      </c>
      <c r="B1" s="1" t="s">
        <v>8</v>
      </c>
    </row>
    <row r="2" spans="1:3" x14ac:dyDescent="0.3">
      <c r="A2" t="s">
        <v>23</v>
      </c>
      <c r="B2" s="7" t="s">
        <v>34</v>
      </c>
      <c r="C2" t="str">
        <f ca="1">INDIRECT(CONCATENATE("'Real Input'!",$B$2,1))</f>
        <v>az</v>
      </c>
    </row>
    <row r="3" spans="1:3" x14ac:dyDescent="0.3">
      <c r="A3" t="s">
        <v>13</v>
      </c>
      <c r="B3" s="7">
        <v>96592</v>
      </c>
    </row>
    <row r="4" spans="1:3" x14ac:dyDescent="0.3">
      <c r="A4" t="s">
        <v>24</v>
      </c>
      <c r="B4" s="7">
        <v>9.81</v>
      </c>
    </row>
    <row r="5" spans="1:3" x14ac:dyDescent="0.3">
      <c r="A5" t="s">
        <v>25</v>
      </c>
      <c r="B5" s="8">
        <v>1</v>
      </c>
    </row>
    <row r="6" spans="1:3" x14ac:dyDescent="0.3">
      <c r="A6" t="s">
        <v>26</v>
      </c>
      <c r="B6" s="8">
        <v>1</v>
      </c>
    </row>
    <row r="8" spans="1:3" x14ac:dyDescent="0.3">
      <c r="A8" t="s">
        <v>50</v>
      </c>
      <c r="B8" s="2">
        <f>B10-B9+1</f>
        <v>227</v>
      </c>
    </row>
    <row r="9" spans="1:3" x14ac:dyDescent="0.3">
      <c r="A9" t="s">
        <v>27</v>
      </c>
      <c r="B9" s="8">
        <v>350</v>
      </c>
    </row>
    <row r="10" spans="1:3" x14ac:dyDescent="0.3">
      <c r="A10" t="s">
        <v>51</v>
      </c>
      <c r="B10" s="8">
        <v>576</v>
      </c>
    </row>
    <row r="11" spans="1:3" x14ac:dyDescent="0.3">
      <c r="A11" t="s">
        <v>52</v>
      </c>
      <c r="B11" s="2">
        <f ca="1">INDIRECT(CONCATENATE("'Real Values'!B",B8+2))</f>
        <v>4.5875990000058664</v>
      </c>
    </row>
    <row r="12" spans="1:3" x14ac:dyDescent="0.3">
      <c r="A12" t="s">
        <v>53</v>
      </c>
      <c r="B12" s="2">
        <f ca="1">INDIRECT(CONCATENATE("'Real Values'!B",B10+2))</f>
        <v>11.571083999995608</v>
      </c>
    </row>
    <row r="13" spans="1:3" x14ac:dyDescent="0.3">
      <c r="A13" t="s">
        <v>30</v>
      </c>
      <c r="B13" s="2">
        <f ca="1">SUM(INDIRECT(CONCATENATE("'Real Values'!C",B8+2,":C",B10+2)))</f>
        <v>3449.7742308299994</v>
      </c>
    </row>
    <row r="14" spans="1:3" x14ac:dyDescent="0.3">
      <c r="A14" t="s">
        <v>7</v>
      </c>
      <c r="B14" s="2">
        <f ca="1">B13/B9</f>
        <v>9.8564978023714271</v>
      </c>
    </row>
    <row r="15" spans="1:3" x14ac:dyDescent="0.3">
      <c r="A15" t="s">
        <v>29</v>
      </c>
      <c r="B15" s="2">
        <f ca="1">SUM('Real Values'!E2:E1800)</f>
        <v>36.44709190688787</v>
      </c>
    </row>
    <row r="16" spans="1:3" x14ac:dyDescent="0.3">
      <c r="A16" t="s">
        <v>48</v>
      </c>
      <c r="B16" s="2">
        <f ca="1">VARA(INDIRECT(CONCATENATE("'Real Values'!E",B8+2,":E",B10+2)))</f>
        <v>1.5378905550445191E-3</v>
      </c>
    </row>
    <row r="17" spans="1:4" x14ac:dyDescent="0.3">
      <c r="A17" t="s">
        <v>47</v>
      </c>
      <c r="B17" s="2">
        <f ca="1">VARA('Real Values'!E2:E1200)</f>
        <v>0.14929094137667676</v>
      </c>
    </row>
    <row r="19" spans="1:4" x14ac:dyDescent="0.3">
      <c r="A19" t="s">
        <v>44</v>
      </c>
      <c r="B19" s="8">
        <f>(D19-500)/1000000</f>
        <v>4.6000000000000001E-4</v>
      </c>
      <c r="D19">
        <v>960</v>
      </c>
    </row>
    <row r="20" spans="1:4" x14ac:dyDescent="0.3">
      <c r="A20" t="s">
        <v>45</v>
      </c>
      <c r="B20" s="8">
        <f>(D20-500)/1000000</f>
        <v>4.6799999999999999E-4</v>
      </c>
      <c r="D20">
        <v>968</v>
      </c>
    </row>
    <row r="21" spans="1:4" x14ac:dyDescent="0.3">
      <c r="A21" t="s">
        <v>49</v>
      </c>
      <c r="B21" s="2">
        <f ca="1">(INDIRECT(CONCATENATE("'Real Values'!F",B10+2))-INDIRECT(CONCATENATE("'Real Values'!F",B8+2)))/(B12-B10)</f>
        <v>-4.3138376050165364E-7</v>
      </c>
      <c r="C21" s="8">
        <f>IF(D21,B21,0)</f>
        <v>0</v>
      </c>
      <c r="D21" t="b">
        <v>0</v>
      </c>
    </row>
    <row r="22" spans="1:4" x14ac:dyDescent="0.3">
      <c r="A22" t="s">
        <v>31</v>
      </c>
      <c r="B22" s="2">
        <f t="array" aca="1" ref="B22" ca="1">SUM(ABS('Real Values'!G2:G1200)^2)</f>
        <v>390.4351409256833</v>
      </c>
    </row>
    <row r="23" spans="1:4" x14ac:dyDescent="0.3">
      <c r="A23" t="s">
        <v>32</v>
      </c>
      <c r="B23" s="2" t="e">
        <f t="array" ref="B23">SUM(ABS('Real Values'!L3:L1200)^2)</f>
        <v>#VALUE!</v>
      </c>
    </row>
    <row r="24" spans="1:4" x14ac:dyDescent="0.3">
      <c r="A24" t="s">
        <v>46</v>
      </c>
      <c r="B24" s="2" t="e">
        <f t="array" ref="B24">SUM(ABS('Real Values'!P3:P1200)^2)</f>
        <v>#VALUE!</v>
      </c>
    </row>
    <row r="26" spans="1:4" x14ac:dyDescent="0.3">
      <c r="A26" t="s">
        <v>35</v>
      </c>
      <c r="B26" s="8">
        <f>D26/100</f>
        <v>0</v>
      </c>
      <c r="D26">
        <v>0</v>
      </c>
    </row>
    <row r="27" spans="1:4" x14ac:dyDescent="0.3">
      <c r="A27" t="s">
        <v>36</v>
      </c>
      <c r="B27" s="7">
        <v>20</v>
      </c>
    </row>
    <row r="28" spans="1:4" x14ac:dyDescent="0.3">
      <c r="A28" t="s">
        <v>39</v>
      </c>
      <c r="B28" s="8">
        <f>D28/1000</f>
        <v>1.9870000000000001</v>
      </c>
      <c r="C28">
        <v>1</v>
      </c>
      <c r="D28">
        <v>1987</v>
      </c>
    </row>
    <row r="29" spans="1:4" x14ac:dyDescent="0.3">
      <c r="A29" t="s">
        <v>38</v>
      </c>
      <c r="B29" s="8">
        <f>D29/100-2</f>
        <v>-1.47</v>
      </c>
      <c r="C29">
        <v>-0.73499999999999999</v>
      </c>
      <c r="D29">
        <v>53</v>
      </c>
    </row>
    <row r="31" spans="1:4" x14ac:dyDescent="0.3">
      <c r="A31" t="s">
        <v>43</v>
      </c>
      <c r="B31" s="7">
        <f ca="1">B12</f>
        <v>11.571083999995608</v>
      </c>
    </row>
    <row r="32" spans="1:4" x14ac:dyDescent="0.3">
      <c r="A32" t="s">
        <v>42</v>
      </c>
      <c r="B32" s="7">
        <v>21.18</v>
      </c>
    </row>
    <row r="33" spans="1:2" x14ac:dyDescent="0.3">
      <c r="A33" t="s">
        <v>41</v>
      </c>
      <c r="B33" s="7">
        <v>110</v>
      </c>
    </row>
    <row r="34" spans="1:2" x14ac:dyDescent="0.3">
      <c r="A34" t="s">
        <v>13</v>
      </c>
      <c r="B34" s="2">
        <f xml:space="preserve"> 'Real Values'!B102-VLOOKUP(B33,'Real Values'!A2:B1200,2,FALSE)</f>
        <v>-0.19719900000200141</v>
      </c>
    </row>
  </sheetData>
  <pageMargins left="0.7" right="0.7" top="0.78740157499999996" bottom="0.78740157499999996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4" name="Spinner 2">
              <controlPr defaultSize="0" autoPict="0">
                <anchor moveWithCells="1" sizeWithCells="1">
                  <from>
                    <xdr:col>3</xdr:col>
                    <xdr:colOff>0</xdr:colOff>
                    <xdr:row>28</xdr:row>
                    <xdr:rowOff>0</xdr:rowOff>
                  </from>
                  <to>
                    <xdr:col>4</xdr:col>
                    <xdr:colOff>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5" name="Spinner 3">
              <controlPr defaultSize="0" autoPict="0">
                <anchor moveWithCells="1" sizeWithCells="1">
                  <from>
                    <xdr:col>3</xdr:col>
                    <xdr:colOff>0</xdr:colOff>
                    <xdr:row>25</xdr:row>
                    <xdr:rowOff>0</xdr:rowOff>
                  </from>
                  <to>
                    <xdr:col>4</xdr:col>
                    <xdr:colOff>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6" name="Spinner 4">
              <controlPr defaultSize="0" autoPict="0">
                <anchor moveWithCells="1" sizeWithCells="1">
                  <from>
                    <xdr:col>3</xdr:col>
                    <xdr:colOff>0</xdr:colOff>
                    <xdr:row>18</xdr:row>
                    <xdr:rowOff>0</xdr:rowOff>
                  </from>
                  <to>
                    <xdr:col>3</xdr:col>
                    <xdr:colOff>358140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7" name="Spinner 5">
              <controlPr defaultSize="0" autoPict="0">
                <anchor moveWithCells="1" sizeWithCells="1">
                  <from>
                    <xdr:col>3</xdr:col>
                    <xdr:colOff>0</xdr:colOff>
                    <xdr:row>4</xdr:row>
                    <xdr:rowOff>0</xdr:rowOff>
                  </from>
                  <to>
                    <xdr:col>4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8" name="Spinner 6">
              <controlPr defaultSize="0" autoPict="0">
                <anchor moveWithCells="1" sizeWithCells="1">
                  <from>
                    <xdr:col>3</xdr:col>
                    <xdr:colOff>0</xdr:colOff>
                    <xdr:row>5</xdr:row>
                    <xdr:rowOff>0</xdr:rowOff>
                  </from>
                  <to>
                    <xdr:col>4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9" name="Spinner 7">
              <controlPr defaultSize="0" autoPict="0">
                <anchor moveWithCells="1" sizeWithCells="1">
                  <from>
                    <xdr:col>3</xdr:col>
                    <xdr:colOff>0</xdr:colOff>
                    <xdr:row>9</xdr:row>
                    <xdr:rowOff>0</xdr:rowOff>
                  </from>
                  <to>
                    <xdr:col>4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7" r:id="rId10" name="Spinner 9">
              <controlPr defaultSize="0" autoPict="0">
                <anchor moveWithCells="1" sizeWithCells="1">
                  <from>
                    <xdr:col>3</xdr:col>
                    <xdr:colOff>0</xdr:colOff>
                    <xdr:row>27</xdr:row>
                    <xdr:rowOff>0</xdr:rowOff>
                  </from>
                  <to>
                    <xdr:col>4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8" r:id="rId11" name="Spinner 10">
              <controlPr defaultSize="0" autoPict="0">
                <anchor moveWithCells="1" sizeWithCells="1">
                  <from>
                    <xdr:col>3</xdr:col>
                    <xdr:colOff>0</xdr:colOff>
                    <xdr:row>8</xdr:row>
                    <xdr:rowOff>0</xdr:rowOff>
                  </from>
                  <to>
                    <xdr:col>4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9" r:id="rId12" name="Check Box 11">
              <controlPr defaultSize="0" autoFill="0" autoLine="0" autoPict="0">
                <anchor moveWithCells="1">
                  <from>
                    <xdr:col>3</xdr:col>
                    <xdr:colOff>0</xdr:colOff>
                    <xdr:row>19</xdr:row>
                    <xdr:rowOff>167640</xdr:rowOff>
                  </from>
                  <to>
                    <xdr:col>4</xdr:col>
                    <xdr:colOff>0</xdr:colOff>
                    <xdr:row>21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0" r:id="rId13" name="Spinner 12">
              <controlPr defaultSize="0" autoPict="0">
                <anchor moveWithCells="1" sizeWithCells="1">
                  <from>
                    <xdr:col>3</xdr:col>
                    <xdr:colOff>0</xdr:colOff>
                    <xdr:row>19</xdr:row>
                    <xdr:rowOff>0</xdr:rowOff>
                  </from>
                  <to>
                    <xdr:col>4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5"/>
  <dimension ref="A1:P1152"/>
  <sheetViews>
    <sheetView tabSelected="1" workbookViewId="0">
      <pane ySplit="1" topLeftCell="A2" activePane="bottomLeft" state="frozen"/>
      <selection pane="bottomLeft" activeCell="J1150" sqref="J1150"/>
    </sheetView>
  </sheetViews>
  <sheetFormatPr baseColWidth="10" defaultRowHeight="14.4" x14ac:dyDescent="0.3"/>
  <cols>
    <col min="2" max="2" width="12" bestFit="1" customWidth="1"/>
    <col min="3" max="4" width="12.77734375" customWidth="1"/>
    <col min="5" max="5" width="14.33203125" bestFit="1" customWidth="1"/>
    <col min="6" max="7" width="12.6640625" bestFit="1" customWidth="1"/>
    <col min="9" max="9" width="14" bestFit="1" customWidth="1"/>
    <col min="10" max="10" width="14.77734375" bestFit="1" customWidth="1"/>
    <col min="11" max="12" width="15.109375" bestFit="1" customWidth="1"/>
    <col min="14" max="14" width="13.21875" bestFit="1" customWidth="1"/>
    <col min="15" max="15" width="10.77734375" customWidth="1"/>
  </cols>
  <sheetData>
    <row r="1" spans="1:16" x14ac:dyDescent="0.3">
      <c r="A1" s="1" t="s">
        <v>0</v>
      </c>
      <c r="B1" s="1" t="s">
        <v>1</v>
      </c>
      <c r="C1" s="1" t="s">
        <v>9</v>
      </c>
      <c r="D1" s="3" t="s">
        <v>2</v>
      </c>
      <c r="E1" s="3" t="s">
        <v>28</v>
      </c>
      <c r="F1" s="1" t="s">
        <v>3</v>
      </c>
      <c r="G1" s="1" t="s">
        <v>4</v>
      </c>
      <c r="H1" s="1" t="s">
        <v>33</v>
      </c>
      <c r="I1" s="1" t="s">
        <v>5</v>
      </c>
      <c r="J1" s="1" t="s">
        <v>6</v>
      </c>
      <c r="K1" s="1" t="s">
        <v>10</v>
      </c>
      <c r="L1" s="1" t="s">
        <v>11</v>
      </c>
      <c r="N1" s="1" t="s">
        <v>37</v>
      </c>
      <c r="O1" s="1" t="s">
        <v>40</v>
      </c>
      <c r="P1" s="1" t="s">
        <v>46</v>
      </c>
    </row>
    <row r="2" spans="1:16" x14ac:dyDescent="0.3">
      <c r="A2">
        <v>0</v>
      </c>
      <c r="B2">
        <f>'Real Input'!M2</f>
        <v>5.2599999995436519E-2</v>
      </c>
      <c r="C2">
        <f ca="1">INDIRECT(CONCATENATE("'Real Input'!",'Real Analysis'!$B$2,A2+2))</f>
        <v>9.8559990899999992</v>
      </c>
      <c r="E2">
        <f ca="1">IF(B2&gt;0,C2-'Real Analysis'!$B$14,0)</f>
        <v>-4.9871237142795621E-4</v>
      </c>
      <c r="H2">
        <f ca="1">IF(AND(B2&gt;'Real Analysis'!$B$31,B2&lt;'Real Analysis'!$B$32),FilterInput(E2,'Real Analysis'!$B$26,'Real Analysis'!$B$27),0)</f>
        <v>0</v>
      </c>
      <c r="I2" t="e">
        <f>MEDIAN2("Real Values",H2,'Real Analysis'!$B$5,2)</f>
        <v>#VALUE!</v>
      </c>
      <c r="J2" t="e">
        <f>AVERAGE2("Real Values",I2,'Real Analysis'!$B$6,2)</f>
        <v>#VALUE!</v>
      </c>
      <c r="N2">
        <f>'Real Analysis'!$B$28*'Real Input'!U2+IF('Real Input'!U2 &gt; 0,'Real Analysis'!$B$29,0)</f>
        <v>0</v>
      </c>
      <c r="O2" t="e">
        <f>_xlfn.COVARIANCE.P($L$102:$L$1200,N2:N1100)</f>
        <v>#VALUE!</v>
      </c>
      <c r="P2">
        <f>N2-L2</f>
        <v>0</v>
      </c>
    </row>
    <row r="3" spans="1:16" x14ac:dyDescent="0.3">
      <c r="A3">
        <v>1</v>
      </c>
      <c r="B3">
        <f>'Real Input'!M3</f>
        <v>7.1112999998149462E-2</v>
      </c>
      <c r="C3">
        <f ca="1">INDIRECT(CONCATENATE("'Real Input'!",'Real Analysis'!$B$2,A3+2))</f>
        <v>9.8540567100000001</v>
      </c>
      <c r="D3">
        <f t="shared" ref="D3:D66" si="0">B3-B2</f>
        <v>1.8513000002712943E-2</v>
      </c>
      <c r="E3">
        <f ca="1">IF(B3&gt;0,C3-'Real Analysis'!$B$14,0)</f>
        <v>-2.4410923714270893E-3</v>
      </c>
      <c r="F3">
        <f ca="1">IF(B3&gt;0,F2+E3*$D3,0)</f>
        <v>-4.519194307885225E-5</v>
      </c>
      <c r="G3">
        <f ca="1">IF(B3&gt;0,G2+F3*$D3,0)</f>
        <v>-8.366384423413949E-7</v>
      </c>
      <c r="H3">
        <f ca="1">IF(AND(B3&gt;'Real Analysis'!$B$31,B3&lt;'Real Analysis'!$B$32),FilterInput(E3,'Real Analysis'!$B$26,'Real Analysis'!$B$27),0)</f>
        <v>0</v>
      </c>
      <c r="I3" t="e">
        <f>MEDIAN2("Real Values",H3,'Real Analysis'!$B$5,2)</f>
        <v>#VALUE!</v>
      </c>
      <c r="J3" t="e">
        <f>AVERAGE2("Real Values",I3,'Real Analysis'!$B$6,2)</f>
        <v>#VALUE!</v>
      </c>
      <c r="K3" t="e">
        <f>INTEGRAL2(J3,$B3,K2,J2,$B2,'Real Analysis'!$B$19)</f>
        <v>#VALUE!</v>
      </c>
      <c r="L3" t="e">
        <f>IF(AND(B3&lt;'Real Analysis'!$B$32,B3&gt;0),INTEGRAL2(K3,$B3,L2,K2,$B2,'Real Analysis'!$B$20),0)</f>
        <v>#VALUE!</v>
      </c>
      <c r="N3">
        <f>'Real Analysis'!$B$28*'Real Input'!U3+IF('Real Input'!U3 &gt; 0,'Real Analysis'!$B$29,0)</f>
        <v>0</v>
      </c>
      <c r="O3" t="e">
        <f t="shared" ref="O3:O66" si="1">_xlfn.COVARIANCE.P($L$102:$L$1200,N3:N1101)</f>
        <v>#VALUE!</v>
      </c>
      <c r="P3" t="e">
        <f t="shared" ref="P3:P66" si="2">N3-L3</f>
        <v>#VALUE!</v>
      </c>
    </row>
    <row r="4" spans="1:16" x14ac:dyDescent="0.3">
      <c r="A4">
        <v>2</v>
      </c>
      <c r="B4">
        <f>'Real Input'!M4</f>
        <v>9.1904000000795349E-2</v>
      </c>
      <c r="C4">
        <f ca="1">INDIRECT(CONCATENATE("'Real Input'!",'Real Analysis'!$B$2,A4+2))</f>
        <v>9.8540469000000019</v>
      </c>
      <c r="D4">
        <f t="shared" si="0"/>
        <v>2.0791000002645887E-2</v>
      </c>
      <c r="E4">
        <f ca="1">IF(B4&gt;0,C4-'Real Analysis'!$B$14,0)</f>
        <v>-2.450902371425201E-3</v>
      </c>
      <c r="F4">
        <f t="shared" ref="F4:F67" ca="1" si="3">IF(B4&gt;0,F3+E4*$D4,0)</f>
        <v>-9.6148654289638421E-5</v>
      </c>
      <c r="G4">
        <f t="shared" ref="G4:G32" ca="1" si="4">IF(B4&gt;0,G3+F4*$D4,0)</f>
        <v>-2.8356651139316661E-6</v>
      </c>
      <c r="H4">
        <f ca="1">IF(AND(B4&gt;'Real Analysis'!$B$31,B4&lt;'Real Analysis'!$B$32),FilterInput(E4,'Real Analysis'!$B$26,'Real Analysis'!$B$27),0)</f>
        <v>0</v>
      </c>
      <c r="I4" t="e">
        <f>MEDIAN2("Real Values",H4,'Real Analysis'!$B$5,2)</f>
        <v>#VALUE!</v>
      </c>
      <c r="J4" t="e">
        <f>AVERAGE2("Real Values",I4,'Real Analysis'!$B$6,2)</f>
        <v>#VALUE!</v>
      </c>
      <c r="K4" t="e">
        <f>INTEGRAL2(J4,$B4,K3,J3,$B3,'Real Analysis'!$B$19)</f>
        <v>#VALUE!</v>
      </c>
      <c r="L4" t="e">
        <f>IF(AND(B4&lt;'Real Analysis'!$B$32,B4&gt;0),INTEGRAL2(K4,$B4,L3,K3,$B3,'Real Analysis'!$B$20),0)</f>
        <v>#VALUE!</v>
      </c>
      <c r="N4">
        <f>'Real Analysis'!$B$28*'Real Input'!U4+IF('Real Input'!U4 &gt; 0,'Real Analysis'!$B$29,0)</f>
        <v>0</v>
      </c>
      <c r="O4" t="e">
        <f t="shared" si="1"/>
        <v>#VALUE!</v>
      </c>
      <c r="P4" t="e">
        <f t="shared" si="2"/>
        <v>#VALUE!</v>
      </c>
    </row>
    <row r="5" spans="1:16" x14ac:dyDescent="0.3">
      <c r="A5">
        <v>3</v>
      </c>
      <c r="B5">
        <f>'Real Input'!M5</f>
        <v>0.10767899999336805</v>
      </c>
      <c r="C5">
        <f ca="1">INDIRECT(CONCATENATE("'Real Input'!",'Real Analysis'!$B$2,A5+2))</f>
        <v>9.8545472099999998</v>
      </c>
      <c r="D5">
        <f t="shared" si="0"/>
        <v>1.5774999992572702E-2</v>
      </c>
      <c r="E5">
        <f ca="1">IF(B5&gt;0,C5-'Real Analysis'!$B$14,0)</f>
        <v>-1.9505923714273621E-3</v>
      </c>
      <c r="F5">
        <f t="shared" ca="1" si="3"/>
        <v>-1.2691924893441743E-4</v>
      </c>
      <c r="G5">
        <f t="shared" ca="1" si="4"/>
        <v>-4.8378162649294342E-6</v>
      </c>
      <c r="H5">
        <f ca="1">IF(AND(B5&gt;'Real Analysis'!$B$31,B5&lt;'Real Analysis'!$B$32),FilterInput(E5,'Real Analysis'!$B$26,'Real Analysis'!$B$27),0)</f>
        <v>0</v>
      </c>
      <c r="I5" t="e">
        <f>MEDIAN2("Real Values",H5,'Real Analysis'!$B$5,2)</f>
        <v>#VALUE!</v>
      </c>
      <c r="J5" t="e">
        <f>AVERAGE2("Real Values",I5,'Real Analysis'!$B$6,2)</f>
        <v>#VALUE!</v>
      </c>
      <c r="K5" t="e">
        <f>INTEGRAL2(J5,$B5,K4,J4,$B4,'Real Analysis'!$B$19)</f>
        <v>#VALUE!</v>
      </c>
      <c r="L5" t="e">
        <f>IF(AND(B5&lt;'Real Analysis'!$B$32,B5&gt;0),INTEGRAL2(K5,$B5,L4,K4,$B4,'Real Analysis'!$B$20),0)</f>
        <v>#VALUE!</v>
      </c>
      <c r="N5">
        <f>'Real Analysis'!$B$28*'Real Input'!U5+IF('Real Input'!U5 &gt; 0,'Real Analysis'!$B$29,0)</f>
        <v>0</v>
      </c>
      <c r="O5" t="e">
        <f t="shared" si="1"/>
        <v>#VALUE!</v>
      </c>
      <c r="P5" t="e">
        <f t="shared" si="2"/>
        <v>#VALUE!</v>
      </c>
    </row>
    <row r="6" spans="1:16" x14ac:dyDescent="0.3">
      <c r="A6">
        <v>4</v>
      </c>
      <c r="B6">
        <f>'Real Input'!M6</f>
        <v>0.13174199999775738</v>
      </c>
      <c r="C6">
        <f ca="1">INDIRECT(CONCATENATE("'Real Input'!",'Real Analysis'!$B$2,A6+2))</f>
        <v>9.8538408900000007</v>
      </c>
      <c r="D6">
        <f t="shared" si="0"/>
        <v>2.4063000004389323E-2</v>
      </c>
      <c r="E6">
        <f ca="1">IF(B6&gt;0,C6-'Real Analysis'!$B$14,0)</f>
        <v>-2.6569123714264009E-3</v>
      </c>
      <c r="F6">
        <f t="shared" ca="1" si="3"/>
        <v>-1.9085253133971296E-4</v>
      </c>
      <c r="G6">
        <f t="shared" ca="1" si="4"/>
        <v>-9.4303007273946597E-6</v>
      </c>
      <c r="H6">
        <f ca="1">IF(AND(B6&gt;'Real Analysis'!$B$31,B6&lt;'Real Analysis'!$B$32),FilterInput(E6,'Real Analysis'!$B$26,'Real Analysis'!$B$27),0)</f>
        <v>0</v>
      </c>
      <c r="I6" t="e">
        <f>MEDIAN2("Real Values",H6,'Real Analysis'!$B$5,2)</f>
        <v>#VALUE!</v>
      </c>
      <c r="J6" t="e">
        <f>AVERAGE2("Real Values",I6,'Real Analysis'!$B$6,2)</f>
        <v>#VALUE!</v>
      </c>
      <c r="K6" t="e">
        <f>INTEGRAL2(J6,$B6,K5,J5,$B5,'Real Analysis'!$B$19)</f>
        <v>#VALUE!</v>
      </c>
      <c r="L6" t="e">
        <f>IF(AND(B6&lt;'Real Analysis'!$B$32,B6&gt;0),INTEGRAL2(K6,$B6,L5,K5,$B5,'Real Analysis'!$B$20),0)</f>
        <v>#VALUE!</v>
      </c>
      <c r="N6">
        <f>'Real Analysis'!$B$28*'Real Input'!U6+IF('Real Input'!U6 &gt; 0,'Real Analysis'!$B$29,0)</f>
        <v>0</v>
      </c>
      <c r="O6" t="e">
        <f t="shared" si="1"/>
        <v>#VALUE!</v>
      </c>
      <c r="P6" t="e">
        <f t="shared" si="2"/>
        <v>#VALUE!</v>
      </c>
    </row>
    <row r="7" spans="1:16" x14ac:dyDescent="0.3">
      <c r="A7">
        <v>5</v>
      </c>
      <c r="B7">
        <f>'Real Input'!M7</f>
        <v>0.15130599999974947</v>
      </c>
      <c r="C7">
        <f ca="1">INDIRECT(CONCATENATE("'Real Input'!",'Real Analysis'!$B$2,A7+2))</f>
        <v>9.8534877299999994</v>
      </c>
      <c r="D7">
        <f t="shared" si="0"/>
        <v>1.9564000001992099E-2</v>
      </c>
      <c r="E7">
        <f ca="1">IF(B7&gt;0,C7-'Real Analysis'!$B$14,0)</f>
        <v>-3.0100723714276967E-3</v>
      </c>
      <c r="F7">
        <f t="shared" ca="1" si="3"/>
        <v>-2.4974158722032076E-4</v>
      </c>
      <c r="G7">
        <f t="shared" ca="1" si="4"/>
        <v>-1.4316245140270525E-5</v>
      </c>
      <c r="H7">
        <f ca="1">IF(AND(B7&gt;'Real Analysis'!$B$31,B7&lt;'Real Analysis'!$B$32),FilterInput(E7,'Real Analysis'!$B$26,'Real Analysis'!$B$27),0)</f>
        <v>0</v>
      </c>
      <c r="I7" t="e">
        <f>MEDIAN2("Real Values",H7,'Real Analysis'!$B$5,2)</f>
        <v>#VALUE!</v>
      </c>
      <c r="J7" t="e">
        <f>AVERAGE2("Real Values",I7,'Real Analysis'!$B$6,2)</f>
        <v>#VALUE!</v>
      </c>
      <c r="K7" t="e">
        <f>INTEGRAL2(J7,$B7,K6,J6,$B6,'Real Analysis'!$B$19)</f>
        <v>#VALUE!</v>
      </c>
      <c r="L7" t="e">
        <f>IF(AND(B7&lt;'Real Analysis'!$B$32,B7&gt;0),INTEGRAL2(K7,$B7,L6,K6,$B6,'Real Analysis'!$B$20),0)</f>
        <v>#VALUE!</v>
      </c>
      <c r="N7">
        <f>'Real Analysis'!$B$28*'Real Input'!U7+IF('Real Input'!U7 &gt; 0,'Real Analysis'!$B$29,0)</f>
        <v>0</v>
      </c>
      <c r="O7" t="e">
        <f t="shared" si="1"/>
        <v>#VALUE!</v>
      </c>
      <c r="P7" t="e">
        <f t="shared" si="2"/>
        <v>#VALUE!</v>
      </c>
    </row>
    <row r="8" spans="1:16" x14ac:dyDescent="0.3">
      <c r="A8">
        <v>6</v>
      </c>
      <c r="B8">
        <f>'Real Input'!M8</f>
        <v>0.16790099999343511</v>
      </c>
      <c r="C8">
        <f ca="1">INDIRECT(CONCATENATE("'Real Input'!",'Real Analysis'!$B$2,A8+2))</f>
        <v>9.85359564</v>
      </c>
      <c r="D8">
        <f t="shared" si="0"/>
        <v>1.6594999993685633E-2</v>
      </c>
      <c r="E8">
        <f ca="1">IF(B8&gt;0,C8-'Real Analysis'!$B$14,0)</f>
        <v>-2.9021623714271527E-3</v>
      </c>
      <c r="F8">
        <f t="shared" ca="1" si="3"/>
        <v>-2.9790297175582902E-4</v>
      </c>
      <c r="G8">
        <f t="shared" ca="1" si="4"/>
        <v>-1.925994495467744E-5</v>
      </c>
      <c r="H8">
        <f ca="1">IF(AND(B8&gt;'Real Analysis'!$B$31,B8&lt;'Real Analysis'!$B$32),FilterInput(E8,'Real Analysis'!$B$26,'Real Analysis'!$B$27),0)</f>
        <v>0</v>
      </c>
      <c r="I8" t="e">
        <f>MEDIAN2("Real Values",H8,'Real Analysis'!$B$5,2)</f>
        <v>#VALUE!</v>
      </c>
      <c r="J8" t="e">
        <f>AVERAGE2("Real Values",I8,'Real Analysis'!$B$6,2)</f>
        <v>#VALUE!</v>
      </c>
      <c r="K8" t="e">
        <f>INTEGRAL2(J8,$B8,K7,J7,$B7,'Real Analysis'!$B$19)</f>
        <v>#VALUE!</v>
      </c>
      <c r="L8" t="e">
        <f>IF(AND(B8&lt;'Real Analysis'!$B$32,B8&gt;0),INTEGRAL2(K8,$B8,L7,K7,$B7,'Real Analysis'!$B$20),0)</f>
        <v>#VALUE!</v>
      </c>
      <c r="N8">
        <f>'Real Analysis'!$B$28*'Real Input'!U8+IF('Real Input'!U8 &gt; 0,'Real Analysis'!$B$29,0)</f>
        <v>0</v>
      </c>
      <c r="O8" t="e">
        <f t="shared" si="1"/>
        <v>#VALUE!</v>
      </c>
      <c r="P8" t="e">
        <f t="shared" si="2"/>
        <v>#VALUE!</v>
      </c>
    </row>
    <row r="9" spans="1:16" x14ac:dyDescent="0.3">
      <c r="A9">
        <v>7</v>
      </c>
      <c r="B9">
        <f>'Real Input'!M9</f>
        <v>0.1887060000008205</v>
      </c>
      <c r="C9">
        <f ca="1">INDIRECT(CONCATENATE("'Real Input'!",'Real Analysis'!$B$2,A9+2))</f>
        <v>9.8534975400000011</v>
      </c>
      <c r="D9">
        <f t="shared" si="0"/>
        <v>2.0805000007385388E-2</v>
      </c>
      <c r="E9">
        <f ca="1">IF(B9&gt;0,C9-'Real Analysis'!$B$14,0)</f>
        <v>-3.0002623714260324E-3</v>
      </c>
      <c r="F9">
        <f t="shared" ca="1" si="3"/>
        <v>-3.6032343041550571E-4</v>
      </c>
      <c r="G9">
        <f t="shared" ca="1" si="4"/>
        <v>-2.6756473927133167E-5</v>
      </c>
      <c r="H9">
        <f ca="1">IF(AND(B9&gt;'Real Analysis'!$B$31,B9&lt;'Real Analysis'!$B$32),FilterInput(E9,'Real Analysis'!$B$26,'Real Analysis'!$B$27),0)</f>
        <v>0</v>
      </c>
      <c r="I9" t="e">
        <f>MEDIAN2("Real Values",H9,'Real Analysis'!$B$5,2)</f>
        <v>#VALUE!</v>
      </c>
      <c r="J9" t="e">
        <f>AVERAGE2("Real Values",I9,'Real Analysis'!$B$6,2)</f>
        <v>#VALUE!</v>
      </c>
      <c r="K9" t="e">
        <f>INTEGRAL2(J9,$B9,K8,J8,$B8,'Real Analysis'!$B$19)</f>
        <v>#VALUE!</v>
      </c>
      <c r="L9" t="e">
        <f>IF(AND(B9&lt;'Real Analysis'!$B$32,B9&gt;0),INTEGRAL2(K9,$B9,L8,K8,$B8,'Real Analysis'!$B$20),0)</f>
        <v>#VALUE!</v>
      </c>
      <c r="N9">
        <f>'Real Analysis'!$B$28*'Real Input'!U9+IF('Real Input'!U9 &gt; 0,'Real Analysis'!$B$29,0)</f>
        <v>0</v>
      </c>
      <c r="O9" t="e">
        <f t="shared" si="1"/>
        <v>#VALUE!</v>
      </c>
      <c r="P9" t="e">
        <f t="shared" si="2"/>
        <v>#VALUE!</v>
      </c>
    </row>
    <row r="10" spans="1:16" x14ac:dyDescent="0.3">
      <c r="A10">
        <v>8</v>
      </c>
      <c r="B10">
        <f>'Real Input'!M10</f>
        <v>0.21346100000664592</v>
      </c>
      <c r="C10">
        <f ca="1">INDIRECT(CONCATENATE("'Real Input'!",'Real Analysis'!$B$2,A10+2))</f>
        <v>9.8535171600000009</v>
      </c>
      <c r="D10">
        <f t="shared" si="0"/>
        <v>2.4755000005825423E-2</v>
      </c>
      <c r="E10">
        <f ca="1">IF(B10&gt;0,C10-'Real Analysis'!$B$14,0)</f>
        <v>-2.9806423714262564E-3</v>
      </c>
      <c r="F10">
        <f t="shared" ca="1" si="3"/>
        <v>-4.3410923233752619E-4</v>
      </c>
      <c r="G10">
        <f t="shared" ca="1" si="4"/>
        <v>-3.7502847976177497E-5</v>
      </c>
      <c r="H10">
        <f ca="1">IF(AND(B10&gt;'Real Analysis'!$B$31,B10&lt;'Real Analysis'!$B$32),FilterInput(E10,'Real Analysis'!$B$26,'Real Analysis'!$B$27),0)</f>
        <v>0</v>
      </c>
      <c r="I10" t="e">
        <f>MEDIAN2("Real Values",H10,'Real Analysis'!$B$5,2)</f>
        <v>#VALUE!</v>
      </c>
      <c r="J10" t="e">
        <f>AVERAGE2("Real Values",I10,'Real Analysis'!$B$6,2)</f>
        <v>#VALUE!</v>
      </c>
      <c r="K10" t="e">
        <f>INTEGRAL2(J10,$B10,K9,J9,$B9,'Real Analysis'!$B$19)</f>
        <v>#VALUE!</v>
      </c>
      <c r="L10" t="e">
        <f>IF(AND(B10&lt;'Real Analysis'!$B$32,B10&gt;0),INTEGRAL2(K10,$B10,L9,K9,$B9,'Real Analysis'!$B$20),0)</f>
        <v>#VALUE!</v>
      </c>
      <c r="N10">
        <f>'Real Analysis'!$B$28*'Real Input'!U10+IF('Real Input'!U10 &gt; 0,'Real Analysis'!$B$29,0)</f>
        <v>0</v>
      </c>
      <c r="O10" t="e">
        <f t="shared" si="1"/>
        <v>#VALUE!</v>
      </c>
      <c r="P10" t="e">
        <f t="shared" si="2"/>
        <v>#VALUE!</v>
      </c>
    </row>
    <row r="11" spans="1:16" x14ac:dyDescent="0.3">
      <c r="A11">
        <v>9</v>
      </c>
      <c r="B11">
        <f>'Real Input'!M11</f>
        <v>0.22705699999642093</v>
      </c>
      <c r="C11">
        <f ca="1">INDIRECT(CONCATENATE("'Real Input'!",'Real Analysis'!$B$2,A11+2))</f>
        <v>9.8535171600000009</v>
      </c>
      <c r="D11">
        <f t="shared" si="0"/>
        <v>1.3595999989775009E-2</v>
      </c>
      <c r="E11">
        <f ca="1">IF(B11&gt;0,C11-'Real Analysis'!$B$14,0)</f>
        <v>-2.9806423714262564E-3</v>
      </c>
      <c r="F11">
        <f t="shared" ca="1" si="3"/>
        <v>-4.7463404598896051E-4</v>
      </c>
      <c r="G11">
        <f t="shared" ca="1" si="4"/>
        <v>-4.3955972460590273E-5</v>
      </c>
      <c r="H11">
        <f ca="1">IF(AND(B11&gt;'Real Analysis'!$B$31,B11&lt;'Real Analysis'!$B$32),FilterInput(E11,'Real Analysis'!$B$26,'Real Analysis'!$B$27),0)</f>
        <v>0</v>
      </c>
      <c r="I11" t="e">
        <f>MEDIAN2("Real Values",H11,'Real Analysis'!$B$5,2)</f>
        <v>#VALUE!</v>
      </c>
      <c r="J11" t="e">
        <f>AVERAGE2("Real Values",I11,'Real Analysis'!$B$6,2)</f>
        <v>#VALUE!</v>
      </c>
      <c r="K11" t="e">
        <f>INTEGRAL2(J11,$B11,K10,J10,$B10,'Real Analysis'!$B$19)</f>
        <v>#VALUE!</v>
      </c>
      <c r="L11" t="e">
        <f>IF(AND(B11&lt;'Real Analysis'!$B$32,B11&gt;0),INTEGRAL2(K11,$B11,L10,K10,$B10,'Real Analysis'!$B$20),0)</f>
        <v>#VALUE!</v>
      </c>
      <c r="N11">
        <f>'Real Analysis'!$B$28*'Real Input'!U11+IF('Real Input'!U11 &gt; 0,'Real Analysis'!$B$29,0)</f>
        <v>0</v>
      </c>
      <c r="O11" t="e">
        <f t="shared" si="1"/>
        <v>#VALUE!</v>
      </c>
      <c r="P11" t="e">
        <f t="shared" si="2"/>
        <v>#VALUE!</v>
      </c>
    </row>
    <row r="12" spans="1:16" x14ac:dyDescent="0.3">
      <c r="A12">
        <v>10</v>
      </c>
      <c r="B12">
        <f>'Real Input'!M12</f>
        <v>0.24826999999640975</v>
      </c>
      <c r="C12">
        <f ca="1">INDIRECT(CONCATENATE("'Real Input'!",'Real Analysis'!$B$2,A12+2))</f>
        <v>9.8530855200000005</v>
      </c>
      <c r="D12">
        <f t="shared" si="0"/>
        <v>2.1212999999988824E-2</v>
      </c>
      <c r="E12">
        <f ca="1">IF(B12&gt;0,C12-'Real Analysis'!$B$14,0)</f>
        <v>-3.4122823714266559E-3</v>
      </c>
      <c r="F12">
        <f t="shared" ca="1" si="3"/>
        <v>-5.4701879193399605E-4</v>
      </c>
      <c r="G12">
        <f t="shared" ca="1" si="4"/>
        <v>-5.5559882093880016E-5</v>
      </c>
      <c r="H12">
        <f ca="1">IF(AND(B12&gt;'Real Analysis'!$B$31,B12&lt;'Real Analysis'!$B$32),FilterInput(E12,'Real Analysis'!$B$26,'Real Analysis'!$B$27),0)</f>
        <v>0</v>
      </c>
      <c r="I12" t="e">
        <f>MEDIAN2("Real Values",H12,'Real Analysis'!$B$5,2)</f>
        <v>#VALUE!</v>
      </c>
      <c r="J12" t="e">
        <f>AVERAGE2("Real Values",I12,'Real Analysis'!$B$6,2)</f>
        <v>#VALUE!</v>
      </c>
      <c r="K12" t="e">
        <f>INTEGRAL2(J12,$B12,K11,J11,$B11,'Real Analysis'!$B$19)</f>
        <v>#VALUE!</v>
      </c>
      <c r="L12" t="e">
        <f>IF(AND(B12&lt;'Real Analysis'!$B$32,B12&gt;0),INTEGRAL2(K12,$B12,L11,K11,$B11,'Real Analysis'!$B$20),0)</f>
        <v>#VALUE!</v>
      </c>
      <c r="N12">
        <f>'Real Analysis'!$B$28*'Real Input'!U12+IF('Real Input'!U12 &gt; 0,'Real Analysis'!$B$29,0)</f>
        <v>0</v>
      </c>
      <c r="O12" t="e">
        <f t="shared" si="1"/>
        <v>#VALUE!</v>
      </c>
      <c r="P12" t="e">
        <f t="shared" si="2"/>
        <v>#VALUE!</v>
      </c>
    </row>
    <row r="13" spans="1:16" x14ac:dyDescent="0.3">
      <c r="A13">
        <v>11</v>
      </c>
      <c r="B13">
        <f>'Real Input'!M13</f>
        <v>0.26694099999440368</v>
      </c>
      <c r="C13">
        <f ca="1">INDIRECT(CONCATENATE("'Real Input'!",'Real Analysis'!$B$2,A13+2))</f>
        <v>9.850240620000001</v>
      </c>
      <c r="D13">
        <f t="shared" si="0"/>
        <v>1.8670999997993931E-2</v>
      </c>
      <c r="E13">
        <f ca="1">IF(B13&gt;0,C13-'Real Analysis'!$B$14,0)</f>
        <v>-6.2571823714261399E-3</v>
      </c>
      <c r="F13">
        <f t="shared" ca="1" si="3"/>
        <v>-6.6384664397834119E-4</v>
      </c>
      <c r="G13">
        <f t="shared" ca="1" si="4"/>
        <v>-6.7954562782267898E-5</v>
      </c>
      <c r="H13">
        <f ca="1">IF(AND(B13&gt;'Real Analysis'!$B$31,B13&lt;'Real Analysis'!$B$32),FilterInput(E13,'Real Analysis'!$B$26,'Real Analysis'!$B$27),0)</f>
        <v>0</v>
      </c>
      <c r="I13" t="e">
        <f>MEDIAN2("Real Values",H13,'Real Analysis'!$B$5,2)</f>
        <v>#VALUE!</v>
      </c>
      <c r="J13" t="e">
        <f>AVERAGE2("Real Values",I13,'Real Analysis'!$B$6,2)</f>
        <v>#VALUE!</v>
      </c>
      <c r="K13" t="e">
        <f>INTEGRAL2(J13,$B13,K12,J12,$B12,'Real Analysis'!$B$19)</f>
        <v>#VALUE!</v>
      </c>
      <c r="L13" t="e">
        <f>IF(AND(B13&lt;'Real Analysis'!$B$32,B13&gt;0),INTEGRAL2(K13,$B13,L12,K12,$B12,'Real Analysis'!$B$20),0)</f>
        <v>#VALUE!</v>
      </c>
      <c r="N13">
        <f>'Real Analysis'!$B$28*'Real Input'!U13+IF('Real Input'!U13 &gt; 0,'Real Analysis'!$B$29,0)</f>
        <v>0</v>
      </c>
      <c r="O13" t="e">
        <f t="shared" si="1"/>
        <v>#VALUE!</v>
      </c>
      <c r="P13" t="e">
        <f t="shared" si="2"/>
        <v>#VALUE!</v>
      </c>
    </row>
    <row r="14" spans="1:16" x14ac:dyDescent="0.3">
      <c r="A14">
        <v>12</v>
      </c>
      <c r="B14">
        <f>'Real Input'!M14</f>
        <v>0.29261899999983143</v>
      </c>
      <c r="C14">
        <f ca="1">INDIRECT(CONCATENATE("'Real Input'!",'Real Analysis'!$B$2,A14+2))</f>
        <v>9.8511039</v>
      </c>
      <c r="D14">
        <f t="shared" si="0"/>
        <v>2.5678000005427748E-2</v>
      </c>
      <c r="E14">
        <f ca="1">IF(B14&gt;0,C14-'Real Analysis'!$B$14,0)</f>
        <v>-5.3939023714271173E-3</v>
      </c>
      <c r="F14">
        <f t="shared" ca="1" si="3"/>
        <v>-8.0235126910112341E-4</v>
      </c>
      <c r="G14">
        <f t="shared" ca="1" si="4"/>
        <v>-8.8557338674601506E-5</v>
      </c>
      <c r="H14">
        <f ca="1">IF(AND(B14&gt;'Real Analysis'!$B$31,B14&lt;'Real Analysis'!$B$32),FilterInput(E14,'Real Analysis'!$B$26,'Real Analysis'!$B$27),0)</f>
        <v>0</v>
      </c>
      <c r="I14" t="e">
        <f>MEDIAN2("Real Values",H14,'Real Analysis'!$B$5,2)</f>
        <v>#VALUE!</v>
      </c>
      <c r="J14" t="e">
        <f>AVERAGE2("Real Values",I14,'Real Analysis'!$B$6,2)</f>
        <v>#VALUE!</v>
      </c>
      <c r="K14" t="e">
        <f>INTEGRAL2(J14,$B14,K13,J13,$B13,'Real Analysis'!$B$19)</f>
        <v>#VALUE!</v>
      </c>
      <c r="L14" t="e">
        <f>IF(AND(B14&lt;'Real Analysis'!$B$32,B14&gt;0),INTEGRAL2(K14,$B14,L13,K13,$B13,'Real Analysis'!$B$20),0)</f>
        <v>#VALUE!</v>
      </c>
      <c r="N14">
        <f>'Real Analysis'!$B$28*'Real Input'!U14+IF('Real Input'!U14 &gt; 0,'Real Analysis'!$B$29,0)</f>
        <v>0</v>
      </c>
      <c r="O14" t="e">
        <f t="shared" si="1"/>
        <v>#VALUE!</v>
      </c>
      <c r="P14" t="e">
        <f t="shared" si="2"/>
        <v>#VALUE!</v>
      </c>
    </row>
    <row r="15" spans="1:16" x14ac:dyDescent="0.3">
      <c r="A15">
        <v>13</v>
      </c>
      <c r="B15">
        <f>'Real Input'!M15</f>
        <v>0.31316000000515487</v>
      </c>
      <c r="C15">
        <f ca="1">INDIRECT(CONCATENATE("'Real Input'!",'Real Analysis'!$B$2,A15+2))</f>
        <v>9.8541548100000007</v>
      </c>
      <c r="D15">
        <f t="shared" si="0"/>
        <v>2.054100000532344E-2</v>
      </c>
      <c r="E15">
        <f ca="1">IF(B15&gt;0,C15-'Real Analysis'!$B$14,0)</f>
        <v>-2.3429923714264334E-3</v>
      </c>
      <c r="F15">
        <f t="shared" ca="1" si="3"/>
        <v>-8.5047867541506654E-4</v>
      </c>
      <c r="G15">
        <f t="shared" ca="1" si="4"/>
        <v>-1.0602702115082986E-4</v>
      </c>
      <c r="H15">
        <f ca="1">IF(AND(B15&gt;'Real Analysis'!$B$31,B15&lt;'Real Analysis'!$B$32),FilterInput(E15,'Real Analysis'!$B$26,'Real Analysis'!$B$27),0)</f>
        <v>0</v>
      </c>
      <c r="I15" t="e">
        <f>MEDIAN2("Real Values",H15,'Real Analysis'!$B$5,2)</f>
        <v>#VALUE!</v>
      </c>
      <c r="J15" t="e">
        <f>AVERAGE2("Real Values",I15,'Real Analysis'!$B$6,2)</f>
        <v>#VALUE!</v>
      </c>
      <c r="K15" t="e">
        <f>INTEGRAL2(J15,$B15,K14,J14,$B14,'Real Analysis'!$B$19)</f>
        <v>#VALUE!</v>
      </c>
      <c r="L15" t="e">
        <f>IF(AND(B15&lt;'Real Analysis'!$B$32,B15&gt;0),INTEGRAL2(K15,$B15,L14,K14,$B14,'Real Analysis'!$B$20),0)</f>
        <v>#VALUE!</v>
      </c>
      <c r="N15">
        <f>'Real Analysis'!$B$28*'Real Input'!U15+IF('Real Input'!U15 &gt; 0,'Real Analysis'!$B$29,0)</f>
        <v>0</v>
      </c>
      <c r="O15" t="e">
        <f t="shared" si="1"/>
        <v>#VALUE!</v>
      </c>
      <c r="P15" t="e">
        <f t="shared" si="2"/>
        <v>#VALUE!</v>
      </c>
    </row>
    <row r="16" spans="1:16" x14ac:dyDescent="0.3">
      <c r="A16">
        <v>14</v>
      </c>
      <c r="B16">
        <f>'Real Input'!M16</f>
        <v>0.33193600000231527</v>
      </c>
      <c r="C16">
        <f ca="1">INDIRECT(CONCATENATE("'Real Input'!",'Real Analysis'!$B$2,A16+2))</f>
        <v>9.8534288700000001</v>
      </c>
      <c r="D16">
        <f t="shared" si="0"/>
        <v>1.8775999997160397E-2</v>
      </c>
      <c r="E16">
        <f ca="1">IF(B16&gt;0,C16-'Real Analysis'!$B$14,0)</f>
        <v>-3.0689323714270245E-3</v>
      </c>
      <c r="F16">
        <f t="shared" ca="1" si="3"/>
        <v>-9.0810094961226578E-4</v>
      </c>
      <c r="G16">
        <f t="shared" ca="1" si="4"/>
        <v>-1.2307752457817113E-4</v>
      </c>
      <c r="H16">
        <f ca="1">IF(AND(B16&gt;'Real Analysis'!$B$31,B16&lt;'Real Analysis'!$B$32),FilterInput(E16,'Real Analysis'!$B$26,'Real Analysis'!$B$27),0)</f>
        <v>0</v>
      </c>
      <c r="I16" t="e">
        <f>MEDIAN2("Real Values",H16,'Real Analysis'!$B$5,2)</f>
        <v>#VALUE!</v>
      </c>
      <c r="J16" t="e">
        <f>AVERAGE2("Real Values",I16,'Real Analysis'!$B$6,2)</f>
        <v>#VALUE!</v>
      </c>
      <c r="K16" t="e">
        <f>INTEGRAL2(J16,$B16,K15,J15,$B15,'Real Analysis'!$B$19)</f>
        <v>#VALUE!</v>
      </c>
      <c r="L16" t="e">
        <f>IF(AND(B16&lt;'Real Analysis'!$B$32,B16&gt;0),INTEGRAL2(K16,$B16,L15,K15,$B15,'Real Analysis'!$B$20),0)</f>
        <v>#VALUE!</v>
      </c>
      <c r="N16">
        <f>'Real Analysis'!$B$28*'Real Input'!U16+IF('Real Input'!U16 &gt; 0,'Real Analysis'!$B$29,0)</f>
        <v>0</v>
      </c>
      <c r="O16" t="e">
        <f t="shared" si="1"/>
        <v>#VALUE!</v>
      </c>
      <c r="P16" t="e">
        <f t="shared" si="2"/>
        <v>#VALUE!</v>
      </c>
    </row>
    <row r="17" spans="1:16" x14ac:dyDescent="0.3">
      <c r="A17">
        <v>15</v>
      </c>
      <c r="B17">
        <f>'Real Input'!M17</f>
        <v>0.3471949999948265</v>
      </c>
      <c r="C17">
        <f ca="1">INDIRECT(CONCATENATE("'Real Input'!",'Real Analysis'!$B$2,A17+2))</f>
        <v>9.8535760200000002</v>
      </c>
      <c r="D17">
        <f t="shared" si="0"/>
        <v>1.5258999992511235E-2</v>
      </c>
      <c r="E17">
        <f ca="1">IF(B17&gt;0,C17-'Real Analysis'!$B$14,0)</f>
        <v>-2.9217823714269286E-3</v>
      </c>
      <c r="F17">
        <f t="shared" ca="1" si="3"/>
        <v>-9.5268442679598872E-4</v>
      </c>
      <c r="G17">
        <f t="shared" ca="1" si="4"/>
        <v>-1.376145362395167E-4</v>
      </c>
      <c r="H17">
        <f ca="1">IF(AND(B17&gt;'Real Analysis'!$B$31,B17&lt;'Real Analysis'!$B$32),FilterInput(E17,'Real Analysis'!$B$26,'Real Analysis'!$B$27),0)</f>
        <v>0</v>
      </c>
      <c r="I17" t="e">
        <f>MEDIAN2("Real Values",H17,'Real Analysis'!$B$5,2)</f>
        <v>#VALUE!</v>
      </c>
      <c r="J17" t="e">
        <f>AVERAGE2("Real Values",I17,'Real Analysis'!$B$6,2)</f>
        <v>#VALUE!</v>
      </c>
      <c r="K17" t="e">
        <f>INTEGRAL2(J17,$B17,K16,J16,$B16,'Real Analysis'!$B$19)</f>
        <v>#VALUE!</v>
      </c>
      <c r="L17" t="e">
        <f>IF(AND(B17&lt;'Real Analysis'!$B$32,B17&gt;0),INTEGRAL2(K17,$B17,L16,K16,$B16,'Real Analysis'!$B$20),0)</f>
        <v>#VALUE!</v>
      </c>
      <c r="N17">
        <f>'Real Analysis'!$B$28*'Real Input'!U17+IF('Real Input'!U17 &gt; 0,'Real Analysis'!$B$29,0)</f>
        <v>0</v>
      </c>
      <c r="O17" t="e">
        <f t="shared" si="1"/>
        <v>#VALUE!</v>
      </c>
      <c r="P17" t="e">
        <f t="shared" si="2"/>
        <v>#VALUE!</v>
      </c>
    </row>
    <row r="18" spans="1:16" x14ac:dyDescent="0.3">
      <c r="A18">
        <v>16</v>
      </c>
      <c r="B18">
        <f>'Real Input'!M18</f>
        <v>0.36253399999986868</v>
      </c>
      <c r="C18">
        <f ca="1">INDIRECT(CONCATENATE("'Real Input'!",'Real Analysis'!$B$2,A18+2))</f>
        <v>9.8536446899999994</v>
      </c>
      <c r="D18">
        <f t="shared" si="0"/>
        <v>1.533900000504218E-2</v>
      </c>
      <c r="E18">
        <f ca="1">IF(B18&gt;0,C18-'Real Analysis'!$B$14,0)</f>
        <v>-2.8531123714277129E-3</v>
      </c>
      <c r="F18">
        <f t="shared" ca="1" si="3"/>
        <v>-9.964483174757044E-4</v>
      </c>
      <c r="G18">
        <f t="shared" ca="1" si="4"/>
        <v>-1.5289905698630081E-4</v>
      </c>
      <c r="H18">
        <f ca="1">IF(AND(B18&gt;'Real Analysis'!$B$31,B18&lt;'Real Analysis'!$B$32),FilterInput(E18,'Real Analysis'!$B$26,'Real Analysis'!$B$27),0)</f>
        <v>0</v>
      </c>
      <c r="I18" t="e">
        <f>MEDIAN2("Real Values",H18,'Real Analysis'!$B$5,2)</f>
        <v>#VALUE!</v>
      </c>
      <c r="J18" t="e">
        <f>AVERAGE2("Real Values",I18,'Real Analysis'!$B$6,2)</f>
        <v>#VALUE!</v>
      </c>
      <c r="K18" t="e">
        <f>INTEGRAL2(J18,$B18,K17,J17,$B17,'Real Analysis'!$B$19)</f>
        <v>#VALUE!</v>
      </c>
      <c r="L18" t="e">
        <f>IF(AND(B18&lt;'Real Analysis'!$B$32,B18&gt;0),INTEGRAL2(K18,$B18,L17,K17,$B17,'Real Analysis'!$B$20),0)</f>
        <v>#VALUE!</v>
      </c>
      <c r="N18">
        <f>'Real Analysis'!$B$28*'Real Input'!U18+IF('Real Input'!U18 &gt; 0,'Real Analysis'!$B$29,0)</f>
        <v>0</v>
      </c>
      <c r="O18" t="e">
        <f t="shared" si="1"/>
        <v>#VALUE!</v>
      </c>
      <c r="P18" t="e">
        <f t="shared" si="2"/>
        <v>#VALUE!</v>
      </c>
    </row>
    <row r="19" spans="1:16" x14ac:dyDescent="0.3">
      <c r="A19">
        <v>17</v>
      </c>
      <c r="B19">
        <f>'Real Input'!M19</f>
        <v>0.39266500000667293</v>
      </c>
      <c r="C19">
        <f ca="1">INDIRECT(CONCATENATE("'Real Input'!",'Real Analysis'!$B$2,A19+2))</f>
        <v>9.7998172200000013</v>
      </c>
      <c r="D19">
        <f t="shared" si="0"/>
        <v>3.0131000006804243E-2</v>
      </c>
      <c r="E19">
        <f ca="1">IF(B19&gt;0,C19-'Real Analysis'!$B$14,0)</f>
        <v>-5.6680582371425814E-2</v>
      </c>
      <c r="F19">
        <f t="shared" ca="1" si="3"/>
        <v>-2.7042909452948041E-3</v>
      </c>
      <c r="G19">
        <f t="shared" ca="1" si="4"/>
        <v>-2.343820474773792E-4</v>
      </c>
      <c r="H19">
        <f ca="1">IF(AND(B19&gt;'Real Analysis'!$B$31,B19&lt;'Real Analysis'!$B$32),FilterInput(E19,'Real Analysis'!$B$26,'Real Analysis'!$B$27),0)</f>
        <v>0</v>
      </c>
      <c r="I19" t="e">
        <f>MEDIAN2("Real Values",H19,'Real Analysis'!$B$5,2)</f>
        <v>#VALUE!</v>
      </c>
      <c r="J19" t="e">
        <f>AVERAGE2("Real Values",I19,'Real Analysis'!$B$6,2)</f>
        <v>#VALUE!</v>
      </c>
      <c r="K19" t="e">
        <f>INTEGRAL2(J19,$B19,K18,J18,$B18,'Real Analysis'!$B$19)</f>
        <v>#VALUE!</v>
      </c>
      <c r="L19" t="e">
        <f>IF(AND(B19&lt;'Real Analysis'!$B$32,B19&gt;0),INTEGRAL2(K19,$B19,L18,K18,$B18,'Real Analysis'!$B$20),0)</f>
        <v>#VALUE!</v>
      </c>
      <c r="N19">
        <f>'Real Analysis'!$B$28*'Real Input'!U19+IF('Real Input'!U19 &gt; 0,'Real Analysis'!$B$29,0)</f>
        <v>0</v>
      </c>
      <c r="O19" t="e">
        <f t="shared" si="1"/>
        <v>#VALUE!</v>
      </c>
      <c r="P19" t="e">
        <f t="shared" si="2"/>
        <v>#VALUE!</v>
      </c>
    </row>
    <row r="20" spans="1:16" x14ac:dyDescent="0.3">
      <c r="A20">
        <v>18</v>
      </c>
      <c r="B20">
        <f>'Real Input'!M20</f>
        <v>0.40777599999273662</v>
      </c>
      <c r="C20">
        <f ca="1">INDIRECT(CONCATENATE("'Real Input'!",'Real Analysis'!$B$2,A20+2))</f>
        <v>9.8540861399999997</v>
      </c>
      <c r="D20">
        <f t="shared" si="0"/>
        <v>1.5110999986063689E-2</v>
      </c>
      <c r="E20">
        <f ca="1">IF(B20&gt;0,C20-'Real Analysis'!$B$14,0)</f>
        <v>-2.4116623714274255E-3</v>
      </c>
      <c r="F20">
        <f t="shared" ca="1" si="3"/>
        <v>-2.7407335753558341E-3</v>
      </c>
      <c r="G20">
        <f t="shared" ca="1" si="4"/>
        <v>-2.7579727249638547E-4</v>
      </c>
      <c r="H20">
        <f ca="1">IF(AND(B20&gt;'Real Analysis'!$B$31,B20&lt;'Real Analysis'!$B$32),FilterInput(E20,'Real Analysis'!$B$26,'Real Analysis'!$B$27),0)</f>
        <v>0</v>
      </c>
      <c r="I20" t="e">
        <f>MEDIAN2("Real Values",H20,'Real Analysis'!$B$5,2)</f>
        <v>#VALUE!</v>
      </c>
      <c r="J20" t="e">
        <f>AVERAGE2("Real Values",I20,'Real Analysis'!$B$6,2)</f>
        <v>#VALUE!</v>
      </c>
      <c r="K20" t="e">
        <f>INTEGRAL2(J20,$B20,K19,J19,$B19,'Real Analysis'!$B$19)</f>
        <v>#VALUE!</v>
      </c>
      <c r="L20" t="e">
        <f>IF(AND(B20&lt;'Real Analysis'!$B$32,B20&gt;0),INTEGRAL2(K20,$B20,L19,K19,$B19,'Real Analysis'!$B$20),0)</f>
        <v>#VALUE!</v>
      </c>
      <c r="N20">
        <f>'Real Analysis'!$B$28*'Real Input'!U20+IF('Real Input'!U20 &gt; 0,'Real Analysis'!$B$29,0)</f>
        <v>0</v>
      </c>
      <c r="O20" t="e">
        <f t="shared" si="1"/>
        <v>#VALUE!</v>
      </c>
      <c r="P20" t="e">
        <f t="shared" si="2"/>
        <v>#VALUE!</v>
      </c>
    </row>
    <row r="21" spans="1:16" x14ac:dyDescent="0.3">
      <c r="A21">
        <v>19</v>
      </c>
      <c r="B21">
        <f>'Real Input'!M21</f>
        <v>0.43277499999385327</v>
      </c>
      <c r="C21">
        <f ca="1">INDIRECT(CONCATENATE("'Real Input'!",'Real Analysis'!$B$2,A21+2))</f>
        <v>9.8493773400000002</v>
      </c>
      <c r="D21">
        <f t="shared" si="0"/>
        <v>2.4999000001116656E-2</v>
      </c>
      <c r="E21">
        <f ca="1">IF(B21&gt;0,C21-'Real Analysis'!$B$14,0)</f>
        <v>-7.1204623714269388E-3</v>
      </c>
      <c r="F21">
        <f t="shared" ca="1" si="3"/>
        <v>-2.9187380141870874E-3</v>
      </c>
      <c r="G21">
        <f t="shared" ca="1" si="4"/>
        <v>-3.4876280411630768E-4</v>
      </c>
      <c r="H21">
        <f ca="1">IF(AND(B21&gt;'Real Analysis'!$B$31,B21&lt;'Real Analysis'!$B$32),FilterInput(E21,'Real Analysis'!$B$26,'Real Analysis'!$B$27),0)</f>
        <v>0</v>
      </c>
      <c r="I21" t="e">
        <f>MEDIAN2("Real Values",H21,'Real Analysis'!$B$5,2)</f>
        <v>#VALUE!</v>
      </c>
      <c r="J21" t="e">
        <f>AVERAGE2("Real Values",I21,'Real Analysis'!$B$6,2)</f>
        <v>#VALUE!</v>
      </c>
      <c r="K21" t="e">
        <f>INTEGRAL2(J21,$B21,K20,J20,$B20,'Real Analysis'!$B$19)</f>
        <v>#VALUE!</v>
      </c>
      <c r="L21" t="e">
        <f>IF(AND(B21&lt;'Real Analysis'!$B$32,B21&gt;0),INTEGRAL2(K21,$B21,L20,K20,$B20,'Real Analysis'!$B$20),0)</f>
        <v>#VALUE!</v>
      </c>
      <c r="N21">
        <f>'Real Analysis'!$B$28*'Real Input'!U21+IF('Real Input'!U21 &gt; 0,'Real Analysis'!$B$29,0)</f>
        <v>0</v>
      </c>
      <c r="O21" t="e">
        <f t="shared" si="1"/>
        <v>#VALUE!</v>
      </c>
      <c r="P21" t="e">
        <f t="shared" si="2"/>
        <v>#VALUE!</v>
      </c>
    </row>
    <row r="22" spans="1:16" x14ac:dyDescent="0.3">
      <c r="A22">
        <v>20</v>
      </c>
      <c r="B22">
        <f>'Real Input'!M22</f>
        <v>0.45146999999997206</v>
      </c>
      <c r="C22">
        <f ca="1">INDIRECT(CONCATENATE("'Real Input'!",'Real Analysis'!$B$2,A22+2))</f>
        <v>9.8723621700000006</v>
      </c>
      <c r="D22">
        <f t="shared" si="0"/>
        <v>1.8695000006118789E-2</v>
      </c>
      <c r="E22">
        <f ca="1">IF(B22&gt;0,C22-'Real Analysis'!$B$14,0)</f>
        <v>1.5864367628573461E-2</v>
      </c>
      <c r="F22">
        <f t="shared" ca="1" si="3"/>
        <v>-2.6221536612738359E-3</v>
      </c>
      <c r="G22">
        <f t="shared" ca="1" si="4"/>
        <v>-3.9778396682986646E-4</v>
      </c>
      <c r="H22">
        <f ca="1">IF(AND(B22&gt;'Real Analysis'!$B$31,B22&lt;'Real Analysis'!$B$32),FilterInput(E22,'Real Analysis'!$B$26,'Real Analysis'!$B$27),0)</f>
        <v>0</v>
      </c>
      <c r="I22" t="e">
        <f>MEDIAN2("Real Values",H22,'Real Analysis'!$B$5,2)</f>
        <v>#VALUE!</v>
      </c>
      <c r="J22" t="e">
        <f>AVERAGE2("Real Values",I22,'Real Analysis'!$B$6,2)</f>
        <v>#VALUE!</v>
      </c>
      <c r="K22" t="e">
        <f>INTEGRAL2(J22,$B22,K21,J21,$B21,'Real Analysis'!$B$19)</f>
        <v>#VALUE!</v>
      </c>
      <c r="L22" t="e">
        <f>IF(AND(B22&lt;'Real Analysis'!$B$32,B22&gt;0),INTEGRAL2(K22,$B22,L21,K21,$B21,'Real Analysis'!$B$20),0)</f>
        <v>#VALUE!</v>
      </c>
      <c r="N22">
        <f>'Real Analysis'!$B$28*'Real Input'!U22+IF('Real Input'!U22 &gt; 0,'Real Analysis'!$B$29,0)</f>
        <v>0</v>
      </c>
      <c r="O22" t="e">
        <f t="shared" si="1"/>
        <v>#VALUE!</v>
      </c>
      <c r="P22" t="e">
        <f t="shared" si="2"/>
        <v>#VALUE!</v>
      </c>
    </row>
    <row r="23" spans="1:16" x14ac:dyDescent="0.3">
      <c r="A23">
        <v>21</v>
      </c>
      <c r="B23">
        <f>'Real Input'!M23</f>
        <v>0.46772000000055414</v>
      </c>
      <c r="C23">
        <f ca="1">INDIRECT(CONCATENATE("'Real Input'!",'Real Analysis'!$B$2,A23+2))</f>
        <v>9.9005757300000017</v>
      </c>
      <c r="D23">
        <f t="shared" si="0"/>
        <v>1.6250000000582077E-2</v>
      </c>
      <c r="E23">
        <f ca="1">IF(B23&gt;0,C23-'Real Analysis'!$B$14,0)</f>
        <v>4.4077927628574542E-2</v>
      </c>
      <c r="F23">
        <f t="shared" ca="1" si="3"/>
        <v>-1.905887337283843E-3</v>
      </c>
      <c r="G23">
        <f t="shared" ca="1" si="4"/>
        <v>-4.2875463606183829E-4</v>
      </c>
      <c r="H23">
        <f ca="1">IF(AND(B23&gt;'Real Analysis'!$B$31,B23&lt;'Real Analysis'!$B$32),FilterInput(E23,'Real Analysis'!$B$26,'Real Analysis'!$B$27),0)</f>
        <v>0</v>
      </c>
      <c r="I23" t="e">
        <f>MEDIAN2("Real Values",H23,'Real Analysis'!$B$5,2)</f>
        <v>#VALUE!</v>
      </c>
      <c r="J23" t="e">
        <f>AVERAGE2("Real Values",I23,'Real Analysis'!$B$6,2)</f>
        <v>#VALUE!</v>
      </c>
      <c r="K23" t="e">
        <f>INTEGRAL2(J23,$B23,K22,J22,$B22,'Real Analysis'!$B$19)</f>
        <v>#VALUE!</v>
      </c>
      <c r="L23" t="e">
        <f>IF(AND(B23&lt;'Real Analysis'!$B$32,B23&gt;0),INTEGRAL2(K23,$B23,L22,K22,$B22,'Real Analysis'!$B$20),0)</f>
        <v>#VALUE!</v>
      </c>
      <c r="N23">
        <f>'Real Analysis'!$B$28*'Real Input'!U23+IF('Real Input'!U23 &gt; 0,'Real Analysis'!$B$29,0)</f>
        <v>0</v>
      </c>
      <c r="O23" t="e">
        <f t="shared" si="1"/>
        <v>#VALUE!</v>
      </c>
      <c r="P23" t="e">
        <f t="shared" si="2"/>
        <v>#VALUE!</v>
      </c>
    </row>
    <row r="24" spans="1:16" x14ac:dyDescent="0.3">
      <c r="A24">
        <v>22</v>
      </c>
      <c r="B24">
        <f>'Real Input'!M24</f>
        <v>0.48933199999737553</v>
      </c>
      <c r="C24">
        <f ca="1">INDIRECT(CONCATENATE("'Real Input'!",'Real Analysis'!$B$2,A24+2))</f>
        <v>9.842461290000001</v>
      </c>
      <c r="D24">
        <f t="shared" si="0"/>
        <v>2.1611999996821396E-2</v>
      </c>
      <c r="E24">
        <f ca="1">IF(B24&gt;0,C24-'Real Analysis'!$B$14,0)</f>
        <v>-1.4036512371426113E-2</v>
      </c>
      <c r="F24">
        <f t="shared" ca="1" si="3"/>
        <v>-2.2092444426104877E-3</v>
      </c>
      <c r="G24">
        <f t="shared" ca="1" si="4"/>
        <v>-4.7650082694851382E-4</v>
      </c>
      <c r="H24">
        <f ca="1">IF(AND(B24&gt;'Real Analysis'!$B$31,B24&lt;'Real Analysis'!$B$32),FilterInput(E24,'Real Analysis'!$B$26,'Real Analysis'!$B$27),0)</f>
        <v>0</v>
      </c>
      <c r="I24" t="e">
        <f>MEDIAN2("Real Values",H24,'Real Analysis'!$B$5,2)</f>
        <v>#VALUE!</v>
      </c>
      <c r="J24" t="e">
        <f>AVERAGE2("Real Values",I24,'Real Analysis'!$B$6,2)</f>
        <v>#VALUE!</v>
      </c>
      <c r="K24" t="e">
        <f>INTEGRAL2(J24,$B24,K23,J23,$B23,'Real Analysis'!$B$19)</f>
        <v>#VALUE!</v>
      </c>
      <c r="L24" t="e">
        <f>IF(AND(B24&lt;'Real Analysis'!$B$32,B24&gt;0),INTEGRAL2(K24,$B24,L23,K23,$B23,'Real Analysis'!$B$20),0)</f>
        <v>#VALUE!</v>
      </c>
      <c r="N24">
        <f>'Real Analysis'!$B$28*'Real Input'!U24+IF('Real Input'!U24 &gt; 0,'Real Analysis'!$B$29,0)</f>
        <v>0</v>
      </c>
      <c r="O24" t="e">
        <f t="shared" si="1"/>
        <v>#VALUE!</v>
      </c>
      <c r="P24" t="e">
        <f t="shared" si="2"/>
        <v>#VALUE!</v>
      </c>
    </row>
    <row r="25" spans="1:16" x14ac:dyDescent="0.3">
      <c r="A25">
        <v>23</v>
      </c>
      <c r="B25">
        <f>'Real Input'!M25</f>
        <v>0.50939500000094995</v>
      </c>
      <c r="C25">
        <f ca="1">INDIRECT(CONCATENATE("'Real Input'!",'Real Analysis'!$B$2,A25+2))</f>
        <v>9.853889940000002</v>
      </c>
      <c r="D25">
        <f t="shared" si="0"/>
        <v>2.0063000003574416E-2</v>
      </c>
      <c r="E25">
        <f ca="1">IF(B25&gt;0,C25-'Real Analysis'!$B$14,0)</f>
        <v>-2.6078623714251847E-3</v>
      </c>
      <c r="F25">
        <f t="shared" ca="1" si="3"/>
        <v>-2.2615659853777127E-3</v>
      </c>
      <c r="G25">
        <f t="shared" ca="1" si="4"/>
        <v>-5.2187462532123064E-4</v>
      </c>
      <c r="H25">
        <f ca="1">IF(AND(B25&gt;'Real Analysis'!$B$31,B25&lt;'Real Analysis'!$B$32),FilterInput(E25,'Real Analysis'!$B$26,'Real Analysis'!$B$27),0)</f>
        <v>0</v>
      </c>
      <c r="I25" t="e">
        <f>MEDIAN2("Real Values",H25,'Real Analysis'!$B$5,2)</f>
        <v>#VALUE!</v>
      </c>
      <c r="J25" t="e">
        <f>AVERAGE2("Real Values",I25,'Real Analysis'!$B$6,2)</f>
        <v>#VALUE!</v>
      </c>
      <c r="K25" t="e">
        <f>INTEGRAL2(J25,$B25,K24,J24,$B24,'Real Analysis'!$B$19)</f>
        <v>#VALUE!</v>
      </c>
      <c r="L25" t="e">
        <f>IF(AND(B25&lt;'Real Analysis'!$B$32,B25&gt;0),INTEGRAL2(K25,$B25,L24,K24,$B24,'Real Analysis'!$B$20),0)</f>
        <v>#VALUE!</v>
      </c>
      <c r="N25">
        <f>'Real Analysis'!$B$28*'Real Input'!U25+IF('Real Input'!U25 &gt; 0,'Real Analysis'!$B$29,0)</f>
        <v>0</v>
      </c>
      <c r="O25" t="e">
        <f t="shared" si="1"/>
        <v>#VALUE!</v>
      </c>
      <c r="P25" t="e">
        <f t="shared" si="2"/>
        <v>#VALUE!</v>
      </c>
    </row>
    <row r="26" spans="1:16" x14ac:dyDescent="0.3">
      <c r="A26">
        <v>24</v>
      </c>
      <c r="B26">
        <f>'Real Input'!M26</f>
        <v>0.52885000000242144</v>
      </c>
      <c r="C26">
        <f ca="1">INDIRECT(CONCATENATE("'Real Input'!",'Real Analysis'!$B$2,A26+2))</f>
        <v>9.8525852099999991</v>
      </c>
      <c r="D26">
        <f t="shared" si="0"/>
        <v>1.945500000147149E-2</v>
      </c>
      <c r="E26">
        <f ca="1">IF(B26&gt;0,C26-'Real Analysis'!$B$14,0)</f>
        <v>-3.9125923714280475E-3</v>
      </c>
      <c r="F26">
        <f t="shared" ca="1" si="3"/>
        <v>-2.3376854699696027E-3</v>
      </c>
      <c r="G26">
        <f t="shared" ca="1" si="4"/>
        <v>-5.6735429614292914E-4</v>
      </c>
      <c r="H26">
        <f ca="1">IF(AND(B26&gt;'Real Analysis'!$B$31,B26&lt;'Real Analysis'!$B$32),FilterInput(E26,'Real Analysis'!$B$26,'Real Analysis'!$B$27),0)</f>
        <v>0</v>
      </c>
      <c r="I26" t="e">
        <f>MEDIAN2("Real Values",H26,'Real Analysis'!$B$5,2)</f>
        <v>#VALUE!</v>
      </c>
      <c r="J26" t="e">
        <f>AVERAGE2("Real Values",I26,'Real Analysis'!$B$6,2)</f>
        <v>#VALUE!</v>
      </c>
      <c r="K26" t="e">
        <f>INTEGRAL2(J26,$B26,K25,J25,$B25,'Real Analysis'!$B$19)</f>
        <v>#VALUE!</v>
      </c>
      <c r="L26" t="e">
        <f>IF(AND(B26&lt;'Real Analysis'!$B$32,B26&gt;0),INTEGRAL2(K26,$B26,L25,K25,$B25,'Real Analysis'!$B$20),0)</f>
        <v>#VALUE!</v>
      </c>
      <c r="N26">
        <f>'Real Analysis'!$B$28*'Real Input'!U26+IF('Real Input'!U26 &gt; 0,'Real Analysis'!$B$29,0)</f>
        <v>0</v>
      </c>
      <c r="O26" t="e">
        <f t="shared" si="1"/>
        <v>#VALUE!</v>
      </c>
      <c r="P26" t="e">
        <f t="shared" si="2"/>
        <v>#VALUE!</v>
      </c>
    </row>
    <row r="27" spans="1:16" x14ac:dyDescent="0.3">
      <c r="A27">
        <v>25</v>
      </c>
      <c r="B27">
        <f>'Real Input'!M27</f>
        <v>0.54839799999899697</v>
      </c>
      <c r="C27">
        <f ca="1">INDIRECT(CONCATENATE("'Real Input'!",'Real Analysis'!$B$2,A27+2))</f>
        <v>9.8500738499999994</v>
      </c>
      <c r="D27">
        <f t="shared" si="0"/>
        <v>1.9547999996575527E-2</v>
      </c>
      <c r="E27">
        <f ca="1">IF(B27&gt;0,C27-'Real Analysis'!$B$14,0)</f>
        <v>-6.423952371427788E-3</v>
      </c>
      <c r="F27">
        <f t="shared" ca="1" si="3"/>
        <v>-2.4632608909042745E-3</v>
      </c>
      <c r="G27">
        <f t="shared" ca="1" si="4"/>
        <v>-6.1550612002989058E-4</v>
      </c>
      <c r="H27">
        <f ca="1">IF(AND(B27&gt;'Real Analysis'!$B$31,B27&lt;'Real Analysis'!$B$32),FilterInput(E27,'Real Analysis'!$B$26,'Real Analysis'!$B$27),0)</f>
        <v>0</v>
      </c>
      <c r="I27" t="e">
        <f>MEDIAN2("Real Values",H27,'Real Analysis'!$B$5,2)</f>
        <v>#VALUE!</v>
      </c>
      <c r="J27" t="e">
        <f>AVERAGE2("Real Values",I27,'Real Analysis'!$B$6,2)</f>
        <v>#VALUE!</v>
      </c>
      <c r="K27" t="e">
        <f>INTEGRAL2(J27,$B27,K26,J26,$B26,'Real Analysis'!$B$19)</f>
        <v>#VALUE!</v>
      </c>
      <c r="L27" t="e">
        <f>IF(AND(B27&lt;'Real Analysis'!$B$32,B27&gt;0),INTEGRAL2(K27,$B27,L26,K26,$B26,'Real Analysis'!$B$20),0)</f>
        <v>#VALUE!</v>
      </c>
      <c r="N27">
        <f>'Real Analysis'!$B$28*'Real Input'!U27+IF('Real Input'!U27 &gt; 0,'Real Analysis'!$B$29,0)</f>
        <v>0</v>
      </c>
      <c r="O27" t="e">
        <f t="shared" si="1"/>
        <v>#VALUE!</v>
      </c>
      <c r="P27" t="e">
        <f t="shared" si="2"/>
        <v>#VALUE!</v>
      </c>
    </row>
    <row r="28" spans="1:16" x14ac:dyDescent="0.3">
      <c r="A28">
        <v>26</v>
      </c>
      <c r="B28">
        <f>'Real Input'!M28</f>
        <v>0.56978499999968335</v>
      </c>
      <c r="C28">
        <f ca="1">INDIRECT(CONCATENATE("'Real Input'!",'Real Analysis'!$B$2,A28+2))</f>
        <v>9.9368138699999999</v>
      </c>
      <c r="D28">
        <f t="shared" si="0"/>
        <v>2.1387000000686385E-2</v>
      </c>
      <c r="E28">
        <f ca="1">IF(B28&gt;0,C28-'Real Analysis'!$B$14,0)</f>
        <v>8.0316067628572796E-2</v>
      </c>
      <c r="F28">
        <f t="shared" ca="1" si="3"/>
        <v>-7.455411524768603E-4</v>
      </c>
      <c r="G28">
        <f t="shared" ca="1" si="4"/>
        <v>-6.3145100865842488E-4</v>
      </c>
      <c r="H28">
        <f ca="1">IF(AND(B28&gt;'Real Analysis'!$B$31,B28&lt;'Real Analysis'!$B$32),FilterInput(E28,'Real Analysis'!$B$26,'Real Analysis'!$B$27),0)</f>
        <v>0</v>
      </c>
      <c r="I28" t="e">
        <f>MEDIAN2("Real Values",H28,'Real Analysis'!$B$5,2)</f>
        <v>#VALUE!</v>
      </c>
      <c r="J28" t="e">
        <f>AVERAGE2("Real Values",I28,'Real Analysis'!$B$6,2)</f>
        <v>#VALUE!</v>
      </c>
      <c r="K28" t="e">
        <f>INTEGRAL2(J28,$B28,K27,J27,$B27,'Real Analysis'!$B$19)</f>
        <v>#VALUE!</v>
      </c>
      <c r="L28" t="e">
        <f>IF(AND(B28&lt;'Real Analysis'!$B$32,B28&gt;0),INTEGRAL2(K28,$B28,L27,K27,$B27,'Real Analysis'!$B$20),0)</f>
        <v>#VALUE!</v>
      </c>
      <c r="N28">
        <f>'Real Analysis'!$B$28*'Real Input'!U28+IF('Real Input'!U28 &gt; 0,'Real Analysis'!$B$29,0)</f>
        <v>0</v>
      </c>
      <c r="O28" t="e">
        <f t="shared" si="1"/>
        <v>#VALUE!</v>
      </c>
      <c r="P28" t="e">
        <f t="shared" si="2"/>
        <v>#VALUE!</v>
      </c>
    </row>
    <row r="29" spans="1:16" x14ac:dyDescent="0.3">
      <c r="A29">
        <v>27</v>
      </c>
      <c r="B29">
        <f>'Real Input'!M29</f>
        <v>0.58849900000495836</v>
      </c>
      <c r="C29">
        <f ca="1">INDIRECT(CONCATENATE("'Real Input'!",'Real Analysis'!$B$2,A29+2))</f>
        <v>9.8949938399999997</v>
      </c>
      <c r="D29">
        <f t="shared" si="0"/>
        <v>1.8714000005275011E-2</v>
      </c>
      <c r="E29">
        <f ca="1">IF(B29&gt;0,C29-'Real Analysis'!$B$14,0)</f>
        <v>3.8496037628572566E-2</v>
      </c>
      <c r="F29">
        <f t="shared" ca="1" si="3"/>
        <v>-2.5126304092686243E-5</v>
      </c>
      <c r="G29">
        <f t="shared" ca="1" si="4"/>
        <v>-6.3192122231334798E-4</v>
      </c>
      <c r="H29">
        <f ca="1">IF(AND(B29&gt;'Real Analysis'!$B$31,B29&lt;'Real Analysis'!$B$32),FilterInput(E29,'Real Analysis'!$B$26,'Real Analysis'!$B$27),0)</f>
        <v>0</v>
      </c>
      <c r="I29" t="e">
        <f>MEDIAN2("Real Values",H29,'Real Analysis'!$B$5,2)</f>
        <v>#VALUE!</v>
      </c>
      <c r="J29" t="e">
        <f>AVERAGE2("Real Values",I29,'Real Analysis'!$B$6,2)</f>
        <v>#VALUE!</v>
      </c>
      <c r="K29" t="e">
        <f>INTEGRAL2(J29,$B29,K28,J28,$B28,'Real Analysis'!$B$19)</f>
        <v>#VALUE!</v>
      </c>
      <c r="L29" t="e">
        <f>IF(AND(B29&lt;'Real Analysis'!$B$32,B29&gt;0),INTEGRAL2(K29,$B29,L28,K28,$B28,'Real Analysis'!$B$20),0)</f>
        <v>#VALUE!</v>
      </c>
      <c r="N29">
        <f>'Real Analysis'!$B$28*'Real Input'!U29+IF('Real Input'!U29 &gt; 0,'Real Analysis'!$B$29,0)</f>
        <v>0</v>
      </c>
      <c r="O29" t="e">
        <f t="shared" si="1"/>
        <v>#VALUE!</v>
      </c>
      <c r="P29" t="e">
        <f t="shared" si="2"/>
        <v>#VALUE!</v>
      </c>
    </row>
    <row r="30" spans="1:16" x14ac:dyDescent="0.3">
      <c r="A30">
        <v>28</v>
      </c>
      <c r="B30">
        <f>'Real Input'!M30</f>
        <v>0.61144700000295416</v>
      </c>
      <c r="C30">
        <f ca="1">INDIRECT(CONCATENATE("'Real Input'!",'Real Analysis'!$B$2,A30+2))</f>
        <v>9.8634644999999992</v>
      </c>
      <c r="D30">
        <f t="shared" si="0"/>
        <v>2.2947999997995794E-2</v>
      </c>
      <c r="E30">
        <f ca="1">IF(B30&gt;0,C30-'Real Analysis'!$B$14,0)</f>
        <v>6.9666976285720494E-3</v>
      </c>
      <c r="F30">
        <f t="shared" ca="1" si="3"/>
        <v>1.3474547307382244E-4</v>
      </c>
      <c r="G30">
        <f t="shared" ca="1" si="4"/>
        <v>-6.2882908319751997E-4</v>
      </c>
      <c r="H30">
        <f ca="1">IF(AND(B30&gt;'Real Analysis'!$B$31,B30&lt;'Real Analysis'!$B$32),FilterInput(E30,'Real Analysis'!$B$26,'Real Analysis'!$B$27),0)</f>
        <v>0</v>
      </c>
      <c r="I30" t="e">
        <f>MEDIAN2("Real Values",H30,'Real Analysis'!$B$5,2)</f>
        <v>#VALUE!</v>
      </c>
      <c r="J30" t="e">
        <f>AVERAGE2("Real Values",I30,'Real Analysis'!$B$6,2)</f>
        <v>#VALUE!</v>
      </c>
      <c r="K30" t="e">
        <f>INTEGRAL2(J30,$B30,K29,J29,$B29,'Real Analysis'!$B$19)</f>
        <v>#VALUE!</v>
      </c>
      <c r="L30" t="e">
        <f>IF(AND(B30&lt;'Real Analysis'!$B$32,B30&gt;0),INTEGRAL2(K30,$B30,L29,K29,$B29,'Real Analysis'!$B$20),0)</f>
        <v>#VALUE!</v>
      </c>
      <c r="N30">
        <f>'Real Analysis'!$B$28*'Real Input'!U30+IF('Real Input'!U30 &gt; 0,'Real Analysis'!$B$29,0)</f>
        <v>0</v>
      </c>
      <c r="O30" t="e">
        <f t="shared" si="1"/>
        <v>#VALUE!</v>
      </c>
      <c r="P30" t="e">
        <f t="shared" si="2"/>
        <v>#VALUE!</v>
      </c>
    </row>
    <row r="31" spans="1:16" x14ac:dyDescent="0.3">
      <c r="A31">
        <v>29</v>
      </c>
      <c r="B31">
        <f>'Real Input'!M31</f>
        <v>0.6288020000065444</v>
      </c>
      <c r="C31">
        <f ca="1">INDIRECT(CONCATENATE("'Real Input'!",'Real Analysis'!$B$2,A31+2))</f>
        <v>9.88999074</v>
      </c>
      <c r="D31">
        <f t="shared" si="0"/>
        <v>1.7355000003590249E-2</v>
      </c>
      <c r="E31">
        <f ca="1">IF(B31&gt;0,C31-'Real Analysis'!$B$14,0)</f>
        <v>3.3492937628572861E-2</v>
      </c>
      <c r="F31">
        <f t="shared" ca="1" si="3"/>
        <v>7.1601540573795243E-4</v>
      </c>
      <c r="G31">
        <f t="shared" ca="1" si="4"/>
        <v>-6.1640263582836711E-4</v>
      </c>
      <c r="H31">
        <f ca="1">IF(AND(B31&gt;'Real Analysis'!$B$31,B31&lt;'Real Analysis'!$B$32),FilterInput(E31,'Real Analysis'!$B$26,'Real Analysis'!$B$27),0)</f>
        <v>0</v>
      </c>
      <c r="I31" t="e">
        <f>MEDIAN2("Real Values",H31,'Real Analysis'!$B$5,2)</f>
        <v>#VALUE!</v>
      </c>
      <c r="J31" t="e">
        <f>AVERAGE2("Real Values",I31,'Real Analysis'!$B$6,2)</f>
        <v>#VALUE!</v>
      </c>
      <c r="K31" t="e">
        <f>INTEGRAL2(J31,$B31,K30,J30,$B30,'Real Analysis'!$B$19)</f>
        <v>#VALUE!</v>
      </c>
      <c r="L31" t="e">
        <f>IF(AND(B31&lt;'Real Analysis'!$B$32,B31&gt;0),INTEGRAL2(K31,$B31,L30,K30,$B30,'Real Analysis'!$B$20),0)</f>
        <v>#VALUE!</v>
      </c>
      <c r="N31">
        <f>'Real Analysis'!$B$28*'Real Input'!U31+IF('Real Input'!U31 &gt; 0,'Real Analysis'!$B$29,0)</f>
        <v>0</v>
      </c>
      <c r="O31" t="e">
        <f t="shared" si="1"/>
        <v>#VALUE!</v>
      </c>
      <c r="P31" t="e">
        <f t="shared" si="2"/>
        <v>#VALUE!</v>
      </c>
    </row>
    <row r="32" spans="1:16" x14ac:dyDescent="0.3">
      <c r="A32">
        <v>30</v>
      </c>
      <c r="B32">
        <f>'Real Input'!M32</f>
        <v>0.65030599999590777</v>
      </c>
      <c r="C32">
        <f ca="1">INDIRECT(CONCATENATE("'Real Input'!",'Real Analysis'!$B$2,A32+2))</f>
        <v>9.8367813000000002</v>
      </c>
      <c r="D32">
        <f t="shared" si="0"/>
        <v>2.1503999989363365E-2</v>
      </c>
      <c r="E32">
        <f ca="1">IF(B32&gt;0,C32-'Real Analysis'!$B$14,0)</f>
        <v>-1.9716502371426969E-2</v>
      </c>
      <c r="F32">
        <f t="shared" ca="1" si="3"/>
        <v>2.9203173895250411E-4</v>
      </c>
      <c r="G32">
        <f t="shared" ca="1" si="4"/>
        <v>-6.1012278531703866E-4</v>
      </c>
      <c r="H32">
        <f ca="1">IF(AND(B32&gt;'Real Analysis'!$B$31,B32&lt;'Real Analysis'!$B$32),FilterInput(E32,'Real Analysis'!$B$26,'Real Analysis'!$B$27),0)</f>
        <v>0</v>
      </c>
      <c r="I32" t="e">
        <f>MEDIAN2("Real Values",H32,'Real Analysis'!$B$5,2)</f>
        <v>#VALUE!</v>
      </c>
      <c r="J32" t="e">
        <f>AVERAGE2("Real Values",I32,'Real Analysis'!$B$6,2)</f>
        <v>#VALUE!</v>
      </c>
      <c r="K32" t="e">
        <f>INTEGRAL2(J32,$B32,K31,J31,$B31,'Real Analysis'!$B$19)</f>
        <v>#VALUE!</v>
      </c>
      <c r="L32" t="e">
        <f>IF(AND(B32&lt;'Real Analysis'!$B$32,B32&gt;0),INTEGRAL2(K32,$B32,L31,K31,$B31,'Real Analysis'!$B$20),0)</f>
        <v>#VALUE!</v>
      </c>
      <c r="N32">
        <f>'Real Analysis'!$B$28*'Real Input'!U32+IF('Real Input'!U32 &gt; 0,'Real Analysis'!$B$29,0)</f>
        <v>0</v>
      </c>
      <c r="O32" t="e">
        <f t="shared" si="1"/>
        <v>#VALUE!</v>
      </c>
      <c r="P32" t="e">
        <f t="shared" si="2"/>
        <v>#VALUE!</v>
      </c>
    </row>
    <row r="33" spans="1:16" x14ac:dyDescent="0.3">
      <c r="A33">
        <v>31</v>
      </c>
      <c r="B33">
        <f>'Real Input'!M33</f>
        <v>0.67232100000546779</v>
      </c>
      <c r="C33">
        <f ca="1">INDIRECT(CONCATENATE("'Real Input'!",'Real Analysis'!$B$2,A33+2))</f>
        <v>9.8461890900000011</v>
      </c>
      <c r="D33">
        <f t="shared" si="0"/>
        <v>2.2015000009560026E-2</v>
      </c>
      <c r="E33">
        <f ca="1">IF(B33&gt;0,C33-'Real Analysis'!$B$14,0)</f>
        <v>-1.0308712371426054E-2</v>
      </c>
      <c r="F33">
        <f t="shared" ca="1" si="3"/>
        <v>6.5085435997007965E-5</v>
      </c>
      <c r="G33">
        <f t="shared" ref="G33:G96" ca="1" si="5">IF(B33&gt;0,G32+F33*$D33,0)</f>
        <v>-6.0868992944294235E-4</v>
      </c>
      <c r="H33">
        <f ca="1">IF(AND(B33&gt;'Real Analysis'!$B$31,B33&lt;'Real Analysis'!$B$32),FilterInput(E33,'Real Analysis'!$B$26,'Real Analysis'!$B$27),0)</f>
        <v>0</v>
      </c>
      <c r="I33" t="e">
        <f>MEDIAN2("Real Values",H33,'Real Analysis'!$B$5,2)</f>
        <v>#VALUE!</v>
      </c>
      <c r="J33" t="e">
        <f>AVERAGE2("Real Values",I33,'Real Analysis'!$B$6,2)</f>
        <v>#VALUE!</v>
      </c>
      <c r="K33" t="e">
        <f>INTEGRAL2(J33,$B33,K32,J32,$B32,'Real Analysis'!$B$19)</f>
        <v>#VALUE!</v>
      </c>
      <c r="L33" t="e">
        <f>IF(AND(B33&lt;'Real Analysis'!$B$32,B33&gt;0),INTEGRAL2(K33,$B33,L32,K32,$B32,'Real Analysis'!$B$20),0)</f>
        <v>#VALUE!</v>
      </c>
      <c r="N33">
        <f>'Real Analysis'!$B$28*'Real Input'!U33+IF('Real Input'!U33 &gt; 0,'Real Analysis'!$B$29,0)</f>
        <v>0</v>
      </c>
      <c r="O33" t="e">
        <f t="shared" si="1"/>
        <v>#VALUE!</v>
      </c>
      <c r="P33" t="e">
        <f t="shared" si="2"/>
        <v>#VALUE!</v>
      </c>
    </row>
    <row r="34" spans="1:16" x14ac:dyDescent="0.3">
      <c r="A34">
        <v>32</v>
      </c>
      <c r="B34">
        <f>'Real Input'!M34</f>
        <v>0.68908599999849685</v>
      </c>
      <c r="C34">
        <f ca="1">INDIRECT(CONCATENATE("'Real Input'!",'Real Analysis'!$B$2,A34+2))</f>
        <v>9.8578139400000016</v>
      </c>
      <c r="D34">
        <f t="shared" si="0"/>
        <v>1.6764999993029051E-2</v>
      </c>
      <c r="E34">
        <f ca="1">IF(B34&gt;0,C34-'Real Analysis'!$B$14,0)</f>
        <v>1.3161376285744097E-3</v>
      </c>
      <c r="F34">
        <f t="shared" ca="1" si="3"/>
        <v>8.7150483330883214E-5</v>
      </c>
      <c r="G34">
        <f t="shared" ca="1" si="5"/>
        <v>-6.0722885159050766E-4</v>
      </c>
      <c r="H34">
        <f ca="1">IF(AND(B34&gt;'Real Analysis'!$B$31,B34&lt;'Real Analysis'!$B$32),FilterInput(E34,'Real Analysis'!$B$26,'Real Analysis'!$B$27),0)</f>
        <v>0</v>
      </c>
      <c r="I34" t="e">
        <f>MEDIAN2("Real Values",H34,'Real Analysis'!$B$5,2)</f>
        <v>#VALUE!</v>
      </c>
      <c r="J34" t="e">
        <f>AVERAGE2("Real Values",I34,'Real Analysis'!$B$6,2)</f>
        <v>#VALUE!</v>
      </c>
      <c r="K34" t="e">
        <f>INTEGRAL2(J34,$B34,K33,J33,$B33,'Real Analysis'!$B$19)</f>
        <v>#VALUE!</v>
      </c>
      <c r="L34" t="e">
        <f>IF(AND(B34&lt;'Real Analysis'!$B$32,B34&gt;0),INTEGRAL2(K34,$B34,L33,K33,$B33,'Real Analysis'!$B$20),0)</f>
        <v>#VALUE!</v>
      </c>
      <c r="N34">
        <f>'Real Analysis'!$B$28*'Real Input'!U34+IF('Real Input'!U34 &gt; 0,'Real Analysis'!$B$29,0)</f>
        <v>0</v>
      </c>
      <c r="O34" t="e">
        <f t="shared" si="1"/>
        <v>#VALUE!</v>
      </c>
      <c r="P34" t="e">
        <f t="shared" si="2"/>
        <v>#VALUE!</v>
      </c>
    </row>
    <row r="35" spans="1:16" x14ac:dyDescent="0.3">
      <c r="A35">
        <v>33</v>
      </c>
      <c r="B35">
        <f>'Real Input'!M35</f>
        <v>0.71103900000161957</v>
      </c>
      <c r="C35">
        <f ca="1">INDIRECT(CONCATENATE("'Real Input'!",'Real Analysis'!$B$2,A35+2))</f>
        <v>9.8521241400000008</v>
      </c>
      <c r="D35">
        <f t="shared" si="0"/>
        <v>2.1953000003122725E-2</v>
      </c>
      <c r="E35">
        <f ca="1">IF(B35&gt;0,C35-'Real Analysis'!$B$14,0)</f>
        <v>-4.3736623714263345E-3</v>
      </c>
      <c r="F35">
        <f t="shared" ca="1" si="3"/>
        <v>-8.8645267226968461E-6</v>
      </c>
      <c r="G35">
        <f t="shared" ca="1" si="5"/>
        <v>-6.0742345454567871E-4</v>
      </c>
      <c r="H35">
        <f ca="1">IF(AND(B35&gt;'Real Analysis'!$B$31,B35&lt;'Real Analysis'!$B$32),FilterInput(E35,'Real Analysis'!$B$26,'Real Analysis'!$B$27),0)</f>
        <v>0</v>
      </c>
      <c r="I35" t="e">
        <f>MEDIAN2("Real Values",H35,'Real Analysis'!$B$5,2)</f>
        <v>#VALUE!</v>
      </c>
      <c r="J35" t="e">
        <f>AVERAGE2("Real Values",I35,'Real Analysis'!$B$6,2)</f>
        <v>#VALUE!</v>
      </c>
      <c r="K35" t="e">
        <f>INTEGRAL2(J35,$B35,K34,J34,$B34,'Real Analysis'!$B$19)</f>
        <v>#VALUE!</v>
      </c>
      <c r="L35" t="e">
        <f>IF(AND(B35&lt;'Real Analysis'!$B$32,B35&gt;0),INTEGRAL2(K35,$B35,L34,K34,$B34,'Real Analysis'!$B$20),0)</f>
        <v>#VALUE!</v>
      </c>
      <c r="N35">
        <f>'Real Analysis'!$B$28*'Real Input'!U35+IF('Real Input'!U35 &gt; 0,'Real Analysis'!$B$29,0)</f>
        <v>0</v>
      </c>
      <c r="O35" t="e">
        <f t="shared" si="1"/>
        <v>#VALUE!</v>
      </c>
      <c r="P35" t="e">
        <f t="shared" si="2"/>
        <v>#VALUE!</v>
      </c>
    </row>
    <row r="36" spans="1:16" x14ac:dyDescent="0.3">
      <c r="A36">
        <v>34</v>
      </c>
      <c r="B36">
        <f>'Real Input'!M36</f>
        <v>0.73151300000608899</v>
      </c>
      <c r="C36">
        <f ca="1">INDIRECT(CONCATENATE("'Real Input'!",'Real Analysis'!$B$2,A36+2))</f>
        <v>9.8538703200000004</v>
      </c>
      <c r="D36">
        <f t="shared" si="0"/>
        <v>2.0474000004469417E-2</v>
      </c>
      <c r="E36">
        <f ca="1">IF(B36&gt;0,C36-'Real Analysis'!$B$14,0)</f>
        <v>-2.627482371426737E-3</v>
      </c>
      <c r="F36">
        <f t="shared" ca="1" si="3"/>
        <v>-6.2659600807031171E-5</v>
      </c>
      <c r="G36">
        <f t="shared" ca="1" si="5"/>
        <v>-6.0870634721288191E-4</v>
      </c>
      <c r="H36">
        <f ca="1">IF(AND(B36&gt;'Real Analysis'!$B$31,B36&lt;'Real Analysis'!$B$32),FilterInput(E36,'Real Analysis'!$B$26,'Real Analysis'!$B$27),0)</f>
        <v>0</v>
      </c>
      <c r="I36" t="e">
        <f>MEDIAN2("Real Values",H36,'Real Analysis'!$B$5,2)</f>
        <v>#VALUE!</v>
      </c>
      <c r="J36" t="e">
        <f>AVERAGE2("Real Values",I36,'Real Analysis'!$B$6,2)</f>
        <v>#VALUE!</v>
      </c>
      <c r="K36" t="e">
        <f>INTEGRAL2(J36,$B36,K35,J35,$B35,'Real Analysis'!$B$19)</f>
        <v>#VALUE!</v>
      </c>
      <c r="L36" t="e">
        <f>IF(AND(B36&lt;'Real Analysis'!$B$32,B36&gt;0),INTEGRAL2(K36,$B36,L35,K35,$B35,'Real Analysis'!$B$20),0)</f>
        <v>#VALUE!</v>
      </c>
      <c r="N36">
        <f>'Real Analysis'!$B$28*'Real Input'!U36+IF('Real Input'!U36 &gt; 0,'Real Analysis'!$B$29,0)</f>
        <v>0</v>
      </c>
      <c r="O36" t="e">
        <f t="shared" si="1"/>
        <v>#VALUE!</v>
      </c>
      <c r="P36" t="e">
        <f t="shared" si="2"/>
        <v>#VALUE!</v>
      </c>
    </row>
    <row r="37" spans="1:16" x14ac:dyDescent="0.3">
      <c r="A37">
        <v>35</v>
      </c>
      <c r="B37">
        <f>'Real Input'!M37</f>
        <v>0.74727399999392219</v>
      </c>
      <c r="C37">
        <f ca="1">INDIRECT(CONCATENATE("'Real Input'!",'Real Analysis'!$B$2,A37+2))</f>
        <v>9.8534092500000003</v>
      </c>
      <c r="D37">
        <f t="shared" si="0"/>
        <v>1.5760999987833202E-2</v>
      </c>
      <c r="E37">
        <f ca="1">IF(B37&gt;0,C37-'Real Analysis'!$B$14,0)</f>
        <v>-3.0885523714268004E-3</v>
      </c>
      <c r="F37">
        <f t="shared" ca="1" si="3"/>
        <v>-1.1133827469551118E-4</v>
      </c>
      <c r="G37">
        <f t="shared" ca="1" si="5"/>
        <v>-6.1046114975900324E-4</v>
      </c>
      <c r="H37">
        <f ca="1">IF(AND(B37&gt;'Real Analysis'!$B$31,B37&lt;'Real Analysis'!$B$32),FilterInput(E37,'Real Analysis'!$B$26,'Real Analysis'!$B$27),0)</f>
        <v>0</v>
      </c>
      <c r="I37" t="e">
        <f>MEDIAN2("Real Values",H37,'Real Analysis'!$B$5,2)</f>
        <v>#VALUE!</v>
      </c>
      <c r="J37" t="e">
        <f>AVERAGE2("Real Values",I37,'Real Analysis'!$B$6,2)</f>
        <v>#VALUE!</v>
      </c>
      <c r="K37" t="e">
        <f>INTEGRAL2(J37,$B37,K36,J36,$B36,'Real Analysis'!$B$19)</f>
        <v>#VALUE!</v>
      </c>
      <c r="L37" t="e">
        <f>IF(AND(B37&lt;'Real Analysis'!$B$32,B37&gt;0),INTEGRAL2(K37,$B37,L36,K36,$B36,'Real Analysis'!$B$20),0)</f>
        <v>#VALUE!</v>
      </c>
      <c r="N37">
        <f>'Real Analysis'!$B$28*'Real Input'!U37+IF('Real Input'!U37 &gt; 0,'Real Analysis'!$B$29,0)</f>
        <v>0</v>
      </c>
      <c r="O37" t="e">
        <f t="shared" si="1"/>
        <v>#VALUE!</v>
      </c>
      <c r="P37" t="e">
        <f t="shared" si="2"/>
        <v>#VALUE!</v>
      </c>
    </row>
    <row r="38" spans="1:16" x14ac:dyDescent="0.3">
      <c r="A38">
        <v>36</v>
      </c>
      <c r="B38">
        <f>'Real Input'!M38</f>
        <v>0.76911399999517016</v>
      </c>
      <c r="C38">
        <f ca="1">INDIRECT(CONCATENATE("'Real Input'!",'Real Analysis'!$B$2,A38+2))</f>
        <v>9.8534877299999994</v>
      </c>
      <c r="D38">
        <f t="shared" si="0"/>
        <v>2.1840000001247972E-2</v>
      </c>
      <c r="E38">
        <f ca="1">IF(B38&gt;0,C38-'Real Analysis'!$B$14,0)</f>
        <v>-3.0100723714276967E-3</v>
      </c>
      <c r="F38">
        <f t="shared" ca="1" si="3"/>
        <v>-1.7707825529124856E-4</v>
      </c>
      <c r="G38">
        <f t="shared" ca="1" si="5"/>
        <v>-6.1432853885478504E-4</v>
      </c>
      <c r="H38">
        <f ca="1">IF(AND(B38&gt;'Real Analysis'!$B$31,B38&lt;'Real Analysis'!$B$32),FilterInput(E38,'Real Analysis'!$B$26,'Real Analysis'!$B$27),0)</f>
        <v>0</v>
      </c>
      <c r="I38" t="e">
        <f>MEDIAN2("Real Values",H38,'Real Analysis'!$B$5,2)</f>
        <v>#VALUE!</v>
      </c>
      <c r="J38" t="e">
        <f>AVERAGE2("Real Values",I38,'Real Analysis'!$B$6,2)</f>
        <v>#VALUE!</v>
      </c>
      <c r="K38" t="e">
        <f>INTEGRAL2(J38,$B38,K37,J37,$B37,'Real Analysis'!$B$19)</f>
        <v>#VALUE!</v>
      </c>
      <c r="L38" t="e">
        <f>IF(AND(B38&lt;'Real Analysis'!$B$32,B38&gt;0),INTEGRAL2(K38,$B38,L37,K37,$B37,'Real Analysis'!$B$20),0)</f>
        <v>#VALUE!</v>
      </c>
      <c r="N38">
        <f>'Real Analysis'!$B$28*'Real Input'!U38+IF('Real Input'!U38 &gt; 0,'Real Analysis'!$B$29,0)</f>
        <v>0</v>
      </c>
      <c r="O38" t="e">
        <f t="shared" si="1"/>
        <v>#VALUE!</v>
      </c>
      <c r="P38" t="e">
        <f t="shared" si="2"/>
        <v>#VALUE!</v>
      </c>
    </row>
    <row r="39" spans="1:16" x14ac:dyDescent="0.3">
      <c r="A39">
        <v>37</v>
      </c>
      <c r="B39">
        <f>'Real Input'!M39</f>
        <v>0.79029099999752361</v>
      </c>
      <c r="C39">
        <f ca="1">INDIRECT(CONCATENATE("'Real Input'!",'Real Analysis'!$B$2,A39+2))</f>
        <v>9.8567838900000009</v>
      </c>
      <c r="D39">
        <f t="shared" si="0"/>
        <v>2.1177000002353452E-2</v>
      </c>
      <c r="E39">
        <f ca="1">IF(B39&gt;0,C39-'Real Analysis'!$B$14,0)</f>
        <v>2.8608762857373904E-4</v>
      </c>
      <c r="F39">
        <f t="shared" ca="1" si="3"/>
        <v>-1.710197775802692E-4</v>
      </c>
      <c r="G39">
        <f t="shared" ca="1" si="5"/>
        <v>-6.179502246850049E-4</v>
      </c>
      <c r="H39">
        <f ca="1">IF(AND(B39&gt;'Real Analysis'!$B$31,B39&lt;'Real Analysis'!$B$32),FilterInput(E39,'Real Analysis'!$B$26,'Real Analysis'!$B$27),0)</f>
        <v>0</v>
      </c>
      <c r="I39" t="e">
        <f>MEDIAN2("Real Values",H39,'Real Analysis'!$B$5,2)</f>
        <v>#VALUE!</v>
      </c>
      <c r="J39" t="e">
        <f>AVERAGE2("Real Values",I39,'Real Analysis'!$B$6,2)</f>
        <v>#VALUE!</v>
      </c>
      <c r="K39" t="e">
        <f>INTEGRAL2(J39,$B39,K38,J38,$B38,'Real Analysis'!$B$19)</f>
        <v>#VALUE!</v>
      </c>
      <c r="L39" t="e">
        <f>IF(AND(B39&lt;'Real Analysis'!$B$32,B39&gt;0),INTEGRAL2(K39,$B39,L38,K38,$B38,'Real Analysis'!$B$20),0)</f>
        <v>#VALUE!</v>
      </c>
      <c r="N39">
        <f>'Real Analysis'!$B$28*'Real Input'!U39+IF('Real Input'!U39 &gt; 0,'Real Analysis'!$B$29,0)</f>
        <v>0</v>
      </c>
      <c r="O39" t="e">
        <f t="shared" si="1"/>
        <v>#VALUE!</v>
      </c>
      <c r="P39" t="e">
        <f t="shared" si="2"/>
        <v>#VALUE!</v>
      </c>
    </row>
    <row r="40" spans="1:16" x14ac:dyDescent="0.3">
      <c r="A40">
        <v>38</v>
      </c>
      <c r="B40">
        <f>'Real Input'!M40</f>
        <v>0.79935000000114087</v>
      </c>
      <c r="C40">
        <f ca="1">INDIRECT(CONCATENATE("'Real Input'!",'Real Analysis'!$B$2,A40+2))</f>
        <v>9.8566661699999987</v>
      </c>
      <c r="D40">
        <f t="shared" si="0"/>
        <v>9.0590000036172569E-3</v>
      </c>
      <c r="E40">
        <f ca="1">IF(B40&gt;0,C40-'Real Analysis'!$B$14,0)</f>
        <v>1.6836762857153076E-4</v>
      </c>
      <c r="F40">
        <f t="shared" ca="1" si="3"/>
        <v>-1.6949453523243068E-4</v>
      </c>
      <c r="G40">
        <f t="shared" ca="1" si="5"/>
        <v>-6.1948567568028854E-4</v>
      </c>
      <c r="H40">
        <f ca="1">IF(AND(B40&gt;'Real Analysis'!$B$31,B40&lt;'Real Analysis'!$B$32),FilterInput(E40,'Real Analysis'!$B$26,'Real Analysis'!$B$27),0)</f>
        <v>0</v>
      </c>
      <c r="I40" t="e">
        <f>MEDIAN2("Real Values",H40,'Real Analysis'!$B$5,2)</f>
        <v>#VALUE!</v>
      </c>
      <c r="J40" t="e">
        <f>AVERAGE2("Real Values",I40,'Real Analysis'!$B$6,2)</f>
        <v>#VALUE!</v>
      </c>
      <c r="K40" t="e">
        <f>INTEGRAL2(J40,$B40,K39,J39,$B39,'Real Analysis'!$B$19)</f>
        <v>#VALUE!</v>
      </c>
      <c r="L40" t="e">
        <f>IF(AND(B40&lt;'Real Analysis'!$B$32,B40&gt;0),INTEGRAL2(K40,$B40,L39,K39,$B39,'Real Analysis'!$B$20),0)</f>
        <v>#VALUE!</v>
      </c>
      <c r="N40">
        <f>'Real Analysis'!$B$28*'Real Input'!U40+IF('Real Input'!U40 &gt; 0,'Real Analysis'!$B$29,0)</f>
        <v>0</v>
      </c>
      <c r="O40" t="e">
        <f t="shared" si="1"/>
        <v>#VALUE!</v>
      </c>
      <c r="P40" t="e">
        <f t="shared" si="2"/>
        <v>#VALUE!</v>
      </c>
    </row>
    <row r="41" spans="1:16" x14ac:dyDescent="0.3">
      <c r="A41">
        <v>39</v>
      </c>
      <c r="B41">
        <f>'Real Input'!M41</f>
        <v>0.83206099999370053</v>
      </c>
      <c r="C41">
        <f ca="1">INDIRECT(CONCATENATE("'Real Input'!",'Real Analysis'!$B$2,A41+2))</f>
        <v>9.8467090200000005</v>
      </c>
      <c r="D41">
        <f t="shared" si="0"/>
        <v>3.2710999992559664E-2</v>
      </c>
      <c r="E41">
        <f ca="1">IF(B41&gt;0,C41-'Real Analysis'!$B$14,0)</f>
        <v>-9.7887823714266631E-3</v>
      </c>
      <c r="F41">
        <f t="shared" ca="1" si="3"/>
        <v>-4.8969539531133646E-4</v>
      </c>
      <c r="G41">
        <f t="shared" ca="1" si="5"/>
        <v>-6.3550410175267416E-4</v>
      </c>
      <c r="H41">
        <f ca="1">IF(AND(B41&gt;'Real Analysis'!$B$31,B41&lt;'Real Analysis'!$B$32),FilterInput(E41,'Real Analysis'!$B$26,'Real Analysis'!$B$27),0)</f>
        <v>0</v>
      </c>
      <c r="I41" t="e">
        <f>MEDIAN2("Real Values",H41,'Real Analysis'!$B$5,2)</f>
        <v>#VALUE!</v>
      </c>
      <c r="J41" t="e">
        <f>AVERAGE2("Real Values",I41,'Real Analysis'!$B$6,2)</f>
        <v>#VALUE!</v>
      </c>
      <c r="K41" t="e">
        <f>INTEGRAL2(J41,$B41,K40,J40,$B40,'Real Analysis'!$B$19)</f>
        <v>#VALUE!</v>
      </c>
      <c r="L41" t="e">
        <f>IF(AND(B41&lt;'Real Analysis'!$B$32,B41&gt;0),INTEGRAL2(K41,$B41,L40,K40,$B40,'Real Analysis'!$B$20),0)</f>
        <v>#VALUE!</v>
      </c>
      <c r="N41">
        <f>'Real Analysis'!$B$28*'Real Input'!U41+IF('Real Input'!U41 &gt; 0,'Real Analysis'!$B$29,0)</f>
        <v>0</v>
      </c>
      <c r="O41" t="e">
        <f t="shared" si="1"/>
        <v>#VALUE!</v>
      </c>
      <c r="P41" t="e">
        <f t="shared" si="2"/>
        <v>#VALUE!</v>
      </c>
    </row>
    <row r="42" spans="1:16" x14ac:dyDescent="0.3">
      <c r="A42">
        <v>40</v>
      </c>
      <c r="B42">
        <f>'Real Input'!M42</f>
        <v>0.85044399999605957</v>
      </c>
      <c r="C42">
        <f ca="1">INDIRECT(CONCATENATE("'Real Input'!",'Real Analysis'!$B$2,A42+2))</f>
        <v>9.8616594600000003</v>
      </c>
      <c r="D42">
        <f t="shared" si="0"/>
        <v>1.838300000235904E-2</v>
      </c>
      <c r="E42">
        <f ca="1">IF(B42&gt;0,C42-'Real Analysis'!$B$14,0)</f>
        <v>5.1616576285731242E-3</v>
      </c>
      <c r="F42">
        <f t="shared" ca="1" si="3"/>
        <v>-3.9480864311310017E-4</v>
      </c>
      <c r="G42">
        <f t="shared" ca="1" si="5"/>
        <v>-6.4276186903995365E-4</v>
      </c>
      <c r="H42">
        <f ca="1">IF(AND(B42&gt;'Real Analysis'!$B$31,B42&lt;'Real Analysis'!$B$32),FilterInput(E42,'Real Analysis'!$B$26,'Real Analysis'!$B$27),0)</f>
        <v>0</v>
      </c>
      <c r="I42" t="e">
        <f>MEDIAN2("Real Values",H42,'Real Analysis'!$B$5,2)</f>
        <v>#VALUE!</v>
      </c>
      <c r="J42" t="e">
        <f>AVERAGE2("Real Values",I42,'Real Analysis'!$B$6,2)</f>
        <v>#VALUE!</v>
      </c>
      <c r="K42" t="e">
        <f>INTEGRAL2(J42,$B42,K41,J41,$B41,'Real Analysis'!$B$19)</f>
        <v>#VALUE!</v>
      </c>
      <c r="L42" t="e">
        <f>IF(AND(B42&lt;'Real Analysis'!$B$32,B42&gt;0),INTEGRAL2(K42,$B42,L41,K41,$B41,'Real Analysis'!$B$20),0)</f>
        <v>#VALUE!</v>
      </c>
      <c r="N42">
        <f>'Real Analysis'!$B$28*'Real Input'!U42+IF('Real Input'!U42 &gt; 0,'Real Analysis'!$B$29,0)</f>
        <v>0</v>
      </c>
      <c r="O42" t="e">
        <f t="shared" si="1"/>
        <v>#VALUE!</v>
      </c>
      <c r="P42" t="e">
        <f t="shared" si="2"/>
        <v>#VALUE!</v>
      </c>
    </row>
    <row r="43" spans="1:16" x14ac:dyDescent="0.3">
      <c r="A43">
        <v>41</v>
      </c>
      <c r="B43">
        <f>'Real Input'!M43</f>
        <v>0.87058800000522751</v>
      </c>
      <c r="C43">
        <f ca="1">INDIRECT(CONCATENATE("'Real Input'!",'Real Analysis'!$B$2,A43+2))</f>
        <v>9.8520652800000015</v>
      </c>
      <c r="D43">
        <f t="shared" si="0"/>
        <v>2.0144000009167939E-2</v>
      </c>
      <c r="E43">
        <f ca="1">IF(B43&gt;0,C43-'Real Analysis'!$B$14,0)</f>
        <v>-4.4325223714256623E-3</v>
      </c>
      <c r="F43">
        <f t="shared" ca="1" si="3"/>
        <v>-4.840973738037358E-4</v>
      </c>
      <c r="G43">
        <f t="shared" ca="1" si="5"/>
        <v>-6.5251352654229432E-4</v>
      </c>
      <c r="H43">
        <f ca="1">IF(AND(B43&gt;'Real Analysis'!$B$31,B43&lt;'Real Analysis'!$B$32),FilterInput(E43,'Real Analysis'!$B$26,'Real Analysis'!$B$27),0)</f>
        <v>0</v>
      </c>
      <c r="I43" t="e">
        <f>MEDIAN2("Real Values",H43,'Real Analysis'!$B$5,2)</f>
        <v>#VALUE!</v>
      </c>
      <c r="J43" t="e">
        <f>AVERAGE2("Real Values",I43,'Real Analysis'!$B$6,2)</f>
        <v>#VALUE!</v>
      </c>
      <c r="K43" t="e">
        <f>INTEGRAL2(J43,$B43,K42,J42,$B42,'Real Analysis'!$B$19)</f>
        <v>#VALUE!</v>
      </c>
      <c r="L43" t="e">
        <f>IF(AND(B43&lt;'Real Analysis'!$B$32,B43&gt;0),INTEGRAL2(K43,$B43,L42,K42,$B42,'Real Analysis'!$B$20),0)</f>
        <v>#VALUE!</v>
      </c>
      <c r="N43">
        <f>'Real Analysis'!$B$28*'Real Input'!U43+IF('Real Input'!U43 &gt; 0,'Real Analysis'!$B$29,0)</f>
        <v>0</v>
      </c>
      <c r="O43" t="e">
        <f t="shared" si="1"/>
        <v>#VALUE!</v>
      </c>
      <c r="P43" t="e">
        <f t="shared" si="2"/>
        <v>#VALUE!</v>
      </c>
    </row>
    <row r="44" spans="1:16" x14ac:dyDescent="0.3">
      <c r="A44">
        <v>42</v>
      </c>
      <c r="B44">
        <f>'Real Input'!M44</f>
        <v>0.89076300000306219</v>
      </c>
      <c r="C44">
        <f ca="1">INDIRECT(CONCATENATE("'Real Input'!",'Real Analysis'!$B$2,A44+2))</f>
        <v>9.8540469000000019</v>
      </c>
      <c r="D44">
        <f t="shared" si="0"/>
        <v>2.0174999997834675E-2</v>
      </c>
      <c r="E44">
        <f ca="1">IF(B44&gt;0,C44-'Real Analysis'!$B$14,0)</f>
        <v>-2.450902371425201E-3</v>
      </c>
      <c r="F44">
        <f t="shared" ca="1" si="3"/>
        <v>-5.3354432914193219E-4</v>
      </c>
      <c r="G44">
        <f t="shared" ca="1" si="5"/>
        <v>-6.6327778338157747E-4</v>
      </c>
      <c r="H44">
        <f ca="1">IF(AND(B44&gt;'Real Analysis'!$B$31,B44&lt;'Real Analysis'!$B$32),FilterInput(E44,'Real Analysis'!$B$26,'Real Analysis'!$B$27),0)</f>
        <v>0</v>
      </c>
      <c r="I44" t="e">
        <f>MEDIAN2("Real Values",H44,'Real Analysis'!$B$5,2)</f>
        <v>#VALUE!</v>
      </c>
      <c r="J44" t="e">
        <f>AVERAGE2("Real Values",I44,'Real Analysis'!$B$6,2)</f>
        <v>#VALUE!</v>
      </c>
      <c r="K44" t="e">
        <f>INTEGRAL2(J44,$B44,K43,J43,$B43,'Real Analysis'!$B$19)</f>
        <v>#VALUE!</v>
      </c>
      <c r="L44" t="e">
        <f>IF(AND(B44&lt;'Real Analysis'!$B$32,B44&gt;0),INTEGRAL2(K44,$B44,L43,K43,$B43,'Real Analysis'!$B$20),0)</f>
        <v>#VALUE!</v>
      </c>
      <c r="N44">
        <f>'Real Analysis'!$B$28*'Real Input'!U44+IF('Real Input'!U44 &gt; 0,'Real Analysis'!$B$29,0)</f>
        <v>0</v>
      </c>
      <c r="O44" t="e">
        <f t="shared" si="1"/>
        <v>#VALUE!</v>
      </c>
      <c r="P44" t="e">
        <f t="shared" si="2"/>
        <v>#VALUE!</v>
      </c>
    </row>
    <row r="45" spans="1:16" x14ac:dyDescent="0.3">
      <c r="A45">
        <v>43</v>
      </c>
      <c r="B45">
        <f>'Real Input'!M45</f>
        <v>0.91084300000511575</v>
      </c>
      <c r="C45">
        <f ca="1">INDIRECT(CONCATENATE("'Real Input'!",'Real Analysis'!$B$2,A45+2))</f>
        <v>9.8533405800000011</v>
      </c>
      <c r="D45">
        <f t="shared" si="0"/>
        <v>2.0080000002053566E-2</v>
      </c>
      <c r="E45">
        <f ca="1">IF(B45&gt;0,C45-'Real Analysis'!$B$14,0)</f>
        <v>-3.1572223714260161E-3</v>
      </c>
      <c r="F45">
        <f t="shared" ca="1" si="3"/>
        <v>-5.969413543666502E-4</v>
      </c>
      <c r="G45">
        <f t="shared" ca="1" si="5"/>
        <v>-6.752643657784857E-4</v>
      </c>
      <c r="H45">
        <f ca="1">IF(AND(B45&gt;'Real Analysis'!$B$31,B45&lt;'Real Analysis'!$B$32),FilterInput(E45,'Real Analysis'!$B$26,'Real Analysis'!$B$27),0)</f>
        <v>0</v>
      </c>
      <c r="I45" t="e">
        <f>MEDIAN2("Real Values",H45,'Real Analysis'!$B$5,2)</f>
        <v>#VALUE!</v>
      </c>
      <c r="J45" t="e">
        <f>AVERAGE2("Real Values",I45,'Real Analysis'!$B$6,2)</f>
        <v>#VALUE!</v>
      </c>
      <c r="K45" t="e">
        <f>INTEGRAL2(J45,$B45,K44,J44,$B44,'Real Analysis'!$B$19)</f>
        <v>#VALUE!</v>
      </c>
      <c r="L45" t="e">
        <f>IF(AND(B45&lt;'Real Analysis'!$B$32,B45&gt;0),INTEGRAL2(K45,$B45,L44,K44,$B44,'Real Analysis'!$B$20),0)</f>
        <v>#VALUE!</v>
      </c>
      <c r="N45">
        <f>'Real Analysis'!$B$28*'Real Input'!U45+IF('Real Input'!U45 &gt; 0,'Real Analysis'!$B$29,0)</f>
        <v>0</v>
      </c>
      <c r="O45" t="e">
        <f t="shared" si="1"/>
        <v>#VALUE!</v>
      </c>
      <c r="P45" t="e">
        <f t="shared" si="2"/>
        <v>#VALUE!</v>
      </c>
    </row>
    <row r="46" spans="1:16" x14ac:dyDescent="0.3">
      <c r="A46">
        <v>44</v>
      </c>
      <c r="B46">
        <f>'Real Input'!M46</f>
        <v>0.93167299999913666</v>
      </c>
      <c r="C46">
        <f ca="1">INDIRECT(CONCATENATE("'Real Input'!",'Real Analysis'!$B$2,A46+2))</f>
        <v>9.8534877299999994</v>
      </c>
      <c r="D46">
        <f t="shared" si="0"/>
        <v>2.0829999994020909E-2</v>
      </c>
      <c r="E46">
        <f ca="1">IF(B46&gt;0,C46-'Real Analysis'!$B$14,0)</f>
        <v>-3.0100723714276967E-3</v>
      </c>
      <c r="F46">
        <f t="shared" ca="1" si="3"/>
        <v>-6.5964116184549163E-4</v>
      </c>
      <c r="G46">
        <f t="shared" ca="1" si="5"/>
        <v>-6.8900469117578328E-4</v>
      </c>
      <c r="H46">
        <f ca="1">IF(AND(B46&gt;'Real Analysis'!$B$31,B46&lt;'Real Analysis'!$B$32),FilterInput(E46,'Real Analysis'!$B$26,'Real Analysis'!$B$27),0)</f>
        <v>0</v>
      </c>
      <c r="I46" t="e">
        <f>MEDIAN2("Real Values",H46,'Real Analysis'!$B$5,2)</f>
        <v>#VALUE!</v>
      </c>
      <c r="J46" t="e">
        <f>AVERAGE2("Real Values",I46,'Real Analysis'!$B$6,2)</f>
        <v>#VALUE!</v>
      </c>
      <c r="K46" t="e">
        <f>INTEGRAL2(J46,$B46,K45,J45,$B45,'Real Analysis'!$B$19)</f>
        <v>#VALUE!</v>
      </c>
      <c r="L46" t="e">
        <f>IF(AND(B46&lt;'Real Analysis'!$B$32,B46&gt;0),INTEGRAL2(K46,$B46,L45,K45,$B45,'Real Analysis'!$B$20),0)</f>
        <v>#VALUE!</v>
      </c>
      <c r="N46">
        <f>'Real Analysis'!$B$28*'Real Input'!U46+IF('Real Input'!U46 &gt; 0,'Real Analysis'!$B$29,0)</f>
        <v>0</v>
      </c>
      <c r="O46" t="e">
        <f t="shared" si="1"/>
        <v>#VALUE!</v>
      </c>
      <c r="P46" t="e">
        <f t="shared" si="2"/>
        <v>#VALUE!</v>
      </c>
    </row>
    <row r="47" spans="1:16" x14ac:dyDescent="0.3">
      <c r="A47">
        <v>45</v>
      </c>
      <c r="B47">
        <f>'Real Input'!M47</f>
        <v>0.94603799999458715</v>
      </c>
      <c r="C47">
        <f ca="1">INDIRECT(CONCATENATE("'Real Input'!",'Real Analysis'!$B$2,A47+2))</f>
        <v>9.8533994400000005</v>
      </c>
      <c r="D47">
        <f t="shared" si="0"/>
        <v>1.4364999995450489E-2</v>
      </c>
      <c r="E47">
        <f ca="1">IF(B47&gt;0,C47-'Real Analysis'!$B$14,0)</f>
        <v>-3.0983623714266884E-3</v>
      </c>
      <c r="F47">
        <f t="shared" ca="1" si="3"/>
        <v>-7.0414913729693993E-4</v>
      </c>
      <c r="G47">
        <f t="shared" ca="1" si="5"/>
        <v>-6.9911979352985034E-4</v>
      </c>
      <c r="H47">
        <f ca="1">IF(AND(B47&gt;'Real Analysis'!$B$31,B47&lt;'Real Analysis'!$B$32),FilterInput(E47,'Real Analysis'!$B$26,'Real Analysis'!$B$27),0)</f>
        <v>0</v>
      </c>
      <c r="I47" t="e">
        <f>MEDIAN2("Real Values",H47,'Real Analysis'!$B$5,2)</f>
        <v>#VALUE!</v>
      </c>
      <c r="J47" t="e">
        <f>AVERAGE2("Real Values",I47,'Real Analysis'!$B$6,2)</f>
        <v>#VALUE!</v>
      </c>
      <c r="K47" t="e">
        <f>INTEGRAL2(J47,$B47,K46,J46,$B46,'Real Analysis'!$B$19)</f>
        <v>#VALUE!</v>
      </c>
      <c r="L47" t="e">
        <f>IF(AND(B47&lt;'Real Analysis'!$B$32,B47&gt;0),INTEGRAL2(K47,$B47,L46,K46,$B46,'Real Analysis'!$B$20),0)</f>
        <v>#VALUE!</v>
      </c>
      <c r="N47">
        <f>'Real Analysis'!$B$28*'Real Input'!U47+IF('Real Input'!U47 &gt; 0,'Real Analysis'!$B$29,0)</f>
        <v>0</v>
      </c>
      <c r="O47" t="e">
        <f t="shared" si="1"/>
        <v>#VALUE!</v>
      </c>
      <c r="P47" t="e">
        <f t="shared" si="2"/>
        <v>#VALUE!</v>
      </c>
    </row>
    <row r="48" spans="1:16" x14ac:dyDescent="0.3">
      <c r="A48">
        <v>46</v>
      </c>
      <c r="B48">
        <f>'Real Input'!M48</f>
        <v>0.97082400000363123</v>
      </c>
      <c r="C48">
        <f ca="1">INDIRECT(CONCATENATE("'Real Input'!",'Real Analysis'!$B$2,A48+2))</f>
        <v>9.7844155199999996</v>
      </c>
      <c r="D48">
        <f t="shared" si="0"/>
        <v>2.4786000009044074E-2</v>
      </c>
      <c r="E48">
        <f ca="1">IF(B48&gt;0,C48-'Real Analysis'!$B$14,0)</f>
        <v>-7.2082282371427553E-2</v>
      </c>
      <c r="F48">
        <f t="shared" ca="1" si="3"/>
        <v>-2.490780588807061E-3</v>
      </c>
      <c r="G48">
        <f t="shared" ca="1" si="5"/>
        <v>-7.6085628122654896E-4</v>
      </c>
      <c r="H48">
        <f ca="1">IF(AND(B48&gt;'Real Analysis'!$B$31,B48&lt;'Real Analysis'!$B$32),FilterInput(E48,'Real Analysis'!$B$26,'Real Analysis'!$B$27),0)</f>
        <v>0</v>
      </c>
      <c r="I48" t="e">
        <f>MEDIAN2("Real Values",H48,'Real Analysis'!$B$5,2)</f>
        <v>#VALUE!</v>
      </c>
      <c r="J48" t="e">
        <f>AVERAGE2("Real Values",I48,'Real Analysis'!$B$6,2)</f>
        <v>#VALUE!</v>
      </c>
      <c r="K48" t="e">
        <f>INTEGRAL2(J48,$B48,K47,J47,$B47,'Real Analysis'!$B$19)</f>
        <v>#VALUE!</v>
      </c>
      <c r="L48" t="e">
        <f>IF(AND(B48&lt;'Real Analysis'!$B$32,B48&gt;0),INTEGRAL2(K48,$B48,L47,K47,$B47,'Real Analysis'!$B$20),0)</f>
        <v>#VALUE!</v>
      </c>
      <c r="N48">
        <f>'Real Analysis'!$B$28*'Real Input'!U48+IF('Real Input'!U48 &gt; 0,'Real Analysis'!$B$29,0)</f>
        <v>0</v>
      </c>
      <c r="O48" t="e">
        <f t="shared" si="1"/>
        <v>#VALUE!</v>
      </c>
      <c r="P48" t="e">
        <f t="shared" si="2"/>
        <v>#VALUE!</v>
      </c>
    </row>
    <row r="49" spans="1:16" x14ac:dyDescent="0.3">
      <c r="A49">
        <v>47</v>
      </c>
      <c r="B49">
        <f>'Real Input'!M49</f>
        <v>0.99126799999794457</v>
      </c>
      <c r="C49">
        <f ca="1">INDIRECT(CONCATENATE("'Real Input'!",'Real Analysis'!$B$2,A49+2))</f>
        <v>9.8513982000000002</v>
      </c>
      <c r="D49">
        <f t="shared" si="0"/>
        <v>2.0443999994313344E-2</v>
      </c>
      <c r="E49">
        <f ca="1">IF(B49&gt;0,C49-'Real Analysis'!$B$14,0)</f>
        <v>-5.0996023714269256E-3</v>
      </c>
      <c r="F49">
        <f t="shared" ca="1" si="3"/>
        <v>-2.5950368596595135E-3</v>
      </c>
      <c r="G49">
        <f t="shared" ca="1" si="5"/>
        <v>-8.13909214770671E-4</v>
      </c>
      <c r="H49">
        <f ca="1">IF(AND(B49&gt;'Real Analysis'!$B$31,B49&lt;'Real Analysis'!$B$32),FilterInput(E49,'Real Analysis'!$B$26,'Real Analysis'!$B$27),0)</f>
        <v>0</v>
      </c>
      <c r="I49" t="e">
        <f>MEDIAN2("Real Values",H49,'Real Analysis'!$B$5,2)</f>
        <v>#VALUE!</v>
      </c>
      <c r="J49" t="e">
        <f>AVERAGE2("Real Values",I49,'Real Analysis'!$B$6,2)</f>
        <v>#VALUE!</v>
      </c>
      <c r="K49" t="e">
        <f>INTEGRAL2(J49,$B49,K48,J48,$B48,'Real Analysis'!$B$19)</f>
        <v>#VALUE!</v>
      </c>
      <c r="L49" t="e">
        <f>IF(AND(B49&lt;'Real Analysis'!$B$32,B49&gt;0),INTEGRAL2(K49,$B49,L48,K48,$B48,'Real Analysis'!$B$20),0)</f>
        <v>#VALUE!</v>
      </c>
      <c r="N49">
        <f>'Real Analysis'!$B$28*'Real Input'!U49+IF('Real Input'!U49 &gt; 0,'Real Analysis'!$B$29,0)</f>
        <v>0</v>
      </c>
      <c r="O49" t="e">
        <f t="shared" si="1"/>
        <v>#VALUE!</v>
      </c>
      <c r="P49" t="e">
        <f t="shared" si="2"/>
        <v>#VALUE!</v>
      </c>
    </row>
    <row r="50" spans="1:16" x14ac:dyDescent="0.3">
      <c r="A50">
        <v>48</v>
      </c>
      <c r="B50">
        <f>'Real Input'!M50</f>
        <v>1.0061920000007376</v>
      </c>
      <c r="C50">
        <f ca="1">INDIRECT(CONCATENATE("'Real Input'!",'Real Analysis'!$B$2,A50+2))</f>
        <v>9.8694584100000018</v>
      </c>
      <c r="D50">
        <f t="shared" si="0"/>
        <v>1.4924000002793036E-2</v>
      </c>
      <c r="E50">
        <f ca="1">IF(B50&gt;0,C50-'Real Analysis'!$B$14,0)</f>
        <v>1.296060762857465E-2</v>
      </c>
      <c r="F50">
        <f t="shared" ca="1" si="3"/>
        <v>-2.4016127513744661E-3</v>
      </c>
      <c r="G50">
        <f t="shared" ca="1" si="5"/>
        <v>-8.4975088347889131E-4</v>
      </c>
      <c r="H50">
        <f ca="1">IF(AND(B50&gt;'Real Analysis'!$B$31,B50&lt;'Real Analysis'!$B$32),FilterInput(E50,'Real Analysis'!$B$26,'Real Analysis'!$B$27),0)</f>
        <v>0</v>
      </c>
      <c r="I50" t="e">
        <f>MEDIAN2("Real Values",H50,'Real Analysis'!$B$5,2)</f>
        <v>#VALUE!</v>
      </c>
      <c r="J50" t="e">
        <f>AVERAGE2("Real Values",I50,'Real Analysis'!$B$6,2)</f>
        <v>#VALUE!</v>
      </c>
      <c r="K50" t="e">
        <f>INTEGRAL2(J50,$B50,K49,J49,$B49,'Real Analysis'!$B$19)</f>
        <v>#VALUE!</v>
      </c>
      <c r="L50" t="e">
        <f>IF(AND(B50&lt;'Real Analysis'!$B$32,B50&gt;0),INTEGRAL2(K50,$B50,L49,K49,$B49,'Real Analysis'!$B$20),0)</f>
        <v>#VALUE!</v>
      </c>
      <c r="N50">
        <f>'Real Analysis'!$B$28*'Real Input'!U50+IF('Real Input'!U50 &gt; 0,'Real Analysis'!$B$29,0)</f>
        <v>0</v>
      </c>
      <c r="O50" t="e">
        <f t="shared" si="1"/>
        <v>#VALUE!</v>
      </c>
      <c r="P50" t="e">
        <f t="shared" si="2"/>
        <v>#VALUE!</v>
      </c>
    </row>
    <row r="51" spans="1:16" x14ac:dyDescent="0.3">
      <c r="A51">
        <v>49</v>
      </c>
      <c r="B51">
        <f>'Real Input'!M51</f>
        <v>1.0268289999949047</v>
      </c>
      <c r="C51">
        <f ca="1">INDIRECT(CONCATENATE("'Real Input'!",'Real Analysis'!$B$2,A51+2))</f>
        <v>9.8655049800000008</v>
      </c>
      <c r="D51">
        <f t="shared" si="0"/>
        <v>2.0636999994167127E-2</v>
      </c>
      <c r="E51">
        <f ca="1">IF(B51&gt;0,C51-'Real Analysis'!$B$14,0)</f>
        <v>9.0071776285736149E-3</v>
      </c>
      <c r="F51">
        <f t="shared" ca="1" si="3"/>
        <v>-2.21573162670613E-3</v>
      </c>
      <c r="G51">
        <f t="shared" ca="1" si="5"/>
        <v>-8.9547693704630164E-4</v>
      </c>
      <c r="H51">
        <f ca="1">IF(AND(B51&gt;'Real Analysis'!$B$31,B51&lt;'Real Analysis'!$B$32),FilterInput(E51,'Real Analysis'!$B$26,'Real Analysis'!$B$27),0)</f>
        <v>0</v>
      </c>
      <c r="I51" t="e">
        <f>MEDIAN2("Real Values",H51,'Real Analysis'!$B$5,2)</f>
        <v>#VALUE!</v>
      </c>
      <c r="J51" t="e">
        <f>AVERAGE2("Real Values",I51,'Real Analysis'!$B$6,2)</f>
        <v>#VALUE!</v>
      </c>
      <c r="K51" t="e">
        <f>INTEGRAL2(J51,$B51,K50,J50,$B50,'Real Analysis'!$B$19)</f>
        <v>#VALUE!</v>
      </c>
      <c r="L51" t="e">
        <f>IF(AND(B51&lt;'Real Analysis'!$B$32,B51&gt;0),INTEGRAL2(K51,$B51,L50,K50,$B50,'Real Analysis'!$B$20),0)</f>
        <v>#VALUE!</v>
      </c>
      <c r="N51">
        <f>'Real Analysis'!$B$28*'Real Input'!U51+IF('Real Input'!U51 &gt; 0,'Real Analysis'!$B$29,0)</f>
        <v>0</v>
      </c>
      <c r="O51" t="e">
        <f t="shared" si="1"/>
        <v>#VALUE!</v>
      </c>
      <c r="P51" t="e">
        <f t="shared" si="2"/>
        <v>#VALUE!</v>
      </c>
    </row>
    <row r="52" spans="1:16" x14ac:dyDescent="0.3">
      <c r="A52">
        <v>50</v>
      </c>
      <c r="B52">
        <f>'Real Input'!M52</f>
        <v>1.046040000001085</v>
      </c>
      <c r="C52">
        <f ca="1">INDIRECT(CONCATENATE("'Real Input'!",'Real Analysis'!$B$2,A52+2))</f>
        <v>9.8495735400000015</v>
      </c>
      <c r="D52">
        <f t="shared" si="0"/>
        <v>1.9211000006180257E-2</v>
      </c>
      <c r="E52">
        <f ca="1">IF(B52&gt;0,C52-'Real Analysis'!$B$14,0)</f>
        <v>-6.9242623714256268E-3</v>
      </c>
      <c r="F52">
        <f t="shared" ca="1" si="3"/>
        <v>-2.3487536311663816E-3</v>
      </c>
      <c r="G52">
        <f t="shared" ca="1" si="5"/>
        <v>-9.4059884306915492E-4</v>
      </c>
      <c r="H52">
        <f ca="1">IF(AND(B52&gt;'Real Analysis'!$B$31,B52&lt;'Real Analysis'!$B$32),FilterInput(E52,'Real Analysis'!$B$26,'Real Analysis'!$B$27),0)</f>
        <v>0</v>
      </c>
      <c r="I52" t="e">
        <f>MEDIAN2("Real Values",H52,'Real Analysis'!$B$5,2)</f>
        <v>#VALUE!</v>
      </c>
      <c r="J52" t="e">
        <f>AVERAGE2("Real Values",I52,'Real Analysis'!$B$6,2)</f>
        <v>#VALUE!</v>
      </c>
      <c r="K52" t="e">
        <f>INTEGRAL2(J52,$B52,K51,J51,$B51,'Real Analysis'!$B$19)</f>
        <v>#VALUE!</v>
      </c>
      <c r="L52" t="e">
        <f>IF(AND(B52&lt;'Real Analysis'!$B$32,B52&gt;0),INTEGRAL2(K52,$B52,L51,K51,$B51,'Real Analysis'!$B$20),0)</f>
        <v>#VALUE!</v>
      </c>
      <c r="N52">
        <f>'Real Analysis'!$B$28*'Real Input'!U52+IF('Real Input'!U52 &gt; 0,'Real Analysis'!$B$29,0)</f>
        <v>0</v>
      </c>
      <c r="O52" t="e">
        <f t="shared" si="1"/>
        <v>#VALUE!</v>
      </c>
      <c r="P52" t="e">
        <f t="shared" si="2"/>
        <v>#VALUE!</v>
      </c>
    </row>
    <row r="53" spans="1:16" x14ac:dyDescent="0.3">
      <c r="A53">
        <v>51</v>
      </c>
      <c r="B53">
        <f>'Real Input'!M53</f>
        <v>1.0720909999945434</v>
      </c>
      <c r="C53">
        <f ca="1">INDIRECT(CONCATENATE("'Real Input'!",'Real Analysis'!$B$2,A53+2))</f>
        <v>9.8512020000000007</v>
      </c>
      <c r="D53">
        <f t="shared" si="0"/>
        <v>2.605099999345839E-2</v>
      </c>
      <c r="E53">
        <f ca="1">IF(B53&gt;0,C53-'Real Analysis'!$B$14,0)</f>
        <v>-5.2958023714264613E-3</v>
      </c>
      <c r="F53">
        <f t="shared" ca="1" si="3"/>
        <v>-2.4867145787097695E-3</v>
      </c>
      <c r="G53">
        <f t="shared" ca="1" si="5"/>
        <v>-1.005380244542856E-3</v>
      </c>
      <c r="H53">
        <f ca="1">IF(AND(B53&gt;'Real Analysis'!$B$31,B53&lt;'Real Analysis'!$B$32),FilterInput(E53,'Real Analysis'!$B$26,'Real Analysis'!$B$27),0)</f>
        <v>0</v>
      </c>
      <c r="I53" t="e">
        <f>MEDIAN2("Real Values",H53,'Real Analysis'!$B$5,2)</f>
        <v>#VALUE!</v>
      </c>
      <c r="J53" t="e">
        <f>AVERAGE2("Real Values",I53,'Real Analysis'!$B$6,2)</f>
        <v>#VALUE!</v>
      </c>
      <c r="K53" t="e">
        <f>INTEGRAL2(J53,$B53,K52,J52,$B52,'Real Analysis'!$B$19)</f>
        <v>#VALUE!</v>
      </c>
      <c r="L53" t="e">
        <f>IF(AND(B53&lt;'Real Analysis'!$B$32,B53&gt;0),INTEGRAL2(K53,$B53,L52,K52,$B52,'Real Analysis'!$B$20),0)</f>
        <v>#VALUE!</v>
      </c>
      <c r="N53">
        <f>'Real Analysis'!$B$28*'Real Input'!U53+IF('Real Input'!U53 &gt; 0,'Real Analysis'!$B$29,0)</f>
        <v>0</v>
      </c>
      <c r="O53" t="e">
        <f t="shared" si="1"/>
        <v>#VALUE!</v>
      </c>
      <c r="P53" t="e">
        <f t="shared" si="2"/>
        <v>#VALUE!</v>
      </c>
    </row>
    <row r="54" spans="1:16" x14ac:dyDescent="0.3">
      <c r="A54">
        <v>52</v>
      </c>
      <c r="B54">
        <f>'Real Input'!M54</f>
        <v>1.0898290000041015</v>
      </c>
      <c r="C54">
        <f ca="1">INDIRECT(CONCATENATE("'Real Input'!",'Real Analysis'!$B$2,A54+2))</f>
        <v>9.8178676199999995</v>
      </c>
      <c r="D54">
        <f t="shared" si="0"/>
        <v>1.7738000009558164E-2</v>
      </c>
      <c r="E54">
        <f ca="1">IF(B54&gt;0,C54-'Real Analysis'!$B$14,0)</f>
        <v>-3.8630182371427679E-2</v>
      </c>
      <c r="F54">
        <f t="shared" ca="1" si="3"/>
        <v>-3.1719367539833872E-3</v>
      </c>
      <c r="G54">
        <f t="shared" ca="1" si="5"/>
        <v>-1.0616440587153313E-3</v>
      </c>
      <c r="H54">
        <f ca="1">IF(AND(B54&gt;'Real Analysis'!$B$31,B54&lt;'Real Analysis'!$B$32),FilterInput(E54,'Real Analysis'!$B$26,'Real Analysis'!$B$27),0)</f>
        <v>0</v>
      </c>
      <c r="I54" t="e">
        <f>MEDIAN2("Real Values",H54,'Real Analysis'!$B$5,2)</f>
        <v>#VALUE!</v>
      </c>
      <c r="J54" t="e">
        <f>AVERAGE2("Real Values",I54,'Real Analysis'!$B$6,2)</f>
        <v>#VALUE!</v>
      </c>
      <c r="K54" t="e">
        <f>INTEGRAL2(J54,$B54,K53,J53,$B53,'Real Analysis'!$B$19)</f>
        <v>#VALUE!</v>
      </c>
      <c r="L54" t="e">
        <f>IF(AND(B54&lt;'Real Analysis'!$B$32,B54&gt;0),INTEGRAL2(K54,$B54,L53,K53,$B53,'Real Analysis'!$B$20),0)</f>
        <v>#VALUE!</v>
      </c>
      <c r="N54">
        <f>'Real Analysis'!$B$28*'Real Input'!U54+IF('Real Input'!U54 &gt; 0,'Real Analysis'!$B$29,0)</f>
        <v>0</v>
      </c>
      <c r="O54" t="e">
        <f t="shared" si="1"/>
        <v>#VALUE!</v>
      </c>
      <c r="P54" t="e">
        <f t="shared" si="2"/>
        <v>#VALUE!</v>
      </c>
    </row>
    <row r="55" spans="1:16" x14ac:dyDescent="0.3">
      <c r="A55">
        <v>53</v>
      </c>
      <c r="B55">
        <f>'Real Input'!M55</f>
        <v>1.10770500000217</v>
      </c>
      <c r="C55">
        <f ca="1">INDIRECT(CONCATENATE("'Real Input'!",'Real Analysis'!$B$2,A55+2))</f>
        <v>9.8664565500000005</v>
      </c>
      <c r="D55">
        <f t="shared" si="0"/>
        <v>1.7875999998068437E-2</v>
      </c>
      <c r="E55">
        <f ca="1">IF(B55&gt;0,C55-'Real Analysis'!$B$14,0)</f>
        <v>9.9587476285734056E-3</v>
      </c>
      <c r="F55">
        <f t="shared" ca="1" si="3"/>
        <v>-2.993914181394245E-3</v>
      </c>
      <c r="G55">
        <f t="shared" ca="1" si="5"/>
        <v>-1.1151632686161519E-3</v>
      </c>
      <c r="H55">
        <f ca="1">IF(AND(B55&gt;'Real Analysis'!$B$31,B55&lt;'Real Analysis'!$B$32),FilterInput(E55,'Real Analysis'!$B$26,'Real Analysis'!$B$27),0)</f>
        <v>0</v>
      </c>
      <c r="I55" t="e">
        <f>MEDIAN2("Real Values",H55,'Real Analysis'!$B$5,2)</f>
        <v>#VALUE!</v>
      </c>
      <c r="J55" t="e">
        <f>AVERAGE2("Real Values",I55,'Real Analysis'!$B$6,2)</f>
        <v>#VALUE!</v>
      </c>
      <c r="K55" t="e">
        <f>INTEGRAL2(J55,$B55,K54,J54,$B54,'Real Analysis'!$B$19)</f>
        <v>#VALUE!</v>
      </c>
      <c r="L55" t="e">
        <f>IF(AND(B55&lt;'Real Analysis'!$B$32,B55&gt;0),INTEGRAL2(K55,$B55,L54,K54,$B54,'Real Analysis'!$B$20),0)</f>
        <v>#VALUE!</v>
      </c>
      <c r="N55">
        <f>'Real Analysis'!$B$28*'Real Input'!U55+IF('Real Input'!U55 &gt; 0,'Real Analysis'!$B$29,0)</f>
        <v>0</v>
      </c>
      <c r="O55" t="e">
        <f t="shared" si="1"/>
        <v>#VALUE!</v>
      </c>
      <c r="P55" t="e">
        <f t="shared" si="2"/>
        <v>#VALUE!</v>
      </c>
    </row>
    <row r="56" spans="1:16" x14ac:dyDescent="0.3">
      <c r="A56">
        <v>54</v>
      </c>
      <c r="B56">
        <f>'Real Input'!M56</f>
        <v>1.1321060000045691</v>
      </c>
      <c r="C56">
        <f ca="1">INDIRECT(CONCATENATE("'Real Input'!",'Real Analysis'!$B$2,A56+2))</f>
        <v>9.8558126999999995</v>
      </c>
      <c r="D56">
        <f t="shared" si="0"/>
        <v>2.4401000002399087E-2</v>
      </c>
      <c r="E56">
        <f ca="1">IF(B56&gt;0,C56-'Real Analysis'!$B$14,0)</f>
        <v>-6.8510237142760388E-4</v>
      </c>
      <c r="F56">
        <f t="shared" ca="1" si="3"/>
        <v>-3.0106313643610935E-3</v>
      </c>
      <c r="G56">
        <f t="shared" ca="1" si="5"/>
        <v>-1.1886256845451497E-3</v>
      </c>
      <c r="H56">
        <f ca="1">IF(AND(B56&gt;'Real Analysis'!$B$31,B56&lt;'Real Analysis'!$B$32),FilterInput(E56,'Real Analysis'!$B$26,'Real Analysis'!$B$27),0)</f>
        <v>0</v>
      </c>
      <c r="I56" t="e">
        <f>MEDIAN2("Real Values",H56,'Real Analysis'!$B$5,2)</f>
        <v>#VALUE!</v>
      </c>
      <c r="J56" t="e">
        <f>AVERAGE2("Real Values",I56,'Real Analysis'!$B$6,2)</f>
        <v>#VALUE!</v>
      </c>
      <c r="K56" t="e">
        <f>INTEGRAL2(J56,$B56,K55,J55,$B55,'Real Analysis'!$B$19)</f>
        <v>#VALUE!</v>
      </c>
      <c r="L56" t="e">
        <f>IF(AND(B56&lt;'Real Analysis'!$B$32,B56&gt;0),INTEGRAL2(K56,$B56,L55,K55,$B55,'Real Analysis'!$B$20),0)</f>
        <v>#VALUE!</v>
      </c>
      <c r="N56">
        <f>'Real Analysis'!$B$28*'Real Input'!U56+IF('Real Input'!U56 &gt; 0,'Real Analysis'!$B$29,0)</f>
        <v>0</v>
      </c>
      <c r="O56" t="e">
        <f t="shared" si="1"/>
        <v>#VALUE!</v>
      </c>
      <c r="P56" t="e">
        <f t="shared" si="2"/>
        <v>#VALUE!</v>
      </c>
    </row>
    <row r="57" spans="1:16" x14ac:dyDescent="0.3">
      <c r="A57">
        <v>55</v>
      </c>
      <c r="B57">
        <f>'Real Input'!M57</f>
        <v>1.1494200000015553</v>
      </c>
      <c r="C57">
        <f ca="1">INDIRECT(CONCATENATE("'Real Input'!",'Real Analysis'!$B$2,A57+2))</f>
        <v>9.8506624500000015</v>
      </c>
      <c r="D57">
        <f t="shared" si="0"/>
        <v>1.731399999698624E-2</v>
      </c>
      <c r="E57">
        <f ca="1">IF(B57&gt;0,C57-'Real Analysis'!$B$14,0)</f>
        <v>-5.8353523714256283E-3</v>
      </c>
      <c r="F57">
        <f t="shared" ca="1" si="3"/>
        <v>-3.1116646553023706E-3</v>
      </c>
      <c r="G57">
        <f t="shared" ca="1" si="5"/>
        <v>-1.2425010463776771E-3</v>
      </c>
      <c r="H57">
        <f ca="1">IF(AND(B57&gt;'Real Analysis'!$B$31,B57&lt;'Real Analysis'!$B$32),FilterInput(E57,'Real Analysis'!$B$26,'Real Analysis'!$B$27),0)</f>
        <v>0</v>
      </c>
      <c r="I57" t="e">
        <f>MEDIAN2("Real Values",H57,'Real Analysis'!$B$5,2)</f>
        <v>#VALUE!</v>
      </c>
      <c r="J57" t="e">
        <f>AVERAGE2("Real Values",I57,'Real Analysis'!$B$6,2)</f>
        <v>#VALUE!</v>
      </c>
      <c r="K57" t="e">
        <f>INTEGRAL2(J57,$B57,K56,J56,$B56,'Real Analysis'!$B$19)</f>
        <v>#VALUE!</v>
      </c>
      <c r="L57" t="e">
        <f>IF(AND(B57&lt;'Real Analysis'!$B$32,B57&gt;0),INTEGRAL2(K57,$B57,L56,K56,$B56,'Real Analysis'!$B$20),0)</f>
        <v>#VALUE!</v>
      </c>
      <c r="N57">
        <f>'Real Analysis'!$B$28*'Real Input'!U57+IF('Real Input'!U57 &gt; 0,'Real Analysis'!$B$29,0)</f>
        <v>0</v>
      </c>
      <c r="O57" t="e">
        <f t="shared" si="1"/>
        <v>#VALUE!</v>
      </c>
      <c r="P57" t="e">
        <f t="shared" si="2"/>
        <v>#VALUE!</v>
      </c>
    </row>
    <row r="58" spans="1:16" x14ac:dyDescent="0.3">
      <c r="A58">
        <v>56</v>
      </c>
      <c r="B58">
        <f>'Real Input'!M58</f>
        <v>1.1718129999935627</v>
      </c>
      <c r="C58">
        <f ca="1">INDIRECT(CONCATENATE("'Real Input'!",'Real Analysis'!$B$2,A58+2))</f>
        <v>9.871390980000001</v>
      </c>
      <c r="D58">
        <f t="shared" si="0"/>
        <v>2.239299999200739E-2</v>
      </c>
      <c r="E58">
        <f ca="1">IF(B58&gt;0,C58-'Real Analysis'!$B$14,0)</f>
        <v>1.4893177628573895E-2</v>
      </c>
      <c r="F58">
        <f t="shared" ca="1" si="3"/>
        <v>-2.7781617287847508E-3</v>
      </c>
      <c r="G58">
        <f t="shared" ca="1" si="5"/>
        <v>-1.3047124219481494E-3</v>
      </c>
      <c r="H58">
        <f ca="1">IF(AND(B58&gt;'Real Analysis'!$B$31,B58&lt;'Real Analysis'!$B$32),FilterInput(E58,'Real Analysis'!$B$26,'Real Analysis'!$B$27),0)</f>
        <v>0</v>
      </c>
      <c r="I58" t="e">
        <f>MEDIAN2("Real Values",H58,'Real Analysis'!$B$5,2)</f>
        <v>#VALUE!</v>
      </c>
      <c r="J58" t="e">
        <f>AVERAGE2("Real Values",I58,'Real Analysis'!$B$6,2)</f>
        <v>#VALUE!</v>
      </c>
      <c r="K58" t="e">
        <f>INTEGRAL2(J58,$B58,K57,J57,$B57,'Real Analysis'!$B$19)</f>
        <v>#VALUE!</v>
      </c>
      <c r="L58" t="e">
        <f>IF(AND(B58&lt;'Real Analysis'!$B$32,B58&gt;0),INTEGRAL2(K58,$B58,L57,K57,$B57,'Real Analysis'!$B$20),0)</f>
        <v>#VALUE!</v>
      </c>
      <c r="N58">
        <f>'Real Analysis'!$B$28*'Real Input'!U58+IF('Real Input'!U58 &gt; 0,'Real Analysis'!$B$29,0)</f>
        <v>0</v>
      </c>
      <c r="O58" t="e">
        <f t="shared" si="1"/>
        <v>#VALUE!</v>
      </c>
      <c r="P58" t="e">
        <f t="shared" si="2"/>
        <v>#VALUE!</v>
      </c>
    </row>
    <row r="59" spans="1:16" x14ac:dyDescent="0.3">
      <c r="A59">
        <v>57</v>
      </c>
      <c r="B59">
        <f>'Real Input'!M59</f>
        <v>1.1912400000001071</v>
      </c>
      <c r="C59">
        <f ca="1">INDIRECT(CONCATENATE("'Real Input'!",'Real Analysis'!$B$2,A59+2))</f>
        <v>9.8937283499999999</v>
      </c>
      <c r="D59">
        <f t="shared" si="0"/>
        <v>1.9427000006544404E-2</v>
      </c>
      <c r="E59">
        <f ca="1">IF(B59&gt;0,C59-'Real Analysis'!$B$14,0)</f>
        <v>3.7230547628572808E-2</v>
      </c>
      <c r="F59">
        <f t="shared" ca="1" si="3"/>
        <v>-2.0548838797608149E-3</v>
      </c>
      <c r="G59">
        <f t="shared" ca="1" si="5"/>
        <v>-1.3446326510937107E-3</v>
      </c>
      <c r="H59">
        <f ca="1">IF(AND(B59&gt;'Real Analysis'!$B$31,B59&lt;'Real Analysis'!$B$32),FilterInput(E59,'Real Analysis'!$B$26,'Real Analysis'!$B$27),0)</f>
        <v>0</v>
      </c>
      <c r="I59" t="e">
        <f>MEDIAN2("Real Values",H59,'Real Analysis'!$B$5,2)</f>
        <v>#VALUE!</v>
      </c>
      <c r="J59" t="e">
        <f>AVERAGE2("Real Values",I59,'Real Analysis'!$B$6,2)</f>
        <v>#VALUE!</v>
      </c>
      <c r="K59" t="e">
        <f>INTEGRAL2(J59,$B59,K58,J58,$B58,'Real Analysis'!$B$19)</f>
        <v>#VALUE!</v>
      </c>
      <c r="L59" t="e">
        <f>IF(AND(B59&lt;'Real Analysis'!$B$32,B59&gt;0),INTEGRAL2(K59,$B59,L58,K58,$B58,'Real Analysis'!$B$20),0)</f>
        <v>#VALUE!</v>
      </c>
      <c r="N59">
        <f>'Real Analysis'!$B$28*'Real Input'!U59+IF('Real Input'!U59 &gt; 0,'Real Analysis'!$B$29,0)</f>
        <v>0</v>
      </c>
      <c r="O59" t="e">
        <f t="shared" si="1"/>
        <v>#VALUE!</v>
      </c>
      <c r="P59" t="e">
        <f t="shared" si="2"/>
        <v>#VALUE!</v>
      </c>
    </row>
    <row r="60" spans="1:16" x14ac:dyDescent="0.3">
      <c r="A60">
        <v>58</v>
      </c>
      <c r="B60">
        <f>'Real Input'!M60</f>
        <v>1.2120719999948051</v>
      </c>
      <c r="C60">
        <f ca="1">INDIRECT(CONCATENATE("'Real Input'!",'Real Analysis'!$B$2,A60+2))</f>
        <v>9.8681242499999993</v>
      </c>
      <c r="D60">
        <f t="shared" si="0"/>
        <v>2.0831999994697981E-2</v>
      </c>
      <c r="E60">
        <f ca="1">IF(B60&gt;0,C60-'Real Analysis'!$B$14,0)</f>
        <v>1.1626447628572123E-2</v>
      </c>
      <c r="F60">
        <f t="shared" ca="1" si="3"/>
        <v>-1.8126817228240441E-3</v>
      </c>
      <c r="G60">
        <f t="shared" ca="1" si="5"/>
        <v>-1.3823944367339703E-3</v>
      </c>
      <c r="H60">
        <f ca="1">IF(AND(B60&gt;'Real Analysis'!$B$31,B60&lt;'Real Analysis'!$B$32),FilterInput(E60,'Real Analysis'!$B$26,'Real Analysis'!$B$27),0)</f>
        <v>0</v>
      </c>
      <c r="I60" t="e">
        <f>MEDIAN2("Real Values",H60,'Real Analysis'!$B$5,2)</f>
        <v>#VALUE!</v>
      </c>
      <c r="J60" t="e">
        <f>AVERAGE2("Real Values",I60,'Real Analysis'!$B$6,2)</f>
        <v>#VALUE!</v>
      </c>
      <c r="K60" t="e">
        <f>INTEGRAL2(J60,$B60,K59,J59,$B59,'Real Analysis'!$B$19)</f>
        <v>#VALUE!</v>
      </c>
      <c r="L60" t="e">
        <f>IF(AND(B60&lt;'Real Analysis'!$B$32,B60&gt;0),INTEGRAL2(K60,$B60,L59,K59,$B59,'Real Analysis'!$B$20),0)</f>
        <v>#VALUE!</v>
      </c>
      <c r="N60">
        <f>'Real Analysis'!$B$28*'Real Input'!U60+IF('Real Input'!U60 &gt; 0,'Real Analysis'!$B$29,0)</f>
        <v>0</v>
      </c>
      <c r="O60" t="e">
        <f t="shared" si="1"/>
        <v>#VALUE!</v>
      </c>
      <c r="P60" t="e">
        <f t="shared" si="2"/>
        <v>#VALUE!</v>
      </c>
    </row>
    <row r="61" spans="1:16" x14ac:dyDescent="0.3">
      <c r="A61">
        <v>59</v>
      </c>
      <c r="B61">
        <f>'Real Input'!M61</f>
        <v>1.2298180000070715</v>
      </c>
      <c r="C61">
        <f ca="1">INDIRECT(CONCATENATE("'Real Input'!",'Real Analysis'!$B$2,A61+2))</f>
        <v>9.8531149500000001</v>
      </c>
      <c r="D61">
        <f t="shared" si="0"/>
        <v>1.774600001226645E-2</v>
      </c>
      <c r="E61">
        <f ca="1">IF(B61&gt;0,C61-'Real Analysis'!$B$14,0)</f>
        <v>-3.382852371426992E-3</v>
      </c>
      <c r="F61">
        <f t="shared" ca="1" si="3"/>
        <v>-1.8727138210488832E-3</v>
      </c>
      <c r="G61">
        <f t="shared" ca="1" si="5"/>
        <v>-1.4156276162252753E-3</v>
      </c>
      <c r="H61">
        <f ca="1">IF(AND(B61&gt;'Real Analysis'!$B$31,B61&lt;'Real Analysis'!$B$32),FilterInput(E61,'Real Analysis'!$B$26,'Real Analysis'!$B$27),0)</f>
        <v>0</v>
      </c>
      <c r="I61" t="e">
        <f>MEDIAN2("Real Values",H61,'Real Analysis'!$B$5,2)</f>
        <v>#VALUE!</v>
      </c>
      <c r="J61" t="e">
        <f>AVERAGE2("Real Values",I61,'Real Analysis'!$B$6,2)</f>
        <v>#VALUE!</v>
      </c>
      <c r="K61" t="e">
        <f>INTEGRAL2(J61,$B61,K60,J60,$B60,'Real Analysis'!$B$19)</f>
        <v>#VALUE!</v>
      </c>
      <c r="L61" t="e">
        <f>IF(AND(B61&lt;'Real Analysis'!$B$32,B61&gt;0),INTEGRAL2(K61,$B61,L60,K60,$B60,'Real Analysis'!$B$20),0)</f>
        <v>#VALUE!</v>
      </c>
      <c r="N61">
        <f>'Real Analysis'!$B$28*'Real Input'!U61+IF('Real Input'!U61 &gt; 0,'Real Analysis'!$B$29,0)</f>
        <v>0</v>
      </c>
      <c r="O61" t="e">
        <f t="shared" si="1"/>
        <v>#VALUE!</v>
      </c>
      <c r="P61" t="e">
        <f t="shared" si="2"/>
        <v>#VALUE!</v>
      </c>
    </row>
    <row r="62" spans="1:16" x14ac:dyDescent="0.3">
      <c r="A62">
        <v>60</v>
      </c>
      <c r="B62">
        <f>'Real Input'!M62</f>
        <v>1.2522989999997662</v>
      </c>
      <c r="C62">
        <f ca="1">INDIRECT(CONCATENATE("'Real Input'!",'Real Analysis'!$B$2,A62+2))</f>
        <v>9.7772542200000014</v>
      </c>
      <c r="D62">
        <f t="shared" si="0"/>
        <v>2.2480999992694706E-2</v>
      </c>
      <c r="E62">
        <f ca="1">IF(B62&gt;0,C62-'Real Analysis'!$B$14,0)</f>
        <v>-7.9243582371425703E-2</v>
      </c>
      <c r="F62">
        <f t="shared" ca="1" si="3"/>
        <v>-3.6541887957620067E-3</v>
      </c>
      <c r="G62">
        <f t="shared" ca="1" si="5"/>
        <v>-1.4977774345161061E-3</v>
      </c>
      <c r="H62">
        <f ca="1">IF(AND(B62&gt;'Real Analysis'!$B$31,B62&lt;'Real Analysis'!$B$32),FilterInput(E62,'Real Analysis'!$B$26,'Real Analysis'!$B$27),0)</f>
        <v>0</v>
      </c>
      <c r="I62" t="e">
        <f>MEDIAN2("Real Values",H62,'Real Analysis'!$B$5,2)</f>
        <v>#VALUE!</v>
      </c>
      <c r="J62" t="e">
        <f>AVERAGE2("Real Values",I62,'Real Analysis'!$B$6,2)</f>
        <v>#VALUE!</v>
      </c>
      <c r="K62" t="e">
        <f>INTEGRAL2(J62,$B62,K61,J61,$B61,'Real Analysis'!$B$19)</f>
        <v>#VALUE!</v>
      </c>
      <c r="L62" t="e">
        <f>IF(AND(B62&lt;'Real Analysis'!$B$32,B62&gt;0),INTEGRAL2(K62,$B62,L61,K61,$B61,'Real Analysis'!$B$20),0)</f>
        <v>#VALUE!</v>
      </c>
      <c r="N62">
        <f>'Real Analysis'!$B$28*'Real Input'!U62+IF('Real Input'!U62 &gt; 0,'Real Analysis'!$B$29,0)</f>
        <v>0</v>
      </c>
      <c r="O62" t="e">
        <f t="shared" si="1"/>
        <v>#VALUE!</v>
      </c>
      <c r="P62" t="e">
        <f t="shared" si="2"/>
        <v>#VALUE!</v>
      </c>
    </row>
    <row r="63" spans="1:16" x14ac:dyDescent="0.3">
      <c r="A63">
        <v>61</v>
      </c>
      <c r="B63">
        <f>'Real Input'!M63</f>
        <v>1.2725670000072569</v>
      </c>
      <c r="C63">
        <f ca="1">INDIRECT(CONCATENATE("'Real Input'!",'Real Analysis'!$B$2,A63+2))</f>
        <v>9.8348879700000005</v>
      </c>
      <c r="D63">
        <f t="shared" si="0"/>
        <v>2.0268000007490627E-2</v>
      </c>
      <c r="E63">
        <f ca="1">IF(B63&gt;0,C63-'Real Analysis'!$B$14,0)</f>
        <v>-2.1609832371426663E-2</v>
      </c>
      <c r="F63">
        <f t="shared" ca="1" si="3"/>
        <v>-4.0921768784279531E-3</v>
      </c>
      <c r="G63">
        <f t="shared" ca="1" si="5"/>
        <v>-1.5807176755187368E-3</v>
      </c>
      <c r="H63">
        <f ca="1">IF(AND(B63&gt;'Real Analysis'!$B$31,B63&lt;'Real Analysis'!$B$32),FilterInput(E63,'Real Analysis'!$B$26,'Real Analysis'!$B$27),0)</f>
        <v>0</v>
      </c>
      <c r="I63" t="e">
        <f>MEDIAN2("Real Values",H63,'Real Analysis'!$B$5,2)</f>
        <v>#VALUE!</v>
      </c>
      <c r="J63" t="e">
        <f>AVERAGE2("Real Values",I63,'Real Analysis'!$B$6,2)</f>
        <v>#VALUE!</v>
      </c>
      <c r="K63" t="e">
        <f>INTEGRAL2(J63,$B63,K62,J62,$B62,'Real Analysis'!$B$19)</f>
        <v>#VALUE!</v>
      </c>
      <c r="L63" t="e">
        <f>IF(AND(B63&lt;'Real Analysis'!$B$32,B63&gt;0),INTEGRAL2(K63,$B63,L62,K62,$B62,'Real Analysis'!$B$20),0)</f>
        <v>#VALUE!</v>
      </c>
      <c r="N63">
        <f>'Real Analysis'!$B$28*'Real Input'!U63+IF('Real Input'!U63 &gt; 0,'Real Analysis'!$B$29,0)</f>
        <v>0</v>
      </c>
      <c r="O63" t="e">
        <f t="shared" si="1"/>
        <v>#VALUE!</v>
      </c>
      <c r="P63" t="e">
        <f t="shared" si="2"/>
        <v>#VALUE!</v>
      </c>
    </row>
    <row r="64" spans="1:16" x14ac:dyDescent="0.3">
      <c r="A64">
        <v>62</v>
      </c>
      <c r="B64">
        <f>'Real Input'!M64</f>
        <v>1.2926980000047479</v>
      </c>
      <c r="C64">
        <f ca="1">INDIRECT(CONCATENATE("'Real Input'!",'Real Analysis'!$B$2,A64+2))</f>
        <v>9.8613259199999987</v>
      </c>
      <c r="D64">
        <f t="shared" si="0"/>
        <v>2.0130999997491017E-2</v>
      </c>
      <c r="E64">
        <f ca="1">IF(B64&gt;0,C64-'Real Analysis'!$B$14,0)</f>
        <v>4.8281176285716043E-3</v>
      </c>
      <c r="F64">
        <f t="shared" ca="1" si="3"/>
        <v>-3.9949820424592915E-3</v>
      </c>
      <c r="G64">
        <f t="shared" ca="1" si="5"/>
        <v>-1.6611406590054615E-3</v>
      </c>
      <c r="H64">
        <f ca="1">IF(AND(B64&gt;'Real Analysis'!$B$31,B64&lt;'Real Analysis'!$B$32),FilterInput(E64,'Real Analysis'!$B$26,'Real Analysis'!$B$27),0)</f>
        <v>0</v>
      </c>
      <c r="I64" t="e">
        <f>MEDIAN2("Real Values",H64,'Real Analysis'!$B$5,2)</f>
        <v>#VALUE!</v>
      </c>
      <c r="J64" t="e">
        <f>AVERAGE2("Real Values",I64,'Real Analysis'!$B$6,2)</f>
        <v>#VALUE!</v>
      </c>
      <c r="K64" t="e">
        <f>INTEGRAL2(J64,$B64,K63,J63,$B63,'Real Analysis'!$B$19)</f>
        <v>#VALUE!</v>
      </c>
      <c r="L64" t="e">
        <f>IF(AND(B64&lt;'Real Analysis'!$B$32,B64&gt;0),INTEGRAL2(K64,$B64,L63,K63,$B63,'Real Analysis'!$B$20),0)</f>
        <v>#VALUE!</v>
      </c>
      <c r="N64">
        <f>'Real Analysis'!$B$28*'Real Input'!U64+IF('Real Input'!U64 &gt; 0,'Real Analysis'!$B$29,0)</f>
        <v>0</v>
      </c>
      <c r="O64" t="e">
        <f t="shared" si="1"/>
        <v>#VALUE!</v>
      </c>
      <c r="P64" t="e">
        <f t="shared" si="2"/>
        <v>#VALUE!</v>
      </c>
    </row>
    <row r="65" spans="1:16" x14ac:dyDescent="0.3">
      <c r="A65">
        <v>63</v>
      </c>
      <c r="B65">
        <f>'Real Input'!M65</f>
        <v>1.3091259999928297</v>
      </c>
      <c r="C65">
        <f ca="1">INDIRECT(CONCATENATE("'Real Input'!",'Real Analysis'!$B$2,A65+2))</f>
        <v>9.843550200000001</v>
      </c>
      <c r="D65">
        <f t="shared" si="0"/>
        <v>1.6427999988081865E-2</v>
      </c>
      <c r="E65">
        <f ca="1">IF(B65&gt;0,C65-'Real Analysis'!$B$14,0)</f>
        <v>-1.2947602371426115E-2</v>
      </c>
      <c r="F65">
        <f t="shared" ca="1" si="3"/>
        <v>-4.2076852540627683E-3</v>
      </c>
      <c r="G65">
        <f t="shared" ca="1" si="5"/>
        <v>-1.730264512309057E-3</v>
      </c>
      <c r="H65">
        <f ca="1">IF(AND(B65&gt;'Real Analysis'!$B$31,B65&lt;'Real Analysis'!$B$32),FilterInput(E65,'Real Analysis'!$B$26,'Real Analysis'!$B$27),0)</f>
        <v>0</v>
      </c>
      <c r="I65" t="e">
        <f>MEDIAN2("Real Values",H65,'Real Analysis'!$B$5,2)</f>
        <v>#VALUE!</v>
      </c>
      <c r="J65" t="e">
        <f>AVERAGE2("Real Values",I65,'Real Analysis'!$B$6,2)</f>
        <v>#VALUE!</v>
      </c>
      <c r="K65" t="e">
        <f>INTEGRAL2(J65,$B65,K64,J64,$B64,'Real Analysis'!$B$19)</f>
        <v>#VALUE!</v>
      </c>
      <c r="L65" t="e">
        <f>IF(AND(B65&lt;'Real Analysis'!$B$32,B65&gt;0),INTEGRAL2(K65,$B65,L64,K64,$B64,'Real Analysis'!$B$20),0)</f>
        <v>#VALUE!</v>
      </c>
      <c r="N65">
        <f>'Real Analysis'!$B$28*'Real Input'!U65+IF('Real Input'!U65 &gt; 0,'Real Analysis'!$B$29,0)</f>
        <v>0</v>
      </c>
      <c r="O65" t="e">
        <f t="shared" si="1"/>
        <v>#VALUE!</v>
      </c>
      <c r="P65" t="e">
        <f t="shared" si="2"/>
        <v>#VALUE!</v>
      </c>
    </row>
    <row r="66" spans="1:16" x14ac:dyDescent="0.3">
      <c r="A66">
        <v>64</v>
      </c>
      <c r="B66">
        <f>'Real Input'!M66</f>
        <v>1.3326839999936055</v>
      </c>
      <c r="C66">
        <f ca="1">INDIRECT(CONCATENATE("'Real Input'!",'Real Analysis'!$B$2,A66+2))</f>
        <v>9.8506918800000012</v>
      </c>
      <c r="D66">
        <f t="shared" si="0"/>
        <v>2.3558000000775792E-2</v>
      </c>
      <c r="E66">
        <f ca="1">IF(B66&gt;0,C66-'Real Analysis'!$B$14,0)</f>
        <v>-5.8059223714259645E-3</v>
      </c>
      <c r="F66">
        <f t="shared" ca="1" si="3"/>
        <v>-4.344461173293325E-3</v>
      </c>
      <c r="G66">
        <f t="shared" ca="1" si="5"/>
        <v>-1.8326113286328714E-3</v>
      </c>
      <c r="H66">
        <f ca="1">IF(AND(B66&gt;'Real Analysis'!$B$31,B66&lt;'Real Analysis'!$B$32),FilterInput(E66,'Real Analysis'!$B$26,'Real Analysis'!$B$27),0)</f>
        <v>0</v>
      </c>
      <c r="I66" t="e">
        <f>MEDIAN2("Real Values",H66,'Real Analysis'!$B$5,2)</f>
        <v>#VALUE!</v>
      </c>
      <c r="J66" t="e">
        <f>AVERAGE2("Real Values",I66,'Real Analysis'!$B$6,2)</f>
        <v>#VALUE!</v>
      </c>
      <c r="K66" t="e">
        <f>INTEGRAL2(J66,$B66,K65,J65,$B65,'Real Analysis'!$B$19)</f>
        <v>#VALUE!</v>
      </c>
      <c r="L66" t="e">
        <f>IF(AND(B66&lt;'Real Analysis'!$B$32,B66&gt;0),INTEGRAL2(K66,$B66,L65,K65,$B65,'Real Analysis'!$B$20),0)</f>
        <v>#VALUE!</v>
      </c>
      <c r="N66">
        <f>'Real Analysis'!$B$28*'Real Input'!U66+IF('Real Input'!U66 &gt; 0,'Real Analysis'!$B$29,0)</f>
        <v>0</v>
      </c>
      <c r="O66" t="e">
        <f t="shared" si="1"/>
        <v>#VALUE!</v>
      </c>
      <c r="P66" t="e">
        <f t="shared" si="2"/>
        <v>#VALUE!</v>
      </c>
    </row>
    <row r="67" spans="1:16" x14ac:dyDescent="0.3">
      <c r="A67">
        <v>65</v>
      </c>
      <c r="B67">
        <f>'Real Input'!M67</f>
        <v>1.3498839999956544</v>
      </c>
      <c r="C67">
        <f ca="1">INDIRECT(CONCATENATE("'Real Input'!",'Real Analysis'!$B$2,A67+2))</f>
        <v>9.8535465900000005</v>
      </c>
      <c r="D67">
        <f t="shared" ref="D67:D130" si="6">B67-B66</f>
        <v>1.720000000204891E-2</v>
      </c>
      <c r="E67">
        <f ca="1">IF(B67&gt;0,C67-'Real Analysis'!$B$14,0)</f>
        <v>-2.9512123714265925E-3</v>
      </c>
      <c r="F67">
        <f t="shared" ca="1" si="3"/>
        <v>-4.3952220260879095E-3</v>
      </c>
      <c r="G67">
        <f t="shared" ca="1" si="5"/>
        <v>-1.9082091474905889E-3</v>
      </c>
      <c r="H67">
        <f ca="1">IF(AND(B67&gt;'Real Analysis'!$B$31,B67&lt;'Real Analysis'!$B$32),FilterInput(E67,'Real Analysis'!$B$26,'Real Analysis'!$B$27),0)</f>
        <v>0</v>
      </c>
      <c r="I67" t="e">
        <f>MEDIAN2("Real Values",H67,'Real Analysis'!$B$5,2)</f>
        <v>#VALUE!</v>
      </c>
      <c r="J67" t="e">
        <f>AVERAGE2("Real Values",I67,'Real Analysis'!$B$6,2)</f>
        <v>#VALUE!</v>
      </c>
      <c r="K67" t="e">
        <f>INTEGRAL2(J67,$B67,K66,J66,$B66,'Real Analysis'!$B$19)</f>
        <v>#VALUE!</v>
      </c>
      <c r="L67" t="e">
        <f>IF(AND(B67&lt;'Real Analysis'!$B$32,B67&gt;0),INTEGRAL2(K67,$B67,L66,K66,$B66,'Real Analysis'!$B$20),0)</f>
        <v>#VALUE!</v>
      </c>
      <c r="N67">
        <f>'Real Analysis'!$B$28*'Real Input'!U67+IF('Real Input'!U67 &gt; 0,'Real Analysis'!$B$29,0)</f>
        <v>0</v>
      </c>
      <c r="O67" t="e">
        <f t="shared" ref="O67:O130" si="7">_xlfn.COVARIANCE.P($L$102:$L$1200,N67:N1165)</f>
        <v>#VALUE!</v>
      </c>
      <c r="P67" t="e">
        <f t="shared" ref="P67:P130" si="8">N67-L67</f>
        <v>#VALUE!</v>
      </c>
    </row>
    <row r="68" spans="1:16" x14ac:dyDescent="0.3">
      <c r="A68">
        <v>66</v>
      </c>
      <c r="B68">
        <f>'Real Input'!M68</f>
        <v>1.370003000003635</v>
      </c>
      <c r="C68">
        <f ca="1">INDIRECT(CONCATENATE("'Real Input'!",'Real Analysis'!$B$2,A68+2))</f>
        <v>9.8534092500000003</v>
      </c>
      <c r="D68">
        <f t="shared" si="6"/>
        <v>2.0119000007980503E-2</v>
      </c>
      <c r="E68">
        <f ca="1">IF(B68&gt;0,C68-'Real Analysis'!$B$14,0)</f>
        <v>-3.0885523714268004E-3</v>
      </c>
      <c r="F68">
        <f t="shared" ref="F68:F131" ca="1" si="9">IF(B68&gt;0,F67+E68*$D68,0)</f>
        <v>-4.4573606112732938E-3</v>
      </c>
      <c r="G68">
        <f t="shared" ca="1" si="5"/>
        <v>-1.9978867856643681E-3</v>
      </c>
      <c r="H68">
        <f ca="1">IF(AND(B68&gt;'Real Analysis'!$B$31,B68&lt;'Real Analysis'!$B$32),FilterInput(E68,'Real Analysis'!$B$26,'Real Analysis'!$B$27),0)</f>
        <v>0</v>
      </c>
      <c r="I68" t="e">
        <f>MEDIAN2("Real Values",H68,'Real Analysis'!$B$5,2)</f>
        <v>#VALUE!</v>
      </c>
      <c r="J68" t="e">
        <f>AVERAGE2("Real Values",I68,'Real Analysis'!$B$6,2)</f>
        <v>#VALUE!</v>
      </c>
      <c r="K68" t="e">
        <f>INTEGRAL2(J68,$B68,K67,J67,$B67,'Real Analysis'!$B$19)</f>
        <v>#VALUE!</v>
      </c>
      <c r="L68" t="e">
        <f>IF(AND(B68&lt;'Real Analysis'!$B$32,B68&gt;0),INTEGRAL2(K68,$B68,L67,K67,$B67,'Real Analysis'!$B$20),0)</f>
        <v>#VALUE!</v>
      </c>
      <c r="N68">
        <f>'Real Analysis'!$B$28*'Real Input'!U68+IF('Real Input'!U68 &gt; 0,'Real Analysis'!$B$29,0)</f>
        <v>0</v>
      </c>
      <c r="O68" t="e">
        <f t="shared" si="7"/>
        <v>#VALUE!</v>
      </c>
      <c r="P68" t="e">
        <f t="shared" si="8"/>
        <v>#VALUE!</v>
      </c>
    </row>
    <row r="69" spans="1:16" x14ac:dyDescent="0.3">
      <c r="A69">
        <v>67</v>
      </c>
      <c r="B69">
        <f>'Real Input'!M69</f>
        <v>1.388120000003255</v>
      </c>
      <c r="C69">
        <f ca="1">INDIRECT(CONCATENATE("'Real Input'!",'Real Analysis'!$B$2,A69+2))</f>
        <v>9.8568721799999999</v>
      </c>
      <c r="D69">
        <f t="shared" si="6"/>
        <v>1.811699999962002E-2</v>
      </c>
      <c r="E69">
        <f ca="1">IF(B69&gt;0,C69-'Real Analysis'!$B$14,0)</f>
        <v>3.7437762857273071E-4</v>
      </c>
      <c r="F69">
        <f t="shared" ca="1" si="9"/>
        <v>-4.4505780117765842E-3</v>
      </c>
      <c r="G69">
        <f t="shared" ca="1" si="5"/>
        <v>-2.0785179075020334E-3</v>
      </c>
      <c r="H69">
        <f ca="1">IF(AND(B69&gt;'Real Analysis'!$B$31,B69&lt;'Real Analysis'!$B$32),FilterInput(E69,'Real Analysis'!$B$26,'Real Analysis'!$B$27),0)</f>
        <v>0</v>
      </c>
      <c r="I69" t="e">
        <f>MEDIAN2("Real Values",H69,'Real Analysis'!$B$5,2)</f>
        <v>#VALUE!</v>
      </c>
      <c r="J69" t="e">
        <f>AVERAGE2("Real Values",I69,'Real Analysis'!$B$6,2)</f>
        <v>#VALUE!</v>
      </c>
      <c r="K69" t="e">
        <f>INTEGRAL2(J69,$B69,K68,J68,$B68,'Real Analysis'!$B$19)</f>
        <v>#VALUE!</v>
      </c>
      <c r="L69" t="e">
        <f>IF(AND(B69&lt;'Real Analysis'!$B$32,B69&gt;0),INTEGRAL2(K69,$B69,L68,K68,$B68,'Real Analysis'!$B$20),0)</f>
        <v>#VALUE!</v>
      </c>
      <c r="N69">
        <f>'Real Analysis'!$B$28*'Real Input'!U69+IF('Real Input'!U69 &gt; 0,'Real Analysis'!$B$29,0)</f>
        <v>0</v>
      </c>
      <c r="O69" t="e">
        <f t="shared" si="7"/>
        <v>#VALUE!</v>
      </c>
      <c r="P69" t="e">
        <f t="shared" si="8"/>
        <v>#VALUE!</v>
      </c>
    </row>
    <row r="70" spans="1:16" x14ac:dyDescent="0.3">
      <c r="A70">
        <v>68</v>
      </c>
      <c r="B70">
        <f>'Real Input'!M70</f>
        <v>1.4047730000020238</v>
      </c>
      <c r="C70">
        <f ca="1">INDIRECT(CONCATENATE("'Real Input'!",'Real Analysis'!$B$2,A70+2))</f>
        <v>9.8563130100000009</v>
      </c>
      <c r="D70">
        <f t="shared" si="6"/>
        <v>1.6652999998768792E-2</v>
      </c>
      <c r="E70">
        <f ca="1">IF(B70&gt;0,C70-'Real Analysis'!$B$14,0)</f>
        <v>-1.847923714262123E-4</v>
      </c>
      <c r="F70">
        <f t="shared" ca="1" si="9"/>
        <v>-4.4536553591377178E-3</v>
      </c>
      <c r="G70">
        <f t="shared" ca="1" si="5"/>
        <v>-2.1526846301922705E-3</v>
      </c>
      <c r="H70">
        <f ca="1">IF(AND(B70&gt;'Real Analysis'!$B$31,B70&lt;'Real Analysis'!$B$32),FilterInput(E70,'Real Analysis'!$B$26,'Real Analysis'!$B$27),0)</f>
        <v>0</v>
      </c>
      <c r="I70" t="e">
        <f>MEDIAN2("Real Values",H70,'Real Analysis'!$B$5,2)</f>
        <v>#VALUE!</v>
      </c>
      <c r="J70" t="e">
        <f>AVERAGE2("Real Values",I70,'Real Analysis'!$B$6,2)</f>
        <v>#VALUE!</v>
      </c>
      <c r="K70" t="e">
        <f>INTEGRAL2(J70,$B70,K69,J69,$B69,'Real Analysis'!$B$19)</f>
        <v>#VALUE!</v>
      </c>
      <c r="L70" t="e">
        <f>IF(AND(B70&lt;'Real Analysis'!$B$32,B70&gt;0),INTEGRAL2(K70,$B70,L69,K69,$B69,'Real Analysis'!$B$20),0)</f>
        <v>#VALUE!</v>
      </c>
      <c r="N70">
        <f>'Real Analysis'!$B$28*'Real Input'!U70+IF('Real Input'!U70 &gt; 0,'Real Analysis'!$B$29,0)</f>
        <v>0</v>
      </c>
      <c r="O70" t="e">
        <f t="shared" si="7"/>
        <v>#VALUE!</v>
      </c>
      <c r="P70" t="e">
        <f t="shared" si="8"/>
        <v>#VALUE!</v>
      </c>
    </row>
    <row r="71" spans="1:16" x14ac:dyDescent="0.3">
      <c r="A71">
        <v>69</v>
      </c>
      <c r="B71">
        <f>'Real Input'!M71</f>
        <v>1.4334419999941019</v>
      </c>
      <c r="C71">
        <f ca="1">INDIRECT(CONCATENATE("'Real Input'!",'Real Analysis'!$B$2,A71+2))</f>
        <v>9.7873879500000012</v>
      </c>
      <c r="D71">
        <f t="shared" si="6"/>
        <v>2.866899999207817E-2</v>
      </c>
      <c r="E71">
        <f ca="1">IF(B71&gt;0,C71-'Real Analysis'!$B$14,0)</f>
        <v>-6.9109852371425973E-2</v>
      </c>
      <c r="F71">
        <f t="shared" ca="1" si="9"/>
        <v>-6.4349657162266526E-3</v>
      </c>
      <c r="G71">
        <f t="shared" ca="1" si="5"/>
        <v>-2.3371686622597958E-3</v>
      </c>
      <c r="H71">
        <f ca="1">IF(AND(B71&gt;'Real Analysis'!$B$31,B71&lt;'Real Analysis'!$B$32),FilterInput(E71,'Real Analysis'!$B$26,'Real Analysis'!$B$27),0)</f>
        <v>0</v>
      </c>
      <c r="I71" t="e">
        <f>MEDIAN2("Real Values",H71,'Real Analysis'!$B$5,2)</f>
        <v>#VALUE!</v>
      </c>
      <c r="J71" t="e">
        <f>AVERAGE2("Real Values",I71,'Real Analysis'!$B$6,2)</f>
        <v>#VALUE!</v>
      </c>
      <c r="K71" t="e">
        <f>INTEGRAL2(J71,$B71,K70,J70,$B70,'Real Analysis'!$B$19)</f>
        <v>#VALUE!</v>
      </c>
      <c r="L71" t="e">
        <f>IF(AND(B71&lt;'Real Analysis'!$B$32,B71&gt;0),INTEGRAL2(K71,$B71,L70,K70,$B70,'Real Analysis'!$B$20),0)</f>
        <v>#VALUE!</v>
      </c>
      <c r="N71">
        <f>'Real Analysis'!$B$28*'Real Input'!U71+IF('Real Input'!U71 &gt; 0,'Real Analysis'!$B$29,0)</f>
        <v>0</v>
      </c>
      <c r="O71" t="e">
        <f t="shared" si="7"/>
        <v>#VALUE!</v>
      </c>
      <c r="P71" t="e">
        <f t="shared" si="8"/>
        <v>#VALUE!</v>
      </c>
    </row>
    <row r="72" spans="1:16" x14ac:dyDescent="0.3">
      <c r="A72">
        <v>70</v>
      </c>
      <c r="B72">
        <f>'Real Input'!M72</f>
        <v>1.4489659999962896</v>
      </c>
      <c r="C72">
        <f ca="1">INDIRECT(CONCATENATE("'Real Input'!",'Real Analysis'!$B$2,A72+2))</f>
        <v>9.8223998399999992</v>
      </c>
      <c r="D72">
        <f t="shared" si="6"/>
        <v>1.5524000002187677E-2</v>
      </c>
      <c r="E72">
        <f ca="1">IF(B72&gt;0,C72-'Real Analysis'!$B$14,0)</f>
        <v>-3.4097962371427926E-2</v>
      </c>
      <c r="F72">
        <f t="shared" ca="1" si="9"/>
        <v>-6.9643024841552952E-3</v>
      </c>
      <c r="G72">
        <f t="shared" ca="1" si="5"/>
        <v>-2.4452824940390584E-3</v>
      </c>
      <c r="H72">
        <f ca="1">IF(AND(B72&gt;'Real Analysis'!$B$31,B72&lt;'Real Analysis'!$B$32),FilterInput(E72,'Real Analysis'!$B$26,'Real Analysis'!$B$27),0)</f>
        <v>0</v>
      </c>
      <c r="I72" t="e">
        <f>MEDIAN2("Real Values",H72,'Real Analysis'!$B$5,2)</f>
        <v>#VALUE!</v>
      </c>
      <c r="J72" t="e">
        <f>AVERAGE2("Real Values",I72,'Real Analysis'!$B$6,2)</f>
        <v>#VALUE!</v>
      </c>
      <c r="K72" t="e">
        <f>INTEGRAL2(J72,$B72,K71,J71,$B71,'Real Analysis'!$B$19)</f>
        <v>#VALUE!</v>
      </c>
      <c r="L72" t="e">
        <f>IF(AND(B72&lt;'Real Analysis'!$B$32,B72&gt;0),INTEGRAL2(K72,$B72,L71,K71,$B71,'Real Analysis'!$B$20),0)</f>
        <v>#VALUE!</v>
      </c>
      <c r="N72">
        <f>'Real Analysis'!$B$28*'Real Input'!U72+IF('Real Input'!U72 &gt; 0,'Real Analysis'!$B$29,0)</f>
        <v>0</v>
      </c>
      <c r="O72" t="e">
        <f t="shared" si="7"/>
        <v>#VALUE!</v>
      </c>
      <c r="P72" t="e">
        <f t="shared" si="8"/>
        <v>#VALUE!</v>
      </c>
    </row>
    <row r="73" spans="1:16" x14ac:dyDescent="0.3">
      <c r="A73">
        <v>71</v>
      </c>
      <c r="B73">
        <f>'Real Input'!M73</f>
        <v>1.4688380000006873</v>
      </c>
      <c r="C73">
        <f ca="1">INDIRECT(CONCATENATE("'Real Input'!",'Real Analysis'!$B$2,A73+2))</f>
        <v>9.8507409300000006</v>
      </c>
      <c r="D73">
        <f t="shared" si="6"/>
        <v>1.9872000004397705E-2</v>
      </c>
      <c r="E73">
        <f ca="1">IF(B73&gt;0,C73-'Real Analysis'!$B$14,0)</f>
        <v>-5.7568723714265246E-3</v>
      </c>
      <c r="F73">
        <f t="shared" ca="1" si="9"/>
        <v>-7.0787030519456002E-3</v>
      </c>
      <c r="G73">
        <f t="shared" ca="1" si="5"/>
        <v>-2.5859504811184516E-3</v>
      </c>
      <c r="H73">
        <f ca="1">IF(AND(B73&gt;'Real Analysis'!$B$31,B73&lt;'Real Analysis'!$B$32),FilterInput(E73,'Real Analysis'!$B$26,'Real Analysis'!$B$27),0)</f>
        <v>0</v>
      </c>
      <c r="I73" t="e">
        <f>MEDIAN2("Real Values",H73,'Real Analysis'!$B$5,2)</f>
        <v>#VALUE!</v>
      </c>
      <c r="J73" t="e">
        <f>AVERAGE2("Real Values",I73,'Real Analysis'!$B$6,2)</f>
        <v>#VALUE!</v>
      </c>
      <c r="K73" t="e">
        <f>INTEGRAL2(J73,$B73,K72,J72,$B72,'Real Analysis'!$B$19)</f>
        <v>#VALUE!</v>
      </c>
      <c r="L73" t="e">
        <f>IF(AND(B73&lt;'Real Analysis'!$B$32,B73&gt;0),INTEGRAL2(K73,$B73,L72,K72,$B72,'Real Analysis'!$B$20),0)</f>
        <v>#VALUE!</v>
      </c>
      <c r="N73">
        <f>'Real Analysis'!$B$28*'Real Input'!U73+IF('Real Input'!U73 &gt; 0,'Real Analysis'!$B$29,0)</f>
        <v>0</v>
      </c>
      <c r="O73" t="e">
        <f t="shared" si="7"/>
        <v>#VALUE!</v>
      </c>
      <c r="P73" t="e">
        <f t="shared" si="8"/>
        <v>#VALUE!</v>
      </c>
    </row>
    <row r="74" spans="1:16" x14ac:dyDescent="0.3">
      <c r="A74">
        <v>72</v>
      </c>
      <c r="B74">
        <f>'Real Input'!M74</f>
        <v>1.4888170000049286</v>
      </c>
      <c r="C74">
        <f ca="1">INDIRECT(CONCATENATE("'Real Input'!",'Real Analysis'!$B$2,A74+2))</f>
        <v>9.8502111900000013</v>
      </c>
      <c r="D74">
        <f t="shared" si="6"/>
        <v>1.9979000004241243E-2</v>
      </c>
      <c r="E74">
        <f ca="1">IF(B74&gt;0,C74-'Real Analysis'!$B$14,0)</f>
        <v>-6.2866123714258038E-3</v>
      </c>
      <c r="F74">
        <f t="shared" ca="1" si="9"/>
        <v>-7.2043032805409798E-3</v>
      </c>
      <c r="G74">
        <f t="shared" ca="1" si="5"/>
        <v>-2.729885256390935E-3</v>
      </c>
      <c r="H74">
        <f ca="1">IF(AND(B74&gt;'Real Analysis'!$B$31,B74&lt;'Real Analysis'!$B$32),FilterInput(E74,'Real Analysis'!$B$26,'Real Analysis'!$B$27),0)</f>
        <v>0</v>
      </c>
      <c r="I74" t="e">
        <f>MEDIAN2("Real Values",H74,'Real Analysis'!$B$5,2)</f>
        <v>#VALUE!</v>
      </c>
      <c r="J74" t="e">
        <f>AVERAGE2("Real Values",I74,'Real Analysis'!$B$6,2)</f>
        <v>#VALUE!</v>
      </c>
      <c r="K74" t="e">
        <f>INTEGRAL2(J74,$B74,K73,J73,$B73,'Real Analysis'!$B$19)</f>
        <v>#VALUE!</v>
      </c>
      <c r="L74" t="e">
        <f>IF(AND(B74&lt;'Real Analysis'!$B$32,B74&gt;0),INTEGRAL2(K74,$B74,L73,K73,$B73,'Real Analysis'!$B$20),0)</f>
        <v>#VALUE!</v>
      </c>
      <c r="N74">
        <f>'Real Analysis'!$B$28*'Real Input'!U74+IF('Real Input'!U74 &gt; 0,'Real Analysis'!$B$29,0)</f>
        <v>0</v>
      </c>
      <c r="O74" t="e">
        <f t="shared" si="7"/>
        <v>#VALUE!</v>
      </c>
      <c r="P74" t="e">
        <f t="shared" si="8"/>
        <v>#VALUE!</v>
      </c>
    </row>
    <row r="75" spans="1:16" x14ac:dyDescent="0.3">
      <c r="A75">
        <v>73</v>
      </c>
      <c r="B75">
        <f>'Real Input'!M75</f>
        <v>1.5088760000071488</v>
      </c>
      <c r="C75">
        <f ca="1">INDIRECT(CONCATENATE("'Real Input'!",'Real Analysis'!$B$2,A75+2))</f>
        <v>9.8555772600000005</v>
      </c>
      <c r="D75">
        <f t="shared" si="6"/>
        <v>2.0059000002220273E-2</v>
      </c>
      <c r="E75">
        <f ca="1">IF(B75&gt;0,C75-'Real Analysis'!$B$14,0)</f>
        <v>-9.2054237142669137E-4</v>
      </c>
      <c r="F75">
        <f t="shared" ca="1" si="9"/>
        <v>-7.2227684399714717E-3</v>
      </c>
      <c r="G75">
        <f t="shared" ca="1" si="5"/>
        <v>-2.8747667685443592E-3</v>
      </c>
      <c r="H75">
        <f ca="1">IF(AND(B75&gt;'Real Analysis'!$B$31,B75&lt;'Real Analysis'!$B$32),FilterInput(E75,'Real Analysis'!$B$26,'Real Analysis'!$B$27),0)</f>
        <v>0</v>
      </c>
      <c r="I75" t="e">
        <f>MEDIAN2("Real Values",H75,'Real Analysis'!$B$5,2)</f>
        <v>#VALUE!</v>
      </c>
      <c r="J75" t="e">
        <f>AVERAGE2("Real Values",I75,'Real Analysis'!$B$6,2)</f>
        <v>#VALUE!</v>
      </c>
      <c r="K75" t="e">
        <f>INTEGRAL2(J75,$B75,K74,J74,$B74,'Real Analysis'!$B$19)</f>
        <v>#VALUE!</v>
      </c>
      <c r="L75" t="e">
        <f>IF(AND(B75&lt;'Real Analysis'!$B$32,B75&gt;0),INTEGRAL2(K75,$B75,L74,K74,$B74,'Real Analysis'!$B$20),0)</f>
        <v>#VALUE!</v>
      </c>
      <c r="N75">
        <f>'Real Analysis'!$B$28*'Real Input'!U75+IF('Real Input'!U75 &gt; 0,'Real Analysis'!$B$29,0)</f>
        <v>0</v>
      </c>
      <c r="O75" t="e">
        <f t="shared" si="7"/>
        <v>#VALUE!</v>
      </c>
      <c r="P75" t="e">
        <f t="shared" si="8"/>
        <v>#VALUE!</v>
      </c>
    </row>
    <row r="76" spans="1:16" x14ac:dyDescent="0.3">
      <c r="A76">
        <v>74</v>
      </c>
      <c r="B76">
        <f>'Real Input'!M76</f>
        <v>1.5299470000027213</v>
      </c>
      <c r="C76">
        <f ca="1">INDIRECT(CONCATENATE("'Real Input'!",'Real Analysis'!$B$2,A76+2))</f>
        <v>9.8526342600000003</v>
      </c>
      <c r="D76">
        <f t="shared" si="6"/>
        <v>2.1070999995572492E-2</v>
      </c>
      <c r="E76">
        <f ca="1">IF(B76&gt;0,C76-'Real Analysis'!$B$14,0)</f>
        <v>-3.8635423714268313E-3</v>
      </c>
      <c r="F76">
        <f t="shared" ca="1" si="9"/>
        <v>-7.3041771412627006E-3</v>
      </c>
      <c r="G76">
        <f t="shared" ca="1" si="5"/>
        <v>-3.0286730850555663E-3</v>
      </c>
      <c r="H76">
        <f ca="1">IF(AND(B76&gt;'Real Analysis'!$B$31,B76&lt;'Real Analysis'!$B$32),FilterInput(E76,'Real Analysis'!$B$26,'Real Analysis'!$B$27),0)</f>
        <v>0</v>
      </c>
      <c r="I76" t="e">
        <f>MEDIAN2("Real Values",H76,'Real Analysis'!$B$5,2)</f>
        <v>#VALUE!</v>
      </c>
      <c r="J76" t="e">
        <f>AVERAGE2("Real Values",I76,'Real Analysis'!$B$6,2)</f>
        <v>#VALUE!</v>
      </c>
      <c r="K76" t="e">
        <f>INTEGRAL2(J76,$B76,K75,J75,$B75,'Real Analysis'!$B$19)</f>
        <v>#VALUE!</v>
      </c>
      <c r="L76" t="e">
        <f>IF(AND(B76&lt;'Real Analysis'!$B$32,B76&gt;0),INTEGRAL2(K76,$B76,L75,K75,$B75,'Real Analysis'!$B$20),0)</f>
        <v>#VALUE!</v>
      </c>
      <c r="N76">
        <f>'Real Analysis'!$B$28*'Real Input'!U76+IF('Real Input'!U76 &gt; 0,'Real Analysis'!$B$29,0)</f>
        <v>0</v>
      </c>
      <c r="O76" t="e">
        <f t="shared" si="7"/>
        <v>#VALUE!</v>
      </c>
      <c r="P76" t="e">
        <f t="shared" si="8"/>
        <v>#VALUE!</v>
      </c>
    </row>
    <row r="77" spans="1:16" x14ac:dyDescent="0.3">
      <c r="A77">
        <v>75</v>
      </c>
      <c r="B77">
        <f>'Real Input'!M77</f>
        <v>1.5525769999949262</v>
      </c>
      <c r="C77">
        <f ca="1">INDIRECT(CONCATENATE("'Real Input'!",'Real Analysis'!$B$2,A77+2))</f>
        <v>9.8538310799999991</v>
      </c>
      <c r="D77">
        <f t="shared" si="6"/>
        <v>2.262999999220483E-2</v>
      </c>
      <c r="E77">
        <f ca="1">IF(B77&gt;0,C77-'Real Analysis'!$B$14,0)</f>
        <v>-2.6667223714280652E-3</v>
      </c>
      <c r="F77">
        <f t="shared" ca="1" si="9"/>
        <v>-7.3645250685073303E-3</v>
      </c>
      <c r="G77">
        <f t="shared" ca="1" si="5"/>
        <v>-3.1953322872984797E-3</v>
      </c>
      <c r="H77">
        <f ca="1">IF(AND(B77&gt;'Real Analysis'!$B$31,B77&lt;'Real Analysis'!$B$32),FilterInput(E77,'Real Analysis'!$B$26,'Real Analysis'!$B$27),0)</f>
        <v>0</v>
      </c>
      <c r="I77" t="e">
        <f>MEDIAN2("Real Values",H77,'Real Analysis'!$B$5,2)</f>
        <v>#VALUE!</v>
      </c>
      <c r="J77" t="e">
        <f>AVERAGE2("Real Values",I77,'Real Analysis'!$B$6,2)</f>
        <v>#VALUE!</v>
      </c>
      <c r="K77" t="e">
        <f>INTEGRAL2(J77,$B77,K76,J76,$B76,'Real Analysis'!$B$19)</f>
        <v>#VALUE!</v>
      </c>
      <c r="L77" t="e">
        <f>IF(AND(B77&lt;'Real Analysis'!$B$32,B77&gt;0),INTEGRAL2(K77,$B77,L76,K76,$B76,'Real Analysis'!$B$20),0)</f>
        <v>#VALUE!</v>
      </c>
      <c r="N77">
        <f>'Real Analysis'!$B$28*'Real Input'!U77+IF('Real Input'!U77 &gt; 0,'Real Analysis'!$B$29,0)</f>
        <v>0</v>
      </c>
      <c r="O77" t="e">
        <f t="shared" si="7"/>
        <v>#VALUE!</v>
      </c>
      <c r="P77" t="e">
        <f t="shared" si="8"/>
        <v>#VALUE!</v>
      </c>
    </row>
    <row r="78" spans="1:16" x14ac:dyDescent="0.3">
      <c r="A78">
        <v>76</v>
      </c>
      <c r="B78">
        <f>'Real Input'!M78</f>
        <v>1.569312000006903</v>
      </c>
      <c r="C78">
        <f ca="1">INDIRECT(CONCATENATE("'Real Input'!",'Real Analysis'!$B$2,A78+2))</f>
        <v>9.8535465900000005</v>
      </c>
      <c r="D78">
        <f t="shared" si="6"/>
        <v>1.6735000011976808E-2</v>
      </c>
      <c r="E78">
        <f ca="1">IF(B78&gt;0,C78-'Real Analysis'!$B$14,0)</f>
        <v>-2.9512123714265925E-3</v>
      </c>
      <c r="F78">
        <f t="shared" ca="1" si="9"/>
        <v>-7.4139136075785008E-3</v>
      </c>
      <c r="G78">
        <f t="shared" ca="1" si="5"/>
        <v>-3.319404131610101E-3</v>
      </c>
      <c r="H78">
        <f ca="1">IF(AND(B78&gt;'Real Analysis'!$B$31,B78&lt;'Real Analysis'!$B$32),FilterInput(E78,'Real Analysis'!$B$26,'Real Analysis'!$B$27),0)</f>
        <v>0</v>
      </c>
      <c r="I78" t="e">
        <f>MEDIAN2("Real Values",H78,'Real Analysis'!$B$5,2)</f>
        <v>#VALUE!</v>
      </c>
      <c r="J78" t="e">
        <f>AVERAGE2("Real Values",I78,'Real Analysis'!$B$6,2)</f>
        <v>#VALUE!</v>
      </c>
      <c r="K78" t="e">
        <f>INTEGRAL2(J78,$B78,K77,J77,$B77,'Real Analysis'!$B$19)</f>
        <v>#VALUE!</v>
      </c>
      <c r="L78" t="e">
        <f>IF(AND(B78&lt;'Real Analysis'!$B$32,B78&gt;0),INTEGRAL2(K78,$B78,L77,K77,$B77,'Real Analysis'!$B$20),0)</f>
        <v>#VALUE!</v>
      </c>
      <c r="N78">
        <f>'Real Analysis'!$B$28*'Real Input'!U78+IF('Real Input'!U78 &gt; 0,'Real Analysis'!$B$29,0)</f>
        <v>0</v>
      </c>
      <c r="O78" t="e">
        <f t="shared" si="7"/>
        <v>#VALUE!</v>
      </c>
      <c r="P78" t="e">
        <f t="shared" si="8"/>
        <v>#VALUE!</v>
      </c>
    </row>
    <row r="79" spans="1:16" x14ac:dyDescent="0.3">
      <c r="A79">
        <v>77</v>
      </c>
      <c r="B79">
        <f>'Real Input'!M79</f>
        <v>1.5915329999988899</v>
      </c>
      <c r="C79">
        <f ca="1">INDIRECT(CONCATENATE("'Real Input'!",'Real Analysis'!$B$2,A79+2))</f>
        <v>9.8346427200000015</v>
      </c>
      <c r="D79">
        <f t="shared" si="6"/>
        <v>2.2220999991986901E-2</v>
      </c>
      <c r="E79">
        <f ca="1">IF(B79&gt;0,C79-'Real Analysis'!$B$14,0)</f>
        <v>-2.1855082371425638E-2</v>
      </c>
      <c r="F79">
        <f t="shared" ca="1" si="9"/>
        <v>-7.8995553927788224E-3</v>
      </c>
      <c r="G79">
        <f t="shared" ca="1" si="5"/>
        <v>-3.4949401519297394E-3</v>
      </c>
      <c r="H79">
        <f ca="1">IF(AND(B79&gt;'Real Analysis'!$B$31,B79&lt;'Real Analysis'!$B$32),FilterInput(E79,'Real Analysis'!$B$26,'Real Analysis'!$B$27),0)</f>
        <v>0</v>
      </c>
      <c r="I79" t="e">
        <f>MEDIAN2("Real Values",H79,'Real Analysis'!$B$5,2)</f>
        <v>#VALUE!</v>
      </c>
      <c r="J79" t="e">
        <f>AVERAGE2("Real Values",I79,'Real Analysis'!$B$6,2)</f>
        <v>#VALUE!</v>
      </c>
      <c r="K79" t="e">
        <f>INTEGRAL2(J79,$B79,K78,J78,$B78,'Real Analysis'!$B$19)</f>
        <v>#VALUE!</v>
      </c>
      <c r="L79" t="e">
        <f>IF(AND(B79&lt;'Real Analysis'!$B$32,B79&gt;0),INTEGRAL2(K79,$B79,L78,K78,$B78,'Real Analysis'!$B$20),0)</f>
        <v>#VALUE!</v>
      </c>
      <c r="N79">
        <f>'Real Analysis'!$B$28*'Real Input'!U79+IF('Real Input'!U79 &gt; 0,'Real Analysis'!$B$29,0)</f>
        <v>0</v>
      </c>
      <c r="O79" t="e">
        <f t="shared" si="7"/>
        <v>#VALUE!</v>
      </c>
      <c r="P79" t="e">
        <f t="shared" si="8"/>
        <v>#VALUE!</v>
      </c>
    </row>
    <row r="80" spans="1:16" x14ac:dyDescent="0.3">
      <c r="A80">
        <v>78</v>
      </c>
      <c r="B80">
        <f>'Real Input'!M80</f>
        <v>1.609452999997302</v>
      </c>
      <c r="C80">
        <f ca="1">INDIRECT(CONCATENATE("'Real Input'!",'Real Analysis'!$B$2,A80+2))</f>
        <v>9.7913610000000002</v>
      </c>
      <c r="D80">
        <f t="shared" si="6"/>
        <v>1.7919999998412095E-2</v>
      </c>
      <c r="E80">
        <f ca="1">IF(B80&gt;0,C80-'Real Analysis'!$B$14,0)</f>
        <v>-6.5136802371426938E-2</v>
      </c>
      <c r="F80">
        <f t="shared" ca="1" si="9"/>
        <v>-9.0668068911713626E-3</v>
      </c>
      <c r="G80">
        <f t="shared" ca="1" si="5"/>
        <v>-3.657417331405133E-3</v>
      </c>
      <c r="H80">
        <f ca="1">IF(AND(B80&gt;'Real Analysis'!$B$31,B80&lt;'Real Analysis'!$B$32),FilterInput(E80,'Real Analysis'!$B$26,'Real Analysis'!$B$27),0)</f>
        <v>0</v>
      </c>
      <c r="I80" t="e">
        <f>MEDIAN2("Real Values",H80,'Real Analysis'!$B$5,2)</f>
        <v>#VALUE!</v>
      </c>
      <c r="J80" t="e">
        <f>AVERAGE2("Real Values",I80,'Real Analysis'!$B$6,2)</f>
        <v>#VALUE!</v>
      </c>
      <c r="K80" t="e">
        <f>INTEGRAL2(J80,$B80,K79,J79,$B79,'Real Analysis'!$B$19)</f>
        <v>#VALUE!</v>
      </c>
      <c r="L80" t="e">
        <f>IF(AND(B80&lt;'Real Analysis'!$B$32,B80&gt;0),INTEGRAL2(K80,$B80,L79,K79,$B79,'Real Analysis'!$B$20),0)</f>
        <v>#VALUE!</v>
      </c>
      <c r="N80">
        <f>'Real Analysis'!$B$28*'Real Input'!U80+IF('Real Input'!U80 &gt; 0,'Real Analysis'!$B$29,0)</f>
        <v>0</v>
      </c>
      <c r="O80" t="e">
        <f t="shared" si="7"/>
        <v>#VALUE!</v>
      </c>
      <c r="P80" t="e">
        <f t="shared" si="8"/>
        <v>#VALUE!</v>
      </c>
    </row>
    <row r="81" spans="1:16" x14ac:dyDescent="0.3">
      <c r="A81">
        <v>79</v>
      </c>
      <c r="B81">
        <f>'Real Input'!M81</f>
        <v>1.629335000005085</v>
      </c>
      <c r="C81">
        <f ca="1">INDIRECT(CONCATENATE("'Real Input'!",'Real Analysis'!$B$2,A81+2))</f>
        <v>9.7739384400000002</v>
      </c>
      <c r="D81">
        <f t="shared" si="6"/>
        <v>1.9882000007783063E-2</v>
      </c>
      <c r="E81">
        <f ca="1">IF(B81&gt;0,C81-'Real Analysis'!$B$14,0)</f>
        <v>-8.2559362371426914E-2</v>
      </c>
      <c r="F81">
        <f t="shared" ca="1" si="9"/>
        <v>-1.0708252134482637E-2</v>
      </c>
      <c r="G81">
        <f t="shared" ca="1" si="5"/>
        <v>-3.8703188004262598E-3</v>
      </c>
      <c r="H81">
        <f ca="1">IF(AND(B81&gt;'Real Analysis'!$B$31,B81&lt;'Real Analysis'!$B$32),FilterInput(E81,'Real Analysis'!$B$26,'Real Analysis'!$B$27),0)</f>
        <v>0</v>
      </c>
      <c r="I81" t="e">
        <f>MEDIAN2("Real Values",H81,'Real Analysis'!$B$5,2)</f>
        <v>#VALUE!</v>
      </c>
      <c r="J81" t="e">
        <f>AVERAGE2("Real Values",I81,'Real Analysis'!$B$6,2)</f>
        <v>#VALUE!</v>
      </c>
      <c r="K81" t="e">
        <f>INTEGRAL2(J81,$B81,K80,J80,$B80,'Real Analysis'!$B$19)</f>
        <v>#VALUE!</v>
      </c>
      <c r="L81" t="e">
        <f>IF(AND(B81&lt;'Real Analysis'!$B$32,B81&gt;0),INTEGRAL2(K81,$B81,L80,K80,$B80,'Real Analysis'!$B$20),0)</f>
        <v>#VALUE!</v>
      </c>
      <c r="N81">
        <f>'Real Analysis'!$B$28*'Real Input'!U81+IF('Real Input'!U81 &gt; 0,'Real Analysis'!$B$29,0)</f>
        <v>0</v>
      </c>
      <c r="O81" t="e">
        <f t="shared" si="7"/>
        <v>#VALUE!</v>
      </c>
      <c r="P81" t="e">
        <f t="shared" si="8"/>
        <v>#VALUE!</v>
      </c>
    </row>
    <row r="82" spans="1:16" x14ac:dyDescent="0.3">
      <c r="A82">
        <v>80</v>
      </c>
      <c r="B82">
        <f>'Real Input'!M82</f>
        <v>1.6445709999970859</v>
      </c>
      <c r="C82">
        <f ca="1">INDIRECT(CONCATENATE("'Real Input'!",'Real Analysis'!$B$2,A82+2))</f>
        <v>9.7711524000000001</v>
      </c>
      <c r="D82">
        <f t="shared" si="6"/>
        <v>1.523599999200087E-2</v>
      </c>
      <c r="E82">
        <f ca="1">IF(B82&gt;0,C82-'Real Analysis'!$B$14,0)</f>
        <v>-8.534540237142707E-2</v>
      </c>
      <c r="F82">
        <f t="shared" ca="1" si="9"/>
        <v>-1.200857468433101E-2</v>
      </c>
      <c r="G82">
        <f t="shared" ca="1" si="5"/>
        <v>-4.0532814442206687E-3</v>
      </c>
      <c r="H82">
        <f ca="1">IF(AND(B82&gt;'Real Analysis'!$B$31,B82&lt;'Real Analysis'!$B$32),FilterInput(E82,'Real Analysis'!$B$26,'Real Analysis'!$B$27),0)</f>
        <v>0</v>
      </c>
      <c r="I82" t="e">
        <f>MEDIAN2("Real Values",H82,'Real Analysis'!$B$5,2)</f>
        <v>#VALUE!</v>
      </c>
      <c r="J82" t="e">
        <f>AVERAGE2("Real Values",I82,'Real Analysis'!$B$6,2)</f>
        <v>#VALUE!</v>
      </c>
      <c r="K82" t="e">
        <f>INTEGRAL2(J82,$B82,K81,J81,$B81,'Real Analysis'!$B$19)</f>
        <v>#VALUE!</v>
      </c>
      <c r="L82" t="e">
        <f>IF(AND(B82&lt;'Real Analysis'!$B$32,B82&gt;0),INTEGRAL2(K82,$B82,L81,K81,$B81,'Real Analysis'!$B$20),0)</f>
        <v>#VALUE!</v>
      </c>
      <c r="N82">
        <f>'Real Analysis'!$B$28*'Real Input'!U82+IF('Real Input'!U82 &gt; 0,'Real Analysis'!$B$29,0)</f>
        <v>0</v>
      </c>
      <c r="O82" t="e">
        <f t="shared" si="7"/>
        <v>#VALUE!</v>
      </c>
      <c r="P82" t="e">
        <f t="shared" si="8"/>
        <v>#VALUE!</v>
      </c>
    </row>
    <row r="83" spans="1:16" x14ac:dyDescent="0.3">
      <c r="A83">
        <v>81</v>
      </c>
      <c r="B83">
        <f>'Real Input'!M83</f>
        <v>1.6701780000003055</v>
      </c>
      <c r="C83">
        <f ca="1">INDIRECT(CONCATENATE("'Real Input'!",'Real Analysis'!$B$2,A83+2))</f>
        <v>9.8669862899999998</v>
      </c>
      <c r="D83">
        <f t="shared" si="6"/>
        <v>2.5607000003219582E-2</v>
      </c>
      <c r="E83">
        <f ca="1">IF(B83&gt;0,C83-'Real Analysis'!$B$14,0)</f>
        <v>1.0488487628572685E-2</v>
      </c>
      <c r="F83">
        <f t="shared" ca="1" si="9"/>
        <v>-1.173999598159238E-2</v>
      </c>
      <c r="G83">
        <f t="shared" ca="1" si="5"/>
        <v>-4.3539075213591023E-3</v>
      </c>
      <c r="H83">
        <f ca="1">IF(AND(B83&gt;'Real Analysis'!$B$31,B83&lt;'Real Analysis'!$B$32),FilterInput(E83,'Real Analysis'!$B$26,'Real Analysis'!$B$27),0)</f>
        <v>0</v>
      </c>
      <c r="I83" t="e">
        <f>MEDIAN2("Real Values",H83,'Real Analysis'!$B$5,2)</f>
        <v>#VALUE!</v>
      </c>
      <c r="J83" t="e">
        <f>AVERAGE2("Real Values",I83,'Real Analysis'!$B$6,2)</f>
        <v>#VALUE!</v>
      </c>
      <c r="K83" t="e">
        <f>INTEGRAL2(J83,$B83,K82,J82,$B82,'Real Analysis'!$B$19)</f>
        <v>#VALUE!</v>
      </c>
      <c r="L83" t="e">
        <f>IF(AND(B83&lt;'Real Analysis'!$B$32,B83&gt;0),INTEGRAL2(K83,$B83,L82,K82,$B82,'Real Analysis'!$B$20),0)</f>
        <v>#VALUE!</v>
      </c>
      <c r="N83">
        <f>'Real Analysis'!$B$28*'Real Input'!U83+IF('Real Input'!U83 &gt; 0,'Real Analysis'!$B$29,0)</f>
        <v>0</v>
      </c>
      <c r="O83" t="e">
        <f t="shared" si="7"/>
        <v>#VALUE!</v>
      </c>
      <c r="P83" t="e">
        <f t="shared" si="8"/>
        <v>#VALUE!</v>
      </c>
    </row>
    <row r="84" spans="1:16" x14ac:dyDescent="0.3">
      <c r="A84">
        <v>82</v>
      </c>
      <c r="B84">
        <f>'Real Input'!M84</f>
        <v>1.6902649999974528</v>
      </c>
      <c r="C84">
        <f ca="1">INDIRECT(CONCATENATE("'Real Input'!",'Real Analysis'!$B$2,A84+2))</f>
        <v>9.8524576800000023</v>
      </c>
      <c r="D84">
        <f t="shared" si="6"/>
        <v>2.0086999997147359E-2</v>
      </c>
      <c r="E84">
        <f ca="1">IF(B84&gt;0,C84-'Real Analysis'!$B$14,0)</f>
        <v>-4.0401223714248147E-3</v>
      </c>
      <c r="F84">
        <f t="shared" ca="1" si="9"/>
        <v>-1.1821149919655665E-2</v>
      </c>
      <c r="G84">
        <f t="shared" ca="1" si="5"/>
        <v>-4.591358959761504E-3</v>
      </c>
      <c r="H84">
        <f ca="1">IF(AND(B84&gt;'Real Analysis'!$B$31,B84&lt;'Real Analysis'!$B$32),FilterInput(E84,'Real Analysis'!$B$26,'Real Analysis'!$B$27),0)</f>
        <v>0</v>
      </c>
      <c r="I84" t="e">
        <f>MEDIAN2("Real Values",H84,'Real Analysis'!$B$5,2)</f>
        <v>#VALUE!</v>
      </c>
      <c r="J84" t="e">
        <f>AVERAGE2("Real Values",I84,'Real Analysis'!$B$6,2)</f>
        <v>#VALUE!</v>
      </c>
      <c r="K84" t="e">
        <f>INTEGRAL2(J84,$B84,K83,J83,$B83,'Real Analysis'!$B$19)</f>
        <v>#VALUE!</v>
      </c>
      <c r="L84" t="e">
        <f>IF(AND(B84&lt;'Real Analysis'!$B$32,B84&gt;0),INTEGRAL2(K84,$B84,L83,K83,$B83,'Real Analysis'!$B$20),0)</f>
        <v>#VALUE!</v>
      </c>
      <c r="N84">
        <f>'Real Analysis'!$B$28*'Real Input'!U84+IF('Real Input'!U84 &gt; 0,'Real Analysis'!$B$29,0)</f>
        <v>0</v>
      </c>
      <c r="O84" t="e">
        <f t="shared" si="7"/>
        <v>#VALUE!</v>
      </c>
      <c r="P84" t="e">
        <f t="shared" si="8"/>
        <v>#VALUE!</v>
      </c>
    </row>
    <row r="85" spans="1:16" x14ac:dyDescent="0.3">
      <c r="A85">
        <v>83</v>
      </c>
      <c r="B85">
        <f>'Real Input'!M85</f>
        <v>1.7111560000048485</v>
      </c>
      <c r="C85">
        <f ca="1">INDIRECT(CONCATENATE("'Real Input'!",'Real Analysis'!$B$2,A85+2))</f>
        <v>9.8532719100000001</v>
      </c>
      <c r="D85">
        <f t="shared" si="6"/>
        <v>2.0891000007395633E-2</v>
      </c>
      <c r="E85">
        <f ca="1">IF(B85&gt;0,C85-'Real Analysis'!$B$14,0)</f>
        <v>-3.2258923714270082E-3</v>
      </c>
      <c r="F85">
        <f t="shared" ca="1" si="9"/>
        <v>-1.1888542037211005E-2</v>
      </c>
      <c r="G85">
        <f t="shared" ca="1" si="5"/>
        <v>-4.8397224915488028E-3</v>
      </c>
      <c r="H85">
        <f ca="1">IF(AND(B85&gt;'Real Analysis'!$B$31,B85&lt;'Real Analysis'!$B$32),FilterInput(E85,'Real Analysis'!$B$26,'Real Analysis'!$B$27),0)</f>
        <v>0</v>
      </c>
      <c r="I85" t="e">
        <f>MEDIAN2("Real Values",H85,'Real Analysis'!$B$5,2)</f>
        <v>#VALUE!</v>
      </c>
      <c r="J85" t="e">
        <f>AVERAGE2("Real Values",I85,'Real Analysis'!$B$6,2)</f>
        <v>#VALUE!</v>
      </c>
      <c r="K85" t="e">
        <f>INTEGRAL2(J85,$B85,K84,J84,$B84,'Real Analysis'!$B$19)</f>
        <v>#VALUE!</v>
      </c>
      <c r="L85" t="e">
        <f>IF(AND(B85&lt;'Real Analysis'!$B$32,B85&gt;0),INTEGRAL2(K85,$B85,L84,K84,$B84,'Real Analysis'!$B$20),0)</f>
        <v>#VALUE!</v>
      </c>
      <c r="N85">
        <f>'Real Analysis'!$B$28*'Real Input'!U85+IF('Real Input'!U85 &gt; 0,'Real Analysis'!$B$29,0)</f>
        <v>0</v>
      </c>
      <c r="O85" t="e">
        <f t="shared" si="7"/>
        <v>#VALUE!</v>
      </c>
      <c r="P85" t="e">
        <f t="shared" si="8"/>
        <v>#VALUE!</v>
      </c>
    </row>
    <row r="86" spans="1:16" x14ac:dyDescent="0.3">
      <c r="A86">
        <v>84</v>
      </c>
      <c r="B86">
        <f>'Real Input'!M86</f>
        <v>1.7268270000058692</v>
      </c>
      <c r="C86">
        <f ca="1">INDIRECT(CONCATENATE("'Real Input'!",'Real Analysis'!$B$2,A86+2))</f>
        <v>9.8541450000000008</v>
      </c>
      <c r="D86">
        <f t="shared" si="6"/>
        <v>1.567100000102073E-2</v>
      </c>
      <c r="E86">
        <f ca="1">IF(B86&gt;0,C86-'Real Analysis'!$B$14,0)</f>
        <v>-2.3528023714263213E-3</v>
      </c>
      <c r="F86">
        <f t="shared" ca="1" si="9"/>
        <v>-1.1925412803176029E-2</v>
      </c>
      <c r="G86">
        <f t="shared" ca="1" si="5"/>
        <v>-5.0266056355995469E-3</v>
      </c>
      <c r="H86">
        <f ca="1">IF(AND(B86&gt;'Real Analysis'!$B$31,B86&lt;'Real Analysis'!$B$32),FilterInput(E86,'Real Analysis'!$B$26,'Real Analysis'!$B$27),0)</f>
        <v>0</v>
      </c>
      <c r="I86" t="e">
        <f>MEDIAN2("Real Values",H86,'Real Analysis'!$B$5,2)</f>
        <v>#VALUE!</v>
      </c>
      <c r="J86" t="e">
        <f>AVERAGE2("Real Values",I86,'Real Analysis'!$B$6,2)</f>
        <v>#VALUE!</v>
      </c>
      <c r="K86" t="e">
        <f>INTEGRAL2(J86,$B86,K85,J85,$B85,'Real Analysis'!$B$19)</f>
        <v>#VALUE!</v>
      </c>
      <c r="L86" t="e">
        <f>IF(AND(B86&lt;'Real Analysis'!$B$32,B86&gt;0),INTEGRAL2(K86,$B86,L85,K85,$B85,'Real Analysis'!$B$20),0)</f>
        <v>#VALUE!</v>
      </c>
      <c r="N86">
        <f>'Real Analysis'!$B$28*'Real Input'!U86+IF('Real Input'!U86 &gt; 0,'Real Analysis'!$B$29,0)</f>
        <v>0</v>
      </c>
      <c r="O86" t="e">
        <f t="shared" si="7"/>
        <v>#VALUE!</v>
      </c>
      <c r="P86" t="e">
        <f t="shared" si="8"/>
        <v>#VALUE!</v>
      </c>
    </row>
    <row r="87" spans="1:16" x14ac:dyDescent="0.3">
      <c r="A87">
        <v>85</v>
      </c>
      <c r="B87">
        <f>'Real Input'!M87</f>
        <v>1.7516009999962989</v>
      </c>
      <c r="C87">
        <f ca="1">INDIRECT(CONCATENATE("'Real Input'!",'Real Analysis'!$B$2,A87+2))</f>
        <v>9.8537231700000003</v>
      </c>
      <c r="D87">
        <f t="shared" si="6"/>
        <v>2.4773999990429729E-2</v>
      </c>
      <c r="E87">
        <f ca="1">IF(B87&gt;0,C87-'Real Analysis'!$B$14,0)</f>
        <v>-2.7746323714268328E-3</v>
      </c>
      <c r="F87">
        <f t="shared" ca="1" si="9"/>
        <v>-1.1994151545519202E-2</v>
      </c>
      <c r="G87">
        <f t="shared" ca="1" si="5"/>
        <v>-5.3237487458734521E-3</v>
      </c>
      <c r="H87">
        <f ca="1">IF(AND(B87&gt;'Real Analysis'!$B$31,B87&lt;'Real Analysis'!$B$32),FilterInput(E87,'Real Analysis'!$B$26,'Real Analysis'!$B$27),0)</f>
        <v>0</v>
      </c>
      <c r="I87" t="e">
        <f>MEDIAN2("Real Values",H87,'Real Analysis'!$B$5,2)</f>
        <v>#VALUE!</v>
      </c>
      <c r="J87" t="e">
        <f>AVERAGE2("Real Values",I87,'Real Analysis'!$B$6,2)</f>
        <v>#VALUE!</v>
      </c>
      <c r="K87" t="e">
        <f>INTEGRAL2(J87,$B87,K86,J86,$B86,'Real Analysis'!$B$19)</f>
        <v>#VALUE!</v>
      </c>
      <c r="L87" t="e">
        <f>IF(AND(B87&lt;'Real Analysis'!$B$32,B87&gt;0),INTEGRAL2(K87,$B87,L86,K86,$B86,'Real Analysis'!$B$20),0)</f>
        <v>#VALUE!</v>
      </c>
      <c r="N87">
        <f>'Real Analysis'!$B$28*'Real Input'!U87+IF('Real Input'!U87 &gt; 0,'Real Analysis'!$B$29,0)</f>
        <v>0</v>
      </c>
      <c r="O87" t="e">
        <f t="shared" si="7"/>
        <v>#VALUE!</v>
      </c>
      <c r="P87" t="e">
        <f t="shared" si="8"/>
        <v>#VALUE!</v>
      </c>
    </row>
    <row r="88" spans="1:16" x14ac:dyDescent="0.3">
      <c r="A88">
        <v>86</v>
      </c>
      <c r="B88">
        <f>'Real Input'!M88</f>
        <v>1.7652260000031674</v>
      </c>
      <c r="C88">
        <f ca="1">INDIRECT(CONCATENATE("'Real Input'!",'Real Analysis'!$B$2,A88+2))</f>
        <v>9.8533700100000008</v>
      </c>
      <c r="D88">
        <f t="shared" si="6"/>
        <v>1.3625000006868504E-2</v>
      </c>
      <c r="E88">
        <f ca="1">IF(B88&gt;0,C88-'Real Analysis'!$B$14,0)</f>
        <v>-3.1277923714263522E-3</v>
      </c>
      <c r="F88">
        <f t="shared" ca="1" si="9"/>
        <v>-1.2036767716601371E-2</v>
      </c>
      <c r="G88">
        <f t="shared" ca="1" si="5"/>
        <v>-5.4877497060948207E-3</v>
      </c>
      <c r="H88">
        <f ca="1">IF(AND(B88&gt;'Real Analysis'!$B$31,B88&lt;'Real Analysis'!$B$32),FilterInput(E88,'Real Analysis'!$B$26,'Real Analysis'!$B$27),0)</f>
        <v>0</v>
      </c>
      <c r="I88" t="e">
        <f>MEDIAN2("Real Values",H88,'Real Analysis'!$B$5,2)</f>
        <v>#VALUE!</v>
      </c>
      <c r="J88" t="e">
        <f>AVERAGE2("Real Values",I88,'Real Analysis'!$B$6,2)</f>
        <v>#VALUE!</v>
      </c>
      <c r="K88" t="e">
        <f>INTEGRAL2(J88,$B88,K87,J87,$B87,'Real Analysis'!$B$19)</f>
        <v>#VALUE!</v>
      </c>
      <c r="L88" t="e">
        <f>IF(AND(B88&lt;'Real Analysis'!$B$32,B88&gt;0),INTEGRAL2(K88,$B88,L87,K87,$B87,'Real Analysis'!$B$20),0)</f>
        <v>#VALUE!</v>
      </c>
      <c r="N88">
        <f>'Real Analysis'!$B$28*'Real Input'!U88+IF('Real Input'!U88 &gt; 0,'Real Analysis'!$B$29,0)</f>
        <v>0</v>
      </c>
      <c r="O88" t="e">
        <f t="shared" si="7"/>
        <v>#VALUE!</v>
      </c>
      <c r="P88" t="e">
        <f t="shared" si="8"/>
        <v>#VALUE!</v>
      </c>
    </row>
    <row r="89" spans="1:16" x14ac:dyDescent="0.3">
      <c r="A89">
        <v>87</v>
      </c>
      <c r="B89">
        <f>'Real Input'!M89</f>
        <v>1.7857209999929182</v>
      </c>
      <c r="C89">
        <f ca="1">INDIRECT(CONCATENATE("'Real Input'!",'Real Analysis'!$B$2,A89+2))</f>
        <v>9.8535858300000001</v>
      </c>
      <c r="D89">
        <f t="shared" si="6"/>
        <v>2.0494999989750795E-2</v>
      </c>
      <c r="E89">
        <f ca="1">IF(B89&gt;0,C89-'Real Analysis'!$B$14,0)</f>
        <v>-2.9119723714270407E-3</v>
      </c>
      <c r="F89">
        <f t="shared" ca="1" si="9"/>
        <v>-1.2096448590323923E-2</v>
      </c>
      <c r="G89">
        <f t="shared" ca="1" si="5"/>
        <v>-5.7356664198295309E-3</v>
      </c>
      <c r="H89">
        <f ca="1">IF(AND(B89&gt;'Real Analysis'!$B$31,B89&lt;'Real Analysis'!$B$32),FilterInput(E89,'Real Analysis'!$B$26,'Real Analysis'!$B$27),0)</f>
        <v>0</v>
      </c>
      <c r="I89" t="e">
        <f>MEDIAN2("Real Values",H89,'Real Analysis'!$B$5,2)</f>
        <v>#VALUE!</v>
      </c>
      <c r="J89" t="e">
        <f>AVERAGE2("Real Values",I89,'Real Analysis'!$B$6,2)</f>
        <v>#VALUE!</v>
      </c>
      <c r="K89" t="e">
        <f>INTEGRAL2(J89,$B89,K88,J88,$B88,'Real Analysis'!$B$19)</f>
        <v>#VALUE!</v>
      </c>
      <c r="L89" t="e">
        <f>IF(AND(B89&lt;'Real Analysis'!$B$32,B89&gt;0),INTEGRAL2(K89,$B89,L88,K88,$B88,'Real Analysis'!$B$20),0)</f>
        <v>#VALUE!</v>
      </c>
      <c r="N89">
        <f>'Real Analysis'!$B$28*'Real Input'!U89+IF('Real Input'!U89 &gt; 0,'Real Analysis'!$B$29,0)</f>
        <v>0</v>
      </c>
      <c r="O89" t="e">
        <f t="shared" si="7"/>
        <v>#VALUE!</v>
      </c>
      <c r="P89" t="e">
        <f t="shared" si="8"/>
        <v>#VALUE!</v>
      </c>
    </row>
    <row r="90" spans="1:16" x14ac:dyDescent="0.3">
      <c r="A90">
        <v>88</v>
      </c>
      <c r="B90">
        <f>'Real Input'!M90</f>
        <v>1.8108459999930346</v>
      </c>
      <c r="C90">
        <f ca="1">INDIRECT(CONCATENATE("'Real Input'!",'Real Analysis'!$B$2,A90+2))</f>
        <v>9.8535465900000005</v>
      </c>
      <c r="D90">
        <f t="shared" si="6"/>
        <v>2.5125000000116415E-2</v>
      </c>
      <c r="E90">
        <f ca="1">IF(B90&gt;0,C90-'Real Analysis'!$B$14,0)</f>
        <v>-2.9512123714265925E-3</v>
      </c>
      <c r="F90">
        <f t="shared" ca="1" si="9"/>
        <v>-1.217059780115636E-2</v>
      </c>
      <c r="G90">
        <f t="shared" ca="1" si="5"/>
        <v>-6.0414526895850012E-3</v>
      </c>
      <c r="H90">
        <f ca="1">IF(AND(B90&gt;'Real Analysis'!$B$31,B90&lt;'Real Analysis'!$B$32),FilterInput(E90,'Real Analysis'!$B$26,'Real Analysis'!$B$27),0)</f>
        <v>0</v>
      </c>
      <c r="I90" t="e">
        <f>MEDIAN2("Real Values",H90,'Real Analysis'!$B$5,2)</f>
        <v>#VALUE!</v>
      </c>
      <c r="J90" t="e">
        <f>AVERAGE2("Real Values",I90,'Real Analysis'!$B$6,2)</f>
        <v>#VALUE!</v>
      </c>
      <c r="K90" t="e">
        <f>INTEGRAL2(J90,$B90,K89,J89,$B89,'Real Analysis'!$B$19)</f>
        <v>#VALUE!</v>
      </c>
      <c r="L90" t="e">
        <f>IF(AND(B90&lt;'Real Analysis'!$B$32,B90&gt;0),INTEGRAL2(K90,$B90,L89,K89,$B89,'Real Analysis'!$B$20),0)</f>
        <v>#VALUE!</v>
      </c>
      <c r="N90">
        <f>'Real Analysis'!$B$28*'Real Input'!U90+IF('Real Input'!U90 &gt; 0,'Real Analysis'!$B$29,0)</f>
        <v>0</v>
      </c>
      <c r="O90" t="e">
        <f t="shared" si="7"/>
        <v>#VALUE!</v>
      </c>
      <c r="P90" t="e">
        <f t="shared" si="8"/>
        <v>#VALUE!</v>
      </c>
    </row>
    <row r="91" spans="1:16" x14ac:dyDescent="0.3">
      <c r="A91">
        <v>89</v>
      </c>
      <c r="B91">
        <f>'Real Input'!M91</f>
        <v>1.8259269999980461</v>
      </c>
      <c r="C91">
        <f ca="1">INDIRECT(CONCATENATE("'Real Input'!",'Real Analysis'!$B$2,A91+2))</f>
        <v>9.8536545000000011</v>
      </c>
      <c r="D91">
        <f t="shared" si="6"/>
        <v>1.5081000005011447E-2</v>
      </c>
      <c r="E91">
        <f ca="1">IF(B91&gt;0,C91-'Real Analysis'!$B$14,0)</f>
        <v>-2.8433023714260486E-3</v>
      </c>
      <c r="F91">
        <f t="shared" ca="1" si="9"/>
        <v>-1.2213477644234085E-2</v>
      </c>
      <c r="G91">
        <f t="shared" ca="1" si="5"/>
        <v>-6.2256441459989029E-3</v>
      </c>
      <c r="H91">
        <f ca="1">IF(AND(B91&gt;'Real Analysis'!$B$31,B91&lt;'Real Analysis'!$B$32),FilterInput(E91,'Real Analysis'!$B$26,'Real Analysis'!$B$27),0)</f>
        <v>0</v>
      </c>
      <c r="I91" t="e">
        <f>MEDIAN2("Real Values",H91,'Real Analysis'!$B$5,2)</f>
        <v>#VALUE!</v>
      </c>
      <c r="J91" t="e">
        <f>AVERAGE2("Real Values",I91,'Real Analysis'!$B$6,2)</f>
        <v>#VALUE!</v>
      </c>
      <c r="K91" t="e">
        <f>INTEGRAL2(J91,$B91,K90,J90,$B90,'Real Analysis'!$B$19)</f>
        <v>#VALUE!</v>
      </c>
      <c r="L91" t="e">
        <f>IF(AND(B91&lt;'Real Analysis'!$B$32,B91&gt;0),INTEGRAL2(K91,$B91,L90,K90,$B90,'Real Analysis'!$B$20),0)</f>
        <v>#VALUE!</v>
      </c>
      <c r="N91">
        <f>'Real Analysis'!$B$28*'Real Input'!U91+IF('Real Input'!U91 &gt; 0,'Real Analysis'!$B$29,0)</f>
        <v>0</v>
      </c>
      <c r="O91" t="e">
        <f t="shared" si="7"/>
        <v>#VALUE!</v>
      </c>
      <c r="P91" t="e">
        <f t="shared" si="8"/>
        <v>#VALUE!</v>
      </c>
    </row>
    <row r="92" spans="1:16" x14ac:dyDescent="0.3">
      <c r="A92">
        <v>90</v>
      </c>
      <c r="B92">
        <f>'Real Input'!M92</f>
        <v>1.8516570000065258</v>
      </c>
      <c r="C92">
        <f ca="1">INDIRECT(CONCATENATE("'Real Input'!",'Real Analysis'!$B$2,A92+2))</f>
        <v>9.8194862700000005</v>
      </c>
      <c r="D92">
        <f t="shared" si="6"/>
        <v>2.5730000008479692E-2</v>
      </c>
      <c r="E92">
        <f ca="1">IF(B92&gt;0,C92-'Real Analysis'!$B$14,0)</f>
        <v>-3.7011532371426625E-2</v>
      </c>
      <c r="F92">
        <f t="shared" ca="1" si="9"/>
        <v>-1.3165784372464738E-2</v>
      </c>
      <c r="G92">
        <f t="shared" ca="1" si="5"/>
        <v>-6.5643997780140623E-3</v>
      </c>
      <c r="H92">
        <f ca="1">IF(AND(B92&gt;'Real Analysis'!$B$31,B92&lt;'Real Analysis'!$B$32),FilterInput(E92,'Real Analysis'!$B$26,'Real Analysis'!$B$27),0)</f>
        <v>0</v>
      </c>
      <c r="I92" t="e">
        <f>MEDIAN2("Real Values",H92,'Real Analysis'!$B$5,2)</f>
        <v>#VALUE!</v>
      </c>
      <c r="J92" t="e">
        <f>AVERAGE2("Real Values",I92,'Real Analysis'!$B$6,2)</f>
        <v>#VALUE!</v>
      </c>
      <c r="K92" t="e">
        <f>INTEGRAL2(J92,$B92,K91,J91,$B91,'Real Analysis'!$B$19)</f>
        <v>#VALUE!</v>
      </c>
      <c r="L92" t="e">
        <f>IF(AND(B92&lt;'Real Analysis'!$B$32,B92&gt;0),INTEGRAL2(K92,$B92,L91,K91,$B91,'Real Analysis'!$B$20),0)</f>
        <v>#VALUE!</v>
      </c>
      <c r="N92">
        <f>'Real Analysis'!$B$28*'Real Input'!U92+IF('Real Input'!U92 &gt; 0,'Real Analysis'!$B$29,0)</f>
        <v>0</v>
      </c>
      <c r="O92" t="e">
        <f t="shared" si="7"/>
        <v>#VALUE!</v>
      </c>
      <c r="P92" t="e">
        <f t="shared" si="8"/>
        <v>#VALUE!</v>
      </c>
    </row>
    <row r="93" spans="1:16" x14ac:dyDescent="0.3">
      <c r="A93">
        <v>91</v>
      </c>
      <c r="B93">
        <f>'Real Input'!M93</f>
        <v>1.8665509999991627</v>
      </c>
      <c r="C93">
        <f ca="1">INDIRECT(CONCATENATE("'Real Input'!",'Real Analysis'!$B$2,A93+2))</f>
        <v>9.8315623799999994</v>
      </c>
      <c r="D93">
        <f t="shared" si="6"/>
        <v>1.4893999992636964E-2</v>
      </c>
      <c r="E93">
        <f ca="1">IF(B93&gt;0,C93-'Real Analysis'!$B$14,0)</f>
        <v>-2.4935422371427762E-2</v>
      </c>
      <c r="F93">
        <f t="shared" ca="1" si="9"/>
        <v>-1.3537172553081182E-2</v>
      </c>
      <c r="G93">
        <f t="shared" ca="1" si="5"/>
        <v>-6.766022425919979E-3</v>
      </c>
      <c r="H93">
        <f ca="1">IF(AND(B93&gt;'Real Analysis'!$B$31,B93&lt;'Real Analysis'!$B$32),FilterInput(E93,'Real Analysis'!$B$26,'Real Analysis'!$B$27),0)</f>
        <v>0</v>
      </c>
      <c r="I93" t="e">
        <f>MEDIAN2("Real Values",H93,'Real Analysis'!$B$5,2)</f>
        <v>#VALUE!</v>
      </c>
      <c r="J93" t="e">
        <f>AVERAGE2("Real Values",I93,'Real Analysis'!$B$6,2)</f>
        <v>#VALUE!</v>
      </c>
      <c r="K93" t="e">
        <f>INTEGRAL2(J93,$B93,K92,J92,$B92,'Real Analysis'!$B$19)</f>
        <v>#VALUE!</v>
      </c>
      <c r="L93" t="e">
        <f>IF(AND(B93&lt;'Real Analysis'!$B$32,B93&gt;0),INTEGRAL2(K93,$B93,L92,K92,$B92,'Real Analysis'!$B$20),0)</f>
        <v>#VALUE!</v>
      </c>
      <c r="N93">
        <f>'Real Analysis'!$B$28*'Real Input'!U93+IF('Real Input'!U93 &gt; 0,'Real Analysis'!$B$29,0)</f>
        <v>0</v>
      </c>
      <c r="O93" t="e">
        <f t="shared" si="7"/>
        <v>#VALUE!</v>
      </c>
      <c r="P93" t="e">
        <f t="shared" si="8"/>
        <v>#VALUE!</v>
      </c>
    </row>
    <row r="94" spans="1:16" x14ac:dyDescent="0.3">
      <c r="A94">
        <v>92</v>
      </c>
      <c r="B94">
        <f>'Real Input'!M94</f>
        <v>1.8916880000033416</v>
      </c>
      <c r="C94">
        <f ca="1">INDIRECT(CONCATENATE("'Real Input'!",'Real Analysis'!$B$2,A94+2))</f>
        <v>9.8473466700000003</v>
      </c>
      <c r="D94">
        <f t="shared" si="6"/>
        <v>2.5137000004178844E-2</v>
      </c>
      <c r="E94">
        <f ca="1">IF(B94&gt;0,C94-'Real Analysis'!$B$14,0)</f>
        <v>-9.15113237142684E-3</v>
      </c>
      <c r="F94">
        <f t="shared" ca="1" si="9"/>
        <v>-1.3767204567539978E-2</v>
      </c>
      <c r="G94">
        <f t="shared" ca="1" si="5"/>
        <v>-7.1120886471917628E-3</v>
      </c>
      <c r="H94">
        <f ca="1">IF(AND(B94&gt;'Real Analysis'!$B$31,B94&lt;'Real Analysis'!$B$32),FilterInput(E94,'Real Analysis'!$B$26,'Real Analysis'!$B$27),0)</f>
        <v>0</v>
      </c>
      <c r="I94" t="e">
        <f>MEDIAN2("Real Values",H94,'Real Analysis'!$B$5,2)</f>
        <v>#VALUE!</v>
      </c>
      <c r="J94" t="e">
        <f>AVERAGE2("Real Values",I94,'Real Analysis'!$B$6,2)</f>
        <v>#VALUE!</v>
      </c>
      <c r="K94" t="e">
        <f>INTEGRAL2(J94,$B94,K93,J93,$B93,'Real Analysis'!$B$19)</f>
        <v>#VALUE!</v>
      </c>
      <c r="L94" t="e">
        <f>IF(AND(B94&lt;'Real Analysis'!$B$32,B94&gt;0),INTEGRAL2(K94,$B94,L93,K93,$B93,'Real Analysis'!$B$20),0)</f>
        <v>#VALUE!</v>
      </c>
      <c r="N94">
        <f>'Real Analysis'!$B$28*'Real Input'!U94+IF('Real Input'!U94 &gt; 0,'Real Analysis'!$B$29,0)</f>
        <v>0</v>
      </c>
      <c r="O94" t="e">
        <f t="shared" si="7"/>
        <v>#VALUE!</v>
      </c>
      <c r="P94" t="e">
        <f t="shared" si="8"/>
        <v>#VALUE!</v>
      </c>
    </row>
    <row r="95" spans="1:16" x14ac:dyDescent="0.3">
      <c r="A95">
        <v>93</v>
      </c>
      <c r="B95">
        <f>'Real Input'!M95</f>
        <v>1.9009709999954794</v>
      </c>
      <c r="C95">
        <f ca="1">INDIRECT(CONCATENATE("'Real Input'!",'Real Analysis'!$B$2,A95+2))</f>
        <v>9.8596091700000006</v>
      </c>
      <c r="D95">
        <f t="shared" si="6"/>
        <v>9.2829999921377748E-3</v>
      </c>
      <c r="E95">
        <f ca="1">IF(B95&gt;0,C95-'Real Analysis'!$B$14,0)</f>
        <v>3.1113676285734471E-3</v>
      </c>
      <c r="F95">
        <f t="shared" ca="1" si="9"/>
        <v>-1.3738321741868393E-2</v>
      </c>
      <c r="G95">
        <f t="shared" ca="1" si="5"/>
        <v>-7.2396214878135134E-3</v>
      </c>
      <c r="H95">
        <f ca="1">IF(AND(B95&gt;'Real Analysis'!$B$31,B95&lt;'Real Analysis'!$B$32),FilterInput(E95,'Real Analysis'!$B$26,'Real Analysis'!$B$27),0)</f>
        <v>0</v>
      </c>
      <c r="I95" t="e">
        <f>MEDIAN2("Real Values",H95,'Real Analysis'!$B$5,2)</f>
        <v>#VALUE!</v>
      </c>
      <c r="J95" t="e">
        <f>AVERAGE2("Real Values",I95,'Real Analysis'!$B$6,2)</f>
        <v>#VALUE!</v>
      </c>
      <c r="K95" t="e">
        <f>INTEGRAL2(J95,$B95,K94,J94,$B94,'Real Analysis'!$B$19)</f>
        <v>#VALUE!</v>
      </c>
      <c r="L95" t="e">
        <f>IF(AND(B95&lt;'Real Analysis'!$B$32,B95&gt;0),INTEGRAL2(K95,$B95,L94,K94,$B94,'Real Analysis'!$B$20),0)</f>
        <v>#VALUE!</v>
      </c>
      <c r="N95">
        <f>'Real Analysis'!$B$28*'Real Input'!U95+IF('Real Input'!U95 &gt; 0,'Real Analysis'!$B$29,0)</f>
        <v>0</v>
      </c>
      <c r="O95" t="e">
        <f t="shared" si="7"/>
        <v>#VALUE!</v>
      </c>
      <c r="P95" t="e">
        <f t="shared" si="8"/>
        <v>#VALUE!</v>
      </c>
    </row>
    <row r="96" spans="1:16" x14ac:dyDescent="0.3">
      <c r="A96">
        <v>94</v>
      </c>
      <c r="B96">
        <f>'Real Input'!M96</f>
        <v>1.9325919999973848</v>
      </c>
      <c r="C96">
        <f ca="1">INDIRECT(CONCATENATE("'Real Input'!",'Real Analysis'!$B$2,A96+2))</f>
        <v>9.8517121200000002</v>
      </c>
      <c r="D96">
        <f t="shared" si="6"/>
        <v>3.1621000001905486E-2</v>
      </c>
      <c r="E96">
        <f ca="1">IF(B96&gt;0,C96-'Real Analysis'!$B$14,0)</f>
        <v>-4.7856823714269581E-3</v>
      </c>
      <c r="F96">
        <f t="shared" ca="1" si="9"/>
        <v>-1.3889649804144404E-2</v>
      </c>
      <c r="G96">
        <f t="shared" ca="1" si="5"/>
        <v>-7.6788261042968304E-3</v>
      </c>
      <c r="H96">
        <f ca="1">IF(AND(B96&gt;'Real Analysis'!$B$31,B96&lt;'Real Analysis'!$B$32),FilterInput(E96,'Real Analysis'!$B$26,'Real Analysis'!$B$27),0)</f>
        <v>0</v>
      </c>
      <c r="I96" t="e">
        <f>MEDIAN2("Real Values",H96,'Real Analysis'!$B$5,2)</f>
        <v>#VALUE!</v>
      </c>
      <c r="J96" t="e">
        <f>AVERAGE2("Real Values",I96,'Real Analysis'!$B$6,2)</f>
        <v>#VALUE!</v>
      </c>
      <c r="K96" t="e">
        <f>INTEGRAL2(J96,$B96,K95,J95,$B95,'Real Analysis'!$B$19)</f>
        <v>#VALUE!</v>
      </c>
      <c r="L96" t="e">
        <f>IF(AND(B96&lt;'Real Analysis'!$B$32,B96&gt;0),INTEGRAL2(K96,$B96,L95,K95,$B95,'Real Analysis'!$B$20),0)</f>
        <v>#VALUE!</v>
      </c>
      <c r="N96">
        <f>'Real Analysis'!$B$28*'Real Input'!U96+IF('Real Input'!U96 &gt; 0,'Real Analysis'!$B$29,0)</f>
        <v>0</v>
      </c>
      <c r="O96" t="e">
        <f t="shared" si="7"/>
        <v>#VALUE!</v>
      </c>
      <c r="P96" t="e">
        <f t="shared" si="8"/>
        <v>#VALUE!</v>
      </c>
    </row>
    <row r="97" spans="1:16" x14ac:dyDescent="0.3">
      <c r="A97">
        <v>95</v>
      </c>
      <c r="B97">
        <f>'Real Input'!M97</f>
        <v>1.9516719999955967</v>
      </c>
      <c r="C97">
        <f ca="1">INDIRECT(CONCATENATE("'Real Input'!",'Real Analysis'!$B$2,A97+2))</f>
        <v>9.8541744300000005</v>
      </c>
      <c r="D97">
        <f t="shared" si="6"/>
        <v>1.9079999998211861E-2</v>
      </c>
      <c r="E97">
        <f ca="1">IF(B97&gt;0,C97-'Real Analysis'!$B$14,0)</f>
        <v>-2.3233723714266574E-3</v>
      </c>
      <c r="F97">
        <f t="shared" ca="1" si="9"/>
        <v>-1.3933979748987071E-2</v>
      </c>
      <c r="G97">
        <f t="shared" ref="G97:G160" ca="1" si="10">IF(B97&gt;0,G96+F97*$D97,0)</f>
        <v>-7.9446864378825872E-3</v>
      </c>
      <c r="H97">
        <f ca="1">IF(AND(B97&gt;'Real Analysis'!$B$31,B97&lt;'Real Analysis'!$B$32),FilterInput(E97,'Real Analysis'!$B$26,'Real Analysis'!$B$27),0)</f>
        <v>0</v>
      </c>
      <c r="I97" t="e">
        <f>MEDIAN2("Real Values",H97,'Real Analysis'!$B$5,2)</f>
        <v>#VALUE!</v>
      </c>
      <c r="J97" t="e">
        <f>AVERAGE2("Real Values",I97,'Real Analysis'!$B$6,2)</f>
        <v>#VALUE!</v>
      </c>
      <c r="K97" t="e">
        <f>INTEGRAL2(J97,$B97,K96,J96,$B96,'Real Analysis'!$B$19)</f>
        <v>#VALUE!</v>
      </c>
      <c r="L97" t="e">
        <f>IF(AND(B97&lt;'Real Analysis'!$B$32,B97&gt;0),INTEGRAL2(K97,$B97,L96,K96,$B96,'Real Analysis'!$B$20),0)</f>
        <v>#VALUE!</v>
      </c>
      <c r="N97">
        <f>'Real Analysis'!$B$28*'Real Input'!U97+IF('Real Input'!U97 &gt; 0,'Real Analysis'!$B$29,0)</f>
        <v>0</v>
      </c>
      <c r="O97" t="e">
        <f t="shared" si="7"/>
        <v>#VALUE!</v>
      </c>
      <c r="P97" t="e">
        <f t="shared" si="8"/>
        <v>#VALUE!</v>
      </c>
    </row>
    <row r="98" spans="1:16" x14ac:dyDescent="0.3">
      <c r="A98">
        <v>96</v>
      </c>
      <c r="B98">
        <f>'Real Input'!M98</f>
        <v>1.9624049999983981</v>
      </c>
      <c r="C98">
        <f ca="1">INDIRECT(CONCATENATE("'Real Input'!",'Real Analysis'!$B$2,A98+2))</f>
        <v>9.8534190600000002</v>
      </c>
      <c r="D98">
        <f t="shared" si="6"/>
        <v>1.0733000002801418E-2</v>
      </c>
      <c r="E98">
        <f ca="1">IF(B98&gt;0,C98-'Real Analysis'!$B$14,0)</f>
        <v>-3.0787423714269124E-3</v>
      </c>
      <c r="F98">
        <f t="shared" ca="1" si="9"/>
        <v>-1.3967023890868221E-2</v>
      </c>
      <c r="G98">
        <f t="shared" ca="1" si="10"/>
        <v>-8.0945945053424034E-3</v>
      </c>
      <c r="H98">
        <f ca="1">IF(AND(B98&gt;'Real Analysis'!$B$31,B98&lt;'Real Analysis'!$B$32),FilterInput(E98,'Real Analysis'!$B$26,'Real Analysis'!$B$27),0)</f>
        <v>0</v>
      </c>
      <c r="I98" t="e">
        <f>MEDIAN2("Real Values",H98,'Real Analysis'!$B$5,2)</f>
        <v>#VALUE!</v>
      </c>
      <c r="J98" t="e">
        <f>AVERAGE2("Real Values",I98,'Real Analysis'!$B$6,2)</f>
        <v>#VALUE!</v>
      </c>
      <c r="K98" t="e">
        <f>INTEGRAL2(J98,$B98,K97,J97,$B97,'Real Analysis'!$B$19)</f>
        <v>#VALUE!</v>
      </c>
      <c r="L98" t="e">
        <f>IF(AND(B98&lt;'Real Analysis'!$B$32,B98&gt;0),INTEGRAL2(K98,$B98,L97,K97,$B97,'Real Analysis'!$B$20),0)</f>
        <v>#VALUE!</v>
      </c>
      <c r="N98">
        <f>'Real Analysis'!$B$28*'Real Input'!U98+IF('Real Input'!U98 &gt; 0,'Real Analysis'!$B$29,0)</f>
        <v>0</v>
      </c>
      <c r="O98" t="e">
        <f t="shared" si="7"/>
        <v>#VALUE!</v>
      </c>
      <c r="P98" t="e">
        <f t="shared" si="8"/>
        <v>#VALUE!</v>
      </c>
    </row>
    <row r="99" spans="1:16" x14ac:dyDescent="0.3">
      <c r="A99">
        <v>97</v>
      </c>
      <c r="B99">
        <f>'Real Input'!M99</f>
        <v>1.9868080000014743</v>
      </c>
      <c r="C99">
        <f ca="1">INDIRECT(CONCATENATE("'Real Input'!",'Real Analysis'!$B$2,A99+2))</f>
        <v>9.853507350000001</v>
      </c>
      <c r="D99">
        <f t="shared" si="6"/>
        <v>2.4403000003076158E-2</v>
      </c>
      <c r="E99">
        <f ca="1">IF(B99&gt;0,C99-'Real Analysis'!$B$14,0)</f>
        <v>-2.9904523714261444E-3</v>
      </c>
      <c r="F99">
        <f t="shared" ca="1" si="9"/>
        <v>-1.4039999900097333E-2</v>
      </c>
      <c r="G99">
        <f t="shared" ca="1" si="10"/>
        <v>-8.4372126229476686E-3</v>
      </c>
      <c r="H99">
        <f ca="1">IF(AND(B99&gt;'Real Analysis'!$B$31,B99&lt;'Real Analysis'!$B$32),FilterInput(E99,'Real Analysis'!$B$26,'Real Analysis'!$B$27),0)</f>
        <v>0</v>
      </c>
      <c r="I99" t="e">
        <f>MEDIAN2("Real Values",H99,'Real Analysis'!$B$5,2)</f>
        <v>#VALUE!</v>
      </c>
      <c r="J99" t="e">
        <f>AVERAGE2("Real Values",I99,'Real Analysis'!$B$6,2)</f>
        <v>#VALUE!</v>
      </c>
      <c r="K99" t="e">
        <f>INTEGRAL2(J99,$B99,K98,J98,$B98,'Real Analysis'!$B$19)</f>
        <v>#VALUE!</v>
      </c>
      <c r="L99" t="e">
        <f>IF(AND(B99&lt;'Real Analysis'!$B$32,B99&gt;0),INTEGRAL2(K99,$B99,L98,K98,$B98,'Real Analysis'!$B$20),0)</f>
        <v>#VALUE!</v>
      </c>
      <c r="N99">
        <f>'Real Analysis'!$B$28*'Real Input'!U99+IF('Real Input'!U99 &gt; 0,'Real Analysis'!$B$29,0)</f>
        <v>0</v>
      </c>
      <c r="O99" t="e">
        <f t="shared" si="7"/>
        <v>#VALUE!</v>
      </c>
      <c r="P99" t="e">
        <f t="shared" si="8"/>
        <v>#VALUE!</v>
      </c>
    </row>
    <row r="100" spans="1:16" x14ac:dyDescent="0.3">
      <c r="A100">
        <v>98</v>
      </c>
      <c r="B100">
        <f>'Real Input'!M100</f>
        <v>2.0070249999989755</v>
      </c>
      <c r="C100">
        <f ca="1">INDIRECT(CONCATENATE("'Real Input'!",'Real Analysis'!$B$2,A100+2))</f>
        <v>9.8535171600000009</v>
      </c>
      <c r="D100">
        <f t="shared" si="6"/>
        <v>2.0216999997501262E-2</v>
      </c>
      <c r="E100">
        <f ca="1">IF(B100&gt;0,C100-'Real Analysis'!$B$14,0)</f>
        <v>-2.9806423714262564E-3</v>
      </c>
      <c r="F100">
        <f t="shared" ca="1" si="9"/>
        <v>-1.410025954691301E-2</v>
      </c>
      <c r="G100">
        <f t="shared" ca="1" si="10"/>
        <v>-8.7222775701723768E-3</v>
      </c>
      <c r="H100">
        <f ca="1">IF(AND(B100&gt;'Real Analysis'!$B$31,B100&lt;'Real Analysis'!$B$32),FilterInput(E100,'Real Analysis'!$B$26,'Real Analysis'!$B$27),0)</f>
        <v>0</v>
      </c>
      <c r="I100" t="e">
        <f>MEDIAN2("Real Values",H100,'Real Analysis'!$B$5,2)</f>
        <v>#VALUE!</v>
      </c>
      <c r="J100" t="e">
        <f>AVERAGE2("Real Values",I100,'Real Analysis'!$B$6,2)</f>
        <v>#VALUE!</v>
      </c>
      <c r="K100" t="e">
        <f>INTEGRAL2(J100,$B100,K99,J99,$B99,'Real Analysis'!$B$19)</f>
        <v>#VALUE!</v>
      </c>
      <c r="L100" t="e">
        <f>IF(AND(B100&lt;'Real Analysis'!$B$32,B100&gt;0),INTEGRAL2(K100,$B100,L99,K99,$B99,'Real Analysis'!$B$20),0)</f>
        <v>#VALUE!</v>
      </c>
      <c r="N100">
        <f>'Real Analysis'!$B$28*'Real Input'!U100+IF('Real Input'!U100 &gt; 0,'Real Analysis'!$B$29,0)</f>
        <v>0</v>
      </c>
      <c r="O100" t="e">
        <f t="shared" si="7"/>
        <v>#VALUE!</v>
      </c>
      <c r="P100" t="e">
        <f t="shared" si="8"/>
        <v>#VALUE!</v>
      </c>
    </row>
    <row r="101" spans="1:16" x14ac:dyDescent="0.3">
      <c r="A101">
        <v>99</v>
      </c>
      <c r="B101">
        <f>'Real Input'!M101</f>
        <v>2.0269549999939045</v>
      </c>
      <c r="C101">
        <f ca="1">INDIRECT(CONCATENATE("'Real Input'!",'Real Analysis'!$B$2,A101+2))</f>
        <v>9.8535465900000005</v>
      </c>
      <c r="D101">
        <f t="shared" si="6"/>
        <v>1.9929999994928949E-2</v>
      </c>
      <c r="E101">
        <f ca="1">IF(B101&gt;0,C101-'Real Analysis'!$B$14,0)</f>
        <v>-2.9512123714265925E-3</v>
      </c>
      <c r="F101">
        <f t="shared" ca="1" si="9"/>
        <v>-1.4159077209460576E-2</v>
      </c>
      <c r="G101">
        <f t="shared" ca="1" si="10"/>
        <v>-9.0044679788851244E-3</v>
      </c>
      <c r="H101">
        <f ca="1">IF(AND(B101&gt;'Real Analysis'!$B$31,B101&lt;'Real Analysis'!$B$32),FilterInput(E101,'Real Analysis'!$B$26,'Real Analysis'!$B$27),0)</f>
        <v>0</v>
      </c>
      <c r="I101" t="e">
        <f>MEDIAN2("Real Values",H101,'Real Analysis'!$B$5,2)</f>
        <v>#VALUE!</v>
      </c>
      <c r="J101" t="e">
        <f>AVERAGE2("Real Values",I101,'Real Analysis'!$B$6,2)</f>
        <v>#VALUE!</v>
      </c>
      <c r="K101" t="e">
        <f>INTEGRAL2(J101,$B101,K100,J100,$B100,'Real Analysis'!$B$19)</f>
        <v>#VALUE!</v>
      </c>
      <c r="L101" t="e">
        <f>IF(AND(B101&lt;'Real Analysis'!$B$32,B101&gt;0),INTEGRAL2(K101,$B101,L100,K100,$B100,'Real Analysis'!$B$20),0)</f>
        <v>#VALUE!</v>
      </c>
      <c r="N101">
        <f>'Real Analysis'!$B$28*'Real Input'!U101+IF('Real Input'!U101 &gt; 0,'Real Analysis'!$B$29,0)</f>
        <v>0</v>
      </c>
      <c r="O101" t="e">
        <f t="shared" si="7"/>
        <v>#VALUE!</v>
      </c>
      <c r="P101" t="e">
        <f t="shared" si="8"/>
        <v>#VALUE!</v>
      </c>
    </row>
    <row r="102" spans="1:16" x14ac:dyDescent="0.3">
      <c r="A102">
        <v>100</v>
      </c>
      <c r="B102">
        <f>'Real Input'!M102</f>
        <v>2.0515290000039386</v>
      </c>
      <c r="C102">
        <f ca="1">INDIRECT(CONCATENATE("'Real Input'!",'Real Analysis'!$B$2,A102+2))</f>
        <v>9.8535269700000008</v>
      </c>
      <c r="D102">
        <f t="shared" si="6"/>
        <v>2.4574000010034069E-2</v>
      </c>
      <c r="E102">
        <f ca="1">IF(B102&gt;0,C102-'Real Analysis'!$B$14,0)</f>
        <v>-2.9708323714263685E-3</v>
      </c>
      <c r="F102">
        <f t="shared" ca="1" si="9"/>
        <v>-1.4232082444185818E-2</v>
      </c>
      <c r="G102">
        <f t="shared" ca="1" si="10"/>
        <v>-9.3542071730113516E-3</v>
      </c>
      <c r="H102">
        <f ca="1">IF(AND(B102&gt;'Real Analysis'!$B$31,B102&lt;'Real Analysis'!$B$32),FilterInput(E102,'Real Analysis'!$B$26,'Real Analysis'!$B$27),0)</f>
        <v>0</v>
      </c>
      <c r="I102" t="e">
        <f>MEDIAN2("Real Values",H102,'Real Analysis'!$B$5,2)</f>
        <v>#VALUE!</v>
      </c>
      <c r="J102" t="e">
        <f>AVERAGE2("Real Values",I102,'Real Analysis'!$B$6,2)</f>
        <v>#VALUE!</v>
      </c>
      <c r="K102" t="e">
        <f>INTEGRAL2(J102,$B102,K101,J101,$B101,'Real Analysis'!$B$19)</f>
        <v>#VALUE!</v>
      </c>
      <c r="L102" t="e">
        <f>IF(AND(B102&lt;'Real Analysis'!$B$32,B102&gt;0),INTEGRAL2(K102,$B102,L101,K101,$B101,'Real Analysis'!$B$20),0)</f>
        <v>#VALUE!</v>
      </c>
      <c r="N102">
        <f>'Real Analysis'!$B$28*'Real Input'!U102+IF('Real Input'!U102 &gt; 0,'Real Analysis'!$B$29,0)</f>
        <v>0</v>
      </c>
      <c r="O102" t="e">
        <f t="shared" si="7"/>
        <v>#VALUE!</v>
      </c>
      <c r="P102" t="e">
        <f t="shared" si="8"/>
        <v>#VALUE!</v>
      </c>
    </row>
    <row r="103" spans="1:16" x14ac:dyDescent="0.3">
      <c r="A103">
        <v>101</v>
      </c>
      <c r="B103">
        <f>'Real Input'!M103</f>
        <v>2.06706000000122</v>
      </c>
      <c r="C103">
        <f ca="1">INDIRECT(CONCATENATE("'Real Input'!",'Real Analysis'!$B$2,A103+2))</f>
        <v>9.8540959499999996</v>
      </c>
      <c r="D103">
        <f t="shared" si="6"/>
        <v>1.5530999997281469E-2</v>
      </c>
      <c r="E103">
        <f ca="1">IF(B103&gt;0,C103-'Real Analysis'!$B$14,0)</f>
        <v>-2.4018523714275375E-3</v>
      </c>
      <c r="F103">
        <f t="shared" ca="1" si="9"/>
        <v>-1.426938561335993E-2</v>
      </c>
      <c r="G103">
        <f t="shared" ca="1" si="10"/>
        <v>-9.5758250009336521E-3</v>
      </c>
      <c r="H103">
        <f ca="1">IF(AND(B103&gt;'Real Analysis'!$B$31,B103&lt;'Real Analysis'!$B$32),FilterInput(E103,'Real Analysis'!$B$26,'Real Analysis'!$B$27),0)</f>
        <v>0</v>
      </c>
      <c r="I103" t="e">
        <f>MEDIAN2("Real Values",H103,'Real Analysis'!$B$5,2)</f>
        <v>#VALUE!</v>
      </c>
      <c r="J103" t="e">
        <f>AVERAGE2("Real Values",I103,'Real Analysis'!$B$6,2)</f>
        <v>#VALUE!</v>
      </c>
      <c r="K103" t="e">
        <f>INTEGRAL2(J103,$B103,K102,J102,$B102,'Real Analysis'!$B$19)</f>
        <v>#VALUE!</v>
      </c>
      <c r="L103" t="e">
        <f>IF(AND(B103&lt;'Real Analysis'!$B$32,B103&gt;0),INTEGRAL2(K103,$B103,L102,K102,$B102,'Real Analysis'!$B$20),0)</f>
        <v>#VALUE!</v>
      </c>
      <c r="N103">
        <f>'Real Analysis'!$B$28*'Real Input'!U103+IF('Real Input'!U103 &gt; 0,'Real Analysis'!$B$29,0)</f>
        <v>0</v>
      </c>
      <c r="O103" t="e">
        <f t="shared" si="7"/>
        <v>#VALUE!</v>
      </c>
      <c r="P103" t="e">
        <f t="shared" si="8"/>
        <v>#VALUE!</v>
      </c>
    </row>
    <row r="104" spans="1:16" x14ac:dyDescent="0.3">
      <c r="A104">
        <v>102</v>
      </c>
      <c r="B104">
        <f>'Real Input'!M104</f>
        <v>2.0930939999961993</v>
      </c>
      <c r="C104">
        <f ca="1">INDIRECT(CONCATENATE("'Real Input'!",'Real Analysis'!$B$2,A104+2))</f>
        <v>9.8554889699999997</v>
      </c>
      <c r="D104">
        <f t="shared" si="6"/>
        <v>2.603399999497924E-2</v>
      </c>
      <c r="E104">
        <f ca="1">IF(B104&gt;0,C104-'Real Analysis'!$B$14,0)</f>
        <v>-1.0088323714274594E-3</v>
      </c>
      <c r="F104">
        <f t="shared" ca="1" si="9"/>
        <v>-1.4295649555312607E-2</v>
      </c>
      <c r="G104">
        <f t="shared" ca="1" si="10"/>
        <v>-9.9479979413848851E-3</v>
      </c>
      <c r="H104">
        <f ca="1">IF(AND(B104&gt;'Real Analysis'!$B$31,B104&lt;'Real Analysis'!$B$32),FilterInput(E104,'Real Analysis'!$B$26,'Real Analysis'!$B$27),0)</f>
        <v>0</v>
      </c>
      <c r="I104" t="e">
        <f>MEDIAN2("Real Values",H104,'Real Analysis'!$B$5,2)</f>
        <v>#VALUE!</v>
      </c>
      <c r="J104" t="e">
        <f>AVERAGE2("Real Values",I104,'Real Analysis'!$B$6,2)</f>
        <v>#VALUE!</v>
      </c>
      <c r="K104" t="e">
        <f>INTEGRAL2(J104,$B104,K103,J103,$B103,'Real Analysis'!$B$19)</f>
        <v>#VALUE!</v>
      </c>
      <c r="L104" t="e">
        <f>IF(AND(B104&lt;'Real Analysis'!$B$32,B104&gt;0),INTEGRAL2(K104,$B104,L103,K103,$B103,'Real Analysis'!$B$20),0)</f>
        <v>#VALUE!</v>
      </c>
      <c r="N104">
        <f>'Real Analysis'!$B$28*'Real Input'!U104+IF('Real Input'!U104 &gt; 0,'Real Analysis'!$B$29,0)</f>
        <v>0</v>
      </c>
      <c r="O104" t="e">
        <f t="shared" si="7"/>
        <v>#VALUE!</v>
      </c>
      <c r="P104" t="e">
        <f t="shared" si="8"/>
        <v>#VALUE!</v>
      </c>
    </row>
    <row r="105" spans="1:16" x14ac:dyDescent="0.3">
      <c r="A105">
        <v>103</v>
      </c>
      <c r="B105">
        <f>'Real Input'!M105</f>
        <v>2.1083260000013979</v>
      </c>
      <c r="C105">
        <f ca="1">INDIRECT(CONCATENATE("'Real Input'!",'Real Analysis'!$B$2,A105+2))</f>
        <v>9.8187701399999998</v>
      </c>
      <c r="D105">
        <f t="shared" si="6"/>
        <v>1.5232000005198643E-2</v>
      </c>
      <c r="E105">
        <f ca="1">IF(B105&gt;0,C105-'Real Analysis'!$B$14,0)</f>
        <v>-3.7727662371427328E-2</v>
      </c>
      <c r="F105">
        <f t="shared" ca="1" si="9"/>
        <v>-1.4870317308750321E-2</v>
      </c>
      <c r="G105">
        <f t="shared" ca="1" si="10"/>
        <v>-1.0174502614709076E-2</v>
      </c>
      <c r="H105">
        <f ca="1">IF(AND(B105&gt;'Real Analysis'!$B$31,B105&lt;'Real Analysis'!$B$32),FilterInput(E105,'Real Analysis'!$B$26,'Real Analysis'!$B$27),0)</f>
        <v>0</v>
      </c>
      <c r="I105" t="e">
        <f>MEDIAN2("Real Values",H105,'Real Analysis'!$B$5,2)</f>
        <v>#VALUE!</v>
      </c>
      <c r="J105" t="e">
        <f>AVERAGE2("Real Values",I105,'Real Analysis'!$B$6,2)</f>
        <v>#VALUE!</v>
      </c>
      <c r="K105" t="e">
        <f>INTEGRAL2(J105,$B105,K104,J104,$B104,'Real Analysis'!$B$19)</f>
        <v>#VALUE!</v>
      </c>
      <c r="L105" t="e">
        <f>IF(AND(B105&lt;'Real Analysis'!$B$32,B105&gt;0),INTEGRAL2(K105,$B105,L104,K104,$B104,'Real Analysis'!$B$20),0)</f>
        <v>#VALUE!</v>
      </c>
      <c r="N105">
        <f>'Real Analysis'!$B$28*'Real Input'!U105+IF('Real Input'!U105 &gt; 0,'Real Analysis'!$B$29,0)</f>
        <v>0</v>
      </c>
      <c r="O105" t="e">
        <f t="shared" si="7"/>
        <v>#VALUE!</v>
      </c>
      <c r="P105" t="e">
        <f t="shared" si="8"/>
        <v>#VALUE!</v>
      </c>
    </row>
    <row r="106" spans="1:16" x14ac:dyDescent="0.3">
      <c r="A106">
        <v>104</v>
      </c>
      <c r="B106">
        <f>'Real Input'!M106</f>
        <v>2.1305220000067493</v>
      </c>
      <c r="C106">
        <f ca="1">INDIRECT(CONCATENATE("'Real Input'!",'Real Analysis'!$B$2,A106+2))</f>
        <v>9.8668391400000015</v>
      </c>
      <c r="D106">
        <f t="shared" si="6"/>
        <v>2.219600000535138E-2</v>
      </c>
      <c r="E106">
        <f ca="1">IF(B106&gt;0,C106-'Real Analysis'!$B$14,0)</f>
        <v>1.0341337628574365E-2</v>
      </c>
      <c r="F106">
        <f t="shared" ca="1" si="9"/>
        <v>-1.4640780978691145E-2</v>
      </c>
      <c r="G106">
        <f t="shared" ca="1" si="10"/>
        <v>-1.0499469389390453E-2</v>
      </c>
      <c r="H106">
        <f ca="1">IF(AND(B106&gt;'Real Analysis'!$B$31,B106&lt;'Real Analysis'!$B$32),FilterInput(E106,'Real Analysis'!$B$26,'Real Analysis'!$B$27),0)</f>
        <v>0</v>
      </c>
      <c r="I106" t="e">
        <f>MEDIAN2("Real Values",H106,'Real Analysis'!$B$5,2)</f>
        <v>#VALUE!</v>
      </c>
      <c r="J106" t="e">
        <f>AVERAGE2("Real Values",I106,'Real Analysis'!$B$6,2)</f>
        <v>#VALUE!</v>
      </c>
      <c r="K106" t="e">
        <f>INTEGRAL2(J106,$B106,K105,J105,$B105,'Real Analysis'!$B$19)</f>
        <v>#VALUE!</v>
      </c>
      <c r="L106" t="e">
        <f>IF(AND(B106&lt;'Real Analysis'!$B$32,B106&gt;0),INTEGRAL2(K106,$B106,L105,K105,$B105,'Real Analysis'!$B$20),0)</f>
        <v>#VALUE!</v>
      </c>
      <c r="N106">
        <f>'Real Analysis'!$B$28*'Real Input'!U106+IF('Real Input'!U106 &gt; 0,'Real Analysis'!$B$29,0)</f>
        <v>0</v>
      </c>
      <c r="O106" t="e">
        <f t="shared" si="7"/>
        <v>#VALUE!</v>
      </c>
      <c r="P106" t="e">
        <f t="shared" si="8"/>
        <v>#VALUE!</v>
      </c>
    </row>
    <row r="107" spans="1:16" x14ac:dyDescent="0.3">
      <c r="A107">
        <v>105</v>
      </c>
      <c r="B107">
        <f>'Real Input'!M107</f>
        <v>2.1532779999979539</v>
      </c>
      <c r="C107">
        <f ca="1">INDIRECT(CONCATENATE("'Real Input'!",'Real Analysis'!$B$2,A107+2))</f>
        <v>9.8516336399999993</v>
      </c>
      <c r="D107">
        <f t="shared" si="6"/>
        <v>2.275599999120459E-2</v>
      </c>
      <c r="E107">
        <f ca="1">IF(B107&gt;0,C107-'Real Analysis'!$B$14,0)</f>
        <v>-4.8641623714278381E-3</v>
      </c>
      <c r="F107">
        <f t="shared" ca="1" si="9"/>
        <v>-1.4751469857572573E-2</v>
      </c>
      <c r="G107">
        <f t="shared" ca="1" si="10"/>
        <v>-1.083515383733963E-2</v>
      </c>
      <c r="H107">
        <f ca="1">IF(AND(B107&gt;'Real Analysis'!$B$31,B107&lt;'Real Analysis'!$B$32),FilterInput(E107,'Real Analysis'!$B$26,'Real Analysis'!$B$27),0)</f>
        <v>0</v>
      </c>
      <c r="I107" t="e">
        <f>MEDIAN2("Real Values",H107,'Real Analysis'!$B$5,2)</f>
        <v>#VALUE!</v>
      </c>
      <c r="J107" t="e">
        <f>AVERAGE2("Real Values",I107,'Real Analysis'!$B$6,2)</f>
        <v>#VALUE!</v>
      </c>
      <c r="K107" t="e">
        <f>INTEGRAL2(J107,$B107,K106,J106,$B106,'Real Analysis'!$B$19)</f>
        <v>#VALUE!</v>
      </c>
      <c r="L107" t="e">
        <f>IF(AND(B107&lt;'Real Analysis'!$B$32,B107&gt;0),INTEGRAL2(K107,$B107,L106,K106,$B106,'Real Analysis'!$B$20),0)</f>
        <v>#VALUE!</v>
      </c>
      <c r="N107">
        <f>'Real Analysis'!$B$28*'Real Input'!U107+IF('Real Input'!U107 &gt; 0,'Real Analysis'!$B$29,0)</f>
        <v>0</v>
      </c>
      <c r="O107" t="e">
        <f t="shared" si="7"/>
        <v>#VALUE!</v>
      </c>
      <c r="P107" t="e">
        <f t="shared" si="8"/>
        <v>#VALUE!</v>
      </c>
    </row>
    <row r="108" spans="1:16" x14ac:dyDescent="0.3">
      <c r="A108">
        <v>106</v>
      </c>
      <c r="B108">
        <f>'Real Input'!M108</f>
        <v>2.1726889999990817</v>
      </c>
      <c r="C108">
        <f ca="1">INDIRECT(CONCATENATE("'Real Input'!",'Real Analysis'!$B$2,A108+2))</f>
        <v>9.8567250300000016</v>
      </c>
      <c r="D108">
        <f t="shared" si="6"/>
        <v>1.9411000001127832E-2</v>
      </c>
      <c r="E108">
        <f ca="1">IF(B108&gt;0,C108-'Real Analysis'!$B$14,0)</f>
        <v>2.2722762857441126E-4</v>
      </c>
      <c r="F108">
        <f t="shared" ca="1" si="9"/>
        <v>-1.4747059142074059E-2</v>
      </c>
      <c r="G108">
        <f t="shared" ca="1" si="10"/>
        <v>-1.1121409002363062E-2</v>
      </c>
      <c r="H108">
        <f ca="1">IF(AND(B108&gt;'Real Analysis'!$B$31,B108&lt;'Real Analysis'!$B$32),FilterInput(E108,'Real Analysis'!$B$26,'Real Analysis'!$B$27),0)</f>
        <v>0</v>
      </c>
      <c r="I108" t="e">
        <f>MEDIAN2("Real Values",H108,'Real Analysis'!$B$5,2)</f>
        <v>#VALUE!</v>
      </c>
      <c r="J108" t="e">
        <f>AVERAGE2("Real Values",I108,'Real Analysis'!$B$6,2)</f>
        <v>#VALUE!</v>
      </c>
      <c r="K108" t="e">
        <f>INTEGRAL2(J108,$B108,K107,J107,$B107,'Real Analysis'!$B$19)</f>
        <v>#VALUE!</v>
      </c>
      <c r="L108" t="e">
        <f>IF(AND(B108&lt;'Real Analysis'!$B$32,B108&gt;0),INTEGRAL2(K108,$B108,L107,K107,$B107,'Real Analysis'!$B$20),0)</f>
        <v>#VALUE!</v>
      </c>
      <c r="N108">
        <f>'Real Analysis'!$B$28*'Real Input'!U108+IF('Real Input'!U108 &gt; 0,'Real Analysis'!$B$29,0)</f>
        <v>0</v>
      </c>
      <c r="O108" t="e">
        <f t="shared" si="7"/>
        <v>#VALUE!</v>
      </c>
      <c r="P108" t="e">
        <f t="shared" si="8"/>
        <v>#VALUE!</v>
      </c>
    </row>
    <row r="109" spans="1:16" x14ac:dyDescent="0.3">
      <c r="A109">
        <v>107</v>
      </c>
      <c r="B109">
        <f>'Real Input'!M109</f>
        <v>2.1923870000027819</v>
      </c>
      <c r="C109">
        <f ca="1">INDIRECT(CONCATENATE("'Real Input'!",'Real Analysis'!$B$2,A109+2))</f>
        <v>9.8515257300000005</v>
      </c>
      <c r="D109">
        <f t="shared" si="6"/>
        <v>1.9698000003700145E-2</v>
      </c>
      <c r="E109">
        <f ca="1">IF(B109&gt;0,C109-'Real Analysis'!$B$14,0)</f>
        <v>-4.9720723714266057E-3</v>
      </c>
      <c r="F109">
        <f t="shared" ca="1" si="9"/>
        <v>-1.4844999023664818E-2</v>
      </c>
      <c r="G109">
        <f t="shared" ca="1" si="10"/>
        <v>-1.1413825793186141E-2</v>
      </c>
      <c r="H109">
        <f ca="1">IF(AND(B109&gt;'Real Analysis'!$B$31,B109&lt;'Real Analysis'!$B$32),FilterInput(E109,'Real Analysis'!$B$26,'Real Analysis'!$B$27),0)</f>
        <v>0</v>
      </c>
      <c r="I109" t="e">
        <f>MEDIAN2("Real Values",H109,'Real Analysis'!$B$5,2)</f>
        <v>#VALUE!</v>
      </c>
      <c r="J109" t="e">
        <f>AVERAGE2("Real Values",I109,'Real Analysis'!$B$6,2)</f>
        <v>#VALUE!</v>
      </c>
      <c r="K109" t="e">
        <f>INTEGRAL2(J109,$B109,K108,J108,$B108,'Real Analysis'!$B$19)</f>
        <v>#VALUE!</v>
      </c>
      <c r="L109" t="e">
        <f>IF(AND(B109&lt;'Real Analysis'!$B$32,B109&gt;0),INTEGRAL2(K109,$B109,L108,K108,$B108,'Real Analysis'!$B$20),0)</f>
        <v>#VALUE!</v>
      </c>
      <c r="N109">
        <f>'Real Analysis'!$B$28*'Real Input'!U109+IF('Real Input'!U109 &gt; 0,'Real Analysis'!$B$29,0)</f>
        <v>0</v>
      </c>
      <c r="O109" t="e">
        <f t="shared" si="7"/>
        <v>#VALUE!</v>
      </c>
      <c r="P109" t="e">
        <f t="shared" si="8"/>
        <v>#VALUE!</v>
      </c>
    </row>
    <row r="110" spans="1:16" x14ac:dyDescent="0.3">
      <c r="A110">
        <v>108</v>
      </c>
      <c r="B110">
        <f>'Real Input'!M110</f>
        <v>2.2102259999956004</v>
      </c>
      <c r="C110">
        <f ca="1">INDIRECT(CONCATENATE("'Real Input'!",'Real Analysis'!$B$2,A110+2))</f>
        <v>9.85654845</v>
      </c>
      <c r="D110">
        <f t="shared" si="6"/>
        <v>1.7838999992818572E-2</v>
      </c>
      <c r="E110">
        <f ca="1">IF(B110&gt;0,C110-'Real Analysis'!$B$14,0)</f>
        <v>5.0647628572875192E-5</v>
      </c>
      <c r="F110">
        <f t="shared" ca="1" si="9"/>
        <v>-1.484409552061907E-2</v>
      </c>
      <c r="G110">
        <f t="shared" ca="1" si="10"/>
        <v>-1.1678629613071862E-2</v>
      </c>
      <c r="H110">
        <f ca="1">IF(AND(B110&gt;'Real Analysis'!$B$31,B110&lt;'Real Analysis'!$B$32),FilterInput(E110,'Real Analysis'!$B$26,'Real Analysis'!$B$27),0)</f>
        <v>0</v>
      </c>
      <c r="I110" t="e">
        <f>MEDIAN2("Real Values",H110,'Real Analysis'!$B$5,2)</f>
        <v>#VALUE!</v>
      </c>
      <c r="J110" t="e">
        <f>AVERAGE2("Real Values",I110,'Real Analysis'!$B$6,2)</f>
        <v>#VALUE!</v>
      </c>
      <c r="K110" t="e">
        <f>INTEGRAL2(J110,$B110,K109,J109,$B109,'Real Analysis'!$B$19)</f>
        <v>#VALUE!</v>
      </c>
      <c r="L110" t="e">
        <f>IF(AND(B110&lt;'Real Analysis'!$B$32,B110&gt;0),INTEGRAL2(K110,$B110,L109,K109,$B109,'Real Analysis'!$B$20),0)</f>
        <v>#VALUE!</v>
      </c>
      <c r="N110">
        <f>'Real Analysis'!$B$28*'Real Input'!U110+IF('Real Input'!U110 &gt; 0,'Real Analysis'!$B$29,0)</f>
        <v>0</v>
      </c>
      <c r="O110" t="e">
        <f t="shared" si="7"/>
        <v>#VALUE!</v>
      </c>
      <c r="P110" t="e">
        <f t="shared" si="8"/>
        <v>#VALUE!</v>
      </c>
    </row>
    <row r="111" spans="1:16" x14ac:dyDescent="0.3">
      <c r="A111">
        <v>109</v>
      </c>
      <c r="B111">
        <f>'Real Input'!M111</f>
        <v>2.2300249999971129</v>
      </c>
      <c r="C111">
        <f ca="1">INDIRECT(CONCATENATE("'Real Input'!",'Real Analysis'!$B$2,A111+2))</f>
        <v>9.8522811000000008</v>
      </c>
      <c r="D111">
        <f t="shared" si="6"/>
        <v>1.9799000001512468E-2</v>
      </c>
      <c r="E111">
        <f ca="1">IF(B111&gt;0,C111-'Real Analysis'!$B$14,0)</f>
        <v>-4.2167023714263507E-3</v>
      </c>
      <c r="F111">
        <f t="shared" ca="1" si="9"/>
        <v>-1.4927582010877318E-2</v>
      </c>
      <c r="G111">
        <f t="shared" ca="1" si="10"/>
        <v>-1.19741808093278E-2</v>
      </c>
      <c r="H111">
        <f ca="1">IF(AND(B111&gt;'Real Analysis'!$B$31,B111&lt;'Real Analysis'!$B$32),FilterInput(E111,'Real Analysis'!$B$26,'Real Analysis'!$B$27),0)</f>
        <v>0</v>
      </c>
      <c r="I111" t="e">
        <f>MEDIAN2("Real Values",H111,'Real Analysis'!$B$5,2)</f>
        <v>#VALUE!</v>
      </c>
      <c r="J111" t="e">
        <f>AVERAGE2("Real Values",I111,'Real Analysis'!$B$6,2)</f>
        <v>#VALUE!</v>
      </c>
      <c r="K111" t="e">
        <f>INTEGRAL2(J111,$B111,K110,J110,$B110,'Real Analysis'!$B$19)</f>
        <v>#VALUE!</v>
      </c>
      <c r="L111" t="e">
        <f>IF(AND(B111&lt;'Real Analysis'!$B$32,B111&gt;0),INTEGRAL2(K111,$B111,L110,K110,$B110,'Real Analysis'!$B$20),0)</f>
        <v>#VALUE!</v>
      </c>
      <c r="N111">
        <f>'Real Analysis'!$B$28*'Real Input'!U111+IF('Real Input'!U111 &gt; 0,'Real Analysis'!$B$29,0)</f>
        <v>0</v>
      </c>
      <c r="O111" t="e">
        <f t="shared" si="7"/>
        <v>#VALUE!</v>
      </c>
      <c r="P111" t="e">
        <f t="shared" si="8"/>
        <v>#VALUE!</v>
      </c>
    </row>
    <row r="112" spans="1:16" x14ac:dyDescent="0.3">
      <c r="A112">
        <v>110</v>
      </c>
      <c r="B112">
        <f>'Real Input'!M112</f>
        <v>2.24872800000594</v>
      </c>
      <c r="C112">
        <f ca="1">INDIRECT(CONCATENATE("'Real Input'!",'Real Analysis'!$B$2,A112+2))</f>
        <v>9.8539586099999994</v>
      </c>
      <c r="D112">
        <f t="shared" si="6"/>
        <v>1.8703000008827075E-2</v>
      </c>
      <c r="E112">
        <f ca="1">IF(B112&gt;0,C112-'Real Analysis'!$B$14,0)</f>
        <v>-2.5391923714277453E-3</v>
      </c>
      <c r="F112">
        <f t="shared" ca="1" si="9"/>
        <v>-1.4975072525822544E-2</v>
      </c>
      <c r="G112">
        <f t="shared" ca="1" si="10"/>
        <v>-1.2254259590910446E-2</v>
      </c>
      <c r="H112">
        <f ca="1">IF(AND(B112&gt;'Real Analysis'!$B$31,B112&lt;'Real Analysis'!$B$32),FilterInput(E112,'Real Analysis'!$B$26,'Real Analysis'!$B$27),0)</f>
        <v>0</v>
      </c>
      <c r="I112" t="e">
        <f>MEDIAN2("Real Values",H112,'Real Analysis'!$B$5,2)</f>
        <v>#VALUE!</v>
      </c>
      <c r="J112" t="e">
        <f>AVERAGE2("Real Values",I112,'Real Analysis'!$B$6,2)</f>
        <v>#VALUE!</v>
      </c>
      <c r="K112" t="e">
        <f>INTEGRAL2(J112,$B112,K111,J111,$B111,'Real Analysis'!$B$19)</f>
        <v>#VALUE!</v>
      </c>
      <c r="L112" t="e">
        <f>IF(AND(B112&lt;'Real Analysis'!$B$32,B112&gt;0),INTEGRAL2(K112,$B112,L111,K111,$B111,'Real Analysis'!$B$20),0)</f>
        <v>#VALUE!</v>
      </c>
      <c r="N112">
        <f>'Real Analysis'!$B$28*'Real Input'!U112+IF('Real Input'!U112 &gt; 0,'Real Analysis'!$B$29,0)</f>
        <v>0</v>
      </c>
      <c r="O112" t="e">
        <f t="shared" si="7"/>
        <v>#VALUE!</v>
      </c>
      <c r="P112" t="e">
        <f t="shared" si="8"/>
        <v>#VALUE!</v>
      </c>
    </row>
    <row r="113" spans="1:16" x14ac:dyDescent="0.3">
      <c r="A113">
        <v>111</v>
      </c>
      <c r="B113">
        <f>'Real Input'!M113</f>
        <v>2.2715969999990193</v>
      </c>
      <c r="C113">
        <f ca="1">INDIRECT(CONCATENATE("'Real Input'!",'Real Analysis'!$B$2,A113+2))</f>
        <v>9.8533994400000005</v>
      </c>
      <c r="D113">
        <f t="shared" si="6"/>
        <v>2.2868999993079342E-2</v>
      </c>
      <c r="E113">
        <f ca="1">IF(B113&gt;0,C113-'Real Analysis'!$B$14,0)</f>
        <v>-3.0983623714266884E-3</v>
      </c>
      <c r="F113">
        <f t="shared" ca="1" si="9"/>
        <v>-1.5045928974873259E-2</v>
      </c>
      <c r="G113">
        <f t="shared" ca="1" si="10"/>
        <v>-1.2598344940532694E-2</v>
      </c>
      <c r="H113">
        <f ca="1">IF(AND(B113&gt;'Real Analysis'!$B$31,B113&lt;'Real Analysis'!$B$32),FilterInput(E113,'Real Analysis'!$B$26,'Real Analysis'!$B$27),0)</f>
        <v>0</v>
      </c>
      <c r="I113" t="e">
        <f>MEDIAN2("Real Values",H113,'Real Analysis'!$B$5,2)</f>
        <v>#VALUE!</v>
      </c>
      <c r="J113" t="e">
        <f>AVERAGE2("Real Values",I113,'Real Analysis'!$B$6,2)</f>
        <v>#VALUE!</v>
      </c>
      <c r="K113" t="e">
        <f>INTEGRAL2(J113,$B113,K112,J112,$B112,'Real Analysis'!$B$19)</f>
        <v>#VALUE!</v>
      </c>
      <c r="L113" t="e">
        <f>IF(AND(B113&lt;'Real Analysis'!$B$32,B113&gt;0),INTEGRAL2(K113,$B113,L112,K112,$B112,'Real Analysis'!$B$20),0)</f>
        <v>#VALUE!</v>
      </c>
      <c r="N113">
        <f>'Real Analysis'!$B$28*'Real Input'!U113+IF('Real Input'!U113 &gt; 0,'Real Analysis'!$B$29,0)</f>
        <v>0</v>
      </c>
      <c r="O113" t="e">
        <f t="shared" si="7"/>
        <v>#VALUE!</v>
      </c>
      <c r="P113" t="e">
        <f t="shared" si="8"/>
        <v>#VALUE!</v>
      </c>
    </row>
    <row r="114" spans="1:16" x14ac:dyDescent="0.3">
      <c r="A114">
        <v>112</v>
      </c>
      <c r="B114">
        <f>'Real Input'!M114</f>
        <v>2.2880569999979343</v>
      </c>
      <c r="C114">
        <f ca="1">INDIRECT(CONCATENATE("'Real Input'!",'Real Analysis'!$B$2,A114+2))</f>
        <v>9.8536054500000017</v>
      </c>
      <c r="D114">
        <f t="shared" si="6"/>
        <v>1.6459999998915009E-2</v>
      </c>
      <c r="E114">
        <f ca="1">IF(B114&gt;0,C114-'Real Analysis'!$B$14,0)</f>
        <v>-2.8923523714254884E-3</v>
      </c>
      <c r="F114">
        <f t="shared" ca="1" si="9"/>
        <v>-1.5093537094903783E-2</v>
      </c>
      <c r="G114">
        <f t="shared" ca="1" si="10"/>
        <v>-1.2846784561098435E-2</v>
      </c>
      <c r="H114">
        <f ca="1">IF(AND(B114&gt;'Real Analysis'!$B$31,B114&lt;'Real Analysis'!$B$32),FilterInput(E114,'Real Analysis'!$B$26,'Real Analysis'!$B$27),0)</f>
        <v>0</v>
      </c>
      <c r="I114" t="e">
        <f>MEDIAN2("Real Values",H114,'Real Analysis'!$B$5,2)</f>
        <v>#VALUE!</v>
      </c>
      <c r="J114" t="e">
        <f>AVERAGE2("Real Values",I114,'Real Analysis'!$B$6,2)</f>
        <v>#VALUE!</v>
      </c>
      <c r="K114" t="e">
        <f>INTEGRAL2(J114,$B114,K113,J113,$B113,'Real Analysis'!$B$19)</f>
        <v>#VALUE!</v>
      </c>
      <c r="L114" t="e">
        <f>IF(AND(B114&lt;'Real Analysis'!$B$32,B114&gt;0),INTEGRAL2(K114,$B114,L113,K113,$B113,'Real Analysis'!$B$20),0)</f>
        <v>#VALUE!</v>
      </c>
      <c r="N114">
        <f>'Real Analysis'!$B$28*'Real Input'!U114+IF('Real Input'!U114 &gt; 0,'Real Analysis'!$B$29,0)</f>
        <v>0</v>
      </c>
      <c r="O114" t="e">
        <f t="shared" si="7"/>
        <v>#VALUE!</v>
      </c>
      <c r="P114" t="e">
        <f t="shared" si="8"/>
        <v>#VALUE!</v>
      </c>
    </row>
    <row r="115" spans="1:16" x14ac:dyDescent="0.3">
      <c r="A115">
        <v>113</v>
      </c>
      <c r="B115">
        <f>'Real Input'!M115</f>
        <v>2.3085750000027474</v>
      </c>
      <c r="C115">
        <f ca="1">INDIRECT(CONCATENATE("'Real Input'!",'Real Analysis'!$B$2,A115+2))</f>
        <v>9.853507350000001</v>
      </c>
      <c r="D115">
        <f t="shared" si="6"/>
        <v>2.0518000004813075E-2</v>
      </c>
      <c r="E115">
        <f ca="1">IF(B115&gt;0,C115-'Real Analysis'!$B$14,0)</f>
        <v>-2.9904523714261444E-3</v>
      </c>
      <c r="F115">
        <f t="shared" ca="1" si="9"/>
        <v>-1.5154895196675098E-2</v>
      </c>
      <c r="G115">
        <f t="shared" ca="1" si="10"/>
        <v>-1.3157732700816757E-2</v>
      </c>
      <c r="H115">
        <f ca="1">IF(AND(B115&gt;'Real Analysis'!$B$31,B115&lt;'Real Analysis'!$B$32),FilterInput(E115,'Real Analysis'!$B$26,'Real Analysis'!$B$27),0)</f>
        <v>0</v>
      </c>
      <c r="I115" t="e">
        <f>MEDIAN2("Real Values",H115,'Real Analysis'!$B$5,2)</f>
        <v>#VALUE!</v>
      </c>
      <c r="J115" t="e">
        <f>AVERAGE2("Real Values",I115,'Real Analysis'!$B$6,2)</f>
        <v>#VALUE!</v>
      </c>
      <c r="K115" t="e">
        <f>INTEGRAL2(J115,$B115,K114,J114,$B114,'Real Analysis'!$B$19)</f>
        <v>#VALUE!</v>
      </c>
      <c r="L115" t="e">
        <f>IF(AND(B115&lt;'Real Analysis'!$B$32,B115&gt;0),INTEGRAL2(K115,$B115,L114,K114,$B114,'Real Analysis'!$B$20),0)</f>
        <v>#VALUE!</v>
      </c>
      <c r="N115">
        <f>'Real Analysis'!$B$28*'Real Input'!U115+IF('Real Input'!U115 &gt; 0,'Real Analysis'!$B$29,0)</f>
        <v>0</v>
      </c>
      <c r="O115" t="e">
        <f t="shared" si="7"/>
        <v>#VALUE!</v>
      </c>
      <c r="P115" t="e">
        <f t="shared" si="8"/>
        <v>#VALUE!</v>
      </c>
    </row>
    <row r="116" spans="1:16" x14ac:dyDescent="0.3">
      <c r="A116">
        <v>114</v>
      </c>
      <c r="B116">
        <f>'Real Input'!M116</f>
        <v>2.3256039999978384</v>
      </c>
      <c r="C116">
        <f ca="1">INDIRECT(CONCATENATE("'Real Input'!",'Real Analysis'!$B$2,A116+2))</f>
        <v>9.8535564000000004</v>
      </c>
      <c r="D116">
        <f t="shared" si="6"/>
        <v>1.7028999995090999E-2</v>
      </c>
      <c r="E116">
        <f ca="1">IF(B116&gt;0,C116-'Real Analysis'!$B$14,0)</f>
        <v>-2.9414023714267046E-3</v>
      </c>
      <c r="F116">
        <f t="shared" ca="1" si="9"/>
        <v>-1.5204984337643683E-2</v>
      </c>
      <c r="G116">
        <f t="shared" ca="1" si="10"/>
        <v>-1.341665837902785E-2</v>
      </c>
      <c r="H116">
        <f ca="1">IF(AND(B116&gt;'Real Analysis'!$B$31,B116&lt;'Real Analysis'!$B$32),FilterInput(E116,'Real Analysis'!$B$26,'Real Analysis'!$B$27),0)</f>
        <v>0</v>
      </c>
      <c r="I116" t="e">
        <f>MEDIAN2("Real Values",H116,'Real Analysis'!$B$5,2)</f>
        <v>#VALUE!</v>
      </c>
      <c r="J116" t="e">
        <f>AVERAGE2("Real Values",I116,'Real Analysis'!$B$6,2)</f>
        <v>#VALUE!</v>
      </c>
      <c r="K116" t="e">
        <f>INTEGRAL2(J116,$B116,K115,J115,$B115,'Real Analysis'!$B$19)</f>
        <v>#VALUE!</v>
      </c>
      <c r="L116" t="e">
        <f>IF(AND(B116&lt;'Real Analysis'!$B$32,B116&gt;0),INTEGRAL2(K116,$B116,L115,K115,$B115,'Real Analysis'!$B$20),0)</f>
        <v>#VALUE!</v>
      </c>
      <c r="N116">
        <f>'Real Analysis'!$B$28*'Real Input'!U116+IF('Real Input'!U116 &gt; 0,'Real Analysis'!$B$29,0)</f>
        <v>0</v>
      </c>
      <c r="O116" t="e">
        <f t="shared" si="7"/>
        <v>#VALUE!</v>
      </c>
      <c r="P116" t="e">
        <f t="shared" si="8"/>
        <v>#VALUE!</v>
      </c>
    </row>
    <row r="117" spans="1:16" x14ac:dyDescent="0.3">
      <c r="A117">
        <v>115</v>
      </c>
      <c r="B117">
        <f>'Real Input'!M117</f>
        <v>2.3487920000043232</v>
      </c>
      <c r="C117">
        <f ca="1">INDIRECT(CONCATENATE("'Real Input'!",'Real Analysis'!$B$2,A117+2))</f>
        <v>9.8507997899999999</v>
      </c>
      <c r="D117">
        <f t="shared" si="6"/>
        <v>2.3188000006484799E-2</v>
      </c>
      <c r="E117">
        <f ca="1">IF(B117&gt;0,C117-'Real Analysis'!$B$14,0)</f>
        <v>-5.6980123714271969E-3</v>
      </c>
      <c r="F117">
        <f t="shared" ca="1" si="9"/>
        <v>-1.5337109848549288E-2</v>
      </c>
      <c r="G117">
        <f t="shared" ca="1" si="10"/>
        <v>-1.3772295282295469E-2</v>
      </c>
      <c r="H117">
        <f ca="1">IF(AND(B117&gt;'Real Analysis'!$B$31,B117&lt;'Real Analysis'!$B$32),FilterInput(E117,'Real Analysis'!$B$26,'Real Analysis'!$B$27),0)</f>
        <v>0</v>
      </c>
      <c r="I117" t="e">
        <f>MEDIAN2("Real Values",H117,'Real Analysis'!$B$5,2)</f>
        <v>#VALUE!</v>
      </c>
      <c r="J117" t="e">
        <f>AVERAGE2("Real Values",I117,'Real Analysis'!$B$6,2)</f>
        <v>#VALUE!</v>
      </c>
      <c r="K117" t="e">
        <f>INTEGRAL2(J117,$B117,K116,J116,$B116,'Real Analysis'!$B$19)</f>
        <v>#VALUE!</v>
      </c>
      <c r="L117" t="e">
        <f>IF(AND(B117&lt;'Real Analysis'!$B$32,B117&gt;0),INTEGRAL2(K117,$B117,L116,K116,$B116,'Real Analysis'!$B$20),0)</f>
        <v>#VALUE!</v>
      </c>
      <c r="N117">
        <f>'Real Analysis'!$B$28*'Real Input'!U117+IF('Real Input'!U117 &gt; 0,'Real Analysis'!$B$29,0)</f>
        <v>0</v>
      </c>
      <c r="O117" t="e">
        <f t="shared" si="7"/>
        <v>#VALUE!</v>
      </c>
      <c r="P117" t="e">
        <f t="shared" si="8"/>
        <v>#VALUE!</v>
      </c>
    </row>
    <row r="118" spans="1:16" x14ac:dyDescent="0.3">
      <c r="A118">
        <v>116</v>
      </c>
      <c r="B118">
        <f>'Real Input'!M118</f>
        <v>2.3692259999952512</v>
      </c>
      <c r="C118">
        <f ca="1">INDIRECT(CONCATENATE("'Real Input'!",'Real Analysis'!$B$2,A118+2))</f>
        <v>9.8535465900000005</v>
      </c>
      <c r="D118">
        <f t="shared" si="6"/>
        <v>2.0433999990927987E-2</v>
      </c>
      <c r="E118">
        <f ca="1">IF(B118&gt;0,C118-'Real Analysis'!$B$14,0)</f>
        <v>-2.9512123714265925E-3</v>
      </c>
      <c r="F118">
        <f t="shared" ca="1" si="9"/>
        <v>-1.5397414922120245E-2</v>
      </c>
      <c r="G118">
        <f t="shared" ca="1" si="10"/>
        <v>-1.4086926058674388E-2</v>
      </c>
      <c r="H118">
        <f ca="1">IF(AND(B118&gt;'Real Analysis'!$B$31,B118&lt;'Real Analysis'!$B$32),FilterInput(E118,'Real Analysis'!$B$26,'Real Analysis'!$B$27),0)</f>
        <v>0</v>
      </c>
      <c r="I118" t="e">
        <f>MEDIAN2("Real Values",H118,'Real Analysis'!$B$5,2)</f>
        <v>#VALUE!</v>
      </c>
      <c r="J118" t="e">
        <f>AVERAGE2("Real Values",I118,'Real Analysis'!$B$6,2)</f>
        <v>#VALUE!</v>
      </c>
      <c r="K118" t="e">
        <f>INTEGRAL2(J118,$B118,K117,J117,$B117,'Real Analysis'!$B$19)</f>
        <v>#VALUE!</v>
      </c>
      <c r="L118" t="e">
        <f>IF(AND(B118&lt;'Real Analysis'!$B$32,B118&gt;0),INTEGRAL2(K118,$B118,L117,K117,$B117,'Real Analysis'!$B$20),0)</f>
        <v>#VALUE!</v>
      </c>
      <c r="N118">
        <f>'Real Analysis'!$B$28*'Real Input'!U118+IF('Real Input'!U118 &gt; 0,'Real Analysis'!$B$29,0)</f>
        <v>0</v>
      </c>
      <c r="O118" t="e">
        <f t="shared" si="7"/>
        <v>#VALUE!</v>
      </c>
      <c r="P118" t="e">
        <f t="shared" si="8"/>
        <v>#VALUE!</v>
      </c>
    </row>
    <row r="119" spans="1:16" x14ac:dyDescent="0.3">
      <c r="A119">
        <v>117</v>
      </c>
      <c r="B119">
        <f>'Real Input'!M119</f>
        <v>2.3854379999975208</v>
      </c>
      <c r="C119">
        <f ca="1">INDIRECT(CONCATENATE("'Real Input'!",'Real Analysis'!$B$2,A119+2))</f>
        <v>9.8536152599999998</v>
      </c>
      <c r="D119">
        <f t="shared" si="6"/>
        <v>1.6212000002269633E-2</v>
      </c>
      <c r="E119">
        <f ca="1">IF(B119&gt;0,C119-'Real Analysis'!$B$14,0)</f>
        <v>-2.8825423714273768E-3</v>
      </c>
      <c r="F119">
        <f t="shared" ca="1" si="9"/>
        <v>-1.5444146699052367E-2</v>
      </c>
      <c r="G119">
        <f t="shared" ca="1" si="10"/>
        <v>-1.4337306564994478E-2</v>
      </c>
      <c r="H119">
        <f ca="1">IF(AND(B119&gt;'Real Analysis'!$B$31,B119&lt;'Real Analysis'!$B$32),FilterInput(E119,'Real Analysis'!$B$26,'Real Analysis'!$B$27),0)</f>
        <v>0</v>
      </c>
      <c r="I119" t="e">
        <f>MEDIAN2("Real Values",H119,'Real Analysis'!$B$5,2)</f>
        <v>#VALUE!</v>
      </c>
      <c r="J119" t="e">
        <f>AVERAGE2("Real Values",I119,'Real Analysis'!$B$6,2)</f>
        <v>#VALUE!</v>
      </c>
      <c r="K119" t="e">
        <f>INTEGRAL2(J119,$B119,K118,J118,$B118,'Real Analysis'!$B$19)</f>
        <v>#VALUE!</v>
      </c>
      <c r="L119" t="e">
        <f>IF(AND(B119&lt;'Real Analysis'!$B$32,B119&gt;0),INTEGRAL2(K119,$B119,L118,K118,$B118,'Real Analysis'!$B$20),0)</f>
        <v>#VALUE!</v>
      </c>
      <c r="N119">
        <f>'Real Analysis'!$B$28*'Real Input'!U119+IF('Real Input'!U119 &gt; 0,'Real Analysis'!$B$29,0)</f>
        <v>0</v>
      </c>
      <c r="O119" t="e">
        <f t="shared" si="7"/>
        <v>#VALUE!</v>
      </c>
      <c r="P119" t="e">
        <f t="shared" si="8"/>
        <v>#VALUE!</v>
      </c>
    </row>
    <row r="120" spans="1:16" x14ac:dyDescent="0.3">
      <c r="A120">
        <v>118</v>
      </c>
      <c r="B120">
        <f>'Real Input'!M120</f>
        <v>2.4134559999947669</v>
      </c>
      <c r="C120">
        <f ca="1">INDIRECT(CONCATENATE("'Real Input'!",'Real Analysis'!$B$2,A120+2))</f>
        <v>9.8537918400000013</v>
      </c>
      <c r="D120">
        <f t="shared" si="6"/>
        <v>2.8017999997246079E-2</v>
      </c>
      <c r="E120">
        <f ca="1">IF(B120&gt;0,C120-'Real Analysis'!$B$14,0)</f>
        <v>-2.7059623714258407E-3</v>
      </c>
      <c r="F120">
        <f t="shared" ca="1" si="9"/>
        <v>-1.5519962352767524E-2</v>
      </c>
      <c r="G120">
        <f t="shared" ca="1" si="10"/>
        <v>-1.4772144870151577E-2</v>
      </c>
      <c r="H120">
        <f ca="1">IF(AND(B120&gt;'Real Analysis'!$B$31,B120&lt;'Real Analysis'!$B$32),FilterInput(E120,'Real Analysis'!$B$26,'Real Analysis'!$B$27),0)</f>
        <v>0</v>
      </c>
      <c r="I120" t="e">
        <f>MEDIAN2("Real Values",H120,'Real Analysis'!$B$5,2)</f>
        <v>#VALUE!</v>
      </c>
      <c r="J120" t="e">
        <f>AVERAGE2("Real Values",I120,'Real Analysis'!$B$6,2)</f>
        <v>#VALUE!</v>
      </c>
      <c r="K120" t="e">
        <f>INTEGRAL2(J120,$B120,K119,J119,$B119,'Real Analysis'!$B$19)</f>
        <v>#VALUE!</v>
      </c>
      <c r="L120" t="e">
        <f>IF(AND(B120&lt;'Real Analysis'!$B$32,B120&gt;0),INTEGRAL2(K120,$B120,L119,K119,$B119,'Real Analysis'!$B$20),0)</f>
        <v>#VALUE!</v>
      </c>
      <c r="N120">
        <f>'Real Analysis'!$B$28*'Real Input'!U120+IF('Real Input'!U120 &gt; 0,'Real Analysis'!$B$29,0)</f>
        <v>0</v>
      </c>
      <c r="O120" t="e">
        <f t="shared" si="7"/>
        <v>#VALUE!</v>
      </c>
      <c r="P120" t="e">
        <f t="shared" si="8"/>
        <v>#VALUE!</v>
      </c>
    </row>
    <row r="121" spans="1:16" x14ac:dyDescent="0.3">
      <c r="A121">
        <v>119</v>
      </c>
      <c r="B121">
        <f>'Real Input'!M121</f>
        <v>2.4298479999997653</v>
      </c>
      <c r="C121">
        <f ca="1">INDIRECT(CONCATENATE("'Real Input'!",'Real Analysis'!$B$2,A121+2))</f>
        <v>9.8494165800000015</v>
      </c>
      <c r="D121">
        <f t="shared" si="6"/>
        <v>1.6392000004998408E-2</v>
      </c>
      <c r="E121">
        <f ca="1">IF(B121&gt;0,C121-'Real Analysis'!$B$14,0)</f>
        <v>-7.0812223714256106E-3</v>
      </c>
      <c r="F121">
        <f t="shared" ca="1" si="9"/>
        <v>-1.5636037749915326E-2</v>
      </c>
      <c r="G121">
        <f t="shared" ca="1" si="10"/>
        <v>-1.5028450801026345E-2</v>
      </c>
      <c r="H121">
        <f ca="1">IF(AND(B121&gt;'Real Analysis'!$B$31,B121&lt;'Real Analysis'!$B$32),FilterInput(E121,'Real Analysis'!$B$26,'Real Analysis'!$B$27),0)</f>
        <v>0</v>
      </c>
      <c r="I121" t="e">
        <f>MEDIAN2("Real Values",H121,'Real Analysis'!$B$5,2)</f>
        <v>#VALUE!</v>
      </c>
      <c r="J121" t="e">
        <f>AVERAGE2("Real Values",I121,'Real Analysis'!$B$6,2)</f>
        <v>#VALUE!</v>
      </c>
      <c r="K121" t="e">
        <f>INTEGRAL2(J121,$B121,K120,J120,$B120,'Real Analysis'!$B$19)</f>
        <v>#VALUE!</v>
      </c>
      <c r="L121" t="e">
        <f>IF(AND(B121&lt;'Real Analysis'!$B$32,B121&gt;0),INTEGRAL2(K121,$B121,L120,K120,$B120,'Real Analysis'!$B$20),0)</f>
        <v>#VALUE!</v>
      </c>
      <c r="N121">
        <f>'Real Analysis'!$B$28*'Real Input'!U121+IF('Real Input'!U121 &gt; 0,'Real Analysis'!$B$29,0)</f>
        <v>0</v>
      </c>
      <c r="O121" t="e">
        <f t="shared" si="7"/>
        <v>#VALUE!</v>
      </c>
      <c r="P121" t="e">
        <f t="shared" si="8"/>
        <v>#VALUE!</v>
      </c>
    </row>
    <row r="122" spans="1:16" x14ac:dyDescent="0.3">
      <c r="A122">
        <v>120</v>
      </c>
      <c r="B122">
        <f>'Real Input'!M122</f>
        <v>2.4493689999944763</v>
      </c>
      <c r="C122">
        <f ca="1">INDIRECT(CONCATENATE("'Real Input'!",'Real Analysis'!$B$2,A122+2))</f>
        <v>9.8570879999999992</v>
      </c>
      <c r="D122">
        <f t="shared" si="6"/>
        <v>1.9520999994711019E-2</v>
      </c>
      <c r="E122">
        <f ca="1">IF(B122&gt;0,C122-'Real Analysis'!$B$14,0)</f>
        <v>5.9019762857204228E-4</v>
      </c>
      <c r="F122">
        <f t="shared" ca="1" si="9"/>
        <v>-1.5624516502011092E-2</v>
      </c>
      <c r="G122">
        <f t="shared" ca="1" si="10"/>
        <v>-1.5333456987579465E-2</v>
      </c>
      <c r="H122">
        <f ca="1">IF(AND(B122&gt;'Real Analysis'!$B$31,B122&lt;'Real Analysis'!$B$32),FilterInput(E122,'Real Analysis'!$B$26,'Real Analysis'!$B$27),0)</f>
        <v>0</v>
      </c>
      <c r="I122" t="e">
        <f>MEDIAN2("Real Values",H122,'Real Analysis'!$B$5,2)</f>
        <v>#VALUE!</v>
      </c>
      <c r="J122" t="e">
        <f>AVERAGE2("Real Values",I122,'Real Analysis'!$B$6,2)</f>
        <v>#VALUE!</v>
      </c>
      <c r="K122" t="e">
        <f>INTEGRAL2(J122,$B122,K121,J121,$B121,'Real Analysis'!$B$19)</f>
        <v>#VALUE!</v>
      </c>
      <c r="L122" t="e">
        <f>IF(AND(B122&lt;'Real Analysis'!$B$32,B122&gt;0),INTEGRAL2(K122,$B122,L121,K121,$B121,'Real Analysis'!$B$20),0)</f>
        <v>#VALUE!</v>
      </c>
      <c r="N122">
        <f>'Real Analysis'!$B$28*'Real Input'!U122+IF('Real Input'!U122 &gt; 0,'Real Analysis'!$B$29,0)</f>
        <v>0</v>
      </c>
      <c r="O122" t="e">
        <f t="shared" si="7"/>
        <v>#VALUE!</v>
      </c>
      <c r="P122" t="e">
        <f t="shared" si="8"/>
        <v>#VALUE!</v>
      </c>
    </row>
    <row r="123" spans="1:16" x14ac:dyDescent="0.3">
      <c r="A123">
        <v>121</v>
      </c>
      <c r="B123">
        <f>'Real Input'!M123</f>
        <v>2.4721229999995558</v>
      </c>
      <c r="C123">
        <f ca="1">INDIRECT(CONCATENATE("'Real Input'!",'Real Analysis'!$B$2,A123+2))</f>
        <v>9.8550180899999997</v>
      </c>
      <c r="D123">
        <f t="shared" si="6"/>
        <v>2.2754000005079433E-2</v>
      </c>
      <c r="E123">
        <f ca="1">IF(B123&gt;0,C123-'Real Analysis'!$B$14,0)</f>
        <v>-1.4797123714274107E-3</v>
      </c>
      <c r="F123">
        <f t="shared" ca="1" si="9"/>
        <v>-1.5658185877318067E-2</v>
      </c>
      <c r="G123">
        <f t="shared" ca="1" si="10"/>
        <v>-1.5689743349111496E-2</v>
      </c>
      <c r="H123">
        <f ca="1">IF(AND(B123&gt;'Real Analysis'!$B$31,B123&lt;'Real Analysis'!$B$32),FilterInput(E123,'Real Analysis'!$B$26,'Real Analysis'!$B$27),0)</f>
        <v>0</v>
      </c>
      <c r="I123" t="e">
        <f>MEDIAN2("Real Values",H123,'Real Analysis'!$B$5,2)</f>
        <v>#VALUE!</v>
      </c>
      <c r="J123" t="e">
        <f>AVERAGE2("Real Values",I123,'Real Analysis'!$B$6,2)</f>
        <v>#VALUE!</v>
      </c>
      <c r="K123" t="e">
        <f>INTEGRAL2(J123,$B123,K122,J122,$B122,'Real Analysis'!$B$19)</f>
        <v>#VALUE!</v>
      </c>
      <c r="L123" t="e">
        <f>IF(AND(B123&lt;'Real Analysis'!$B$32,B123&gt;0),INTEGRAL2(K123,$B123,L122,K122,$B122,'Real Analysis'!$B$20),0)</f>
        <v>#VALUE!</v>
      </c>
      <c r="N123">
        <f>'Real Analysis'!$B$28*'Real Input'!U123+IF('Real Input'!U123 &gt; 0,'Real Analysis'!$B$29,0)</f>
        <v>0</v>
      </c>
      <c r="O123" t="e">
        <f t="shared" si="7"/>
        <v>#VALUE!</v>
      </c>
      <c r="P123" t="e">
        <f t="shared" si="8"/>
        <v>#VALUE!</v>
      </c>
    </row>
    <row r="124" spans="1:16" x14ac:dyDescent="0.3">
      <c r="A124">
        <v>122</v>
      </c>
      <c r="B124">
        <f>'Real Input'!M124</f>
        <v>2.4891680000000633</v>
      </c>
      <c r="C124">
        <f ca="1">INDIRECT(CONCATENATE("'Real Input'!",'Real Analysis'!$B$2,A124+2))</f>
        <v>9.8569899000000021</v>
      </c>
      <c r="D124">
        <f t="shared" si="6"/>
        <v>1.7045000000507571E-2</v>
      </c>
      <c r="E124">
        <f ca="1">IF(B124&gt;0,C124-'Real Analysis'!$B$14,0)</f>
        <v>4.9209762857493899E-4</v>
      </c>
      <c r="F124">
        <f t="shared" ca="1" si="9"/>
        <v>-1.5649798073238758E-2</v>
      </c>
      <c r="G124">
        <f t="shared" ca="1" si="10"/>
        <v>-1.5956494157277793E-2</v>
      </c>
      <c r="H124">
        <f ca="1">IF(AND(B124&gt;'Real Analysis'!$B$31,B124&lt;'Real Analysis'!$B$32),FilterInput(E124,'Real Analysis'!$B$26,'Real Analysis'!$B$27),0)</f>
        <v>0</v>
      </c>
      <c r="I124" t="e">
        <f>MEDIAN2("Real Values",H124,'Real Analysis'!$B$5,2)</f>
        <v>#VALUE!</v>
      </c>
      <c r="J124" t="e">
        <f>AVERAGE2("Real Values",I124,'Real Analysis'!$B$6,2)</f>
        <v>#VALUE!</v>
      </c>
      <c r="K124" t="e">
        <f>INTEGRAL2(J124,$B124,K123,J123,$B123,'Real Analysis'!$B$19)</f>
        <v>#VALUE!</v>
      </c>
      <c r="L124" t="e">
        <f>IF(AND(B124&lt;'Real Analysis'!$B$32,B124&gt;0),INTEGRAL2(K124,$B124,L123,K123,$B123,'Real Analysis'!$B$20),0)</f>
        <v>#VALUE!</v>
      </c>
      <c r="N124">
        <f>'Real Analysis'!$B$28*'Real Input'!U124+IF('Real Input'!U124 &gt; 0,'Real Analysis'!$B$29,0)</f>
        <v>0</v>
      </c>
      <c r="O124" t="e">
        <f t="shared" si="7"/>
        <v>#VALUE!</v>
      </c>
      <c r="P124" t="e">
        <f t="shared" si="8"/>
        <v>#VALUE!</v>
      </c>
    </row>
    <row r="125" spans="1:16" x14ac:dyDescent="0.3">
      <c r="A125">
        <v>123</v>
      </c>
      <c r="B125">
        <f>'Real Input'!M125</f>
        <v>2.509661000003689</v>
      </c>
      <c r="C125">
        <f ca="1">INDIRECT(CONCATENATE("'Real Input'!",'Real Analysis'!$B$2,A125+2))</f>
        <v>9.8567642699999993</v>
      </c>
      <c r="D125">
        <f t="shared" si="6"/>
        <v>2.0493000003625639E-2</v>
      </c>
      <c r="E125">
        <f ca="1">IF(B125&gt;0,C125-'Real Analysis'!$B$14,0)</f>
        <v>2.6646762857218675E-4</v>
      </c>
      <c r="F125">
        <f t="shared" ca="1" si="9"/>
        <v>-1.5644337352125462E-2</v>
      </c>
      <c r="G125">
        <f t="shared" ca="1" si="10"/>
        <v>-1.6277093562691622E-2</v>
      </c>
      <c r="H125">
        <f ca="1">IF(AND(B125&gt;'Real Analysis'!$B$31,B125&lt;'Real Analysis'!$B$32),FilterInput(E125,'Real Analysis'!$B$26,'Real Analysis'!$B$27),0)</f>
        <v>0</v>
      </c>
      <c r="I125" t="e">
        <f>MEDIAN2("Real Values",H125,'Real Analysis'!$B$5,2)</f>
        <v>#VALUE!</v>
      </c>
      <c r="J125" t="e">
        <f>AVERAGE2("Real Values",I125,'Real Analysis'!$B$6,2)</f>
        <v>#VALUE!</v>
      </c>
      <c r="K125" t="e">
        <f>INTEGRAL2(J125,$B125,K124,J124,$B124,'Real Analysis'!$B$19)</f>
        <v>#VALUE!</v>
      </c>
      <c r="L125" t="e">
        <f>IF(AND(B125&lt;'Real Analysis'!$B$32,B125&gt;0),INTEGRAL2(K125,$B125,L124,K124,$B124,'Real Analysis'!$B$20),0)</f>
        <v>#VALUE!</v>
      </c>
      <c r="N125">
        <f>'Real Analysis'!$B$28*'Real Input'!U125+IF('Real Input'!U125 &gt; 0,'Real Analysis'!$B$29,0)</f>
        <v>0</v>
      </c>
      <c r="O125" t="e">
        <f t="shared" si="7"/>
        <v>#VALUE!</v>
      </c>
      <c r="P125" t="e">
        <f t="shared" si="8"/>
        <v>#VALUE!</v>
      </c>
    </row>
    <row r="126" spans="1:16" x14ac:dyDescent="0.3">
      <c r="A126">
        <v>124</v>
      </c>
      <c r="B126">
        <f>'Real Input'!M126</f>
        <v>2.5303010000061477</v>
      </c>
      <c r="C126">
        <f ca="1">INDIRECT(CONCATENATE("'Real Input'!",'Real Analysis'!$B$2,A126+2))</f>
        <v>9.8548905599999994</v>
      </c>
      <c r="D126">
        <f t="shared" si="6"/>
        <v>2.0640000002458692E-2</v>
      </c>
      <c r="E126">
        <f ca="1">IF(B126&gt;0,C126-'Real Analysis'!$B$14,0)</f>
        <v>-1.6072423714277306E-3</v>
      </c>
      <c r="F126">
        <f t="shared" ca="1" si="9"/>
        <v>-1.5677510834675681E-2</v>
      </c>
      <c r="G126">
        <f t="shared" ca="1" si="10"/>
        <v>-1.6600677386357874E-2</v>
      </c>
      <c r="H126">
        <f ca="1">IF(AND(B126&gt;'Real Analysis'!$B$31,B126&lt;'Real Analysis'!$B$32),FilterInput(E126,'Real Analysis'!$B$26,'Real Analysis'!$B$27),0)</f>
        <v>0</v>
      </c>
      <c r="I126" t="e">
        <f>MEDIAN2("Real Values",H126,'Real Analysis'!$B$5,2)</f>
        <v>#VALUE!</v>
      </c>
      <c r="J126" t="e">
        <f>AVERAGE2("Real Values",I126,'Real Analysis'!$B$6,2)</f>
        <v>#VALUE!</v>
      </c>
      <c r="K126" t="e">
        <f>INTEGRAL2(J126,$B126,K125,J125,$B125,'Real Analysis'!$B$19)</f>
        <v>#VALUE!</v>
      </c>
      <c r="L126" t="e">
        <f>IF(AND(B126&lt;'Real Analysis'!$B$32,B126&gt;0),INTEGRAL2(K126,$B126,L125,K125,$B125,'Real Analysis'!$B$20),0)</f>
        <v>#VALUE!</v>
      </c>
      <c r="N126">
        <f>'Real Analysis'!$B$28*'Real Input'!U126+IF('Real Input'!U126 &gt; 0,'Real Analysis'!$B$29,0)</f>
        <v>0</v>
      </c>
      <c r="O126" t="e">
        <f t="shared" si="7"/>
        <v>#VALUE!</v>
      </c>
      <c r="P126" t="e">
        <f t="shared" si="8"/>
        <v>#VALUE!</v>
      </c>
    </row>
    <row r="127" spans="1:16" x14ac:dyDescent="0.3">
      <c r="A127">
        <v>125</v>
      </c>
      <c r="B127">
        <f>'Real Input'!M127</f>
        <v>2.5504150000051595</v>
      </c>
      <c r="C127">
        <f ca="1">INDIRECT(CONCATENATE("'Real Input'!",'Real Analysis'!$B$2,A127+2))</f>
        <v>9.8534582999999998</v>
      </c>
      <c r="D127">
        <f t="shared" si="6"/>
        <v>2.0113999999011867E-2</v>
      </c>
      <c r="E127">
        <f ca="1">IF(B127&gt;0,C127-'Real Analysis'!$B$14,0)</f>
        <v>-3.0395023714273606E-3</v>
      </c>
      <c r="F127">
        <f t="shared" ca="1" si="9"/>
        <v>-1.5738647385371569E-2</v>
      </c>
      <c r="G127">
        <f t="shared" ca="1" si="10"/>
        <v>-1.6917244539851686E-2</v>
      </c>
      <c r="H127">
        <f ca="1">IF(AND(B127&gt;'Real Analysis'!$B$31,B127&lt;'Real Analysis'!$B$32),FilterInput(E127,'Real Analysis'!$B$26,'Real Analysis'!$B$27),0)</f>
        <v>0</v>
      </c>
      <c r="I127" t="e">
        <f>MEDIAN2("Real Values",H127,'Real Analysis'!$B$5,2)</f>
        <v>#VALUE!</v>
      </c>
      <c r="J127" t="e">
        <f>AVERAGE2("Real Values",I127,'Real Analysis'!$B$6,2)</f>
        <v>#VALUE!</v>
      </c>
      <c r="K127" t="e">
        <f>INTEGRAL2(J127,$B127,K126,J126,$B126,'Real Analysis'!$B$19)</f>
        <v>#VALUE!</v>
      </c>
      <c r="L127" t="e">
        <f>IF(AND(B127&lt;'Real Analysis'!$B$32,B127&gt;0),INTEGRAL2(K127,$B127,L126,K126,$B126,'Real Analysis'!$B$20),0)</f>
        <v>#VALUE!</v>
      </c>
      <c r="N127">
        <f>'Real Analysis'!$B$28*'Real Input'!U127+IF('Real Input'!U127 &gt; 0,'Real Analysis'!$B$29,0)</f>
        <v>0</v>
      </c>
      <c r="O127" t="e">
        <f t="shared" si="7"/>
        <v>#VALUE!</v>
      </c>
      <c r="P127" t="e">
        <f t="shared" si="8"/>
        <v>#VALUE!</v>
      </c>
    </row>
    <row r="128" spans="1:16" x14ac:dyDescent="0.3">
      <c r="A128">
        <v>126</v>
      </c>
      <c r="B128">
        <f>'Real Input'!M128</f>
        <v>2.5750589999952354</v>
      </c>
      <c r="C128">
        <f ca="1">INDIRECT(CONCATENATE("'Real Input'!",'Real Analysis'!$B$2,A128+2))</f>
        <v>9.8541253799999993</v>
      </c>
      <c r="D128">
        <f t="shared" si="6"/>
        <v>2.4643999990075827E-2</v>
      </c>
      <c r="E128">
        <f ca="1">IF(B128&gt;0,C128-'Real Analysis'!$B$14,0)</f>
        <v>-2.3724223714278736E-3</v>
      </c>
      <c r="F128">
        <f t="shared" ca="1" si="9"/>
        <v>-1.5797113362269494E-2</v>
      </c>
      <c r="G128">
        <f t="shared" ca="1" si="10"/>
        <v>-1.7306548601394682E-2</v>
      </c>
      <c r="H128">
        <f ca="1">IF(AND(B128&gt;'Real Analysis'!$B$31,B128&lt;'Real Analysis'!$B$32),FilterInput(E128,'Real Analysis'!$B$26,'Real Analysis'!$B$27),0)</f>
        <v>0</v>
      </c>
      <c r="I128" t="e">
        <f>MEDIAN2("Real Values",H128,'Real Analysis'!$B$5,2)</f>
        <v>#VALUE!</v>
      </c>
      <c r="J128" t="e">
        <f>AVERAGE2("Real Values",I128,'Real Analysis'!$B$6,2)</f>
        <v>#VALUE!</v>
      </c>
      <c r="K128" t="e">
        <f>INTEGRAL2(J128,$B128,K127,J127,$B127,'Real Analysis'!$B$19)</f>
        <v>#VALUE!</v>
      </c>
      <c r="L128" t="e">
        <f>IF(AND(B128&lt;'Real Analysis'!$B$32,B128&gt;0),INTEGRAL2(K128,$B128,L127,K127,$B127,'Real Analysis'!$B$20),0)</f>
        <v>#VALUE!</v>
      </c>
      <c r="N128">
        <f>'Real Analysis'!$B$28*'Real Input'!U128+IF('Real Input'!U128 &gt; 0,'Real Analysis'!$B$29,0)</f>
        <v>0</v>
      </c>
      <c r="O128" t="e">
        <f t="shared" si="7"/>
        <v>#VALUE!</v>
      </c>
      <c r="P128" t="e">
        <f t="shared" si="8"/>
        <v>#VALUE!</v>
      </c>
    </row>
    <row r="129" spans="1:16" x14ac:dyDescent="0.3">
      <c r="A129">
        <v>127</v>
      </c>
      <c r="B129">
        <f>'Real Input'!M129</f>
        <v>2.5918490000040038</v>
      </c>
      <c r="C129">
        <f ca="1">INDIRECT(CONCATENATE("'Real Input'!",'Real Analysis'!$B$2,A129+2))</f>
        <v>9.8561364299999994</v>
      </c>
      <c r="D129">
        <f t="shared" si="6"/>
        <v>1.6790000008768402E-2</v>
      </c>
      <c r="E129">
        <f ca="1">IF(B129&gt;0,C129-'Real Analysis'!$B$14,0)</f>
        <v>-3.6137237142774836E-4</v>
      </c>
      <c r="F129">
        <f t="shared" ca="1" si="9"/>
        <v>-1.5803180804388934E-2</v>
      </c>
      <c r="G129">
        <f t="shared" ca="1" si="10"/>
        <v>-1.7571884007238942E-2</v>
      </c>
      <c r="H129">
        <f ca="1">IF(AND(B129&gt;'Real Analysis'!$B$31,B129&lt;'Real Analysis'!$B$32),FilterInput(E129,'Real Analysis'!$B$26,'Real Analysis'!$B$27),0)</f>
        <v>0</v>
      </c>
      <c r="I129" t="e">
        <f>MEDIAN2("Real Values",H129,'Real Analysis'!$B$5,2)</f>
        <v>#VALUE!</v>
      </c>
      <c r="J129" t="e">
        <f>AVERAGE2("Real Values",I129,'Real Analysis'!$B$6,2)</f>
        <v>#VALUE!</v>
      </c>
      <c r="K129" t="e">
        <f>INTEGRAL2(J129,$B129,K128,J128,$B128,'Real Analysis'!$B$19)</f>
        <v>#VALUE!</v>
      </c>
      <c r="L129" t="e">
        <f>IF(AND(B129&lt;'Real Analysis'!$B$32,B129&gt;0),INTEGRAL2(K129,$B129,L128,K128,$B128,'Real Analysis'!$B$20),0)</f>
        <v>#VALUE!</v>
      </c>
      <c r="N129">
        <f>'Real Analysis'!$B$28*'Real Input'!U129+IF('Real Input'!U129 &gt; 0,'Real Analysis'!$B$29,0)</f>
        <v>0</v>
      </c>
      <c r="O129" t="e">
        <f t="shared" si="7"/>
        <v>#VALUE!</v>
      </c>
      <c r="P129" t="e">
        <f t="shared" si="8"/>
        <v>#VALUE!</v>
      </c>
    </row>
    <row r="130" spans="1:16" x14ac:dyDescent="0.3">
      <c r="A130">
        <v>128</v>
      </c>
      <c r="B130">
        <f>'Real Input'!M130</f>
        <v>2.6100290000031237</v>
      </c>
      <c r="C130">
        <f ca="1">INDIRECT(CONCATENATE("'Real Input'!",'Real Analysis'!$B$2,A130+2))</f>
        <v>9.8551456200000001</v>
      </c>
      <c r="D130">
        <f t="shared" si="6"/>
        <v>1.81799999991199E-2</v>
      </c>
      <c r="E130">
        <f ca="1">IF(B130&gt;0,C130-'Real Analysis'!$B$14,0)</f>
        <v>-1.3521823714270909E-3</v>
      </c>
      <c r="F130">
        <f t="shared" ca="1" si="9"/>
        <v>-1.5827763479900288E-2</v>
      </c>
      <c r="G130">
        <f t="shared" ca="1" si="10"/>
        <v>-1.7859632747289599E-2</v>
      </c>
      <c r="H130">
        <f ca="1">IF(AND(B130&gt;'Real Analysis'!$B$31,B130&lt;'Real Analysis'!$B$32),FilterInput(E130,'Real Analysis'!$B$26,'Real Analysis'!$B$27),0)</f>
        <v>0</v>
      </c>
      <c r="I130" t="e">
        <f>MEDIAN2("Real Values",H130,'Real Analysis'!$B$5,2)</f>
        <v>#VALUE!</v>
      </c>
      <c r="J130" t="e">
        <f>AVERAGE2("Real Values",I130,'Real Analysis'!$B$6,2)</f>
        <v>#VALUE!</v>
      </c>
      <c r="K130" t="e">
        <f>INTEGRAL2(J130,$B130,K129,J129,$B129,'Real Analysis'!$B$19)</f>
        <v>#VALUE!</v>
      </c>
      <c r="L130" t="e">
        <f>IF(AND(B130&lt;'Real Analysis'!$B$32,B130&gt;0),INTEGRAL2(K130,$B130,L129,K129,$B129,'Real Analysis'!$B$20),0)</f>
        <v>#VALUE!</v>
      </c>
      <c r="N130">
        <f>'Real Analysis'!$B$28*'Real Input'!U130+IF('Real Input'!U130 &gt; 0,'Real Analysis'!$B$29,0)</f>
        <v>0</v>
      </c>
      <c r="O130" t="e">
        <f t="shared" si="7"/>
        <v>#VALUE!</v>
      </c>
      <c r="P130" t="e">
        <f t="shared" si="8"/>
        <v>#VALUE!</v>
      </c>
    </row>
    <row r="131" spans="1:16" x14ac:dyDescent="0.3">
      <c r="A131">
        <v>129</v>
      </c>
      <c r="B131">
        <f>'Real Input'!M131</f>
        <v>2.6315659999963827</v>
      </c>
      <c r="C131">
        <f ca="1">INDIRECT(CONCATENATE("'Real Input'!",'Real Analysis'!$B$2,A131+2))</f>
        <v>9.8534386800000018</v>
      </c>
      <c r="D131">
        <f t="shared" ref="D131:D194" si="11">B131-B130</f>
        <v>2.1536999993259087E-2</v>
      </c>
      <c r="E131">
        <f ca="1">IF(B131&gt;0,C131-'Real Analysis'!$B$14,0)</f>
        <v>-3.0591223714253601E-3</v>
      </c>
      <c r="F131">
        <f t="shared" ca="1" si="9"/>
        <v>-1.5893647798393053E-2</v>
      </c>
      <c r="G131">
        <f t="shared" ca="1" si="10"/>
        <v>-1.8201934239816451E-2</v>
      </c>
      <c r="H131">
        <f ca="1">IF(AND(B131&gt;'Real Analysis'!$B$31,B131&lt;'Real Analysis'!$B$32),FilterInput(E131,'Real Analysis'!$B$26,'Real Analysis'!$B$27),0)</f>
        <v>0</v>
      </c>
      <c r="I131" t="e">
        <f>MEDIAN2("Real Values",H131,'Real Analysis'!$B$5,2)</f>
        <v>#VALUE!</v>
      </c>
      <c r="J131" t="e">
        <f>AVERAGE2("Real Values",I131,'Real Analysis'!$B$6,2)</f>
        <v>#VALUE!</v>
      </c>
      <c r="K131" t="e">
        <f>INTEGRAL2(J131,$B131,K130,J130,$B130,'Real Analysis'!$B$19)</f>
        <v>#VALUE!</v>
      </c>
      <c r="L131" t="e">
        <f>IF(AND(B131&lt;'Real Analysis'!$B$32,B131&gt;0),INTEGRAL2(K131,$B131,L130,K130,$B130,'Real Analysis'!$B$20),0)</f>
        <v>#VALUE!</v>
      </c>
      <c r="N131">
        <f>'Real Analysis'!$B$28*'Real Input'!U131+IF('Real Input'!U131 &gt; 0,'Real Analysis'!$B$29,0)</f>
        <v>0</v>
      </c>
      <c r="O131" t="e">
        <f t="shared" ref="O131:O194" si="12">_xlfn.COVARIANCE.P($L$102:$L$1200,N131:N1229)</f>
        <v>#VALUE!</v>
      </c>
      <c r="P131" t="e">
        <f t="shared" ref="P131:P194" si="13">N131-L131</f>
        <v>#VALUE!</v>
      </c>
    </row>
    <row r="132" spans="1:16" x14ac:dyDescent="0.3">
      <c r="A132">
        <v>130</v>
      </c>
      <c r="B132">
        <f>'Real Input'!M132</f>
        <v>2.6451470000029076</v>
      </c>
      <c r="C132">
        <f ca="1">INDIRECT(CONCATENATE("'Real Input'!",'Real Analysis'!$B$2,A132+2))</f>
        <v>9.8537035500000023</v>
      </c>
      <c r="D132">
        <f t="shared" si="11"/>
        <v>1.3581000006524846E-2</v>
      </c>
      <c r="E132">
        <f ca="1">IF(B132&gt;0,C132-'Real Analysis'!$B$14,0)</f>
        <v>-2.7942523714248324E-3</v>
      </c>
      <c r="F132">
        <f t="shared" ref="F132:F195" ca="1" si="14">IF(B132&gt;0,F131+E132*$D132,0)</f>
        <v>-1.5931596539867605E-2</v>
      </c>
      <c r="G132">
        <f t="shared" ca="1" si="10"/>
        <v>-1.8418301252528343E-2</v>
      </c>
      <c r="H132">
        <f ca="1">IF(AND(B132&gt;'Real Analysis'!$B$31,B132&lt;'Real Analysis'!$B$32),FilterInput(E132,'Real Analysis'!$B$26,'Real Analysis'!$B$27),0)</f>
        <v>0</v>
      </c>
      <c r="I132" t="e">
        <f>MEDIAN2("Real Values",H132,'Real Analysis'!$B$5,2)</f>
        <v>#VALUE!</v>
      </c>
      <c r="J132" t="e">
        <f>AVERAGE2("Real Values",I132,'Real Analysis'!$B$6,2)</f>
        <v>#VALUE!</v>
      </c>
      <c r="K132" t="e">
        <f>INTEGRAL2(J132,$B132,K131,J131,$B131,'Real Analysis'!$B$19)</f>
        <v>#VALUE!</v>
      </c>
      <c r="L132" t="e">
        <f>IF(AND(B132&lt;'Real Analysis'!$B$32,B132&gt;0),INTEGRAL2(K132,$B132,L131,K131,$B131,'Real Analysis'!$B$20),0)</f>
        <v>#VALUE!</v>
      </c>
      <c r="N132">
        <f>'Real Analysis'!$B$28*'Real Input'!U132+IF('Real Input'!U132 &gt; 0,'Real Analysis'!$B$29,0)</f>
        <v>0</v>
      </c>
      <c r="O132" t="e">
        <f t="shared" si="12"/>
        <v>#VALUE!</v>
      </c>
      <c r="P132" t="e">
        <f t="shared" si="13"/>
        <v>#VALUE!</v>
      </c>
    </row>
    <row r="133" spans="1:16" x14ac:dyDescent="0.3">
      <c r="A133">
        <v>131</v>
      </c>
      <c r="B133">
        <f>'Real Input'!M133</f>
        <v>2.6706280000071274</v>
      </c>
      <c r="C133">
        <f ca="1">INDIRECT(CONCATENATE("'Real Input'!",'Real Analysis'!$B$2,A133+2))</f>
        <v>9.8536152599999998</v>
      </c>
      <c r="D133">
        <f t="shared" si="11"/>
        <v>2.5481000004219823E-2</v>
      </c>
      <c r="E133">
        <f ca="1">IF(B133&gt;0,C133-'Real Analysis'!$B$14,0)</f>
        <v>-2.8825423714273768E-3</v>
      </c>
      <c r="F133">
        <f t="shared" ca="1" si="14"/>
        <v>-1.6005046602046109E-2</v>
      </c>
      <c r="G133">
        <f t="shared" ca="1" si="10"/>
        <v>-1.882612584506262E-2</v>
      </c>
      <c r="H133">
        <f ca="1">IF(AND(B133&gt;'Real Analysis'!$B$31,B133&lt;'Real Analysis'!$B$32),FilterInput(E133,'Real Analysis'!$B$26,'Real Analysis'!$B$27),0)</f>
        <v>0</v>
      </c>
      <c r="I133" t="e">
        <f>MEDIAN2("Real Values",H133,'Real Analysis'!$B$5,2)</f>
        <v>#VALUE!</v>
      </c>
      <c r="J133" t="e">
        <f>AVERAGE2("Real Values",I133,'Real Analysis'!$B$6,2)</f>
        <v>#VALUE!</v>
      </c>
      <c r="K133" t="e">
        <f>INTEGRAL2(J133,$B133,K132,J132,$B132,'Real Analysis'!$B$19)</f>
        <v>#VALUE!</v>
      </c>
      <c r="L133" t="e">
        <f>IF(AND(B133&lt;'Real Analysis'!$B$32,B133&gt;0),INTEGRAL2(K133,$B133,L132,K132,$B132,'Real Analysis'!$B$20),0)</f>
        <v>#VALUE!</v>
      </c>
      <c r="N133">
        <f>'Real Analysis'!$B$28*'Real Input'!U133+IF('Real Input'!U133 &gt; 0,'Real Analysis'!$B$29,0)</f>
        <v>0</v>
      </c>
      <c r="O133" t="e">
        <f t="shared" si="12"/>
        <v>#VALUE!</v>
      </c>
      <c r="P133" t="e">
        <f t="shared" si="13"/>
        <v>#VALUE!</v>
      </c>
    </row>
    <row r="134" spans="1:16" x14ac:dyDescent="0.3">
      <c r="A134">
        <v>132</v>
      </c>
      <c r="B134">
        <f>'Real Input'!M134</f>
        <v>2.6857840000011493</v>
      </c>
      <c r="C134">
        <f ca="1">INDIRECT(CONCATENATE("'Real Input'!",'Real Analysis'!$B$2,A134+2))</f>
        <v>9.8535662100000003</v>
      </c>
      <c r="D134">
        <f t="shared" si="11"/>
        <v>1.515599999402184E-2</v>
      </c>
      <c r="E134">
        <f ca="1">IF(B134&gt;0,C134-'Real Analysis'!$B$14,0)</f>
        <v>-2.9315923714268166E-3</v>
      </c>
      <c r="F134">
        <f t="shared" ca="1" si="14"/>
        <v>-1.6049477816009929E-2</v>
      </c>
      <c r="G134">
        <f t="shared" ca="1" si="10"/>
        <v>-1.9069371730746121E-2</v>
      </c>
      <c r="H134">
        <f ca="1">IF(AND(B134&gt;'Real Analysis'!$B$31,B134&lt;'Real Analysis'!$B$32),FilterInput(E134,'Real Analysis'!$B$26,'Real Analysis'!$B$27),0)</f>
        <v>0</v>
      </c>
      <c r="I134" t="e">
        <f>MEDIAN2("Real Values",H134,'Real Analysis'!$B$5,2)</f>
        <v>#VALUE!</v>
      </c>
      <c r="J134" t="e">
        <f>AVERAGE2("Real Values",I134,'Real Analysis'!$B$6,2)</f>
        <v>#VALUE!</v>
      </c>
      <c r="K134" t="e">
        <f>INTEGRAL2(J134,$B134,K133,J133,$B133,'Real Analysis'!$B$19)</f>
        <v>#VALUE!</v>
      </c>
      <c r="L134" t="e">
        <f>IF(AND(B134&lt;'Real Analysis'!$B$32,B134&gt;0),INTEGRAL2(K134,$B134,L133,K133,$B133,'Real Analysis'!$B$20),0)</f>
        <v>#VALUE!</v>
      </c>
      <c r="N134">
        <f>'Real Analysis'!$B$28*'Real Input'!U134+IF('Real Input'!U134 &gt; 0,'Real Analysis'!$B$29,0)</f>
        <v>0</v>
      </c>
      <c r="O134" t="e">
        <f t="shared" si="12"/>
        <v>#VALUE!</v>
      </c>
      <c r="P134" t="e">
        <f t="shared" si="13"/>
        <v>#VALUE!</v>
      </c>
    </row>
    <row r="135" spans="1:16" x14ac:dyDescent="0.3">
      <c r="A135">
        <v>133</v>
      </c>
      <c r="B135">
        <f>'Real Input'!M135</f>
        <v>2.7118340000015451</v>
      </c>
      <c r="C135">
        <f ca="1">INDIRECT(CONCATENATE("'Real Input'!",'Real Analysis'!$B$2,A135+2))</f>
        <v>9.8535465900000005</v>
      </c>
      <c r="D135">
        <f t="shared" si="11"/>
        <v>2.6050000000395812E-2</v>
      </c>
      <c r="E135">
        <f ca="1">IF(B135&gt;0,C135-'Real Analysis'!$B$14,0)</f>
        <v>-2.9512123714265925E-3</v>
      </c>
      <c r="F135">
        <f t="shared" ca="1" si="14"/>
        <v>-1.6126356898286759E-2</v>
      </c>
      <c r="G135">
        <f t="shared" ca="1" si="10"/>
        <v>-1.9489463327952875E-2</v>
      </c>
      <c r="H135">
        <f ca="1">IF(AND(B135&gt;'Real Analysis'!$B$31,B135&lt;'Real Analysis'!$B$32),FilterInput(E135,'Real Analysis'!$B$26,'Real Analysis'!$B$27),0)</f>
        <v>0</v>
      </c>
      <c r="I135" t="e">
        <f>MEDIAN2("Real Values",H135,'Real Analysis'!$B$5,2)</f>
        <v>#VALUE!</v>
      </c>
      <c r="J135" t="e">
        <f>AVERAGE2("Real Values",I135,'Real Analysis'!$B$6,2)</f>
        <v>#VALUE!</v>
      </c>
      <c r="K135" t="e">
        <f>INTEGRAL2(J135,$B135,K134,J134,$B134,'Real Analysis'!$B$19)</f>
        <v>#VALUE!</v>
      </c>
      <c r="L135" t="e">
        <f>IF(AND(B135&lt;'Real Analysis'!$B$32,B135&gt;0),INTEGRAL2(K135,$B135,L134,K134,$B134,'Real Analysis'!$B$20),0)</f>
        <v>#VALUE!</v>
      </c>
      <c r="N135">
        <f>'Real Analysis'!$B$28*'Real Input'!U135+IF('Real Input'!U135 &gt; 0,'Real Analysis'!$B$29,0)</f>
        <v>0</v>
      </c>
      <c r="O135" t="e">
        <f t="shared" si="12"/>
        <v>#VALUE!</v>
      </c>
      <c r="P135" t="e">
        <f t="shared" si="13"/>
        <v>#VALUE!</v>
      </c>
    </row>
    <row r="136" spans="1:16" x14ac:dyDescent="0.3">
      <c r="A136">
        <v>134</v>
      </c>
      <c r="B136">
        <f>'Real Input'!M136</f>
        <v>2.7317559999937657</v>
      </c>
      <c r="C136">
        <f ca="1">INDIRECT(CONCATENATE("'Real Input'!",'Real Analysis'!$B$2,A136+2))</f>
        <v>9.8535171600000009</v>
      </c>
      <c r="D136">
        <f t="shared" si="11"/>
        <v>1.9921999992220663E-2</v>
      </c>
      <c r="E136">
        <f ca="1">IF(B136&gt;0,C136-'Real Analysis'!$B$14,0)</f>
        <v>-2.9806423714262564E-3</v>
      </c>
      <c r="F136">
        <f t="shared" ca="1" si="14"/>
        <v>-1.6185737255587127E-2</v>
      </c>
      <c r="G136">
        <f t="shared" ca="1" si="10"/>
        <v>-1.9811915585432768E-2</v>
      </c>
      <c r="H136">
        <f ca="1">IF(AND(B136&gt;'Real Analysis'!$B$31,B136&lt;'Real Analysis'!$B$32),FilterInput(E136,'Real Analysis'!$B$26,'Real Analysis'!$B$27),0)</f>
        <v>0</v>
      </c>
      <c r="I136" t="e">
        <f>MEDIAN2("Real Values",H136,'Real Analysis'!$B$5,2)</f>
        <v>#VALUE!</v>
      </c>
      <c r="J136" t="e">
        <f>AVERAGE2("Real Values",I136,'Real Analysis'!$B$6,2)</f>
        <v>#VALUE!</v>
      </c>
      <c r="K136" t="e">
        <f>INTEGRAL2(J136,$B136,K135,J135,$B135,'Real Analysis'!$B$19)</f>
        <v>#VALUE!</v>
      </c>
      <c r="L136" t="e">
        <f>IF(AND(B136&lt;'Real Analysis'!$B$32,B136&gt;0),INTEGRAL2(K136,$B136,L135,K135,$B135,'Real Analysis'!$B$20),0)</f>
        <v>#VALUE!</v>
      </c>
      <c r="N136">
        <f>'Real Analysis'!$B$28*'Real Input'!U136+IF('Real Input'!U136 &gt; 0,'Real Analysis'!$B$29,0)</f>
        <v>0</v>
      </c>
      <c r="O136" t="e">
        <f t="shared" si="12"/>
        <v>#VALUE!</v>
      </c>
      <c r="P136" t="e">
        <f t="shared" si="13"/>
        <v>#VALUE!</v>
      </c>
    </row>
    <row r="137" spans="1:16" x14ac:dyDescent="0.3">
      <c r="A137">
        <v>135</v>
      </c>
      <c r="B137">
        <f>'Real Input'!M137</f>
        <v>2.7467389999947045</v>
      </c>
      <c r="C137">
        <f ca="1">INDIRECT(CONCATENATE("'Real Input'!",'Real Analysis'!$B$2,A137+2))</f>
        <v>9.8535465900000005</v>
      </c>
      <c r="D137">
        <f t="shared" si="11"/>
        <v>1.4983000000938773E-2</v>
      </c>
      <c r="E137">
        <f ca="1">IF(B137&gt;0,C137-'Real Analysis'!$B$14,0)</f>
        <v>-2.9512123714265925E-3</v>
      </c>
      <c r="F137">
        <f t="shared" ca="1" si="14"/>
        <v>-1.6229955270550982E-2</v>
      </c>
      <c r="G137">
        <f t="shared" ca="1" si="10"/>
        <v>-2.0055089005266671E-2</v>
      </c>
      <c r="H137">
        <f ca="1">IF(AND(B137&gt;'Real Analysis'!$B$31,B137&lt;'Real Analysis'!$B$32),FilterInput(E137,'Real Analysis'!$B$26,'Real Analysis'!$B$27),0)</f>
        <v>0</v>
      </c>
      <c r="I137" t="e">
        <f>MEDIAN2("Real Values",H137,'Real Analysis'!$B$5,2)</f>
        <v>#VALUE!</v>
      </c>
      <c r="J137" t="e">
        <f>AVERAGE2("Real Values",I137,'Real Analysis'!$B$6,2)</f>
        <v>#VALUE!</v>
      </c>
      <c r="K137" t="e">
        <f>INTEGRAL2(J137,$B137,K136,J136,$B136,'Real Analysis'!$B$19)</f>
        <v>#VALUE!</v>
      </c>
      <c r="L137" t="e">
        <f>IF(AND(B137&lt;'Real Analysis'!$B$32,B137&gt;0),INTEGRAL2(K137,$B137,L136,K136,$B136,'Real Analysis'!$B$20),0)</f>
        <v>#VALUE!</v>
      </c>
      <c r="N137">
        <f>'Real Analysis'!$B$28*'Real Input'!U137+IF('Real Input'!U137 &gt; 0,'Real Analysis'!$B$29,0)</f>
        <v>0</v>
      </c>
      <c r="O137" t="e">
        <f t="shared" si="12"/>
        <v>#VALUE!</v>
      </c>
      <c r="P137" t="e">
        <f t="shared" si="13"/>
        <v>#VALUE!</v>
      </c>
    </row>
    <row r="138" spans="1:16" x14ac:dyDescent="0.3">
      <c r="A138">
        <v>136</v>
      </c>
      <c r="B138">
        <f>'Real Input'!M138</f>
        <v>2.7717359999951441</v>
      </c>
      <c r="C138">
        <f ca="1">INDIRECT(CONCATENATE("'Real Input'!",'Real Analysis'!$B$2,A138+2))</f>
        <v>9.8535367800000007</v>
      </c>
      <c r="D138">
        <f t="shared" si="11"/>
        <v>2.4997000000439584E-2</v>
      </c>
      <c r="E138">
        <f ca="1">IF(B138&gt;0,C138-'Real Analysis'!$B$14,0)</f>
        <v>-2.9610223714264805E-3</v>
      </c>
      <c r="F138">
        <f t="shared" ca="1" si="14"/>
        <v>-1.6303971946770832E-2</v>
      </c>
      <c r="G138">
        <f t="shared" ca="1" si="10"/>
        <v>-2.046263939202727E-2</v>
      </c>
      <c r="H138">
        <f ca="1">IF(AND(B138&gt;'Real Analysis'!$B$31,B138&lt;'Real Analysis'!$B$32),FilterInput(E138,'Real Analysis'!$B$26,'Real Analysis'!$B$27),0)</f>
        <v>0</v>
      </c>
      <c r="I138" t="e">
        <f>MEDIAN2("Real Values",H138,'Real Analysis'!$B$5,2)</f>
        <v>#VALUE!</v>
      </c>
      <c r="J138" t="e">
        <f>AVERAGE2("Real Values",I138,'Real Analysis'!$B$6,2)</f>
        <v>#VALUE!</v>
      </c>
      <c r="K138" t="e">
        <f>INTEGRAL2(J138,$B138,K137,J137,$B137,'Real Analysis'!$B$19)</f>
        <v>#VALUE!</v>
      </c>
      <c r="L138" t="e">
        <f>IF(AND(B138&lt;'Real Analysis'!$B$32,B138&gt;0),INTEGRAL2(K138,$B138,L137,K137,$B137,'Real Analysis'!$B$20),0)</f>
        <v>#VALUE!</v>
      </c>
      <c r="N138">
        <f>'Real Analysis'!$B$28*'Real Input'!U138+IF('Real Input'!U138 &gt; 0,'Real Analysis'!$B$29,0)</f>
        <v>0</v>
      </c>
      <c r="O138" t="e">
        <f t="shared" si="12"/>
        <v>#VALUE!</v>
      </c>
      <c r="P138" t="e">
        <f t="shared" si="13"/>
        <v>#VALUE!</v>
      </c>
    </row>
    <row r="139" spans="1:16" x14ac:dyDescent="0.3">
      <c r="A139">
        <v>137</v>
      </c>
      <c r="B139">
        <f>'Real Input'!M139</f>
        <v>2.7823230000067269</v>
      </c>
      <c r="C139">
        <f ca="1">INDIRECT(CONCATENATE("'Real Input'!",'Real Analysis'!$B$2,A139+2))</f>
        <v>9.8535269700000008</v>
      </c>
      <c r="D139">
        <f t="shared" si="11"/>
        <v>1.0587000011582859E-2</v>
      </c>
      <c r="E139">
        <f ca="1">IF(B139&gt;0,C139-'Real Analysis'!$B$14,0)</f>
        <v>-2.9708323714263685E-3</v>
      </c>
      <c r="F139">
        <f t="shared" ca="1" si="14"/>
        <v>-1.6335424149121536E-2</v>
      </c>
      <c r="G139">
        <f t="shared" ca="1" si="10"/>
        <v>-2.063558252768323E-2</v>
      </c>
      <c r="H139">
        <f ca="1">IF(AND(B139&gt;'Real Analysis'!$B$31,B139&lt;'Real Analysis'!$B$32),FilterInput(E139,'Real Analysis'!$B$26,'Real Analysis'!$B$27),0)</f>
        <v>0</v>
      </c>
      <c r="I139" t="e">
        <f>MEDIAN2("Real Values",H139,'Real Analysis'!$B$5,2)</f>
        <v>#VALUE!</v>
      </c>
      <c r="J139" t="e">
        <f>AVERAGE2("Real Values",I139,'Real Analysis'!$B$6,2)</f>
        <v>#VALUE!</v>
      </c>
      <c r="K139" t="e">
        <f>INTEGRAL2(J139,$B139,K138,J138,$B138,'Real Analysis'!$B$19)</f>
        <v>#VALUE!</v>
      </c>
      <c r="L139" t="e">
        <f>IF(AND(B139&lt;'Real Analysis'!$B$32,B139&gt;0),INTEGRAL2(K139,$B139,L138,K138,$B138,'Real Analysis'!$B$20),0)</f>
        <v>#VALUE!</v>
      </c>
      <c r="N139">
        <f>'Real Analysis'!$B$28*'Real Input'!U139+IF('Real Input'!U139 &gt; 0,'Real Analysis'!$B$29,0)</f>
        <v>0</v>
      </c>
      <c r="O139" t="e">
        <f t="shared" si="12"/>
        <v>#VALUE!</v>
      </c>
      <c r="P139" t="e">
        <f t="shared" si="13"/>
        <v>#VALUE!</v>
      </c>
    </row>
    <row r="140" spans="1:16" x14ac:dyDescent="0.3">
      <c r="A140">
        <v>138</v>
      </c>
      <c r="B140">
        <f>'Real Input'!M140</f>
        <v>2.8119140000053449</v>
      </c>
      <c r="C140">
        <f ca="1">INDIRECT(CONCATENATE("'Real Input'!",'Real Analysis'!$B$2,A140+2))</f>
        <v>9.8535367800000007</v>
      </c>
      <c r="D140">
        <f t="shared" si="11"/>
        <v>2.9590999998617917E-2</v>
      </c>
      <c r="E140">
        <f ca="1">IF(B140&gt;0,C140-'Real Analysis'!$B$14,0)</f>
        <v>-2.9610223714264805E-3</v>
      </c>
      <c r="F140">
        <f t="shared" ca="1" si="14"/>
        <v>-1.6423043762110325E-2</v>
      </c>
      <c r="G140">
        <f t="shared" ca="1" si="10"/>
        <v>-2.112155681562514E-2</v>
      </c>
      <c r="H140">
        <f ca="1">IF(AND(B140&gt;'Real Analysis'!$B$31,B140&lt;'Real Analysis'!$B$32),FilterInput(E140,'Real Analysis'!$B$26,'Real Analysis'!$B$27),0)</f>
        <v>0</v>
      </c>
      <c r="I140" t="e">
        <f>MEDIAN2("Real Values",H140,'Real Analysis'!$B$5,2)</f>
        <v>#VALUE!</v>
      </c>
      <c r="J140" t="e">
        <f>AVERAGE2("Real Values",I140,'Real Analysis'!$B$6,2)</f>
        <v>#VALUE!</v>
      </c>
      <c r="K140" t="e">
        <f>INTEGRAL2(J140,$B140,K139,J139,$B139,'Real Analysis'!$B$19)</f>
        <v>#VALUE!</v>
      </c>
      <c r="L140" t="e">
        <f>IF(AND(B140&lt;'Real Analysis'!$B$32,B140&gt;0),INTEGRAL2(K140,$B140,L139,K139,$B139,'Real Analysis'!$B$20),0)</f>
        <v>#VALUE!</v>
      </c>
      <c r="N140">
        <f>'Real Analysis'!$B$28*'Real Input'!U140+IF('Real Input'!U140 &gt; 0,'Real Analysis'!$B$29,0)</f>
        <v>0</v>
      </c>
      <c r="O140" t="e">
        <f t="shared" si="12"/>
        <v>#VALUE!</v>
      </c>
      <c r="P140" t="e">
        <f t="shared" si="13"/>
        <v>#VALUE!</v>
      </c>
    </row>
    <row r="141" spans="1:16" x14ac:dyDescent="0.3">
      <c r="A141">
        <v>139</v>
      </c>
      <c r="B141">
        <f>'Real Input'!M141</f>
        <v>2.8209769999957643</v>
      </c>
      <c r="C141">
        <f ca="1">INDIRECT(CONCATENATE("'Real Input'!",'Real Analysis'!$B$2,A141+2))</f>
        <v>9.8548218900000002</v>
      </c>
      <c r="D141">
        <f t="shared" si="11"/>
        <v>9.0629999904194847E-3</v>
      </c>
      <c r="E141">
        <f ca="1">IF(B141&gt;0,C141-'Real Analysis'!$B$14,0)</f>
        <v>-1.6759123714269464E-3</v>
      </c>
      <c r="F141">
        <f t="shared" ca="1" si="14"/>
        <v>-1.6438232555916511E-2</v>
      </c>
      <c r="G141">
        <f t="shared" ca="1" si="10"/>
        <v>-2.1270536517121925E-2</v>
      </c>
      <c r="H141">
        <f ca="1">IF(AND(B141&gt;'Real Analysis'!$B$31,B141&lt;'Real Analysis'!$B$32),FilterInput(E141,'Real Analysis'!$B$26,'Real Analysis'!$B$27),0)</f>
        <v>0</v>
      </c>
      <c r="I141" t="e">
        <f>MEDIAN2("Real Values",H141,'Real Analysis'!$B$5,2)</f>
        <v>#VALUE!</v>
      </c>
      <c r="J141" t="e">
        <f>AVERAGE2("Real Values",I141,'Real Analysis'!$B$6,2)</f>
        <v>#VALUE!</v>
      </c>
      <c r="K141" t="e">
        <f>INTEGRAL2(J141,$B141,K140,J140,$B140,'Real Analysis'!$B$19)</f>
        <v>#VALUE!</v>
      </c>
      <c r="L141" t="e">
        <f>IF(AND(B141&lt;'Real Analysis'!$B$32,B141&gt;0),INTEGRAL2(K141,$B141,L140,K140,$B140,'Real Analysis'!$B$20),0)</f>
        <v>#VALUE!</v>
      </c>
      <c r="N141">
        <f>'Real Analysis'!$B$28*'Real Input'!U141+IF('Real Input'!U141 &gt; 0,'Real Analysis'!$B$29,0)</f>
        <v>0</v>
      </c>
      <c r="O141" t="e">
        <f t="shared" si="12"/>
        <v>#VALUE!</v>
      </c>
      <c r="P141" t="e">
        <f t="shared" si="13"/>
        <v>#VALUE!</v>
      </c>
    </row>
    <row r="142" spans="1:16" x14ac:dyDescent="0.3">
      <c r="A142">
        <v>140</v>
      </c>
      <c r="B142">
        <f>'Real Input'!M142</f>
        <v>2.8517180000053486</v>
      </c>
      <c r="C142">
        <f ca="1">INDIRECT(CONCATENATE("'Real Input'!",'Real Analysis'!$B$2,A142+2))</f>
        <v>9.8532228599999989</v>
      </c>
      <c r="D142">
        <f t="shared" si="11"/>
        <v>3.0741000009584241E-2</v>
      </c>
      <c r="E142">
        <f ca="1">IF(B142&gt;0,C142-'Real Analysis'!$B$14,0)</f>
        <v>-3.2749423714282244E-3</v>
      </c>
      <c r="F142">
        <f t="shared" ca="1" si="14"/>
        <v>-1.6538907559387975E-2</v>
      </c>
      <c r="G142">
        <f t="shared" ca="1" si="10"/>
        <v>-2.1778959074563585E-2</v>
      </c>
      <c r="H142">
        <f ca="1">IF(AND(B142&gt;'Real Analysis'!$B$31,B142&lt;'Real Analysis'!$B$32),FilterInput(E142,'Real Analysis'!$B$26,'Real Analysis'!$B$27),0)</f>
        <v>0</v>
      </c>
      <c r="I142" t="e">
        <f>MEDIAN2("Real Values",H142,'Real Analysis'!$B$5,2)</f>
        <v>#VALUE!</v>
      </c>
      <c r="J142" t="e">
        <f>AVERAGE2("Real Values",I142,'Real Analysis'!$B$6,2)</f>
        <v>#VALUE!</v>
      </c>
      <c r="K142" t="e">
        <f>INTEGRAL2(J142,$B142,K141,J141,$B141,'Real Analysis'!$B$19)</f>
        <v>#VALUE!</v>
      </c>
      <c r="L142" t="e">
        <f>IF(AND(B142&lt;'Real Analysis'!$B$32,B142&gt;0),INTEGRAL2(K142,$B142,L141,K141,$B141,'Real Analysis'!$B$20),0)</f>
        <v>#VALUE!</v>
      </c>
      <c r="N142">
        <f>'Real Analysis'!$B$28*'Real Input'!U142+IF('Real Input'!U142 &gt; 0,'Real Analysis'!$B$29,0)</f>
        <v>0</v>
      </c>
      <c r="O142" t="e">
        <f t="shared" si="12"/>
        <v>#VALUE!</v>
      </c>
      <c r="P142" t="e">
        <f t="shared" si="13"/>
        <v>#VALUE!</v>
      </c>
    </row>
    <row r="143" spans="1:16" x14ac:dyDescent="0.3">
      <c r="A143">
        <v>141</v>
      </c>
      <c r="B143">
        <f>'Real Input'!M143</f>
        <v>2.8717109999997774</v>
      </c>
      <c r="C143">
        <f ca="1">INDIRECT(CONCATENATE("'Real Input'!",'Real Analysis'!$B$2,A143+2))</f>
        <v>9.8535367800000007</v>
      </c>
      <c r="D143">
        <f t="shared" si="11"/>
        <v>1.9992999994428828E-2</v>
      </c>
      <c r="E143">
        <f ca="1">IF(B143&gt;0,C143-'Real Analysis'!$B$14,0)</f>
        <v>-2.9610223714264805E-3</v>
      </c>
      <c r="F143">
        <f t="shared" ca="1" si="14"/>
        <v>-1.659810727964341E-2</v>
      </c>
      <c r="G143">
        <f t="shared" ca="1" si="10"/>
        <v>-2.2110805033313023E-2</v>
      </c>
      <c r="H143">
        <f ca="1">IF(AND(B143&gt;'Real Analysis'!$B$31,B143&lt;'Real Analysis'!$B$32),FilterInput(E143,'Real Analysis'!$B$26,'Real Analysis'!$B$27),0)</f>
        <v>0</v>
      </c>
      <c r="I143" t="e">
        <f>MEDIAN2("Real Values",H143,'Real Analysis'!$B$5,2)</f>
        <v>#VALUE!</v>
      </c>
      <c r="J143" t="e">
        <f>AVERAGE2("Real Values",I143,'Real Analysis'!$B$6,2)</f>
        <v>#VALUE!</v>
      </c>
      <c r="K143" t="e">
        <f>INTEGRAL2(J143,$B143,K142,J142,$B142,'Real Analysis'!$B$19)</f>
        <v>#VALUE!</v>
      </c>
      <c r="L143" t="e">
        <f>IF(AND(B143&lt;'Real Analysis'!$B$32,B143&gt;0),INTEGRAL2(K143,$B143,L142,K142,$B142,'Real Analysis'!$B$20),0)</f>
        <v>#VALUE!</v>
      </c>
      <c r="N143">
        <f>'Real Analysis'!$B$28*'Real Input'!U143+IF('Real Input'!U143 &gt; 0,'Real Analysis'!$B$29,0)</f>
        <v>0</v>
      </c>
      <c r="O143" t="e">
        <f t="shared" si="12"/>
        <v>#VALUE!</v>
      </c>
      <c r="P143" t="e">
        <f t="shared" si="13"/>
        <v>#VALUE!</v>
      </c>
    </row>
    <row r="144" spans="1:16" x14ac:dyDescent="0.3">
      <c r="A144">
        <v>142</v>
      </c>
      <c r="B144">
        <f>'Real Input'!M144</f>
        <v>2.8814480000000913</v>
      </c>
      <c r="C144">
        <f ca="1">INDIRECT(CONCATENATE("'Real Input'!",'Real Analysis'!$B$2,A144+2))</f>
        <v>9.8532915299999999</v>
      </c>
      <c r="D144">
        <f t="shared" si="11"/>
        <v>9.7370000003138557E-3</v>
      </c>
      <c r="E144">
        <f ca="1">IF(B144&gt;0,C144-'Real Analysis'!$B$14,0)</f>
        <v>-3.2062723714272323E-3</v>
      </c>
      <c r="F144">
        <f t="shared" ca="1" si="14"/>
        <v>-1.6629326753725002E-2</v>
      </c>
      <c r="G144">
        <f t="shared" ca="1" si="10"/>
        <v>-2.2272724787919262E-2</v>
      </c>
      <c r="H144">
        <f ca="1">IF(AND(B144&gt;'Real Analysis'!$B$31,B144&lt;'Real Analysis'!$B$32),FilterInput(E144,'Real Analysis'!$B$26,'Real Analysis'!$B$27),0)</f>
        <v>0</v>
      </c>
      <c r="I144" t="e">
        <f>MEDIAN2("Real Values",H144,'Real Analysis'!$B$5,2)</f>
        <v>#VALUE!</v>
      </c>
      <c r="J144" t="e">
        <f>AVERAGE2("Real Values",I144,'Real Analysis'!$B$6,2)</f>
        <v>#VALUE!</v>
      </c>
      <c r="K144" t="e">
        <f>INTEGRAL2(J144,$B144,K143,J143,$B143,'Real Analysis'!$B$19)</f>
        <v>#VALUE!</v>
      </c>
      <c r="L144" t="e">
        <f>IF(AND(B144&lt;'Real Analysis'!$B$32,B144&gt;0),INTEGRAL2(K144,$B144,L143,K143,$B143,'Real Analysis'!$B$20),0)</f>
        <v>#VALUE!</v>
      </c>
      <c r="N144">
        <f>'Real Analysis'!$B$28*'Real Input'!U144+IF('Real Input'!U144 &gt; 0,'Real Analysis'!$B$29,0)</f>
        <v>0</v>
      </c>
      <c r="O144" t="e">
        <f t="shared" si="12"/>
        <v>#VALUE!</v>
      </c>
      <c r="P144" t="e">
        <f t="shared" si="13"/>
        <v>#VALUE!</v>
      </c>
    </row>
    <row r="145" spans="1:16" x14ac:dyDescent="0.3">
      <c r="A145">
        <v>143</v>
      </c>
      <c r="B145">
        <f>'Real Input'!M145</f>
        <v>2.907361999998102</v>
      </c>
      <c r="C145">
        <f ca="1">INDIRECT(CONCATENATE("'Real Input'!",'Real Analysis'!$B$2,A145+2))</f>
        <v>9.8534681100000014</v>
      </c>
      <c r="D145">
        <f t="shared" si="11"/>
        <v>2.5913999998010695E-2</v>
      </c>
      <c r="E145">
        <f ca="1">IF(B145&gt;0,C145-'Real Analysis'!$B$14,0)</f>
        <v>-3.0296923714256963E-3</v>
      </c>
      <c r="F145">
        <f t="shared" ca="1" si="14"/>
        <v>-1.6707838201832102E-2</v>
      </c>
      <c r="G145">
        <f t="shared" ca="1" si="10"/>
        <v>-2.2705691707048302E-2</v>
      </c>
      <c r="H145">
        <f ca="1">IF(AND(B145&gt;'Real Analysis'!$B$31,B145&lt;'Real Analysis'!$B$32),FilterInput(E145,'Real Analysis'!$B$26,'Real Analysis'!$B$27),0)</f>
        <v>0</v>
      </c>
      <c r="I145" t="e">
        <f>MEDIAN2("Real Values",H145,'Real Analysis'!$B$5,2)</f>
        <v>#VALUE!</v>
      </c>
      <c r="J145" t="e">
        <f>AVERAGE2("Real Values",I145,'Real Analysis'!$B$6,2)</f>
        <v>#VALUE!</v>
      </c>
      <c r="K145" t="e">
        <f>INTEGRAL2(J145,$B145,K144,J144,$B144,'Real Analysis'!$B$19)</f>
        <v>#VALUE!</v>
      </c>
      <c r="L145" t="e">
        <f>IF(AND(B145&lt;'Real Analysis'!$B$32,B145&gt;0),INTEGRAL2(K145,$B145,L144,K144,$B144,'Real Analysis'!$B$20),0)</f>
        <v>#VALUE!</v>
      </c>
      <c r="N145">
        <f>'Real Analysis'!$B$28*'Real Input'!U145+IF('Real Input'!U145 &gt; 0,'Real Analysis'!$B$29,0)</f>
        <v>0</v>
      </c>
      <c r="O145" t="e">
        <f t="shared" si="12"/>
        <v>#VALUE!</v>
      </c>
      <c r="P145" t="e">
        <f t="shared" si="13"/>
        <v>#VALUE!</v>
      </c>
    </row>
    <row r="146" spans="1:16" x14ac:dyDescent="0.3">
      <c r="A146">
        <v>144</v>
      </c>
      <c r="B146">
        <f>'Real Input'!M146</f>
        <v>2.9234009999927366</v>
      </c>
      <c r="C146">
        <f ca="1">INDIRECT(CONCATENATE("'Real Input'!",'Real Analysis'!$B$2,A146+2))</f>
        <v>9.8535171600000009</v>
      </c>
      <c r="D146">
        <f t="shared" si="11"/>
        <v>1.6038999994634651E-2</v>
      </c>
      <c r="E146">
        <f ca="1">IF(B146&gt;0,C146-'Real Analysis'!$B$14,0)</f>
        <v>-2.9806423714262564E-3</v>
      </c>
      <c r="F146">
        <f t="shared" ca="1" si="14"/>
        <v>-1.6755644724811416E-2</v>
      </c>
      <c r="G146">
        <f t="shared" ca="1" si="10"/>
        <v>-2.2974435492699653E-2</v>
      </c>
      <c r="H146">
        <f ca="1">IF(AND(B146&gt;'Real Analysis'!$B$31,B146&lt;'Real Analysis'!$B$32),FilterInput(E146,'Real Analysis'!$B$26,'Real Analysis'!$B$27),0)</f>
        <v>0</v>
      </c>
      <c r="I146" t="e">
        <f>MEDIAN2("Real Values",H146,'Real Analysis'!$B$5,2)</f>
        <v>#VALUE!</v>
      </c>
      <c r="J146" t="e">
        <f>AVERAGE2("Real Values",I146,'Real Analysis'!$B$6,2)</f>
        <v>#VALUE!</v>
      </c>
      <c r="K146" t="e">
        <f>INTEGRAL2(J146,$B146,K145,J145,$B145,'Real Analysis'!$B$19)</f>
        <v>#VALUE!</v>
      </c>
      <c r="L146" t="e">
        <f>IF(AND(B146&lt;'Real Analysis'!$B$32,B146&gt;0),INTEGRAL2(K146,$B146,L145,K145,$B145,'Real Analysis'!$B$20),0)</f>
        <v>#VALUE!</v>
      </c>
      <c r="N146">
        <f>'Real Analysis'!$B$28*'Real Input'!U146+IF('Real Input'!U146 &gt; 0,'Real Analysis'!$B$29,0)</f>
        <v>0</v>
      </c>
      <c r="O146" t="e">
        <f t="shared" si="12"/>
        <v>#VALUE!</v>
      </c>
      <c r="P146" t="e">
        <f t="shared" si="13"/>
        <v>#VALUE!</v>
      </c>
    </row>
    <row r="147" spans="1:16" x14ac:dyDescent="0.3">
      <c r="A147">
        <v>145</v>
      </c>
      <c r="B147">
        <f>'Real Input'!M147</f>
        <v>2.9484079999965616</v>
      </c>
      <c r="C147">
        <f ca="1">INDIRECT(CONCATENATE("'Real Input'!",'Real Analysis'!$B$2,A147+2))</f>
        <v>9.8535171600000009</v>
      </c>
      <c r="D147">
        <f t="shared" si="11"/>
        <v>2.5007000003824942E-2</v>
      </c>
      <c r="E147">
        <f ca="1">IF(B147&gt;0,C147-'Real Analysis'!$B$14,0)</f>
        <v>-2.9806423714262564E-3</v>
      </c>
      <c r="F147">
        <f t="shared" ca="1" si="14"/>
        <v>-1.6830181648605072E-2</v>
      </c>
      <c r="G147">
        <f t="shared" ca="1" si="10"/>
        <v>-2.3395307845250696E-2</v>
      </c>
      <c r="H147">
        <f ca="1">IF(AND(B147&gt;'Real Analysis'!$B$31,B147&lt;'Real Analysis'!$B$32),FilterInput(E147,'Real Analysis'!$B$26,'Real Analysis'!$B$27),0)</f>
        <v>0</v>
      </c>
      <c r="I147" t="e">
        <f>MEDIAN2("Real Values",H147,'Real Analysis'!$B$5,2)</f>
        <v>#VALUE!</v>
      </c>
      <c r="J147" t="e">
        <f>AVERAGE2("Real Values",I147,'Real Analysis'!$B$6,2)</f>
        <v>#VALUE!</v>
      </c>
      <c r="K147" t="e">
        <f>INTEGRAL2(J147,$B147,K146,J146,$B146,'Real Analysis'!$B$19)</f>
        <v>#VALUE!</v>
      </c>
      <c r="L147" t="e">
        <f>IF(AND(B147&lt;'Real Analysis'!$B$32,B147&gt;0),INTEGRAL2(K147,$B147,L146,K146,$B146,'Real Analysis'!$B$20),0)</f>
        <v>#VALUE!</v>
      </c>
      <c r="N147">
        <f>'Real Analysis'!$B$28*'Real Input'!U147+IF('Real Input'!U147 &gt; 0,'Real Analysis'!$B$29,0)</f>
        <v>0</v>
      </c>
      <c r="O147" t="e">
        <f t="shared" si="12"/>
        <v>#VALUE!</v>
      </c>
      <c r="P147" t="e">
        <f t="shared" si="13"/>
        <v>#VALUE!</v>
      </c>
    </row>
    <row r="148" spans="1:16" x14ac:dyDescent="0.3">
      <c r="A148">
        <v>146</v>
      </c>
      <c r="B148">
        <f>'Real Input'!M148</f>
        <v>2.9674059999961173</v>
      </c>
      <c r="C148">
        <f ca="1">INDIRECT(CONCATENATE("'Real Input'!",'Real Analysis'!$B$2,A148+2))</f>
        <v>9.9391192200000003</v>
      </c>
      <c r="D148">
        <f t="shared" si="11"/>
        <v>1.8997999999555759E-2</v>
      </c>
      <c r="E148">
        <f ca="1">IF(B148&gt;0,C148-'Real Analysis'!$B$14,0)</f>
        <v>8.2621417628573113E-2</v>
      </c>
      <c r="F148">
        <f t="shared" ca="1" si="14"/>
        <v>-1.5260539956534144E-2</v>
      </c>
      <c r="G148">
        <f t="shared" ca="1" si="10"/>
        <v>-2.3685227583338152E-2</v>
      </c>
      <c r="H148">
        <f ca="1">IF(AND(B148&gt;'Real Analysis'!$B$31,B148&lt;'Real Analysis'!$B$32),FilterInput(E148,'Real Analysis'!$B$26,'Real Analysis'!$B$27),0)</f>
        <v>0</v>
      </c>
      <c r="I148" t="e">
        <f>MEDIAN2("Real Values",H148,'Real Analysis'!$B$5,2)</f>
        <v>#VALUE!</v>
      </c>
      <c r="J148" t="e">
        <f>AVERAGE2("Real Values",I148,'Real Analysis'!$B$6,2)</f>
        <v>#VALUE!</v>
      </c>
      <c r="K148" t="e">
        <f>INTEGRAL2(J148,$B148,K147,J147,$B147,'Real Analysis'!$B$19)</f>
        <v>#VALUE!</v>
      </c>
      <c r="L148" t="e">
        <f>IF(AND(B148&lt;'Real Analysis'!$B$32,B148&gt;0),INTEGRAL2(K148,$B148,L147,K147,$B147,'Real Analysis'!$B$20),0)</f>
        <v>#VALUE!</v>
      </c>
      <c r="N148">
        <f>'Real Analysis'!$B$28*'Real Input'!U148+IF('Real Input'!U148 &gt; 0,'Real Analysis'!$B$29,0)</f>
        <v>0</v>
      </c>
      <c r="O148" t="e">
        <f t="shared" si="12"/>
        <v>#VALUE!</v>
      </c>
      <c r="P148" t="e">
        <f t="shared" si="13"/>
        <v>#VALUE!</v>
      </c>
    </row>
    <row r="149" spans="1:16" x14ac:dyDescent="0.3">
      <c r="A149">
        <v>147</v>
      </c>
      <c r="B149">
        <f>'Real Input'!M149</f>
        <v>2.9871710000006715</v>
      </c>
      <c r="C149">
        <f ca="1">INDIRECT(CONCATENATE("'Real Input'!",'Real Analysis'!$B$2,A149+2))</f>
        <v>9.9310455900000019</v>
      </c>
      <c r="D149">
        <f t="shared" si="11"/>
        <v>1.9765000004554167E-2</v>
      </c>
      <c r="E149">
        <f ca="1">IF(B149&gt;0,C149-'Real Analysis'!$B$14,0)</f>
        <v>7.4547787628574724E-2</v>
      </c>
      <c r="F149">
        <f t="shared" ca="1" si="14"/>
        <v>-1.3787102933715861E-2</v>
      </c>
      <c r="G149">
        <f t="shared" ca="1" si="10"/>
        <v>-2.3957729672885834E-2</v>
      </c>
      <c r="H149">
        <f ca="1">IF(AND(B149&gt;'Real Analysis'!$B$31,B149&lt;'Real Analysis'!$B$32),FilterInput(E149,'Real Analysis'!$B$26,'Real Analysis'!$B$27),0)</f>
        <v>0</v>
      </c>
      <c r="I149" t="e">
        <f>MEDIAN2("Real Values",H149,'Real Analysis'!$B$5,2)</f>
        <v>#VALUE!</v>
      </c>
      <c r="J149" t="e">
        <f>AVERAGE2("Real Values",I149,'Real Analysis'!$B$6,2)</f>
        <v>#VALUE!</v>
      </c>
      <c r="K149" t="e">
        <f>INTEGRAL2(J149,$B149,K148,J148,$B148,'Real Analysis'!$B$19)</f>
        <v>#VALUE!</v>
      </c>
      <c r="L149" t="e">
        <f>IF(AND(B149&lt;'Real Analysis'!$B$32,B149&gt;0),INTEGRAL2(K149,$B149,L148,K148,$B148,'Real Analysis'!$B$20),0)</f>
        <v>#VALUE!</v>
      </c>
      <c r="N149">
        <f>'Real Analysis'!$B$28*'Real Input'!U149+IF('Real Input'!U149 &gt; 0,'Real Analysis'!$B$29,0)</f>
        <v>0</v>
      </c>
      <c r="O149" t="e">
        <f t="shared" si="12"/>
        <v>#VALUE!</v>
      </c>
      <c r="P149" t="e">
        <f t="shared" si="13"/>
        <v>#VALUE!</v>
      </c>
    </row>
    <row r="150" spans="1:16" x14ac:dyDescent="0.3">
      <c r="A150">
        <v>148</v>
      </c>
      <c r="B150">
        <f>'Real Input'!M150</f>
        <v>3.0097939999977825</v>
      </c>
      <c r="C150">
        <f ca="1">INDIRECT(CONCATENATE("'Real Input'!",'Real Analysis'!$B$2,A150+2))</f>
        <v>9.8456004900000007</v>
      </c>
      <c r="D150">
        <f t="shared" si="11"/>
        <v>2.2622999997111037E-2</v>
      </c>
      <c r="E150">
        <f ca="1">IF(B150&gt;0,C150-'Real Analysis'!$B$14,0)</f>
        <v>-1.0897312371426437E-2</v>
      </c>
      <c r="F150">
        <f t="shared" ca="1" si="14"/>
        <v>-1.4033632831463159E-2</v>
      </c>
      <c r="G150">
        <f t="shared" ca="1" si="10"/>
        <v>-2.4275212548391482E-2</v>
      </c>
      <c r="H150">
        <f ca="1">IF(AND(B150&gt;'Real Analysis'!$B$31,B150&lt;'Real Analysis'!$B$32),FilterInput(E150,'Real Analysis'!$B$26,'Real Analysis'!$B$27),0)</f>
        <v>0</v>
      </c>
      <c r="I150" t="e">
        <f>MEDIAN2("Real Values",H150,'Real Analysis'!$B$5,2)</f>
        <v>#VALUE!</v>
      </c>
      <c r="J150" t="e">
        <f>AVERAGE2("Real Values",I150,'Real Analysis'!$B$6,2)</f>
        <v>#VALUE!</v>
      </c>
      <c r="K150" t="e">
        <f>INTEGRAL2(J150,$B150,K149,J149,$B149,'Real Analysis'!$B$19)</f>
        <v>#VALUE!</v>
      </c>
      <c r="L150" t="e">
        <f>IF(AND(B150&lt;'Real Analysis'!$B$32,B150&gt;0),INTEGRAL2(K150,$B150,L149,K149,$B149,'Real Analysis'!$B$20),0)</f>
        <v>#VALUE!</v>
      </c>
      <c r="N150">
        <f>'Real Analysis'!$B$28*'Real Input'!U150+IF('Real Input'!U150 &gt; 0,'Real Analysis'!$B$29,0)</f>
        <v>0</v>
      </c>
      <c r="O150" t="e">
        <f t="shared" si="12"/>
        <v>#VALUE!</v>
      </c>
      <c r="P150" t="e">
        <f t="shared" si="13"/>
        <v>#VALUE!</v>
      </c>
    </row>
    <row r="151" spans="1:16" x14ac:dyDescent="0.3">
      <c r="A151">
        <v>149</v>
      </c>
      <c r="B151">
        <f>'Real Input'!M151</f>
        <v>3.0274820000049658</v>
      </c>
      <c r="C151">
        <f ca="1">INDIRECT(CONCATENATE("'Real Input'!",'Real Analysis'!$B$2,A151+2))</f>
        <v>9.8552927700000019</v>
      </c>
      <c r="D151">
        <f t="shared" si="11"/>
        <v>1.7688000007183291E-2</v>
      </c>
      <c r="E151">
        <f ca="1">IF(B151&gt;0,C151-'Real Analysis'!$B$14,0)</f>
        <v>-1.2050323714252187E-3</v>
      </c>
      <c r="F151">
        <f t="shared" ca="1" si="14"/>
        <v>-1.4054947444057584E-2</v>
      </c>
      <c r="G151">
        <f t="shared" ca="1" si="10"/>
        <v>-2.4523816458882935E-2</v>
      </c>
      <c r="H151">
        <f ca="1">IF(AND(B151&gt;'Real Analysis'!$B$31,B151&lt;'Real Analysis'!$B$32),FilterInput(E151,'Real Analysis'!$B$26,'Real Analysis'!$B$27),0)</f>
        <v>0</v>
      </c>
      <c r="I151" t="e">
        <f>MEDIAN2("Real Values",H151,'Real Analysis'!$B$5,2)</f>
        <v>#VALUE!</v>
      </c>
      <c r="J151" t="e">
        <f>AVERAGE2("Real Values",I151,'Real Analysis'!$B$6,2)</f>
        <v>#VALUE!</v>
      </c>
      <c r="K151" t="e">
        <f>INTEGRAL2(J151,$B151,K150,J150,$B150,'Real Analysis'!$B$19)</f>
        <v>#VALUE!</v>
      </c>
      <c r="L151" t="e">
        <f>IF(AND(B151&lt;'Real Analysis'!$B$32,B151&gt;0),INTEGRAL2(K151,$B151,L150,K150,$B150,'Real Analysis'!$B$20),0)</f>
        <v>#VALUE!</v>
      </c>
      <c r="N151">
        <f>'Real Analysis'!$B$28*'Real Input'!U151+IF('Real Input'!U151 &gt; 0,'Real Analysis'!$B$29,0)</f>
        <v>0</v>
      </c>
      <c r="O151" t="e">
        <f t="shared" si="12"/>
        <v>#VALUE!</v>
      </c>
      <c r="P151" t="e">
        <f t="shared" si="13"/>
        <v>#VALUE!</v>
      </c>
    </row>
    <row r="152" spans="1:16" x14ac:dyDescent="0.3">
      <c r="A152">
        <v>150</v>
      </c>
      <c r="B152">
        <f>'Real Input'!M152</f>
        <v>3.0492830000002868</v>
      </c>
      <c r="C152">
        <f ca="1">INDIRECT(CONCATENATE("'Real Input'!",'Real Analysis'!$B$2,A152+2))</f>
        <v>9.8209087200000003</v>
      </c>
      <c r="D152">
        <f t="shared" si="11"/>
        <v>2.1800999995321035E-2</v>
      </c>
      <c r="E152">
        <f ca="1">IF(B152&gt;0,C152-'Real Analysis'!$B$14,0)</f>
        <v>-3.5589082371426883E-2</v>
      </c>
      <c r="F152">
        <f t="shared" ca="1" si="14"/>
        <v>-1.4830825028670542E-2</v>
      </c>
      <c r="G152">
        <f t="shared" ca="1" si="10"/>
        <v>-2.4847143275263588E-2</v>
      </c>
      <c r="H152">
        <f ca="1">IF(AND(B152&gt;'Real Analysis'!$B$31,B152&lt;'Real Analysis'!$B$32),FilterInput(E152,'Real Analysis'!$B$26,'Real Analysis'!$B$27),0)</f>
        <v>0</v>
      </c>
      <c r="I152" t="e">
        <f>MEDIAN2("Real Values",H152,'Real Analysis'!$B$5,2)</f>
        <v>#VALUE!</v>
      </c>
      <c r="J152" t="e">
        <f>AVERAGE2("Real Values",I152,'Real Analysis'!$B$6,2)</f>
        <v>#VALUE!</v>
      </c>
      <c r="K152" t="e">
        <f>INTEGRAL2(J152,$B152,K151,J151,$B151,'Real Analysis'!$B$19)</f>
        <v>#VALUE!</v>
      </c>
      <c r="L152" t="e">
        <f>IF(AND(B152&lt;'Real Analysis'!$B$32,B152&gt;0),INTEGRAL2(K152,$B152,L151,K151,$B151,'Real Analysis'!$B$20),0)</f>
        <v>#VALUE!</v>
      </c>
      <c r="N152">
        <f>'Real Analysis'!$B$28*'Real Input'!U152+IF('Real Input'!U152 &gt; 0,'Real Analysis'!$B$29,0)</f>
        <v>0</v>
      </c>
      <c r="O152" t="e">
        <f t="shared" si="12"/>
        <v>#VALUE!</v>
      </c>
      <c r="P152" t="e">
        <f t="shared" si="13"/>
        <v>#VALUE!</v>
      </c>
    </row>
    <row r="153" spans="1:16" x14ac:dyDescent="0.3">
      <c r="A153">
        <v>151</v>
      </c>
      <c r="B153">
        <f>'Real Input'!M153</f>
        <v>3.0676649999950314</v>
      </c>
      <c r="C153">
        <f ca="1">INDIRECT(CONCATENATE("'Real Input'!",'Real Analysis'!$B$2,A153+2))</f>
        <v>9.8028092700000009</v>
      </c>
      <c r="D153">
        <f t="shared" si="11"/>
        <v>1.8381999994744547E-2</v>
      </c>
      <c r="E153">
        <f ca="1">IF(B153&gt;0,C153-'Real Analysis'!$B$14,0)</f>
        <v>-5.3688532371426234E-2</v>
      </c>
      <c r="F153">
        <f t="shared" ca="1" si="14"/>
        <v>-1.581772763043994E-2</v>
      </c>
      <c r="G153">
        <f t="shared" ca="1" si="10"/>
        <v>-2.5137904744483207E-2</v>
      </c>
      <c r="H153">
        <f ca="1">IF(AND(B153&gt;'Real Analysis'!$B$31,B153&lt;'Real Analysis'!$B$32),FilterInput(E153,'Real Analysis'!$B$26,'Real Analysis'!$B$27),0)</f>
        <v>0</v>
      </c>
      <c r="I153" t="e">
        <f>MEDIAN2("Real Values",H153,'Real Analysis'!$B$5,2)</f>
        <v>#VALUE!</v>
      </c>
      <c r="J153" t="e">
        <f>AVERAGE2("Real Values",I153,'Real Analysis'!$B$6,2)</f>
        <v>#VALUE!</v>
      </c>
      <c r="K153" t="e">
        <f>INTEGRAL2(J153,$B153,K152,J152,$B152,'Real Analysis'!$B$19)</f>
        <v>#VALUE!</v>
      </c>
      <c r="L153" t="e">
        <f>IF(AND(B153&lt;'Real Analysis'!$B$32,B153&gt;0),INTEGRAL2(K153,$B153,L152,K152,$B152,'Real Analysis'!$B$20),0)</f>
        <v>#VALUE!</v>
      </c>
      <c r="N153">
        <f>'Real Analysis'!$B$28*'Real Input'!U153+IF('Real Input'!U153 &gt; 0,'Real Analysis'!$B$29,0)</f>
        <v>0</v>
      </c>
      <c r="O153" t="e">
        <f t="shared" si="12"/>
        <v>#VALUE!</v>
      </c>
      <c r="P153" t="e">
        <f t="shared" si="13"/>
        <v>#VALUE!</v>
      </c>
    </row>
    <row r="154" spans="1:16" x14ac:dyDescent="0.3">
      <c r="A154">
        <v>152</v>
      </c>
      <c r="B154">
        <f>'Real Input'!M154</f>
        <v>3.0877840000030119</v>
      </c>
      <c r="C154">
        <f ca="1">INDIRECT(CONCATENATE("'Real Input'!",'Real Analysis'!$B$2,A154+2))</f>
        <v>9.8349762599999995</v>
      </c>
      <c r="D154">
        <f t="shared" si="11"/>
        <v>2.0119000007980503E-2</v>
      </c>
      <c r="E154">
        <f ca="1">IF(B154&gt;0,C154-'Real Analysis'!$B$14,0)</f>
        <v>-2.1521542371427671E-2</v>
      </c>
      <c r="F154">
        <f t="shared" ca="1" si="14"/>
        <v>-1.6250719541582446E-2</v>
      </c>
      <c r="G154">
        <f t="shared" ca="1" si="10"/>
        <v>-2.5464852971069991E-2</v>
      </c>
      <c r="H154">
        <f ca="1">IF(AND(B154&gt;'Real Analysis'!$B$31,B154&lt;'Real Analysis'!$B$32),FilterInput(E154,'Real Analysis'!$B$26,'Real Analysis'!$B$27),0)</f>
        <v>0</v>
      </c>
      <c r="I154" t="e">
        <f>MEDIAN2("Real Values",H154,'Real Analysis'!$B$5,2)</f>
        <v>#VALUE!</v>
      </c>
      <c r="J154" t="e">
        <f>AVERAGE2("Real Values",I154,'Real Analysis'!$B$6,2)</f>
        <v>#VALUE!</v>
      </c>
      <c r="K154" t="e">
        <f>INTEGRAL2(J154,$B154,K153,J153,$B153,'Real Analysis'!$B$19)</f>
        <v>#VALUE!</v>
      </c>
      <c r="L154" t="e">
        <f>IF(AND(B154&lt;'Real Analysis'!$B$32,B154&gt;0),INTEGRAL2(K154,$B154,L153,K153,$B153,'Real Analysis'!$B$20),0)</f>
        <v>#VALUE!</v>
      </c>
      <c r="N154">
        <f>'Real Analysis'!$B$28*'Real Input'!U154+IF('Real Input'!U154 &gt; 0,'Real Analysis'!$B$29,0)</f>
        <v>0</v>
      </c>
      <c r="O154" t="e">
        <f t="shared" si="12"/>
        <v>#VALUE!</v>
      </c>
      <c r="P154" t="e">
        <f t="shared" si="13"/>
        <v>#VALUE!</v>
      </c>
    </row>
    <row r="155" spans="1:16" x14ac:dyDescent="0.3">
      <c r="A155">
        <v>153</v>
      </c>
      <c r="B155">
        <f>'Real Input'!M155</f>
        <v>3.1087350000016158</v>
      </c>
      <c r="C155">
        <f ca="1">INDIRECT(CONCATENATE("'Real Input'!",'Real Analysis'!$B$2,A155+2))</f>
        <v>9.8538114600000011</v>
      </c>
      <c r="D155">
        <f t="shared" si="11"/>
        <v>2.0950999998603947E-2</v>
      </c>
      <c r="E155">
        <f ca="1">IF(B155&gt;0,C155-'Real Analysis'!$B$14,0)</f>
        <v>-2.6863423714260648E-3</v>
      </c>
      <c r="F155">
        <f t="shared" ca="1" si="14"/>
        <v>-1.6307001100602445E-2</v>
      </c>
      <c r="G155">
        <f t="shared" ca="1" si="10"/>
        <v>-2.5806500951105947E-2</v>
      </c>
      <c r="H155">
        <f ca="1">IF(AND(B155&gt;'Real Analysis'!$B$31,B155&lt;'Real Analysis'!$B$32),FilterInput(E155,'Real Analysis'!$B$26,'Real Analysis'!$B$27),0)</f>
        <v>0</v>
      </c>
      <c r="I155" t="e">
        <f>MEDIAN2("Real Values",H155,'Real Analysis'!$B$5,2)</f>
        <v>#VALUE!</v>
      </c>
      <c r="J155" t="e">
        <f>AVERAGE2("Real Values",I155,'Real Analysis'!$B$6,2)</f>
        <v>#VALUE!</v>
      </c>
      <c r="K155" t="e">
        <f>INTEGRAL2(J155,$B155,K154,J154,$B154,'Real Analysis'!$B$19)</f>
        <v>#VALUE!</v>
      </c>
      <c r="L155" t="e">
        <f>IF(AND(B155&lt;'Real Analysis'!$B$32,B155&gt;0),INTEGRAL2(K155,$B155,L154,K154,$B154,'Real Analysis'!$B$20),0)</f>
        <v>#VALUE!</v>
      </c>
      <c r="N155">
        <f>'Real Analysis'!$B$28*'Real Input'!U155+IF('Real Input'!U155 &gt; 0,'Real Analysis'!$B$29,0)</f>
        <v>0</v>
      </c>
      <c r="O155" t="e">
        <f t="shared" si="12"/>
        <v>#VALUE!</v>
      </c>
      <c r="P155" t="e">
        <f t="shared" si="13"/>
        <v>#VALUE!</v>
      </c>
    </row>
    <row r="156" spans="1:16" x14ac:dyDescent="0.3">
      <c r="A156">
        <v>154</v>
      </c>
      <c r="B156">
        <f>'Real Input'!M156</f>
        <v>3.1290100000042003</v>
      </c>
      <c r="C156">
        <f ca="1">INDIRECT(CONCATENATE("'Real Input'!",'Real Analysis'!$B$2,A156+2))</f>
        <v>9.8540076600000006</v>
      </c>
      <c r="D156">
        <f t="shared" si="11"/>
        <v>2.027500000258442E-2</v>
      </c>
      <c r="E156">
        <f ca="1">IF(B156&gt;0,C156-'Real Analysis'!$B$14,0)</f>
        <v>-2.4901423714265292E-3</v>
      </c>
      <c r="F156">
        <f t="shared" ca="1" si="14"/>
        <v>-1.6357488737189552E-2</v>
      </c>
      <c r="G156">
        <f t="shared" ca="1" si="10"/>
        <v>-2.6138149035294739E-2</v>
      </c>
      <c r="H156">
        <f ca="1">IF(AND(B156&gt;'Real Analysis'!$B$31,B156&lt;'Real Analysis'!$B$32),FilterInput(E156,'Real Analysis'!$B$26,'Real Analysis'!$B$27),0)</f>
        <v>0</v>
      </c>
      <c r="I156" t="e">
        <f>MEDIAN2("Real Values",H156,'Real Analysis'!$B$5,2)</f>
        <v>#VALUE!</v>
      </c>
      <c r="J156" t="e">
        <f>AVERAGE2("Real Values",I156,'Real Analysis'!$B$6,2)</f>
        <v>#VALUE!</v>
      </c>
      <c r="K156" t="e">
        <f>INTEGRAL2(J156,$B156,K155,J155,$B155,'Real Analysis'!$B$19)</f>
        <v>#VALUE!</v>
      </c>
      <c r="L156" t="e">
        <f>IF(AND(B156&lt;'Real Analysis'!$B$32,B156&gt;0),INTEGRAL2(K156,$B156,L155,K155,$B155,'Real Analysis'!$B$20),0)</f>
        <v>#VALUE!</v>
      </c>
      <c r="N156">
        <f>'Real Analysis'!$B$28*'Real Input'!U156+IF('Real Input'!U156 &gt; 0,'Real Analysis'!$B$29,0)</f>
        <v>0</v>
      </c>
      <c r="O156" t="e">
        <f t="shared" si="12"/>
        <v>#VALUE!</v>
      </c>
      <c r="P156" t="e">
        <f t="shared" si="13"/>
        <v>#VALUE!</v>
      </c>
    </row>
    <row r="157" spans="1:16" x14ac:dyDescent="0.3">
      <c r="A157">
        <v>155</v>
      </c>
      <c r="B157">
        <f>'Real Input'!M157</f>
        <v>3.1441970000014408</v>
      </c>
      <c r="C157">
        <f ca="1">INDIRECT(CONCATENATE("'Real Input'!",'Real Analysis'!$B$2,A157+2))</f>
        <v>9.8504270100000006</v>
      </c>
      <c r="D157">
        <f t="shared" si="11"/>
        <v>1.5186999997240491E-2</v>
      </c>
      <c r="E157">
        <f ca="1">IF(B157&gt;0,C157-'Real Analysis'!$B$14,0)</f>
        <v>-6.0707923714264922E-3</v>
      </c>
      <c r="F157">
        <f t="shared" ca="1" si="14"/>
        <v>-1.6449685860917655E-2</v>
      </c>
      <c r="G157">
        <f t="shared" ca="1" si="10"/>
        <v>-2.6387970414419103E-2</v>
      </c>
      <c r="H157">
        <f ca="1">IF(AND(B157&gt;'Real Analysis'!$B$31,B157&lt;'Real Analysis'!$B$32),FilterInput(E157,'Real Analysis'!$B$26,'Real Analysis'!$B$27),0)</f>
        <v>0</v>
      </c>
      <c r="I157" t="e">
        <f>MEDIAN2("Real Values",H157,'Real Analysis'!$B$5,2)</f>
        <v>#VALUE!</v>
      </c>
      <c r="J157" t="e">
        <f>AVERAGE2("Real Values",I157,'Real Analysis'!$B$6,2)</f>
        <v>#VALUE!</v>
      </c>
      <c r="K157" t="e">
        <f>INTEGRAL2(J157,$B157,K156,J156,$B156,'Real Analysis'!$B$19)</f>
        <v>#VALUE!</v>
      </c>
      <c r="L157" t="e">
        <f>IF(AND(B157&lt;'Real Analysis'!$B$32,B157&gt;0),INTEGRAL2(K157,$B157,L156,K156,$B156,'Real Analysis'!$B$20),0)</f>
        <v>#VALUE!</v>
      </c>
      <c r="N157">
        <f>'Real Analysis'!$B$28*'Real Input'!U157+IF('Real Input'!U157 &gt; 0,'Real Analysis'!$B$29,0)</f>
        <v>0</v>
      </c>
      <c r="O157" t="e">
        <f t="shared" si="12"/>
        <v>#VALUE!</v>
      </c>
      <c r="P157" t="e">
        <f t="shared" si="13"/>
        <v>#VALUE!</v>
      </c>
    </row>
    <row r="158" spans="1:16" x14ac:dyDescent="0.3">
      <c r="A158">
        <v>156</v>
      </c>
      <c r="B158">
        <f>'Real Input'!M158</f>
        <v>3.168403000003309</v>
      </c>
      <c r="C158">
        <f ca="1">INDIRECT(CONCATENATE("'Real Input'!",'Real Analysis'!$B$2,A158+2))</f>
        <v>9.8922764700000005</v>
      </c>
      <c r="D158">
        <f t="shared" si="11"/>
        <v>2.4206000001868233E-2</v>
      </c>
      <c r="E158">
        <f ca="1">IF(B158&gt;0,C158-'Real Analysis'!$B$14,0)</f>
        <v>3.5778667628573402E-2</v>
      </c>
      <c r="F158">
        <f t="shared" ca="1" si="14"/>
        <v>-1.5583627432233564E-2</v>
      </c>
      <c r="G158">
        <f t="shared" ca="1" si="10"/>
        <v>-2.6765187700072864E-2</v>
      </c>
      <c r="H158">
        <f ca="1">IF(AND(B158&gt;'Real Analysis'!$B$31,B158&lt;'Real Analysis'!$B$32),FilterInput(E158,'Real Analysis'!$B$26,'Real Analysis'!$B$27),0)</f>
        <v>0</v>
      </c>
      <c r="I158" t="e">
        <f>MEDIAN2("Real Values",H158,'Real Analysis'!$B$5,2)</f>
        <v>#VALUE!</v>
      </c>
      <c r="J158" t="e">
        <f>AVERAGE2("Real Values",I158,'Real Analysis'!$B$6,2)</f>
        <v>#VALUE!</v>
      </c>
      <c r="K158" t="e">
        <f>INTEGRAL2(J158,$B158,K157,J157,$B157,'Real Analysis'!$B$19)</f>
        <v>#VALUE!</v>
      </c>
      <c r="L158" t="e">
        <f>IF(AND(B158&lt;'Real Analysis'!$B$32,B158&gt;0),INTEGRAL2(K158,$B158,L157,K157,$B157,'Real Analysis'!$B$20),0)</f>
        <v>#VALUE!</v>
      </c>
      <c r="N158">
        <f>'Real Analysis'!$B$28*'Real Input'!U158+IF('Real Input'!U158 &gt; 0,'Real Analysis'!$B$29,0)</f>
        <v>0</v>
      </c>
      <c r="O158" t="e">
        <f t="shared" si="12"/>
        <v>#VALUE!</v>
      </c>
      <c r="P158" t="e">
        <f t="shared" si="13"/>
        <v>#VALUE!</v>
      </c>
    </row>
    <row r="159" spans="1:16" x14ac:dyDescent="0.3">
      <c r="A159">
        <v>157</v>
      </c>
      <c r="B159">
        <f>'Real Input'!M159</f>
        <v>3.1924449999933131</v>
      </c>
      <c r="C159">
        <f ca="1">INDIRECT(CONCATENATE("'Real Input'!",'Real Analysis'!$B$2,A159+2))</f>
        <v>9.867035340000001</v>
      </c>
      <c r="D159">
        <f t="shared" si="11"/>
        <v>2.4041999990004115E-2</v>
      </c>
      <c r="E159">
        <f ca="1">IF(B159&gt;0,C159-'Real Analysis'!$B$14,0)</f>
        <v>1.0537537628573901E-2</v>
      </c>
      <c r="F159">
        <f t="shared" ca="1" si="14"/>
        <v>-1.5330283952672722E-2</v>
      </c>
      <c r="G159">
        <f t="shared" ca="1" si="10"/>
        <v>-2.7133758386709783E-2</v>
      </c>
      <c r="H159">
        <f ca="1">IF(AND(B159&gt;'Real Analysis'!$B$31,B159&lt;'Real Analysis'!$B$32),FilterInput(E159,'Real Analysis'!$B$26,'Real Analysis'!$B$27),0)</f>
        <v>0</v>
      </c>
      <c r="I159" t="e">
        <f>MEDIAN2("Real Values",H159,'Real Analysis'!$B$5,2)</f>
        <v>#VALUE!</v>
      </c>
      <c r="J159" t="e">
        <f>AVERAGE2("Real Values",I159,'Real Analysis'!$B$6,2)</f>
        <v>#VALUE!</v>
      </c>
      <c r="K159" t="e">
        <f>INTEGRAL2(J159,$B159,K158,J158,$B158,'Real Analysis'!$B$19)</f>
        <v>#VALUE!</v>
      </c>
      <c r="L159" t="e">
        <f>IF(AND(B159&lt;'Real Analysis'!$B$32,B159&gt;0),INTEGRAL2(K159,$B159,L158,K158,$B158,'Real Analysis'!$B$20),0)</f>
        <v>#VALUE!</v>
      </c>
      <c r="N159">
        <f>'Real Analysis'!$B$28*'Real Input'!U159+IF('Real Input'!U159 &gt; 0,'Real Analysis'!$B$29,0)</f>
        <v>0</v>
      </c>
      <c r="O159" t="e">
        <f t="shared" si="12"/>
        <v>#VALUE!</v>
      </c>
      <c r="P159" t="e">
        <f t="shared" si="13"/>
        <v>#VALUE!</v>
      </c>
    </row>
    <row r="160" spans="1:16" x14ac:dyDescent="0.3">
      <c r="A160">
        <v>158</v>
      </c>
      <c r="B160">
        <f>'Real Input'!M160</f>
        <v>3.2133500000054482</v>
      </c>
      <c r="C160">
        <f ca="1">INDIRECT(CONCATENATE("'Real Input'!",'Real Analysis'!$B$2,A160+2))</f>
        <v>9.8545864500000011</v>
      </c>
      <c r="D160">
        <f t="shared" si="11"/>
        <v>2.0905000012135133E-2</v>
      </c>
      <c r="E160">
        <f ca="1">IF(B160&gt;0,C160-'Real Analysis'!$B$14,0)</f>
        <v>-1.9113523714260339E-3</v>
      </c>
      <c r="F160">
        <f t="shared" ca="1" si="14"/>
        <v>-1.5370240774020577E-2</v>
      </c>
      <c r="G160">
        <f t="shared" ca="1" si="10"/>
        <v>-2.7455073270277203E-2</v>
      </c>
      <c r="H160">
        <f ca="1">IF(AND(B160&gt;'Real Analysis'!$B$31,B160&lt;'Real Analysis'!$B$32),FilterInput(E160,'Real Analysis'!$B$26,'Real Analysis'!$B$27),0)</f>
        <v>0</v>
      </c>
      <c r="I160" t="e">
        <f>MEDIAN2("Real Values",H160,'Real Analysis'!$B$5,2)</f>
        <v>#VALUE!</v>
      </c>
      <c r="J160" t="e">
        <f>AVERAGE2("Real Values",I160,'Real Analysis'!$B$6,2)</f>
        <v>#VALUE!</v>
      </c>
      <c r="K160" t="e">
        <f>INTEGRAL2(J160,$B160,K159,J159,$B159,'Real Analysis'!$B$19)</f>
        <v>#VALUE!</v>
      </c>
      <c r="L160" t="e">
        <f>IF(AND(B160&lt;'Real Analysis'!$B$32,B160&gt;0),INTEGRAL2(K160,$B160,L159,K159,$B159,'Real Analysis'!$B$20),0)</f>
        <v>#VALUE!</v>
      </c>
      <c r="N160">
        <f>'Real Analysis'!$B$28*'Real Input'!U160+IF('Real Input'!U160 &gt; 0,'Real Analysis'!$B$29,0)</f>
        <v>0</v>
      </c>
      <c r="O160" t="e">
        <f t="shared" si="12"/>
        <v>#VALUE!</v>
      </c>
      <c r="P160" t="e">
        <f t="shared" si="13"/>
        <v>#VALUE!</v>
      </c>
    </row>
    <row r="161" spans="1:16" x14ac:dyDescent="0.3">
      <c r="A161">
        <v>159</v>
      </c>
      <c r="B161">
        <f>'Real Input'!M161</f>
        <v>3.2285600000031991</v>
      </c>
      <c r="C161">
        <f ca="1">INDIRECT(CONCATENATE("'Real Input'!",'Real Analysis'!$B$2,A161+2))</f>
        <v>9.8502111900000013</v>
      </c>
      <c r="D161">
        <f t="shared" si="11"/>
        <v>1.5209999997750856E-2</v>
      </c>
      <c r="E161">
        <f ca="1">IF(B161&gt;0,C161-'Real Analysis'!$B$14,0)</f>
        <v>-6.2866123714258038E-3</v>
      </c>
      <c r="F161">
        <f t="shared" ca="1" si="14"/>
        <v>-1.5465860148175824E-2</v>
      </c>
      <c r="G161">
        <f t="shared" ref="G161:G224" ca="1" si="15">IF(B161&gt;0,G160+F161*$D161,0)</f>
        <v>-2.7690309003096172E-2</v>
      </c>
      <c r="H161">
        <f ca="1">IF(AND(B161&gt;'Real Analysis'!$B$31,B161&lt;'Real Analysis'!$B$32),FilterInput(E161,'Real Analysis'!$B$26,'Real Analysis'!$B$27),0)</f>
        <v>0</v>
      </c>
      <c r="I161" t="e">
        <f>MEDIAN2("Real Values",H161,'Real Analysis'!$B$5,2)</f>
        <v>#VALUE!</v>
      </c>
      <c r="J161" t="e">
        <f>AVERAGE2("Real Values",I161,'Real Analysis'!$B$6,2)</f>
        <v>#VALUE!</v>
      </c>
      <c r="K161" t="e">
        <f>INTEGRAL2(J161,$B161,K160,J160,$B160,'Real Analysis'!$B$19)</f>
        <v>#VALUE!</v>
      </c>
      <c r="L161" t="e">
        <f>IF(AND(B161&lt;'Real Analysis'!$B$32,B161&gt;0),INTEGRAL2(K161,$B161,L160,K160,$B160,'Real Analysis'!$B$20),0)</f>
        <v>#VALUE!</v>
      </c>
      <c r="N161">
        <f>'Real Analysis'!$B$28*'Real Input'!U161+IF('Real Input'!U161 &gt; 0,'Real Analysis'!$B$29,0)</f>
        <v>0</v>
      </c>
      <c r="O161" t="e">
        <f t="shared" si="12"/>
        <v>#VALUE!</v>
      </c>
      <c r="P161" t="e">
        <f t="shared" si="13"/>
        <v>#VALUE!</v>
      </c>
    </row>
    <row r="162" spans="1:16" x14ac:dyDescent="0.3">
      <c r="A162">
        <v>160</v>
      </c>
      <c r="B162">
        <f>'Real Input'!M162</f>
        <v>3.2441200000030221</v>
      </c>
      <c r="C162">
        <f ca="1">INDIRECT(CONCATENATE("'Real Input'!",'Real Analysis'!$B$2,A162+2))</f>
        <v>9.8019361800000002</v>
      </c>
      <c r="D162">
        <f t="shared" si="11"/>
        <v>1.5559999999823049E-2</v>
      </c>
      <c r="E162">
        <f ca="1">IF(B162&gt;0,C162-'Real Analysis'!$B$14,0)</f>
        <v>-5.4561622371426921E-2</v>
      </c>
      <c r="F162">
        <f t="shared" ca="1" si="14"/>
        <v>-1.6314838992265573E-2</v>
      </c>
      <c r="G162">
        <f t="shared" ca="1" si="15"/>
        <v>-2.7944167897812938E-2</v>
      </c>
      <c r="H162">
        <f ca="1">IF(AND(B162&gt;'Real Analysis'!$B$31,B162&lt;'Real Analysis'!$B$32),FilterInput(E162,'Real Analysis'!$B$26,'Real Analysis'!$B$27),0)</f>
        <v>0</v>
      </c>
      <c r="I162" t="e">
        <f>MEDIAN2("Real Values",H162,'Real Analysis'!$B$5,2)</f>
        <v>#VALUE!</v>
      </c>
      <c r="J162" t="e">
        <f>AVERAGE2("Real Values",I162,'Real Analysis'!$B$6,2)</f>
        <v>#VALUE!</v>
      </c>
      <c r="K162" t="e">
        <f>INTEGRAL2(J162,$B162,K161,J161,$B161,'Real Analysis'!$B$19)</f>
        <v>#VALUE!</v>
      </c>
      <c r="L162" t="e">
        <f>IF(AND(B162&lt;'Real Analysis'!$B$32,B162&gt;0),INTEGRAL2(K162,$B162,L161,K161,$B161,'Real Analysis'!$B$20),0)</f>
        <v>#VALUE!</v>
      </c>
      <c r="N162">
        <f>'Real Analysis'!$B$28*'Real Input'!U162+IF('Real Input'!U162 &gt; 0,'Real Analysis'!$B$29,0)</f>
        <v>0</v>
      </c>
      <c r="O162" t="e">
        <f t="shared" si="12"/>
        <v>#VALUE!</v>
      </c>
      <c r="P162" t="e">
        <f t="shared" si="13"/>
        <v>#VALUE!</v>
      </c>
    </row>
    <row r="163" spans="1:16" x14ac:dyDescent="0.3">
      <c r="A163">
        <v>161</v>
      </c>
      <c r="B163">
        <f>'Real Input'!M163</f>
        <v>3.2694909999991069</v>
      </c>
      <c r="C163">
        <f ca="1">INDIRECT(CONCATENATE("'Real Input'!",'Real Analysis'!$B$2,A163+2))</f>
        <v>9.861129720000001</v>
      </c>
      <c r="D163">
        <f t="shared" si="11"/>
        <v>2.537099999608472E-2</v>
      </c>
      <c r="E163">
        <f ca="1">IF(B163&gt;0,C163-'Real Analysis'!$B$14,0)</f>
        <v>4.631917628573845E-3</v>
      </c>
      <c r="F163">
        <f t="shared" ca="1" si="14"/>
        <v>-1.6197322610129163E-2</v>
      </c>
      <c r="G163">
        <f t="shared" ca="1" si="15"/>
        <v>-2.8355110169691108E-2</v>
      </c>
      <c r="H163">
        <f ca="1">IF(AND(B163&gt;'Real Analysis'!$B$31,B163&lt;'Real Analysis'!$B$32),FilterInput(E163,'Real Analysis'!$B$26,'Real Analysis'!$B$27),0)</f>
        <v>0</v>
      </c>
      <c r="I163" t="e">
        <f>MEDIAN2("Real Values",H163,'Real Analysis'!$B$5,2)</f>
        <v>#VALUE!</v>
      </c>
      <c r="J163" t="e">
        <f>AVERAGE2("Real Values",I163,'Real Analysis'!$B$6,2)</f>
        <v>#VALUE!</v>
      </c>
      <c r="K163" t="e">
        <f>INTEGRAL2(J163,$B163,K162,J162,$B162,'Real Analysis'!$B$19)</f>
        <v>#VALUE!</v>
      </c>
      <c r="L163" t="e">
        <f>IF(AND(B163&lt;'Real Analysis'!$B$32,B163&gt;0),INTEGRAL2(K163,$B163,L162,K162,$B162,'Real Analysis'!$B$20),0)</f>
        <v>#VALUE!</v>
      </c>
      <c r="N163">
        <f>'Real Analysis'!$B$28*'Real Input'!U163+IF('Real Input'!U163 &gt; 0,'Real Analysis'!$B$29,0)</f>
        <v>0</v>
      </c>
      <c r="O163" t="e">
        <f t="shared" si="12"/>
        <v>#VALUE!</v>
      </c>
      <c r="P163" t="e">
        <f t="shared" si="13"/>
        <v>#VALUE!</v>
      </c>
    </row>
    <row r="164" spans="1:16" x14ac:dyDescent="0.3">
      <c r="A164">
        <v>162</v>
      </c>
      <c r="B164">
        <f>'Real Input'!M164</f>
        <v>3.2937539999984438</v>
      </c>
      <c r="C164">
        <f ca="1">INDIRECT(CONCATENATE("'Real Input'!",'Real Analysis'!$B$2,A164+2))</f>
        <v>9.8548415100000017</v>
      </c>
      <c r="D164">
        <f t="shared" si="11"/>
        <v>2.4262999999336898E-2</v>
      </c>
      <c r="E164">
        <f ca="1">IF(B164&gt;0,C164-'Real Analysis'!$B$14,0)</f>
        <v>-1.6562923714253941E-3</v>
      </c>
      <c r="F164">
        <f t="shared" ca="1" si="14"/>
        <v>-1.6237509231935957E-2</v>
      </c>
      <c r="G164">
        <f t="shared" ca="1" si="15"/>
        <v>-2.8749080856174804E-2</v>
      </c>
      <c r="H164">
        <f ca="1">IF(AND(B164&gt;'Real Analysis'!$B$31,B164&lt;'Real Analysis'!$B$32),FilterInput(E164,'Real Analysis'!$B$26,'Real Analysis'!$B$27),0)</f>
        <v>0</v>
      </c>
      <c r="I164" t="e">
        <f>MEDIAN2("Real Values",H164,'Real Analysis'!$B$5,2)</f>
        <v>#VALUE!</v>
      </c>
      <c r="J164" t="e">
        <f>AVERAGE2("Real Values",I164,'Real Analysis'!$B$6,2)</f>
        <v>#VALUE!</v>
      </c>
      <c r="K164" t="e">
        <f>INTEGRAL2(J164,$B164,K163,J163,$B163,'Real Analysis'!$B$19)</f>
        <v>#VALUE!</v>
      </c>
      <c r="L164" t="e">
        <f>IF(AND(B164&lt;'Real Analysis'!$B$32,B164&gt;0),INTEGRAL2(K164,$B164,L163,K163,$B163,'Real Analysis'!$B$20),0)</f>
        <v>#VALUE!</v>
      </c>
      <c r="N164">
        <f>'Real Analysis'!$B$28*'Real Input'!U164+IF('Real Input'!U164 &gt; 0,'Real Analysis'!$B$29,0)</f>
        <v>0</v>
      </c>
      <c r="O164" t="e">
        <f t="shared" si="12"/>
        <v>#VALUE!</v>
      </c>
      <c r="P164" t="e">
        <f t="shared" si="13"/>
        <v>#VALUE!</v>
      </c>
    </row>
    <row r="165" spans="1:16" x14ac:dyDescent="0.3">
      <c r="A165">
        <v>163</v>
      </c>
      <c r="B165">
        <f>'Real Input'!M165</f>
        <v>3.3104580000072019</v>
      </c>
      <c r="C165">
        <f ca="1">INDIRECT(CONCATENATE("'Real Input'!",'Real Analysis'!$B$2,A165+2))</f>
        <v>9.85173174</v>
      </c>
      <c r="D165">
        <f t="shared" si="11"/>
        <v>1.6704000008758157E-2</v>
      </c>
      <c r="E165">
        <f ca="1">IF(B165&gt;0,C165-'Real Analysis'!$B$14,0)</f>
        <v>-4.7660623714271821E-3</v>
      </c>
      <c r="F165">
        <f t="shared" ca="1" si="14"/>
        <v>-1.6317121537830021E-2</v>
      </c>
      <c r="G165">
        <f t="shared" ca="1" si="15"/>
        <v>-2.9021642054485625E-2</v>
      </c>
      <c r="H165">
        <f ca="1">IF(AND(B165&gt;'Real Analysis'!$B$31,B165&lt;'Real Analysis'!$B$32),FilterInput(E165,'Real Analysis'!$B$26,'Real Analysis'!$B$27),0)</f>
        <v>0</v>
      </c>
      <c r="I165" t="e">
        <f>MEDIAN2("Real Values",H165,'Real Analysis'!$B$5,2)</f>
        <v>#VALUE!</v>
      </c>
      <c r="J165" t="e">
        <f>AVERAGE2("Real Values",I165,'Real Analysis'!$B$6,2)</f>
        <v>#VALUE!</v>
      </c>
      <c r="K165" t="e">
        <f>INTEGRAL2(J165,$B165,K164,J164,$B164,'Real Analysis'!$B$19)</f>
        <v>#VALUE!</v>
      </c>
      <c r="L165" t="e">
        <f>IF(AND(B165&lt;'Real Analysis'!$B$32,B165&gt;0),INTEGRAL2(K165,$B165,L164,K164,$B164,'Real Analysis'!$B$20),0)</f>
        <v>#VALUE!</v>
      </c>
      <c r="N165">
        <f>'Real Analysis'!$B$28*'Real Input'!U165+IF('Real Input'!U165 &gt; 0,'Real Analysis'!$B$29,0)</f>
        <v>0</v>
      </c>
      <c r="O165" t="e">
        <f t="shared" si="12"/>
        <v>#VALUE!</v>
      </c>
      <c r="P165" t="e">
        <f t="shared" si="13"/>
        <v>#VALUE!</v>
      </c>
    </row>
    <row r="166" spans="1:16" x14ac:dyDescent="0.3">
      <c r="A166">
        <v>164</v>
      </c>
      <c r="B166">
        <f>'Real Input'!M166</f>
        <v>3.3294350000069244</v>
      </c>
      <c r="C166">
        <f ca="1">INDIRECT(CONCATENATE("'Real Input'!",'Real Analysis'!$B$2,A166+2))</f>
        <v>9.8560481400000004</v>
      </c>
      <c r="D166">
        <f t="shared" si="11"/>
        <v>1.8976999999722466E-2</v>
      </c>
      <c r="E166">
        <f ca="1">IF(B166&gt;0,C166-'Real Analysis'!$B$14,0)</f>
        <v>-4.4966237142674004E-4</v>
      </c>
      <c r="F166">
        <f t="shared" ca="1" si="14"/>
        <v>-1.6325654780652461E-2</v>
      </c>
      <c r="G166">
        <f t="shared" ca="1" si="15"/>
        <v>-2.9331454005253537E-2</v>
      </c>
      <c r="H166">
        <f ca="1">IF(AND(B166&gt;'Real Analysis'!$B$31,B166&lt;'Real Analysis'!$B$32),FilterInput(E166,'Real Analysis'!$B$26,'Real Analysis'!$B$27),0)</f>
        <v>0</v>
      </c>
      <c r="I166" t="e">
        <f>MEDIAN2("Real Values",H166,'Real Analysis'!$B$5,2)</f>
        <v>#VALUE!</v>
      </c>
      <c r="J166" t="e">
        <f>AVERAGE2("Real Values",I166,'Real Analysis'!$B$6,2)</f>
        <v>#VALUE!</v>
      </c>
      <c r="K166" t="e">
        <f>INTEGRAL2(J166,$B166,K165,J165,$B165,'Real Analysis'!$B$19)</f>
        <v>#VALUE!</v>
      </c>
      <c r="L166" t="e">
        <f>IF(AND(B166&lt;'Real Analysis'!$B$32,B166&gt;0),INTEGRAL2(K166,$B166,L165,K165,$B165,'Real Analysis'!$B$20),0)</f>
        <v>#VALUE!</v>
      </c>
      <c r="N166">
        <f>'Real Analysis'!$B$28*'Real Input'!U166+IF('Real Input'!U166 &gt; 0,'Real Analysis'!$B$29,0)</f>
        <v>0</v>
      </c>
      <c r="O166" t="e">
        <f t="shared" si="12"/>
        <v>#VALUE!</v>
      </c>
      <c r="P166" t="e">
        <f t="shared" si="13"/>
        <v>#VALUE!</v>
      </c>
    </row>
    <row r="167" spans="1:16" x14ac:dyDescent="0.3">
      <c r="A167">
        <v>165</v>
      </c>
      <c r="B167">
        <f>'Real Input'!M167</f>
        <v>3.349277000001166</v>
      </c>
      <c r="C167">
        <f ca="1">INDIRECT(CONCATENATE("'Real Input'!",'Real Analysis'!$B$2,A167+2))</f>
        <v>9.8530855200000005</v>
      </c>
      <c r="D167">
        <f t="shared" si="11"/>
        <v>1.9841999994241633E-2</v>
      </c>
      <c r="E167">
        <f ca="1">IF(B167&gt;0,C167-'Real Analysis'!$B$14,0)</f>
        <v>-3.4122823714266559E-3</v>
      </c>
      <c r="F167">
        <f t="shared" ca="1" si="14"/>
        <v>-1.6393361287446659E-2</v>
      </c>
      <c r="G167">
        <f t="shared" ca="1" si="15"/>
        <v>-2.9656731079824656E-2</v>
      </c>
      <c r="H167">
        <f ca="1">IF(AND(B167&gt;'Real Analysis'!$B$31,B167&lt;'Real Analysis'!$B$32),FilterInput(E167,'Real Analysis'!$B$26,'Real Analysis'!$B$27),0)</f>
        <v>0</v>
      </c>
      <c r="I167" t="e">
        <f>MEDIAN2("Real Values",H167,'Real Analysis'!$B$5,2)</f>
        <v>#VALUE!</v>
      </c>
      <c r="J167" t="e">
        <f>AVERAGE2("Real Values",I167,'Real Analysis'!$B$6,2)</f>
        <v>#VALUE!</v>
      </c>
      <c r="K167" t="e">
        <f>INTEGRAL2(J167,$B167,K166,J166,$B166,'Real Analysis'!$B$19)</f>
        <v>#VALUE!</v>
      </c>
      <c r="L167" t="e">
        <f>IF(AND(B167&lt;'Real Analysis'!$B$32,B167&gt;0),INTEGRAL2(K167,$B167,L166,K166,$B166,'Real Analysis'!$B$20),0)</f>
        <v>#VALUE!</v>
      </c>
      <c r="N167">
        <f>'Real Analysis'!$B$28*'Real Input'!U167+IF('Real Input'!U167 &gt; 0,'Real Analysis'!$B$29,0)</f>
        <v>0</v>
      </c>
      <c r="O167" t="e">
        <f t="shared" si="12"/>
        <v>#VALUE!</v>
      </c>
      <c r="P167" t="e">
        <f t="shared" si="13"/>
        <v>#VALUE!</v>
      </c>
    </row>
    <row r="168" spans="1:16" x14ac:dyDescent="0.3">
      <c r="A168">
        <v>166</v>
      </c>
      <c r="B168">
        <f>'Real Input'!M168</f>
        <v>3.3719500000006519</v>
      </c>
      <c r="C168">
        <f ca="1">INDIRECT(CONCATENATE("'Real Input'!",'Real Analysis'!$B$2,A168+2))</f>
        <v>9.8535858300000001</v>
      </c>
      <c r="D168">
        <f t="shared" si="11"/>
        <v>2.267299999948591E-2</v>
      </c>
      <c r="E168">
        <f ca="1">IF(B168&gt;0,C168-'Real Analysis'!$B$14,0)</f>
        <v>-2.9119723714270407E-3</v>
      </c>
      <c r="F168">
        <f t="shared" ca="1" si="14"/>
        <v>-1.6459384437022526E-2</v>
      </c>
      <c r="G168">
        <f t="shared" ca="1" si="15"/>
        <v>-3.0029914703156805E-2</v>
      </c>
      <c r="H168">
        <f ca="1">IF(AND(B168&gt;'Real Analysis'!$B$31,B168&lt;'Real Analysis'!$B$32),FilterInput(E168,'Real Analysis'!$B$26,'Real Analysis'!$B$27),0)</f>
        <v>0</v>
      </c>
      <c r="I168" t="e">
        <f>MEDIAN2("Real Values",H168,'Real Analysis'!$B$5,2)</f>
        <v>#VALUE!</v>
      </c>
      <c r="J168" t="e">
        <f>AVERAGE2("Real Values",I168,'Real Analysis'!$B$6,2)</f>
        <v>#VALUE!</v>
      </c>
      <c r="K168" t="e">
        <f>INTEGRAL2(J168,$B168,K167,J167,$B167,'Real Analysis'!$B$19)</f>
        <v>#VALUE!</v>
      </c>
      <c r="L168" t="e">
        <f>IF(AND(B168&lt;'Real Analysis'!$B$32,B168&gt;0),INTEGRAL2(K168,$B168,L167,K167,$B167,'Real Analysis'!$B$20),0)</f>
        <v>#VALUE!</v>
      </c>
      <c r="N168">
        <f>'Real Analysis'!$B$28*'Real Input'!U168+IF('Real Input'!U168 &gt; 0,'Real Analysis'!$B$29,0)</f>
        <v>0</v>
      </c>
      <c r="O168" t="e">
        <f t="shared" si="12"/>
        <v>#VALUE!</v>
      </c>
      <c r="P168" t="e">
        <f t="shared" si="13"/>
        <v>#VALUE!</v>
      </c>
    </row>
    <row r="169" spans="1:16" x14ac:dyDescent="0.3">
      <c r="A169">
        <v>167</v>
      </c>
      <c r="B169">
        <f>'Real Input'!M169</f>
        <v>3.3908150000061141</v>
      </c>
      <c r="C169">
        <f ca="1">INDIRECT(CONCATENATE("'Real Input'!",'Real Analysis'!$B$2,A169+2))</f>
        <v>9.8536839300000008</v>
      </c>
      <c r="D169">
        <f t="shared" si="11"/>
        <v>1.8865000005462207E-2</v>
      </c>
      <c r="E169">
        <f ca="1">IF(B169&gt;0,C169-'Real Analysis'!$B$14,0)</f>
        <v>-2.8138723714263847E-3</v>
      </c>
      <c r="F169">
        <f t="shared" ca="1" si="14"/>
        <v>-1.6512468139324856E-2</v>
      </c>
      <c r="G169">
        <f t="shared" ca="1" si="15"/>
        <v>-3.0341422414695361E-2</v>
      </c>
      <c r="H169">
        <f ca="1">IF(AND(B169&gt;'Real Analysis'!$B$31,B169&lt;'Real Analysis'!$B$32),FilterInput(E169,'Real Analysis'!$B$26,'Real Analysis'!$B$27),0)</f>
        <v>0</v>
      </c>
      <c r="I169" t="e">
        <f>MEDIAN2("Real Values",H169,'Real Analysis'!$B$5,2)</f>
        <v>#VALUE!</v>
      </c>
      <c r="J169" t="e">
        <f>AVERAGE2("Real Values",I169,'Real Analysis'!$B$6,2)</f>
        <v>#VALUE!</v>
      </c>
      <c r="K169" t="e">
        <f>INTEGRAL2(J169,$B169,K168,J168,$B168,'Real Analysis'!$B$19)</f>
        <v>#VALUE!</v>
      </c>
      <c r="L169" t="e">
        <f>IF(AND(B169&lt;'Real Analysis'!$B$32,B169&gt;0),INTEGRAL2(K169,$B169,L168,K168,$B168,'Real Analysis'!$B$20),0)</f>
        <v>#VALUE!</v>
      </c>
      <c r="N169">
        <f>'Real Analysis'!$B$28*'Real Input'!U169+IF('Real Input'!U169 &gt; 0,'Real Analysis'!$B$29,0)</f>
        <v>0</v>
      </c>
      <c r="O169" t="e">
        <f t="shared" si="12"/>
        <v>#VALUE!</v>
      </c>
      <c r="P169" t="e">
        <f t="shared" si="13"/>
        <v>#VALUE!</v>
      </c>
    </row>
    <row r="170" spans="1:16" x14ac:dyDescent="0.3">
      <c r="A170">
        <v>168</v>
      </c>
      <c r="B170">
        <f>'Real Input'!M170</f>
        <v>3.4054869999963557</v>
      </c>
      <c r="C170">
        <f ca="1">INDIRECT(CONCATENATE("'Real Input'!",'Real Analysis'!$B$2,A170+2))</f>
        <v>9.8535564000000004</v>
      </c>
      <c r="D170">
        <f t="shared" si="11"/>
        <v>1.4671999990241602E-2</v>
      </c>
      <c r="E170">
        <f ca="1">IF(B170&gt;0,C170-'Real Analysis'!$B$14,0)</f>
        <v>-2.9414023714267046E-3</v>
      </c>
      <c r="F170">
        <f t="shared" ca="1" si="14"/>
        <v>-1.6555624394889727E-2</v>
      </c>
      <c r="G170">
        <f t="shared" ca="1" si="15"/>
        <v>-3.0584326535655626E-2</v>
      </c>
      <c r="H170">
        <f ca="1">IF(AND(B170&gt;'Real Analysis'!$B$31,B170&lt;'Real Analysis'!$B$32),FilterInput(E170,'Real Analysis'!$B$26,'Real Analysis'!$B$27),0)</f>
        <v>0</v>
      </c>
      <c r="I170" t="e">
        <f>MEDIAN2("Real Values",H170,'Real Analysis'!$B$5,2)</f>
        <v>#VALUE!</v>
      </c>
      <c r="J170" t="e">
        <f>AVERAGE2("Real Values",I170,'Real Analysis'!$B$6,2)</f>
        <v>#VALUE!</v>
      </c>
      <c r="K170" t="e">
        <f>INTEGRAL2(J170,$B170,K169,J169,$B169,'Real Analysis'!$B$19)</f>
        <v>#VALUE!</v>
      </c>
      <c r="L170" t="e">
        <f>IF(AND(B170&lt;'Real Analysis'!$B$32,B170&gt;0),INTEGRAL2(K170,$B170,L169,K169,$B169,'Real Analysis'!$B$20),0)</f>
        <v>#VALUE!</v>
      </c>
      <c r="N170">
        <f>'Real Analysis'!$B$28*'Real Input'!U170+IF('Real Input'!U170 &gt; 0,'Real Analysis'!$B$29,0)</f>
        <v>0</v>
      </c>
      <c r="O170" t="e">
        <f t="shared" si="12"/>
        <v>#VALUE!</v>
      </c>
      <c r="P170" t="e">
        <f t="shared" si="13"/>
        <v>#VALUE!</v>
      </c>
    </row>
    <row r="171" spans="1:16" x14ac:dyDescent="0.3">
      <c r="A171">
        <v>169</v>
      </c>
      <c r="B171">
        <f>'Real Input'!M171</f>
        <v>3.4302049999969313</v>
      </c>
      <c r="C171">
        <f ca="1">INDIRECT(CONCATENATE("'Real Input'!",'Real Analysis'!$B$2,A171+2))</f>
        <v>9.8535171600000009</v>
      </c>
      <c r="D171">
        <f t="shared" si="11"/>
        <v>2.4718000000575557E-2</v>
      </c>
      <c r="E171">
        <f ca="1">IF(B171&gt;0,C171-'Real Analysis'!$B$14,0)</f>
        <v>-2.9806423714262564E-3</v>
      </c>
      <c r="F171">
        <f t="shared" ca="1" si="14"/>
        <v>-1.6629299913028358E-2</v>
      </c>
      <c r="G171">
        <f t="shared" ca="1" si="15"/>
        <v>-3.0995369570915431E-2</v>
      </c>
      <c r="H171">
        <f ca="1">IF(AND(B171&gt;'Real Analysis'!$B$31,B171&lt;'Real Analysis'!$B$32),FilterInput(E171,'Real Analysis'!$B$26,'Real Analysis'!$B$27),0)</f>
        <v>0</v>
      </c>
      <c r="I171" t="e">
        <f>MEDIAN2("Real Values",H171,'Real Analysis'!$B$5,2)</f>
        <v>#VALUE!</v>
      </c>
      <c r="J171" t="e">
        <f>AVERAGE2("Real Values",I171,'Real Analysis'!$B$6,2)</f>
        <v>#VALUE!</v>
      </c>
      <c r="K171" t="e">
        <f>INTEGRAL2(J171,$B171,K170,J170,$B170,'Real Analysis'!$B$19)</f>
        <v>#VALUE!</v>
      </c>
      <c r="L171" t="e">
        <f>IF(AND(B171&lt;'Real Analysis'!$B$32,B171&gt;0),INTEGRAL2(K171,$B171,L170,K170,$B170,'Real Analysis'!$B$20),0)</f>
        <v>#VALUE!</v>
      </c>
      <c r="N171">
        <f>'Real Analysis'!$B$28*'Real Input'!U171+IF('Real Input'!U171 &gt; 0,'Real Analysis'!$B$29,0)</f>
        <v>0</v>
      </c>
      <c r="O171" t="e">
        <f t="shared" si="12"/>
        <v>#VALUE!</v>
      </c>
      <c r="P171" t="e">
        <f t="shared" si="13"/>
        <v>#VALUE!</v>
      </c>
    </row>
    <row r="172" spans="1:16" x14ac:dyDescent="0.3">
      <c r="A172">
        <v>170</v>
      </c>
      <c r="B172">
        <f>'Real Input'!M172</f>
        <v>3.4520959999936167</v>
      </c>
      <c r="C172">
        <f ca="1">INDIRECT(CONCATENATE("'Real Input'!",'Real Analysis'!$B$2,A172+2))</f>
        <v>9.8535269700000008</v>
      </c>
      <c r="D172">
        <f t="shared" si="11"/>
        <v>2.1890999996685423E-2</v>
      </c>
      <c r="E172">
        <f ca="1">IF(B172&gt;0,C172-'Real Analysis'!$B$14,0)</f>
        <v>-2.9708323714263685E-3</v>
      </c>
      <c r="F172">
        <f t="shared" ca="1" si="14"/>
        <v>-1.6694334404461407E-2</v>
      </c>
      <c r="G172">
        <f t="shared" ca="1" si="15"/>
        <v>-3.1360825245308165E-2</v>
      </c>
      <c r="H172">
        <f ca="1">IF(AND(B172&gt;'Real Analysis'!$B$31,B172&lt;'Real Analysis'!$B$32),FilterInput(E172,'Real Analysis'!$B$26,'Real Analysis'!$B$27),0)</f>
        <v>0</v>
      </c>
      <c r="I172" t="e">
        <f>MEDIAN2("Real Values",H172,'Real Analysis'!$B$5,2)</f>
        <v>#VALUE!</v>
      </c>
      <c r="J172" t="e">
        <f>AVERAGE2("Real Values",I172,'Real Analysis'!$B$6,2)</f>
        <v>#VALUE!</v>
      </c>
      <c r="K172" t="e">
        <f>INTEGRAL2(J172,$B172,K171,J171,$B171,'Real Analysis'!$B$19)</f>
        <v>#VALUE!</v>
      </c>
      <c r="L172" t="e">
        <f>IF(AND(B172&lt;'Real Analysis'!$B$32,B172&gt;0),INTEGRAL2(K172,$B172,L171,K171,$B171,'Real Analysis'!$B$20),0)</f>
        <v>#VALUE!</v>
      </c>
      <c r="N172">
        <f>'Real Analysis'!$B$28*'Real Input'!U172+IF('Real Input'!U172 &gt; 0,'Real Analysis'!$B$29,0)</f>
        <v>0</v>
      </c>
      <c r="O172" t="e">
        <f t="shared" si="12"/>
        <v>#VALUE!</v>
      </c>
      <c r="P172" t="e">
        <f t="shared" si="13"/>
        <v>#VALUE!</v>
      </c>
    </row>
    <row r="173" spans="1:16" x14ac:dyDescent="0.3">
      <c r="A173">
        <v>171</v>
      </c>
      <c r="B173">
        <f>'Real Input'!M173</f>
        <v>3.4648049999959767</v>
      </c>
      <c r="C173">
        <f ca="1">INDIRECT(CONCATENATE("'Real Input'!",'Real Analysis'!$B$2,A173+2))</f>
        <v>9.8535367800000007</v>
      </c>
      <c r="D173">
        <f t="shared" si="11"/>
        <v>1.2709000002359971E-2</v>
      </c>
      <c r="E173">
        <f ca="1">IF(B173&gt;0,C173-'Real Analysis'!$B$14,0)</f>
        <v>-2.9610223714264805E-3</v>
      </c>
      <c r="F173">
        <f t="shared" ca="1" si="14"/>
        <v>-1.6731966037786854E-2</v>
      </c>
      <c r="G173">
        <f t="shared" ca="1" si="15"/>
        <v>-3.1573471801721882E-2</v>
      </c>
      <c r="H173">
        <f ca="1">IF(AND(B173&gt;'Real Analysis'!$B$31,B173&lt;'Real Analysis'!$B$32),FilterInput(E173,'Real Analysis'!$B$26,'Real Analysis'!$B$27),0)</f>
        <v>0</v>
      </c>
      <c r="I173" t="e">
        <f>MEDIAN2("Real Values",H173,'Real Analysis'!$B$5,2)</f>
        <v>#VALUE!</v>
      </c>
      <c r="J173" t="e">
        <f>AVERAGE2("Real Values",I173,'Real Analysis'!$B$6,2)</f>
        <v>#VALUE!</v>
      </c>
      <c r="K173" t="e">
        <f>INTEGRAL2(J173,$B173,K172,J172,$B172,'Real Analysis'!$B$19)</f>
        <v>#VALUE!</v>
      </c>
      <c r="L173" t="e">
        <f>IF(AND(B173&lt;'Real Analysis'!$B$32,B173&gt;0),INTEGRAL2(K173,$B173,L172,K172,$B172,'Real Analysis'!$B$20),0)</f>
        <v>#VALUE!</v>
      </c>
      <c r="N173">
        <f>'Real Analysis'!$B$28*'Real Input'!U173+IF('Real Input'!U173 &gt; 0,'Real Analysis'!$B$29,0)</f>
        <v>0</v>
      </c>
      <c r="O173" t="e">
        <f t="shared" si="12"/>
        <v>#VALUE!</v>
      </c>
      <c r="P173" t="e">
        <f t="shared" si="13"/>
        <v>#VALUE!</v>
      </c>
    </row>
    <row r="174" spans="1:16" x14ac:dyDescent="0.3">
      <c r="A174">
        <v>172</v>
      </c>
      <c r="B174">
        <f>'Real Input'!M174</f>
        <v>3.49079100000381</v>
      </c>
      <c r="C174">
        <f ca="1">INDIRECT(CONCATENATE("'Real Input'!",'Real Analysis'!$B$2,A174+2))</f>
        <v>9.8535367800000007</v>
      </c>
      <c r="D174">
        <f t="shared" si="11"/>
        <v>2.5986000007833354E-2</v>
      </c>
      <c r="E174">
        <f ca="1">IF(B174&gt;0,C174-'Real Analysis'!$B$14,0)</f>
        <v>-2.9610223714264805E-3</v>
      </c>
      <c r="F174">
        <f t="shared" ca="1" si="14"/>
        <v>-1.6808911165153938E-2</v>
      </c>
      <c r="G174">
        <f t="shared" ca="1" si="15"/>
        <v>-3.2010268167391241E-2</v>
      </c>
      <c r="H174">
        <f ca="1">IF(AND(B174&gt;'Real Analysis'!$B$31,B174&lt;'Real Analysis'!$B$32),FilterInput(E174,'Real Analysis'!$B$26,'Real Analysis'!$B$27),0)</f>
        <v>0</v>
      </c>
      <c r="I174" t="e">
        <f>MEDIAN2("Real Values",H174,'Real Analysis'!$B$5,2)</f>
        <v>#VALUE!</v>
      </c>
      <c r="J174" t="e">
        <f>AVERAGE2("Real Values",I174,'Real Analysis'!$B$6,2)</f>
        <v>#VALUE!</v>
      </c>
      <c r="K174" t="e">
        <f>INTEGRAL2(J174,$B174,K173,J173,$B173,'Real Analysis'!$B$19)</f>
        <v>#VALUE!</v>
      </c>
      <c r="L174" t="e">
        <f>IF(AND(B174&lt;'Real Analysis'!$B$32,B174&gt;0),INTEGRAL2(K174,$B174,L173,K173,$B173,'Real Analysis'!$B$20),0)</f>
        <v>#VALUE!</v>
      </c>
      <c r="N174">
        <f>'Real Analysis'!$B$28*'Real Input'!U174+IF('Real Input'!U174 &gt; 0,'Real Analysis'!$B$29,0)</f>
        <v>0</v>
      </c>
      <c r="O174" t="e">
        <f t="shared" si="12"/>
        <v>#VALUE!</v>
      </c>
      <c r="P174" t="e">
        <f t="shared" si="13"/>
        <v>#VALUE!</v>
      </c>
    </row>
    <row r="175" spans="1:16" x14ac:dyDescent="0.3">
      <c r="A175">
        <v>173</v>
      </c>
      <c r="B175">
        <f>'Real Input'!M175</f>
        <v>3.5001929999998538</v>
      </c>
      <c r="C175">
        <f ca="1">INDIRECT(CONCATENATE("'Real Input'!",'Real Analysis'!$B$2,A175+2))</f>
        <v>9.8535171600000009</v>
      </c>
      <c r="D175">
        <f t="shared" si="11"/>
        <v>9.4019999960437417E-3</v>
      </c>
      <c r="E175">
        <f ca="1">IF(B175&gt;0,C175-'Real Analysis'!$B$14,0)</f>
        <v>-2.9806423714262564E-3</v>
      </c>
      <c r="F175">
        <f t="shared" ca="1" si="14"/>
        <v>-1.6836935164718295E-2</v>
      </c>
      <c r="G175">
        <f t="shared" ca="1" si="15"/>
        <v>-3.216856903174331E-2</v>
      </c>
      <c r="H175">
        <f ca="1">IF(AND(B175&gt;'Real Analysis'!$B$31,B175&lt;'Real Analysis'!$B$32),FilterInput(E175,'Real Analysis'!$B$26,'Real Analysis'!$B$27),0)</f>
        <v>0</v>
      </c>
      <c r="I175" t="e">
        <f>MEDIAN2("Real Values",H175,'Real Analysis'!$B$5,2)</f>
        <v>#VALUE!</v>
      </c>
      <c r="J175" t="e">
        <f>AVERAGE2("Real Values",I175,'Real Analysis'!$B$6,2)</f>
        <v>#VALUE!</v>
      </c>
      <c r="K175" t="e">
        <f>INTEGRAL2(J175,$B175,K174,J174,$B174,'Real Analysis'!$B$19)</f>
        <v>#VALUE!</v>
      </c>
      <c r="L175" t="e">
        <f>IF(AND(B175&lt;'Real Analysis'!$B$32,B175&gt;0),INTEGRAL2(K175,$B175,L174,K174,$B174,'Real Analysis'!$B$20),0)</f>
        <v>#VALUE!</v>
      </c>
      <c r="N175">
        <f>'Real Analysis'!$B$28*'Real Input'!U175+IF('Real Input'!U175 &gt; 0,'Real Analysis'!$B$29,0)</f>
        <v>0</v>
      </c>
      <c r="O175" t="e">
        <f t="shared" si="12"/>
        <v>#VALUE!</v>
      </c>
      <c r="P175" t="e">
        <f t="shared" si="13"/>
        <v>#VALUE!</v>
      </c>
    </row>
    <row r="176" spans="1:16" x14ac:dyDescent="0.3">
      <c r="A176">
        <v>174</v>
      </c>
      <c r="B176">
        <f>'Real Input'!M176</f>
        <v>3.530681000003824</v>
      </c>
      <c r="C176">
        <f ca="1">INDIRECT(CONCATENATE("'Real Input'!",'Real Analysis'!$B$2,A176+2))</f>
        <v>9.8535367800000007</v>
      </c>
      <c r="D176">
        <f t="shared" si="11"/>
        <v>3.0488000003970228E-2</v>
      </c>
      <c r="E176">
        <f ca="1">IF(B176&gt;0,C176-'Real Analysis'!$B$14,0)</f>
        <v>-2.9610223714264805E-3</v>
      </c>
      <c r="F176">
        <f t="shared" ca="1" si="14"/>
        <v>-1.6927210814790102E-2</v>
      </c>
      <c r="G176">
        <f t="shared" ca="1" si="15"/>
        <v>-3.2684645835131837E-2</v>
      </c>
      <c r="H176">
        <f ca="1">IF(AND(B176&gt;'Real Analysis'!$B$31,B176&lt;'Real Analysis'!$B$32),FilterInput(E176,'Real Analysis'!$B$26,'Real Analysis'!$B$27),0)</f>
        <v>0</v>
      </c>
      <c r="I176" t="e">
        <f>MEDIAN2("Real Values",H176,'Real Analysis'!$B$5,2)</f>
        <v>#VALUE!</v>
      </c>
      <c r="J176" t="e">
        <f>AVERAGE2("Real Values",I176,'Real Analysis'!$B$6,2)</f>
        <v>#VALUE!</v>
      </c>
      <c r="K176" t="e">
        <f>INTEGRAL2(J176,$B176,K175,J175,$B175,'Real Analysis'!$B$19)</f>
        <v>#VALUE!</v>
      </c>
      <c r="L176" t="e">
        <f>IF(AND(B176&lt;'Real Analysis'!$B$32,B176&gt;0),INTEGRAL2(K176,$B176,L175,K175,$B175,'Real Analysis'!$B$20),0)</f>
        <v>#VALUE!</v>
      </c>
      <c r="N176">
        <f>'Real Analysis'!$B$28*'Real Input'!U176+IF('Real Input'!U176 &gt; 0,'Real Analysis'!$B$29,0)</f>
        <v>0</v>
      </c>
      <c r="O176" t="e">
        <f t="shared" si="12"/>
        <v>#VALUE!</v>
      </c>
      <c r="P176" t="e">
        <f t="shared" si="13"/>
        <v>#VALUE!</v>
      </c>
    </row>
    <row r="177" spans="1:16" x14ac:dyDescent="0.3">
      <c r="A177">
        <v>175</v>
      </c>
      <c r="B177">
        <f>'Real Input'!M177</f>
        <v>3.5506500000046799</v>
      </c>
      <c r="C177">
        <f ca="1">INDIRECT(CONCATENATE("'Real Input'!",'Real Analysis'!$B$2,A177+2))</f>
        <v>9.8535171600000009</v>
      </c>
      <c r="D177">
        <f t="shared" si="11"/>
        <v>1.9969000000855885E-2</v>
      </c>
      <c r="E177">
        <f ca="1">IF(B177&gt;0,C177-'Real Analysis'!$B$14,0)</f>
        <v>-2.9806423714262564E-3</v>
      </c>
      <c r="F177">
        <f t="shared" ca="1" si="14"/>
        <v>-1.6986731262307663E-2</v>
      </c>
      <c r="G177">
        <f t="shared" ca="1" si="15"/>
        <v>-3.3023853871723401E-2</v>
      </c>
      <c r="H177">
        <f ca="1">IF(AND(B177&gt;'Real Analysis'!$B$31,B177&lt;'Real Analysis'!$B$32),FilterInput(E177,'Real Analysis'!$B$26,'Real Analysis'!$B$27),0)</f>
        <v>0</v>
      </c>
      <c r="I177" t="e">
        <f>MEDIAN2("Real Values",H177,'Real Analysis'!$B$5,2)</f>
        <v>#VALUE!</v>
      </c>
      <c r="J177" t="e">
        <f>AVERAGE2("Real Values",I177,'Real Analysis'!$B$6,2)</f>
        <v>#VALUE!</v>
      </c>
      <c r="K177" t="e">
        <f>INTEGRAL2(J177,$B177,K176,J176,$B176,'Real Analysis'!$B$19)</f>
        <v>#VALUE!</v>
      </c>
      <c r="L177" t="e">
        <f>IF(AND(B177&lt;'Real Analysis'!$B$32,B177&gt;0),INTEGRAL2(K177,$B177,L176,K176,$B176,'Real Analysis'!$B$20),0)</f>
        <v>#VALUE!</v>
      </c>
      <c r="N177">
        <f>'Real Analysis'!$B$28*'Real Input'!U177+IF('Real Input'!U177 &gt; 0,'Real Analysis'!$B$29,0)</f>
        <v>0</v>
      </c>
      <c r="O177" t="e">
        <f t="shared" si="12"/>
        <v>#VALUE!</v>
      </c>
      <c r="P177" t="e">
        <f t="shared" si="13"/>
        <v>#VALUE!</v>
      </c>
    </row>
    <row r="178" spans="1:16" x14ac:dyDescent="0.3">
      <c r="A178">
        <v>176</v>
      </c>
      <c r="B178">
        <f>'Real Input'!M178</f>
        <v>3.5687520000064978</v>
      </c>
      <c r="C178">
        <f ca="1">INDIRECT(CONCATENATE("'Real Input'!",'Real Analysis'!$B$2,A178+2))</f>
        <v>9.8535465900000005</v>
      </c>
      <c r="D178">
        <f t="shared" si="11"/>
        <v>1.8102000001817942E-2</v>
      </c>
      <c r="E178">
        <f ca="1">IF(B178&gt;0,C178-'Real Analysis'!$B$14,0)</f>
        <v>-2.9512123714265925E-3</v>
      </c>
      <c r="F178">
        <f t="shared" ca="1" si="14"/>
        <v>-1.7040154108660593E-2</v>
      </c>
      <c r="G178">
        <f t="shared" ca="1" si="15"/>
        <v>-3.333231474142935E-2</v>
      </c>
      <c r="H178">
        <f ca="1">IF(AND(B178&gt;'Real Analysis'!$B$31,B178&lt;'Real Analysis'!$B$32),FilterInput(E178,'Real Analysis'!$B$26,'Real Analysis'!$B$27),0)</f>
        <v>0</v>
      </c>
      <c r="I178" t="e">
        <f>MEDIAN2("Real Values",H178,'Real Analysis'!$B$5,2)</f>
        <v>#VALUE!</v>
      </c>
      <c r="J178" t="e">
        <f>AVERAGE2("Real Values",I178,'Real Analysis'!$B$6,2)</f>
        <v>#VALUE!</v>
      </c>
      <c r="K178" t="e">
        <f>INTEGRAL2(J178,$B178,K177,J177,$B177,'Real Analysis'!$B$19)</f>
        <v>#VALUE!</v>
      </c>
      <c r="L178" t="e">
        <f>IF(AND(B178&lt;'Real Analysis'!$B$32,B178&gt;0),INTEGRAL2(K178,$B178,L177,K177,$B177,'Real Analysis'!$B$20),0)</f>
        <v>#VALUE!</v>
      </c>
      <c r="N178">
        <f>'Real Analysis'!$B$28*'Real Input'!U178+IF('Real Input'!U178 &gt; 0,'Real Analysis'!$B$29,0)</f>
        <v>0</v>
      </c>
      <c r="O178" t="e">
        <f t="shared" si="12"/>
        <v>#VALUE!</v>
      </c>
      <c r="P178" t="e">
        <f t="shared" si="13"/>
        <v>#VALUE!</v>
      </c>
    </row>
    <row r="179" spans="1:16" x14ac:dyDescent="0.3">
      <c r="A179">
        <v>177</v>
      </c>
      <c r="B179">
        <f>'Real Input'!M179</f>
        <v>3.5910089999961201</v>
      </c>
      <c r="C179">
        <f ca="1">INDIRECT(CONCATENATE("'Real Input'!",'Real Analysis'!$B$2,A179+2))</f>
        <v>9.8535367800000007</v>
      </c>
      <c r="D179">
        <f t="shared" si="11"/>
        <v>2.2256999989622273E-2</v>
      </c>
      <c r="E179">
        <f ca="1">IF(B179&gt;0,C179-'Real Analysis'!$B$14,0)</f>
        <v>-2.9610223714264805E-3</v>
      </c>
      <c r="F179">
        <f t="shared" ca="1" si="14"/>
        <v>-1.7106057583550702E-2</v>
      </c>
      <c r="G179">
        <f t="shared" ca="1" si="15"/>
        <v>-3.3713044264888914E-2</v>
      </c>
      <c r="H179">
        <f ca="1">IF(AND(B179&gt;'Real Analysis'!$B$31,B179&lt;'Real Analysis'!$B$32),FilterInput(E179,'Real Analysis'!$B$26,'Real Analysis'!$B$27),0)</f>
        <v>0</v>
      </c>
      <c r="I179" t="e">
        <f>MEDIAN2("Real Values",H179,'Real Analysis'!$B$5,2)</f>
        <v>#VALUE!</v>
      </c>
      <c r="J179" t="e">
        <f>AVERAGE2("Real Values",I179,'Real Analysis'!$B$6,2)</f>
        <v>#VALUE!</v>
      </c>
      <c r="K179" t="e">
        <f>INTEGRAL2(J179,$B179,K178,J178,$B178,'Real Analysis'!$B$19)</f>
        <v>#VALUE!</v>
      </c>
      <c r="L179" t="e">
        <f>IF(AND(B179&lt;'Real Analysis'!$B$32,B179&gt;0),INTEGRAL2(K179,$B179,L178,K178,$B178,'Real Analysis'!$B$20),0)</f>
        <v>#VALUE!</v>
      </c>
      <c r="N179">
        <f>'Real Analysis'!$B$28*'Real Input'!U179+IF('Real Input'!U179 &gt; 0,'Real Analysis'!$B$29,0)</f>
        <v>0</v>
      </c>
      <c r="O179" t="e">
        <f t="shared" si="12"/>
        <v>#VALUE!</v>
      </c>
      <c r="P179" t="e">
        <f t="shared" si="13"/>
        <v>#VALUE!</v>
      </c>
    </row>
    <row r="180" spans="1:16" x14ac:dyDescent="0.3">
      <c r="A180">
        <v>178</v>
      </c>
      <c r="B180">
        <f>'Real Input'!M180</f>
        <v>3.6056269999971846</v>
      </c>
      <c r="C180">
        <f ca="1">INDIRECT(CONCATENATE("'Real Input'!",'Real Analysis'!$B$2,A180+2))</f>
        <v>9.8535367800000007</v>
      </c>
      <c r="D180">
        <f t="shared" si="11"/>
        <v>1.4618000001064502E-2</v>
      </c>
      <c r="E180">
        <f ca="1">IF(B180&gt;0,C180-'Real Analysis'!$B$14,0)</f>
        <v>-2.9610223714264805E-3</v>
      </c>
      <c r="F180">
        <f t="shared" ca="1" si="14"/>
        <v>-1.7149341808579365E-2</v>
      </c>
      <c r="G180">
        <f t="shared" ca="1" si="15"/>
        <v>-3.3963733343464982E-2</v>
      </c>
      <c r="H180">
        <f ca="1">IF(AND(B180&gt;'Real Analysis'!$B$31,B180&lt;'Real Analysis'!$B$32),FilterInput(E180,'Real Analysis'!$B$26,'Real Analysis'!$B$27),0)</f>
        <v>0</v>
      </c>
      <c r="I180" t="e">
        <f>MEDIAN2("Real Values",H180,'Real Analysis'!$B$5,2)</f>
        <v>#VALUE!</v>
      </c>
      <c r="J180" t="e">
        <f>AVERAGE2("Real Values",I180,'Real Analysis'!$B$6,2)</f>
        <v>#VALUE!</v>
      </c>
      <c r="K180" t="e">
        <f>INTEGRAL2(J180,$B180,K179,J179,$B179,'Real Analysis'!$B$19)</f>
        <v>#VALUE!</v>
      </c>
      <c r="L180" t="e">
        <f>IF(AND(B180&lt;'Real Analysis'!$B$32,B180&gt;0),INTEGRAL2(K180,$B180,L179,K179,$B179,'Real Analysis'!$B$20),0)</f>
        <v>#VALUE!</v>
      </c>
      <c r="N180">
        <f>'Real Analysis'!$B$28*'Real Input'!U180+IF('Real Input'!U180 &gt; 0,'Real Analysis'!$B$29,0)</f>
        <v>0</v>
      </c>
      <c r="O180" t="e">
        <f t="shared" si="12"/>
        <v>#VALUE!</v>
      </c>
      <c r="P180" t="e">
        <f t="shared" si="13"/>
        <v>#VALUE!</v>
      </c>
    </row>
    <row r="181" spans="1:16" x14ac:dyDescent="0.3">
      <c r="A181">
        <v>179</v>
      </c>
      <c r="B181">
        <f>'Real Input'!M181</f>
        <v>3.6308080000017071</v>
      </c>
      <c r="C181">
        <f ca="1">INDIRECT(CONCATENATE("'Real Input'!",'Real Analysis'!$B$2,A181+2))</f>
        <v>9.8535367800000007</v>
      </c>
      <c r="D181">
        <f t="shared" si="11"/>
        <v>2.5181000004522502E-2</v>
      </c>
      <c r="E181">
        <f ca="1">IF(B181&gt;0,C181-'Real Analysis'!$B$14,0)</f>
        <v>-2.9610223714264805E-3</v>
      </c>
      <c r="F181">
        <f t="shared" ca="1" si="14"/>
        <v>-1.7223903312927648E-2</v>
      </c>
      <c r="G181">
        <f t="shared" ca="1" si="15"/>
        <v>-3.4397448452865707E-2</v>
      </c>
      <c r="H181">
        <f ca="1">IF(AND(B181&gt;'Real Analysis'!$B$31,B181&lt;'Real Analysis'!$B$32),FilterInput(E181,'Real Analysis'!$B$26,'Real Analysis'!$B$27),0)</f>
        <v>0</v>
      </c>
      <c r="I181" t="e">
        <f>MEDIAN2("Real Values",H181,'Real Analysis'!$B$5,2)</f>
        <v>#VALUE!</v>
      </c>
      <c r="J181" t="e">
        <f>AVERAGE2("Real Values",I181,'Real Analysis'!$B$6,2)</f>
        <v>#VALUE!</v>
      </c>
      <c r="K181" t="e">
        <f>INTEGRAL2(J181,$B181,K180,J180,$B180,'Real Analysis'!$B$19)</f>
        <v>#VALUE!</v>
      </c>
      <c r="L181" t="e">
        <f>IF(AND(B181&lt;'Real Analysis'!$B$32,B181&gt;0),INTEGRAL2(K181,$B181,L180,K180,$B180,'Real Analysis'!$B$20),0)</f>
        <v>#VALUE!</v>
      </c>
      <c r="N181">
        <f>'Real Analysis'!$B$28*'Real Input'!U181+IF('Real Input'!U181 &gt; 0,'Real Analysis'!$B$29,0)</f>
        <v>0</v>
      </c>
      <c r="O181" t="e">
        <f t="shared" si="12"/>
        <v>#VALUE!</v>
      </c>
      <c r="P181" t="e">
        <f t="shared" si="13"/>
        <v>#VALUE!</v>
      </c>
    </row>
    <row r="182" spans="1:16" x14ac:dyDescent="0.3">
      <c r="A182">
        <v>180</v>
      </c>
      <c r="B182">
        <f>'Real Input'!M182</f>
        <v>3.6516960000008112</v>
      </c>
      <c r="C182">
        <f ca="1">INDIRECT(CONCATENATE("'Real Input'!",'Real Analysis'!$B$2,A182+2))</f>
        <v>9.8535564000000004</v>
      </c>
      <c r="D182">
        <f t="shared" si="11"/>
        <v>2.0887999999104068E-2</v>
      </c>
      <c r="E182">
        <f ca="1">IF(B182&gt;0,C182-'Real Analysis'!$B$14,0)</f>
        <v>-2.9414023714267046E-3</v>
      </c>
      <c r="F182">
        <f t="shared" ca="1" si="14"/>
        <v>-1.7285343325659373E-2</v>
      </c>
      <c r="G182">
        <f t="shared" ca="1" si="15"/>
        <v>-3.4758504704236595E-2</v>
      </c>
      <c r="H182">
        <f ca="1">IF(AND(B182&gt;'Real Analysis'!$B$31,B182&lt;'Real Analysis'!$B$32),FilterInput(E182,'Real Analysis'!$B$26,'Real Analysis'!$B$27),0)</f>
        <v>0</v>
      </c>
      <c r="I182" t="e">
        <f>MEDIAN2("Real Values",H182,'Real Analysis'!$B$5,2)</f>
        <v>#VALUE!</v>
      </c>
      <c r="J182" t="e">
        <f>AVERAGE2("Real Values",I182,'Real Analysis'!$B$6,2)</f>
        <v>#VALUE!</v>
      </c>
      <c r="K182" t="e">
        <f>INTEGRAL2(J182,$B182,K181,J181,$B181,'Real Analysis'!$B$19)</f>
        <v>#VALUE!</v>
      </c>
      <c r="L182" t="e">
        <f>IF(AND(B182&lt;'Real Analysis'!$B$32,B182&gt;0),INTEGRAL2(K182,$B182,L181,K181,$B181,'Real Analysis'!$B$20),0)</f>
        <v>#VALUE!</v>
      </c>
      <c r="N182">
        <f>'Real Analysis'!$B$28*'Real Input'!U182+IF('Real Input'!U182 &gt; 0,'Real Analysis'!$B$29,0)</f>
        <v>0</v>
      </c>
      <c r="O182" t="e">
        <f t="shared" si="12"/>
        <v>#VALUE!</v>
      </c>
      <c r="P182" t="e">
        <f t="shared" si="13"/>
        <v>#VALUE!</v>
      </c>
    </row>
    <row r="183" spans="1:16" x14ac:dyDescent="0.3">
      <c r="A183">
        <v>181</v>
      </c>
      <c r="B183">
        <f>'Real Input'!M183</f>
        <v>3.667555000007269</v>
      </c>
      <c r="C183">
        <f ca="1">INDIRECT(CONCATENATE("'Real Input'!",'Real Analysis'!$B$2,A183+2))</f>
        <v>9.8535171600000009</v>
      </c>
      <c r="D183">
        <f t="shared" si="11"/>
        <v>1.5859000006457791E-2</v>
      </c>
      <c r="E183">
        <f ca="1">IF(B183&gt;0,C183-'Real Analysis'!$B$14,0)</f>
        <v>-2.9806423714262564E-3</v>
      </c>
      <c r="F183">
        <f t="shared" ca="1" si="14"/>
        <v>-1.7332613333047069E-2</v>
      </c>
      <c r="G183">
        <f t="shared" ca="1" si="15"/>
        <v>-3.503338261919732E-2</v>
      </c>
      <c r="H183">
        <f ca="1">IF(AND(B183&gt;'Real Analysis'!$B$31,B183&lt;'Real Analysis'!$B$32),FilterInput(E183,'Real Analysis'!$B$26,'Real Analysis'!$B$27),0)</f>
        <v>0</v>
      </c>
      <c r="I183" t="e">
        <f>MEDIAN2("Real Values",H183,'Real Analysis'!$B$5,2)</f>
        <v>#VALUE!</v>
      </c>
      <c r="J183" t="e">
        <f>AVERAGE2("Real Values",I183,'Real Analysis'!$B$6,2)</f>
        <v>#VALUE!</v>
      </c>
      <c r="K183" t="e">
        <f>INTEGRAL2(J183,$B183,K182,J182,$B182,'Real Analysis'!$B$19)</f>
        <v>#VALUE!</v>
      </c>
      <c r="L183" t="e">
        <f>IF(AND(B183&lt;'Real Analysis'!$B$32,B183&gt;0),INTEGRAL2(K183,$B183,L182,K182,$B182,'Real Analysis'!$B$20),0)</f>
        <v>#VALUE!</v>
      </c>
      <c r="N183">
        <f>'Real Analysis'!$B$28*'Real Input'!U183+IF('Real Input'!U183 &gt; 0,'Real Analysis'!$B$29,0)</f>
        <v>0</v>
      </c>
      <c r="O183" t="e">
        <f t="shared" si="12"/>
        <v>#VALUE!</v>
      </c>
      <c r="P183" t="e">
        <f t="shared" si="13"/>
        <v>#VALUE!</v>
      </c>
    </row>
    <row r="184" spans="1:16" x14ac:dyDescent="0.3">
      <c r="A184">
        <v>182</v>
      </c>
      <c r="B184">
        <f>'Real Input'!M184</f>
        <v>3.6924319999961881</v>
      </c>
      <c r="C184">
        <f ca="1">INDIRECT(CONCATENATE("'Real Input'!",'Real Analysis'!$B$2,A184+2))</f>
        <v>9.8507507400000005</v>
      </c>
      <c r="D184">
        <f t="shared" si="11"/>
        <v>2.4876999988919124E-2</v>
      </c>
      <c r="E184">
        <f ca="1">IF(B184&gt;0,C184-'Real Analysis'!$B$14,0)</f>
        <v>-5.7470623714266367E-3</v>
      </c>
      <c r="F184">
        <f t="shared" ca="1" si="14"/>
        <v>-1.7475583003597368E-2</v>
      </c>
      <c r="G184">
        <f t="shared" ca="1" si="15"/>
        <v>-3.5468122697384169E-2</v>
      </c>
      <c r="H184">
        <f ca="1">IF(AND(B184&gt;'Real Analysis'!$B$31,B184&lt;'Real Analysis'!$B$32),FilterInput(E184,'Real Analysis'!$B$26,'Real Analysis'!$B$27),0)</f>
        <v>0</v>
      </c>
      <c r="I184" t="e">
        <f>MEDIAN2("Real Values",H184,'Real Analysis'!$B$5,2)</f>
        <v>#VALUE!</v>
      </c>
      <c r="J184" t="e">
        <f>AVERAGE2("Real Values",I184,'Real Analysis'!$B$6,2)</f>
        <v>#VALUE!</v>
      </c>
      <c r="K184" t="e">
        <f>INTEGRAL2(J184,$B184,K183,J183,$B183,'Real Analysis'!$B$19)</f>
        <v>#VALUE!</v>
      </c>
      <c r="L184" t="e">
        <f>IF(AND(B184&lt;'Real Analysis'!$B$32,B184&gt;0),INTEGRAL2(K184,$B184,L183,K183,$B183,'Real Analysis'!$B$20),0)</f>
        <v>#VALUE!</v>
      </c>
      <c r="N184">
        <f>'Real Analysis'!$B$28*'Real Input'!U184+IF('Real Input'!U184 &gt; 0,'Real Analysis'!$B$29,0)</f>
        <v>0</v>
      </c>
      <c r="O184" t="e">
        <f t="shared" si="12"/>
        <v>#VALUE!</v>
      </c>
      <c r="P184" t="e">
        <f t="shared" si="13"/>
        <v>#VALUE!</v>
      </c>
    </row>
    <row r="185" spans="1:16" x14ac:dyDescent="0.3">
      <c r="A185">
        <v>183</v>
      </c>
      <c r="B185">
        <f>'Real Input'!M185</f>
        <v>3.7116790000000037</v>
      </c>
      <c r="C185">
        <f ca="1">INDIRECT(CONCATENATE("'Real Input'!",'Real Analysis'!$B$2,A185+2))</f>
        <v>9.8501523300000002</v>
      </c>
      <c r="D185">
        <f t="shared" si="11"/>
        <v>1.9247000003815629E-2</v>
      </c>
      <c r="E185">
        <f ca="1">IF(B185&gt;0,C185-'Real Analysis'!$B$14,0)</f>
        <v>-6.3454723714269079E-3</v>
      </c>
      <c r="F185">
        <f t="shared" ca="1" si="14"/>
        <v>-1.7597714310354434E-2</v>
      </c>
      <c r="G185">
        <f t="shared" ca="1" si="15"/>
        <v>-3.5806825904782708E-2</v>
      </c>
      <c r="H185">
        <f ca="1">IF(AND(B185&gt;'Real Analysis'!$B$31,B185&lt;'Real Analysis'!$B$32),FilterInput(E185,'Real Analysis'!$B$26,'Real Analysis'!$B$27),0)</f>
        <v>0</v>
      </c>
      <c r="I185" t="e">
        <f>MEDIAN2("Real Values",H185,'Real Analysis'!$B$5,2)</f>
        <v>#VALUE!</v>
      </c>
      <c r="J185" t="e">
        <f>AVERAGE2("Real Values",I185,'Real Analysis'!$B$6,2)</f>
        <v>#VALUE!</v>
      </c>
      <c r="K185" t="e">
        <f>INTEGRAL2(J185,$B185,K184,J184,$B184,'Real Analysis'!$B$19)</f>
        <v>#VALUE!</v>
      </c>
      <c r="L185" t="e">
        <f>IF(AND(B185&lt;'Real Analysis'!$B$32,B185&gt;0),INTEGRAL2(K185,$B185,L184,K184,$B184,'Real Analysis'!$B$20),0)</f>
        <v>#VALUE!</v>
      </c>
      <c r="N185">
        <f>'Real Analysis'!$B$28*'Real Input'!U185+IF('Real Input'!U185 &gt; 0,'Real Analysis'!$B$29,0)</f>
        <v>0</v>
      </c>
      <c r="O185" t="e">
        <f t="shared" si="12"/>
        <v>#VALUE!</v>
      </c>
      <c r="P185" t="e">
        <f t="shared" si="13"/>
        <v>#VALUE!</v>
      </c>
    </row>
    <row r="186" spans="1:16" x14ac:dyDescent="0.3">
      <c r="A186">
        <v>184</v>
      </c>
      <c r="B186">
        <f>'Real Input'!M186</f>
        <v>3.7264719999948284</v>
      </c>
      <c r="C186">
        <f ca="1">INDIRECT(CONCATENATE("'Real Input'!",'Real Analysis'!$B$2,A186+2))</f>
        <v>9.8523792000000014</v>
      </c>
      <c r="D186">
        <f t="shared" si="11"/>
        <v>1.479299999482464E-2</v>
      </c>
      <c r="E186">
        <f ca="1">IF(B186&gt;0,C186-'Real Analysis'!$B$14,0)</f>
        <v>-4.1186023714256947E-3</v>
      </c>
      <c r="F186">
        <f t="shared" ca="1" si="14"/>
        <v>-1.7658640795213617E-2</v>
      </c>
      <c r="G186">
        <f t="shared" ca="1" si="15"/>
        <v>-3.606805017797491E-2</v>
      </c>
      <c r="H186">
        <f ca="1">IF(AND(B186&gt;'Real Analysis'!$B$31,B186&lt;'Real Analysis'!$B$32),FilterInput(E186,'Real Analysis'!$B$26,'Real Analysis'!$B$27),0)</f>
        <v>0</v>
      </c>
      <c r="I186" t="e">
        <f>MEDIAN2("Real Values",H186,'Real Analysis'!$B$5,2)</f>
        <v>#VALUE!</v>
      </c>
      <c r="J186" t="e">
        <f>AVERAGE2("Real Values",I186,'Real Analysis'!$B$6,2)</f>
        <v>#VALUE!</v>
      </c>
      <c r="K186" t="e">
        <f>INTEGRAL2(J186,$B186,K185,J185,$B185,'Real Analysis'!$B$19)</f>
        <v>#VALUE!</v>
      </c>
      <c r="L186" t="e">
        <f>IF(AND(B186&lt;'Real Analysis'!$B$32,B186&gt;0),INTEGRAL2(K186,$B186,L185,K185,$B185,'Real Analysis'!$B$20),0)</f>
        <v>#VALUE!</v>
      </c>
      <c r="N186">
        <f>'Real Analysis'!$B$28*'Real Input'!U186+IF('Real Input'!U186 &gt; 0,'Real Analysis'!$B$29,0)</f>
        <v>0</v>
      </c>
      <c r="O186" t="e">
        <f t="shared" si="12"/>
        <v>#VALUE!</v>
      </c>
      <c r="P186" t="e">
        <f t="shared" si="13"/>
        <v>#VALUE!</v>
      </c>
    </row>
    <row r="187" spans="1:16" x14ac:dyDescent="0.3">
      <c r="A187">
        <v>185</v>
      </c>
      <c r="B187">
        <f>'Real Input'!M187</f>
        <v>3.7474039999942761</v>
      </c>
      <c r="C187">
        <f ca="1">INDIRECT(CONCATENATE("'Real Input'!",'Real Analysis'!$B$2,A187+2))</f>
        <v>9.8540567100000001</v>
      </c>
      <c r="D187">
        <f t="shared" si="11"/>
        <v>2.0931999999447726E-2</v>
      </c>
      <c r="E187">
        <f ca="1">IF(B187&gt;0,C187-'Real Analysis'!$B$14,0)</f>
        <v>-2.4410923714270893E-3</v>
      </c>
      <c r="F187">
        <f t="shared" ca="1" si="14"/>
        <v>-1.770973774073098E-2</v>
      </c>
      <c r="G187">
        <f t="shared" ca="1" si="15"/>
        <v>-3.6438750408354113E-2</v>
      </c>
      <c r="H187">
        <f ca="1">IF(AND(B187&gt;'Real Analysis'!$B$31,B187&lt;'Real Analysis'!$B$32),FilterInput(E187,'Real Analysis'!$B$26,'Real Analysis'!$B$27),0)</f>
        <v>0</v>
      </c>
      <c r="I187" t="e">
        <f>MEDIAN2("Real Values",H187,'Real Analysis'!$B$5,2)</f>
        <v>#VALUE!</v>
      </c>
      <c r="J187" t="e">
        <f>AVERAGE2("Real Values",I187,'Real Analysis'!$B$6,2)</f>
        <v>#VALUE!</v>
      </c>
      <c r="K187" t="e">
        <f>INTEGRAL2(J187,$B187,K186,J186,$B186,'Real Analysis'!$B$19)</f>
        <v>#VALUE!</v>
      </c>
      <c r="L187" t="e">
        <f>IF(AND(B187&lt;'Real Analysis'!$B$32,B187&gt;0),INTEGRAL2(K187,$B187,L186,K186,$B186,'Real Analysis'!$B$20),0)</f>
        <v>#VALUE!</v>
      </c>
      <c r="N187">
        <f>'Real Analysis'!$B$28*'Real Input'!U187+IF('Real Input'!U187 &gt; 0,'Real Analysis'!$B$29,0)</f>
        <v>0</v>
      </c>
      <c r="O187" t="e">
        <f t="shared" si="12"/>
        <v>#VALUE!</v>
      </c>
      <c r="P187" t="e">
        <f t="shared" si="13"/>
        <v>#VALUE!</v>
      </c>
    </row>
    <row r="188" spans="1:16" x14ac:dyDescent="0.3">
      <c r="A188">
        <v>186</v>
      </c>
      <c r="B188">
        <f>'Real Input'!M188</f>
        <v>3.7724869999947259</v>
      </c>
      <c r="C188">
        <f ca="1">INDIRECT(CONCATENATE("'Real Input'!",'Real Analysis'!$B$2,A188+2))</f>
        <v>9.8536839300000008</v>
      </c>
      <c r="D188">
        <f t="shared" si="11"/>
        <v>2.5083000000449829E-2</v>
      </c>
      <c r="E188">
        <f ca="1">IF(B188&gt;0,C188-'Real Analysis'!$B$14,0)</f>
        <v>-2.8138723714263847E-3</v>
      </c>
      <c r="F188">
        <f t="shared" ca="1" si="14"/>
        <v>-1.7780318101424733E-2</v>
      </c>
      <c r="G188">
        <f t="shared" ca="1" si="15"/>
        <v>-3.6884734127300145E-2</v>
      </c>
      <c r="H188">
        <f ca="1">IF(AND(B188&gt;'Real Analysis'!$B$31,B188&lt;'Real Analysis'!$B$32),FilterInput(E188,'Real Analysis'!$B$26,'Real Analysis'!$B$27),0)</f>
        <v>0</v>
      </c>
      <c r="I188" t="e">
        <f>MEDIAN2("Real Values",H188,'Real Analysis'!$B$5,2)</f>
        <v>#VALUE!</v>
      </c>
      <c r="J188" t="e">
        <f>AVERAGE2("Real Values",I188,'Real Analysis'!$B$6,2)</f>
        <v>#VALUE!</v>
      </c>
      <c r="K188" t="e">
        <f>INTEGRAL2(J188,$B188,K187,J187,$B187,'Real Analysis'!$B$19)</f>
        <v>#VALUE!</v>
      </c>
      <c r="L188" t="e">
        <f>IF(AND(B188&lt;'Real Analysis'!$B$32,B188&gt;0),INTEGRAL2(K188,$B188,L187,K187,$B187,'Real Analysis'!$B$20),0)</f>
        <v>#VALUE!</v>
      </c>
      <c r="N188">
        <f>'Real Analysis'!$B$28*'Real Input'!U188+IF('Real Input'!U188 &gt; 0,'Real Analysis'!$B$29,0)</f>
        <v>0</v>
      </c>
      <c r="O188" t="e">
        <f t="shared" si="12"/>
        <v>#VALUE!</v>
      </c>
      <c r="P188" t="e">
        <f t="shared" si="13"/>
        <v>#VALUE!</v>
      </c>
    </row>
    <row r="189" spans="1:16" x14ac:dyDescent="0.3">
      <c r="A189">
        <v>187</v>
      </c>
      <c r="B189">
        <f>'Real Input'!M189</f>
        <v>3.7934470000036526</v>
      </c>
      <c r="C189">
        <f ca="1">INDIRECT(CONCATENATE("'Real Input'!",'Real Analysis'!$B$2,A189+2))</f>
        <v>9.8536152599999998</v>
      </c>
      <c r="D189">
        <f t="shared" si="11"/>
        <v>2.0960000008926727E-2</v>
      </c>
      <c r="E189">
        <f ca="1">IF(B189&gt;0,C189-'Real Analysis'!$B$14,0)</f>
        <v>-2.8825423714273768E-3</v>
      </c>
      <c r="F189">
        <f t="shared" ca="1" si="14"/>
        <v>-1.7840736189555582E-2</v>
      </c>
      <c r="G189">
        <f t="shared" ca="1" si="15"/>
        <v>-3.7258675957992489E-2</v>
      </c>
      <c r="H189">
        <f ca="1">IF(AND(B189&gt;'Real Analysis'!$B$31,B189&lt;'Real Analysis'!$B$32),FilterInput(E189,'Real Analysis'!$B$26,'Real Analysis'!$B$27),0)</f>
        <v>0</v>
      </c>
      <c r="I189" t="e">
        <f>MEDIAN2("Real Values",H189,'Real Analysis'!$B$5,2)</f>
        <v>#VALUE!</v>
      </c>
      <c r="J189" t="e">
        <f>AVERAGE2("Real Values",I189,'Real Analysis'!$B$6,2)</f>
        <v>#VALUE!</v>
      </c>
      <c r="K189" t="e">
        <f>INTEGRAL2(J189,$B189,K188,J188,$B188,'Real Analysis'!$B$19)</f>
        <v>#VALUE!</v>
      </c>
      <c r="L189" t="e">
        <f>IF(AND(B189&lt;'Real Analysis'!$B$32,B189&gt;0),INTEGRAL2(K189,$B189,L188,K188,$B188,'Real Analysis'!$B$20),0)</f>
        <v>#VALUE!</v>
      </c>
      <c r="N189">
        <f>'Real Analysis'!$B$28*'Real Input'!U189+IF('Real Input'!U189 &gt; 0,'Real Analysis'!$B$29,0)</f>
        <v>0</v>
      </c>
      <c r="O189" t="e">
        <f t="shared" si="12"/>
        <v>#VALUE!</v>
      </c>
      <c r="P189" t="e">
        <f t="shared" si="13"/>
        <v>#VALUE!</v>
      </c>
    </row>
    <row r="190" spans="1:16" x14ac:dyDescent="0.3">
      <c r="A190">
        <v>188</v>
      </c>
      <c r="B190">
        <f>'Real Input'!M190</f>
        <v>3.8076810000056867</v>
      </c>
      <c r="C190">
        <f ca="1">INDIRECT(CONCATENATE("'Real Input'!",'Real Analysis'!$B$2,A190+2))</f>
        <v>9.8376936300000004</v>
      </c>
      <c r="D190">
        <f t="shared" si="11"/>
        <v>1.4234000002034009E-2</v>
      </c>
      <c r="E190">
        <f ca="1">IF(B190&gt;0,C190-'Real Analysis'!$B$14,0)</f>
        <v>-1.8804172371426731E-2</v>
      </c>
      <c r="F190">
        <f t="shared" ca="1" si="14"/>
        <v>-1.810839477912872E-2</v>
      </c>
      <c r="G190">
        <f t="shared" ca="1" si="15"/>
        <v>-3.7516430849315441E-2</v>
      </c>
      <c r="H190">
        <f ca="1">IF(AND(B190&gt;'Real Analysis'!$B$31,B190&lt;'Real Analysis'!$B$32),FilterInput(E190,'Real Analysis'!$B$26,'Real Analysis'!$B$27),0)</f>
        <v>0</v>
      </c>
      <c r="I190" t="e">
        <f>MEDIAN2("Real Values",H190,'Real Analysis'!$B$5,2)</f>
        <v>#VALUE!</v>
      </c>
      <c r="J190" t="e">
        <f>AVERAGE2("Real Values",I190,'Real Analysis'!$B$6,2)</f>
        <v>#VALUE!</v>
      </c>
      <c r="K190" t="e">
        <f>INTEGRAL2(J190,$B190,K189,J189,$B189,'Real Analysis'!$B$19)</f>
        <v>#VALUE!</v>
      </c>
      <c r="L190" t="e">
        <f>IF(AND(B190&lt;'Real Analysis'!$B$32,B190&gt;0),INTEGRAL2(K190,$B190,L189,K189,$B189,'Real Analysis'!$B$20),0)</f>
        <v>#VALUE!</v>
      </c>
      <c r="N190">
        <f>'Real Analysis'!$B$28*'Real Input'!U190+IF('Real Input'!U190 &gt; 0,'Real Analysis'!$B$29,0)</f>
        <v>0</v>
      </c>
      <c r="O190" t="e">
        <f t="shared" si="12"/>
        <v>#VALUE!</v>
      </c>
      <c r="P190" t="e">
        <f t="shared" si="13"/>
        <v>#VALUE!</v>
      </c>
    </row>
    <row r="191" spans="1:16" x14ac:dyDescent="0.3">
      <c r="A191">
        <v>189</v>
      </c>
      <c r="B191">
        <f>'Real Input'!M191</f>
        <v>3.832116000005044</v>
      </c>
      <c r="C191">
        <f ca="1">INDIRECT(CONCATENATE("'Real Input'!",'Real Analysis'!$B$2,A191+2))</f>
        <v>9.7660806300000012</v>
      </c>
      <c r="D191">
        <f t="shared" si="11"/>
        <v>2.4434999999357387E-2</v>
      </c>
      <c r="E191">
        <f ca="1">IF(B191&gt;0,C191-'Real Analysis'!$B$14,0)</f>
        <v>-9.0417172371425991E-2</v>
      </c>
      <c r="F191">
        <f t="shared" ca="1" si="14"/>
        <v>-2.031773838596641E-2</v>
      </c>
      <c r="G191">
        <f t="shared" ca="1" si="15"/>
        <v>-3.8012894786763472E-2</v>
      </c>
      <c r="H191">
        <f ca="1">IF(AND(B191&gt;'Real Analysis'!$B$31,B191&lt;'Real Analysis'!$B$32),FilterInput(E191,'Real Analysis'!$B$26,'Real Analysis'!$B$27),0)</f>
        <v>0</v>
      </c>
      <c r="I191" t="e">
        <f>MEDIAN2("Real Values",H191,'Real Analysis'!$B$5,2)</f>
        <v>#VALUE!</v>
      </c>
      <c r="J191" t="e">
        <f>AVERAGE2("Real Values",I191,'Real Analysis'!$B$6,2)</f>
        <v>#VALUE!</v>
      </c>
      <c r="K191" t="e">
        <f>INTEGRAL2(J191,$B191,K190,J190,$B190,'Real Analysis'!$B$19)</f>
        <v>#VALUE!</v>
      </c>
      <c r="L191" t="e">
        <f>IF(AND(B191&lt;'Real Analysis'!$B$32,B191&gt;0),INTEGRAL2(K191,$B191,L190,K190,$B190,'Real Analysis'!$B$20),0)</f>
        <v>#VALUE!</v>
      </c>
      <c r="N191">
        <f>'Real Analysis'!$B$28*'Real Input'!U191+IF('Real Input'!U191 &gt; 0,'Real Analysis'!$B$29,0)</f>
        <v>0</v>
      </c>
      <c r="O191" t="e">
        <f t="shared" si="12"/>
        <v>#VALUE!</v>
      </c>
      <c r="P191" t="e">
        <f t="shared" si="13"/>
        <v>#VALUE!</v>
      </c>
    </row>
    <row r="192" spans="1:16" x14ac:dyDescent="0.3">
      <c r="A192">
        <v>190</v>
      </c>
      <c r="B192">
        <f>'Real Input'!M192</f>
        <v>3.842545000006794</v>
      </c>
      <c r="C192">
        <f ca="1">INDIRECT(CONCATENATE("'Real Input'!",'Real Analysis'!$B$2,A192+2))</f>
        <v>9.8072924399999994</v>
      </c>
      <c r="D192">
        <f t="shared" si="11"/>
        <v>1.0429000001749955E-2</v>
      </c>
      <c r="E192">
        <f ca="1">IF(B192&gt;0,C192-'Real Analysis'!$B$14,0)</f>
        <v>-4.9205362371427697E-2</v>
      </c>
      <c r="F192">
        <f t="shared" ca="1" si="14"/>
        <v>-2.0830901110224138E-2</v>
      </c>
      <c r="G192">
        <f t="shared" ca="1" si="15"/>
        <v>-3.8230140254478455E-2</v>
      </c>
      <c r="H192">
        <f ca="1">IF(AND(B192&gt;'Real Analysis'!$B$31,B192&lt;'Real Analysis'!$B$32),FilterInput(E192,'Real Analysis'!$B$26,'Real Analysis'!$B$27),0)</f>
        <v>0</v>
      </c>
      <c r="I192" t="e">
        <f>MEDIAN2("Real Values",H192,'Real Analysis'!$B$5,2)</f>
        <v>#VALUE!</v>
      </c>
      <c r="J192" t="e">
        <f>AVERAGE2("Real Values",I192,'Real Analysis'!$B$6,2)</f>
        <v>#VALUE!</v>
      </c>
      <c r="K192" t="e">
        <f>INTEGRAL2(J192,$B192,K191,J191,$B191,'Real Analysis'!$B$19)</f>
        <v>#VALUE!</v>
      </c>
      <c r="L192" t="e">
        <f>IF(AND(B192&lt;'Real Analysis'!$B$32,B192&gt;0),INTEGRAL2(K192,$B192,L191,K191,$B191,'Real Analysis'!$B$20),0)</f>
        <v>#VALUE!</v>
      </c>
      <c r="N192">
        <f>'Real Analysis'!$B$28*'Real Input'!U192+IF('Real Input'!U192 &gt; 0,'Real Analysis'!$B$29,0)</f>
        <v>0</v>
      </c>
      <c r="O192" t="e">
        <f t="shared" si="12"/>
        <v>#VALUE!</v>
      </c>
      <c r="P192" t="e">
        <f t="shared" si="13"/>
        <v>#VALUE!</v>
      </c>
    </row>
    <row r="193" spans="1:16" x14ac:dyDescent="0.3">
      <c r="A193">
        <v>191</v>
      </c>
      <c r="B193">
        <f>'Real Input'!M193</f>
        <v>3.871406999998726</v>
      </c>
      <c r="C193">
        <f ca="1">INDIRECT(CONCATENATE("'Real Input'!",'Real Analysis'!$B$2,A193+2))</f>
        <v>9.84504132</v>
      </c>
      <c r="D193">
        <f t="shared" si="11"/>
        <v>2.8861999991931953E-2</v>
      </c>
      <c r="E193">
        <f ca="1">IF(B193&gt;0,C193-'Real Analysis'!$B$14,0)</f>
        <v>-1.1456482371427157E-2</v>
      </c>
      <c r="F193">
        <f t="shared" ca="1" si="14"/>
        <v>-2.1161558104335836E-2</v>
      </c>
      <c r="G193">
        <f t="shared" ca="1" si="15"/>
        <v>-3.8840905144315062E-2</v>
      </c>
      <c r="H193">
        <f ca="1">IF(AND(B193&gt;'Real Analysis'!$B$31,B193&lt;'Real Analysis'!$B$32),FilterInput(E193,'Real Analysis'!$B$26,'Real Analysis'!$B$27),0)</f>
        <v>0</v>
      </c>
      <c r="I193" t="e">
        <f>MEDIAN2("Real Values",H193,'Real Analysis'!$B$5,2)</f>
        <v>#VALUE!</v>
      </c>
      <c r="J193" t="e">
        <f>AVERAGE2("Real Values",I193,'Real Analysis'!$B$6,2)</f>
        <v>#VALUE!</v>
      </c>
      <c r="K193" t="e">
        <f>INTEGRAL2(J193,$B193,K192,J192,$B192,'Real Analysis'!$B$19)</f>
        <v>#VALUE!</v>
      </c>
      <c r="L193" t="e">
        <f>IF(AND(B193&lt;'Real Analysis'!$B$32,B193&gt;0),INTEGRAL2(K193,$B193,L192,K192,$B192,'Real Analysis'!$B$20),0)</f>
        <v>#VALUE!</v>
      </c>
      <c r="N193">
        <f>'Real Analysis'!$B$28*'Real Input'!U193+IF('Real Input'!U193 &gt; 0,'Real Analysis'!$B$29,0)</f>
        <v>0</v>
      </c>
      <c r="O193" t="e">
        <f t="shared" si="12"/>
        <v>#VALUE!</v>
      </c>
      <c r="P193" t="e">
        <f t="shared" si="13"/>
        <v>#VALUE!</v>
      </c>
    </row>
    <row r="194" spans="1:16" x14ac:dyDescent="0.3">
      <c r="A194">
        <v>192</v>
      </c>
      <c r="B194">
        <f>'Real Input'!M194</f>
        <v>3.8925960000051418</v>
      </c>
      <c r="C194">
        <f ca="1">INDIRECT(CONCATENATE("'Real Input'!",'Real Analysis'!$B$2,A194+2))</f>
        <v>9.7984928700000005</v>
      </c>
      <c r="D194">
        <f t="shared" si="11"/>
        <v>2.1189000006415881E-2</v>
      </c>
      <c r="E194">
        <f ca="1">IF(B194&gt;0,C194-'Real Analysis'!$B$14,0)</f>
        <v>-5.8004932371426676E-2</v>
      </c>
      <c r="F194">
        <f t="shared" ca="1" si="14"/>
        <v>-2.2390624616726147E-2</v>
      </c>
      <c r="G194">
        <f t="shared" ca="1" si="15"/>
        <v>-3.9315340089462525E-2</v>
      </c>
      <c r="H194">
        <f ca="1">IF(AND(B194&gt;'Real Analysis'!$B$31,B194&lt;'Real Analysis'!$B$32),FilterInput(E194,'Real Analysis'!$B$26,'Real Analysis'!$B$27),0)</f>
        <v>0</v>
      </c>
      <c r="I194" t="e">
        <f>MEDIAN2("Real Values",H194,'Real Analysis'!$B$5,2)</f>
        <v>#VALUE!</v>
      </c>
      <c r="J194" t="e">
        <f>AVERAGE2("Real Values",I194,'Real Analysis'!$B$6,2)</f>
        <v>#VALUE!</v>
      </c>
      <c r="K194" t="e">
        <f>INTEGRAL2(J194,$B194,K193,J193,$B193,'Real Analysis'!$B$19)</f>
        <v>#VALUE!</v>
      </c>
      <c r="L194" t="e">
        <f>IF(AND(B194&lt;'Real Analysis'!$B$32,B194&gt;0),INTEGRAL2(K194,$B194,L193,K193,$B193,'Real Analysis'!$B$20),0)</f>
        <v>#VALUE!</v>
      </c>
      <c r="N194">
        <f>'Real Analysis'!$B$28*'Real Input'!U194+IF('Real Input'!U194 &gt; 0,'Real Analysis'!$B$29,0)</f>
        <v>0</v>
      </c>
      <c r="O194" t="e">
        <f t="shared" si="12"/>
        <v>#VALUE!</v>
      </c>
      <c r="P194" t="e">
        <f t="shared" si="13"/>
        <v>#VALUE!</v>
      </c>
    </row>
    <row r="195" spans="1:16" x14ac:dyDescent="0.3">
      <c r="A195">
        <v>193</v>
      </c>
      <c r="B195">
        <f>'Real Input'!M195</f>
        <v>3.9126749999995809</v>
      </c>
      <c r="C195">
        <f ca="1">INDIRECT(CONCATENATE("'Real Input'!",'Real Analysis'!$B$2,A195+2))</f>
        <v>9.86028606</v>
      </c>
      <c r="D195">
        <f t="shared" ref="D195:D258" si="16">B195-B194</f>
        <v>2.0078999994439073E-2</v>
      </c>
      <c r="E195">
        <f ca="1">IF(B195&gt;0,C195-'Real Analysis'!$B$14,0)</f>
        <v>3.788257628572822E-3</v>
      </c>
      <c r="F195">
        <f t="shared" ca="1" si="14"/>
        <v>-2.23145601918231E-2</v>
      </c>
      <c r="G195">
        <f t="shared" ca="1" si="15"/>
        <v>-3.9763394143430053E-2</v>
      </c>
      <c r="H195">
        <f ca="1">IF(AND(B195&gt;'Real Analysis'!$B$31,B195&lt;'Real Analysis'!$B$32),FilterInput(E195,'Real Analysis'!$B$26,'Real Analysis'!$B$27),0)</f>
        <v>0</v>
      </c>
      <c r="I195" t="e">
        <f>MEDIAN2("Real Values",H195,'Real Analysis'!$B$5,2)</f>
        <v>#VALUE!</v>
      </c>
      <c r="J195" t="e">
        <f>AVERAGE2("Real Values",I195,'Real Analysis'!$B$6,2)</f>
        <v>#VALUE!</v>
      </c>
      <c r="K195" t="e">
        <f>INTEGRAL2(J195,$B195,K194,J194,$B194,'Real Analysis'!$B$19)</f>
        <v>#VALUE!</v>
      </c>
      <c r="L195" t="e">
        <f>IF(AND(B195&lt;'Real Analysis'!$B$32,B195&gt;0),INTEGRAL2(K195,$B195,L194,K194,$B194,'Real Analysis'!$B$20),0)</f>
        <v>#VALUE!</v>
      </c>
      <c r="N195">
        <f>'Real Analysis'!$B$28*'Real Input'!U195+IF('Real Input'!U195 &gt; 0,'Real Analysis'!$B$29,0)</f>
        <v>0</v>
      </c>
      <c r="O195" t="e">
        <f t="shared" ref="O195:O258" si="17">_xlfn.COVARIANCE.P($L$102:$L$1200,N195:N1293)</f>
        <v>#VALUE!</v>
      </c>
      <c r="P195" t="e">
        <f t="shared" ref="P195:P258" si="18">N195-L195</f>
        <v>#VALUE!</v>
      </c>
    </row>
    <row r="196" spans="1:16" x14ac:dyDescent="0.3">
      <c r="A196">
        <v>194</v>
      </c>
      <c r="B196">
        <f>'Real Input'!M196</f>
        <v>3.9245519999967655</v>
      </c>
      <c r="C196">
        <f ca="1">INDIRECT(CONCATENATE("'Real Input'!",'Real Analysis'!$B$2,A196+2))</f>
        <v>9.8475232500000001</v>
      </c>
      <c r="D196">
        <f t="shared" si="16"/>
        <v>1.1876999997184612E-2</v>
      </c>
      <c r="E196">
        <f ca="1">IF(B196&gt;0,C196-'Real Analysis'!$B$14,0)</f>
        <v>-8.9745523714270803E-3</v>
      </c>
      <c r="F196">
        <f t="shared" ref="F196:F259" ca="1" si="19">IF(B196&gt;0,F195+E196*$D196,0)</f>
        <v>-2.2421150950313273E-2</v>
      </c>
      <c r="G196">
        <f t="shared" ca="1" si="15"/>
        <v>-4.0029690153203797E-2</v>
      </c>
      <c r="H196">
        <f ca="1">IF(AND(B196&gt;'Real Analysis'!$B$31,B196&lt;'Real Analysis'!$B$32),FilterInput(E196,'Real Analysis'!$B$26,'Real Analysis'!$B$27),0)</f>
        <v>0</v>
      </c>
      <c r="I196" t="e">
        <f>MEDIAN2("Real Values",H196,'Real Analysis'!$B$5,2)</f>
        <v>#VALUE!</v>
      </c>
      <c r="J196" t="e">
        <f>AVERAGE2("Real Values",I196,'Real Analysis'!$B$6,2)</f>
        <v>#VALUE!</v>
      </c>
      <c r="K196" t="e">
        <f>INTEGRAL2(J196,$B196,K195,J195,$B195,'Real Analysis'!$B$19)</f>
        <v>#VALUE!</v>
      </c>
      <c r="L196" t="e">
        <f>IF(AND(B196&lt;'Real Analysis'!$B$32,B196&gt;0),INTEGRAL2(K196,$B196,L195,K195,$B195,'Real Analysis'!$B$20),0)</f>
        <v>#VALUE!</v>
      </c>
      <c r="N196">
        <f>'Real Analysis'!$B$28*'Real Input'!U196+IF('Real Input'!U196 &gt; 0,'Real Analysis'!$B$29,0)</f>
        <v>0</v>
      </c>
      <c r="O196" t="e">
        <f t="shared" si="17"/>
        <v>#VALUE!</v>
      </c>
      <c r="P196" t="e">
        <f t="shared" si="18"/>
        <v>#VALUE!</v>
      </c>
    </row>
    <row r="197" spans="1:16" x14ac:dyDescent="0.3">
      <c r="A197">
        <v>195</v>
      </c>
      <c r="B197">
        <f>'Real Input'!M197</f>
        <v>3.9481229999946663</v>
      </c>
      <c r="C197">
        <f ca="1">INDIRECT(CONCATENATE("'Real Input'!",'Real Analysis'!$B$2,A197+2))</f>
        <v>9.8526931199999996</v>
      </c>
      <c r="D197">
        <f t="shared" si="16"/>
        <v>2.3570999997900799E-2</v>
      </c>
      <c r="E197">
        <f ca="1">IF(B197&gt;0,C197-'Real Analysis'!$B$14,0)</f>
        <v>-3.8046823714275035E-3</v>
      </c>
      <c r="F197">
        <f t="shared" ca="1" si="19"/>
        <v>-2.2510831118482205E-2</v>
      </c>
      <c r="G197">
        <f t="shared" ca="1" si="15"/>
        <v>-4.0560292953450289E-2</v>
      </c>
      <c r="H197">
        <f ca="1">IF(AND(B197&gt;'Real Analysis'!$B$31,B197&lt;'Real Analysis'!$B$32),FilterInput(E197,'Real Analysis'!$B$26,'Real Analysis'!$B$27),0)</f>
        <v>0</v>
      </c>
      <c r="I197" t="e">
        <f>MEDIAN2("Real Values",H197,'Real Analysis'!$B$5,2)</f>
        <v>#VALUE!</v>
      </c>
      <c r="J197" t="e">
        <f>AVERAGE2("Real Values",I197,'Real Analysis'!$B$6,2)</f>
        <v>#VALUE!</v>
      </c>
      <c r="K197" t="e">
        <f>INTEGRAL2(J197,$B197,K196,J196,$B196,'Real Analysis'!$B$19)</f>
        <v>#VALUE!</v>
      </c>
      <c r="L197" t="e">
        <f>IF(AND(B197&lt;'Real Analysis'!$B$32,B197&gt;0),INTEGRAL2(K197,$B197,L196,K196,$B196,'Real Analysis'!$B$20),0)</f>
        <v>#VALUE!</v>
      </c>
      <c r="N197">
        <f>'Real Analysis'!$B$28*'Real Input'!U197+IF('Real Input'!U197 &gt; 0,'Real Analysis'!$B$29,0)</f>
        <v>0</v>
      </c>
      <c r="O197" t="e">
        <f t="shared" si="17"/>
        <v>#VALUE!</v>
      </c>
      <c r="P197" t="e">
        <f t="shared" si="18"/>
        <v>#VALUE!</v>
      </c>
    </row>
    <row r="198" spans="1:16" x14ac:dyDescent="0.3">
      <c r="A198">
        <v>196</v>
      </c>
      <c r="B198">
        <f>'Real Input'!M198</f>
        <v>3.9634170000063023</v>
      </c>
      <c r="C198">
        <f ca="1">INDIRECT(CONCATENATE("'Real Input'!",'Real Analysis'!$B$2,A198+2))</f>
        <v>9.8537231700000003</v>
      </c>
      <c r="D198">
        <f t="shared" si="16"/>
        <v>1.5294000011635944E-2</v>
      </c>
      <c r="E198">
        <f ca="1">IF(B198&gt;0,C198-'Real Analysis'!$B$14,0)</f>
        <v>-2.7746323714268328E-3</v>
      </c>
      <c r="F198">
        <f t="shared" ca="1" si="19"/>
        <v>-2.2553266346003093E-2</v>
      </c>
      <c r="G198">
        <f t="shared" ca="1" si="15"/>
        <v>-4.0905222609208487E-2</v>
      </c>
      <c r="H198">
        <f ca="1">IF(AND(B198&gt;'Real Analysis'!$B$31,B198&lt;'Real Analysis'!$B$32),FilterInput(E198,'Real Analysis'!$B$26,'Real Analysis'!$B$27),0)</f>
        <v>0</v>
      </c>
      <c r="I198" t="e">
        <f>MEDIAN2("Real Values",H198,'Real Analysis'!$B$5,2)</f>
        <v>#VALUE!</v>
      </c>
      <c r="J198" t="e">
        <f>AVERAGE2("Real Values",I198,'Real Analysis'!$B$6,2)</f>
        <v>#VALUE!</v>
      </c>
      <c r="K198" t="e">
        <f>INTEGRAL2(J198,$B198,K197,J197,$B197,'Real Analysis'!$B$19)</f>
        <v>#VALUE!</v>
      </c>
      <c r="L198" t="e">
        <f>IF(AND(B198&lt;'Real Analysis'!$B$32,B198&gt;0),INTEGRAL2(K198,$B198,L197,K197,$B197,'Real Analysis'!$B$20),0)</f>
        <v>#VALUE!</v>
      </c>
      <c r="N198">
        <f>'Real Analysis'!$B$28*'Real Input'!U198+IF('Real Input'!U198 &gt; 0,'Real Analysis'!$B$29,0)</f>
        <v>0</v>
      </c>
      <c r="O198" t="e">
        <f t="shared" si="17"/>
        <v>#VALUE!</v>
      </c>
      <c r="P198" t="e">
        <f t="shared" si="18"/>
        <v>#VALUE!</v>
      </c>
    </row>
    <row r="199" spans="1:16" x14ac:dyDescent="0.3">
      <c r="A199">
        <v>197</v>
      </c>
      <c r="B199">
        <f>'Real Input'!M199</f>
        <v>3.9902120000042487</v>
      </c>
      <c r="C199">
        <f ca="1">INDIRECT(CONCATENATE("'Real Input'!",'Real Analysis'!$B$2,A199+2))</f>
        <v>9.8535171600000009</v>
      </c>
      <c r="D199">
        <f t="shared" si="16"/>
        <v>2.6794999997946434E-2</v>
      </c>
      <c r="E199">
        <f ca="1">IF(B199&gt;0,C199-'Real Analysis'!$B$14,0)</f>
        <v>-2.9806423714262564E-3</v>
      </c>
      <c r="F199">
        <f t="shared" ca="1" si="19"/>
        <v>-2.2633132658339338E-2</v>
      </c>
      <c r="G199">
        <f t="shared" ca="1" si="15"/>
        <v>-4.151167739874221E-2</v>
      </c>
      <c r="H199">
        <f ca="1">IF(AND(B199&gt;'Real Analysis'!$B$31,B199&lt;'Real Analysis'!$B$32),FilterInput(E199,'Real Analysis'!$B$26,'Real Analysis'!$B$27),0)</f>
        <v>0</v>
      </c>
      <c r="I199" t="e">
        <f>MEDIAN2("Real Values",H199,'Real Analysis'!$B$5,2)</f>
        <v>#VALUE!</v>
      </c>
      <c r="J199" t="e">
        <f>AVERAGE2("Real Values",I199,'Real Analysis'!$B$6,2)</f>
        <v>#VALUE!</v>
      </c>
      <c r="K199" t="e">
        <f>INTEGRAL2(J199,$B199,K198,J198,$B198,'Real Analysis'!$B$19)</f>
        <v>#VALUE!</v>
      </c>
      <c r="L199" t="e">
        <f>IF(AND(B199&lt;'Real Analysis'!$B$32,B199&gt;0),INTEGRAL2(K199,$B199,L198,K198,$B198,'Real Analysis'!$B$20),0)</f>
        <v>#VALUE!</v>
      </c>
      <c r="N199">
        <f>'Real Analysis'!$B$28*'Real Input'!U199+IF('Real Input'!U199 &gt; 0,'Real Analysis'!$B$29,0)</f>
        <v>0</v>
      </c>
      <c r="O199" t="e">
        <f t="shared" si="17"/>
        <v>#VALUE!</v>
      </c>
      <c r="P199" t="e">
        <f t="shared" si="18"/>
        <v>#VALUE!</v>
      </c>
    </row>
    <row r="200" spans="1:16" x14ac:dyDescent="0.3">
      <c r="A200">
        <v>198</v>
      </c>
      <c r="B200">
        <f>'Real Input'!M200</f>
        <v>4.0082729999994626</v>
      </c>
      <c r="C200">
        <f ca="1">INDIRECT(CONCATENATE("'Real Input'!",'Real Analysis'!$B$2,A200+2))</f>
        <v>9.8536545000000011</v>
      </c>
      <c r="D200">
        <f t="shared" si="16"/>
        <v>1.8060999995213933E-2</v>
      </c>
      <c r="E200">
        <f ca="1">IF(B200&gt;0,C200-'Real Analysis'!$B$14,0)</f>
        <v>-2.8433023714260486E-3</v>
      </c>
      <c r="F200">
        <f t="shared" ca="1" si="19"/>
        <v>-2.2684485542456057E-2</v>
      </c>
      <c r="G200">
        <f t="shared" ca="1" si="15"/>
        <v>-4.1921381892015941E-2</v>
      </c>
      <c r="H200">
        <f ca="1">IF(AND(B200&gt;'Real Analysis'!$B$31,B200&lt;'Real Analysis'!$B$32),FilterInput(E200,'Real Analysis'!$B$26,'Real Analysis'!$B$27),0)</f>
        <v>0</v>
      </c>
      <c r="I200" t="e">
        <f>MEDIAN2("Real Values",H200,'Real Analysis'!$B$5,2)</f>
        <v>#VALUE!</v>
      </c>
      <c r="J200" t="e">
        <f>AVERAGE2("Real Values",I200,'Real Analysis'!$B$6,2)</f>
        <v>#VALUE!</v>
      </c>
      <c r="K200" t="e">
        <f>INTEGRAL2(J200,$B200,K199,J199,$B199,'Real Analysis'!$B$19)</f>
        <v>#VALUE!</v>
      </c>
      <c r="L200" t="e">
        <f>IF(AND(B200&lt;'Real Analysis'!$B$32,B200&gt;0),INTEGRAL2(K200,$B200,L199,K199,$B199,'Real Analysis'!$B$20),0)</f>
        <v>#VALUE!</v>
      </c>
      <c r="N200">
        <f>'Real Analysis'!$B$28*'Real Input'!U200+IF('Real Input'!U200 &gt; 0,'Real Analysis'!$B$29,0)</f>
        <v>0</v>
      </c>
      <c r="O200" t="e">
        <f t="shared" si="17"/>
        <v>#VALUE!</v>
      </c>
      <c r="P200" t="e">
        <f t="shared" si="18"/>
        <v>#VALUE!</v>
      </c>
    </row>
    <row r="201" spans="1:16" x14ac:dyDescent="0.3">
      <c r="A201">
        <v>199</v>
      </c>
      <c r="B201">
        <f>'Real Input'!M201</f>
        <v>4.0329040000069654</v>
      </c>
      <c r="C201">
        <f ca="1">INDIRECT(CONCATENATE("'Real Input'!",'Real Analysis'!$B$2,A201+2))</f>
        <v>9.8536446899999994</v>
      </c>
      <c r="D201">
        <f t="shared" si="16"/>
        <v>2.4631000007502735E-2</v>
      </c>
      <c r="E201">
        <f ca="1">IF(B201&gt;0,C201-'Real Analysis'!$B$14,0)</f>
        <v>-2.8531123714277129E-3</v>
      </c>
      <c r="F201">
        <f t="shared" ca="1" si="19"/>
        <v>-2.2754760553298097E-2</v>
      </c>
      <c r="G201">
        <f t="shared" ca="1" si="15"/>
        <v>-4.2481854399374949E-2</v>
      </c>
      <c r="H201">
        <f ca="1">IF(AND(B201&gt;'Real Analysis'!$B$31,B201&lt;'Real Analysis'!$B$32),FilterInput(E201,'Real Analysis'!$B$26,'Real Analysis'!$B$27),0)</f>
        <v>0</v>
      </c>
      <c r="I201" t="e">
        <f>MEDIAN2("Real Values",H201,'Real Analysis'!$B$5,2)</f>
        <v>#VALUE!</v>
      </c>
      <c r="J201" t="e">
        <f>AVERAGE2("Real Values",I201,'Real Analysis'!$B$6,2)</f>
        <v>#VALUE!</v>
      </c>
      <c r="K201" t="e">
        <f>INTEGRAL2(J201,$B201,K200,J200,$B200,'Real Analysis'!$B$19)</f>
        <v>#VALUE!</v>
      </c>
      <c r="L201" t="e">
        <f>IF(AND(B201&lt;'Real Analysis'!$B$32,B201&gt;0),INTEGRAL2(K201,$B201,L200,K200,$B200,'Real Analysis'!$B$20),0)</f>
        <v>#VALUE!</v>
      </c>
      <c r="N201">
        <f>'Real Analysis'!$B$28*'Real Input'!U201+IF('Real Input'!U201 &gt; 0,'Real Analysis'!$B$29,0)</f>
        <v>0</v>
      </c>
      <c r="O201" t="e">
        <f t="shared" si="17"/>
        <v>#VALUE!</v>
      </c>
      <c r="P201" t="e">
        <f t="shared" si="18"/>
        <v>#VALUE!</v>
      </c>
    </row>
    <row r="202" spans="1:16" x14ac:dyDescent="0.3">
      <c r="A202">
        <v>200</v>
      </c>
      <c r="B202">
        <f>'Real Input'!M202</f>
        <v>4.0485679999983404</v>
      </c>
      <c r="C202">
        <f ca="1">INDIRECT(CONCATENATE("'Real Input'!",'Real Analysis'!$B$2,A202+2))</f>
        <v>9.8535465900000005</v>
      </c>
      <c r="D202">
        <f t="shared" si="16"/>
        <v>1.5663999991375022E-2</v>
      </c>
      <c r="E202">
        <f ca="1">IF(B202&gt;0,C202-'Real Analysis'!$B$14,0)</f>
        <v>-2.9512123714265925E-3</v>
      </c>
      <c r="F202">
        <f t="shared" ca="1" si="19"/>
        <v>-2.2800988343858668E-2</v>
      </c>
      <c r="G202">
        <f t="shared" ca="1" si="15"/>
        <v>-4.2839009080596492E-2</v>
      </c>
      <c r="H202">
        <f ca="1">IF(AND(B202&gt;'Real Analysis'!$B$31,B202&lt;'Real Analysis'!$B$32),FilterInput(E202,'Real Analysis'!$B$26,'Real Analysis'!$B$27),0)</f>
        <v>0</v>
      </c>
      <c r="I202" t="e">
        <f>MEDIAN2("Real Values",H202,'Real Analysis'!$B$5,2)</f>
        <v>#VALUE!</v>
      </c>
      <c r="J202" t="e">
        <f>AVERAGE2("Real Values",I202,'Real Analysis'!$B$6,2)</f>
        <v>#VALUE!</v>
      </c>
      <c r="K202" t="e">
        <f>INTEGRAL2(J202,$B202,K201,J201,$B201,'Real Analysis'!$B$19)</f>
        <v>#VALUE!</v>
      </c>
      <c r="L202" t="e">
        <f>IF(AND(B202&lt;'Real Analysis'!$B$32,B202&gt;0),INTEGRAL2(K202,$B202,L201,K201,$B201,'Real Analysis'!$B$20),0)</f>
        <v>#VALUE!</v>
      </c>
      <c r="N202">
        <f>'Real Analysis'!$B$28*'Real Input'!U202+IF('Real Input'!U202 &gt; 0,'Real Analysis'!$B$29,0)</f>
        <v>0</v>
      </c>
      <c r="O202" t="e">
        <f t="shared" si="17"/>
        <v>#VALUE!</v>
      </c>
      <c r="P202" t="e">
        <f t="shared" si="18"/>
        <v>#VALUE!</v>
      </c>
    </row>
    <row r="203" spans="1:16" x14ac:dyDescent="0.3">
      <c r="A203">
        <v>201</v>
      </c>
      <c r="B203">
        <f>'Real Input'!M203</f>
        <v>4.0655729999998584</v>
      </c>
      <c r="C203">
        <f ca="1">INDIRECT(CONCATENATE("'Real Input'!",'Real Analysis'!$B$2,A203+2))</f>
        <v>9.853507350000001</v>
      </c>
      <c r="D203">
        <f t="shared" si="16"/>
        <v>1.7005000001518056E-2</v>
      </c>
      <c r="E203">
        <f ca="1">IF(B203&gt;0,C203-'Real Analysis'!$B$14,0)</f>
        <v>-2.9904523714261444E-3</v>
      </c>
      <c r="F203">
        <f t="shared" ca="1" si="19"/>
        <v>-2.285184098643931E-2</v>
      </c>
      <c r="G203">
        <f t="shared" ca="1" si="15"/>
        <v>-4.3227604636605584E-2</v>
      </c>
      <c r="H203">
        <f ca="1">IF(AND(B203&gt;'Real Analysis'!$B$31,B203&lt;'Real Analysis'!$B$32),FilterInput(E203,'Real Analysis'!$B$26,'Real Analysis'!$B$27),0)</f>
        <v>0</v>
      </c>
      <c r="I203" t="e">
        <f>MEDIAN2("Real Values",H203,'Real Analysis'!$B$5,2)</f>
        <v>#VALUE!</v>
      </c>
      <c r="J203" t="e">
        <f>AVERAGE2("Real Values",I203,'Real Analysis'!$B$6,2)</f>
        <v>#VALUE!</v>
      </c>
      <c r="K203" t="e">
        <f>INTEGRAL2(J203,$B203,K202,J202,$B202,'Real Analysis'!$B$19)</f>
        <v>#VALUE!</v>
      </c>
      <c r="L203" t="e">
        <f>IF(AND(B203&lt;'Real Analysis'!$B$32,B203&gt;0),INTEGRAL2(K203,$B203,L202,K202,$B202,'Real Analysis'!$B$20),0)</f>
        <v>#VALUE!</v>
      </c>
      <c r="N203">
        <f>'Real Analysis'!$B$28*'Real Input'!U203+IF('Real Input'!U203 &gt; 0,'Real Analysis'!$B$29,0)</f>
        <v>0</v>
      </c>
      <c r="O203" t="e">
        <f t="shared" si="17"/>
        <v>#VALUE!</v>
      </c>
      <c r="P203" t="e">
        <f t="shared" si="18"/>
        <v>#VALUE!</v>
      </c>
    </row>
    <row r="204" spans="1:16" x14ac:dyDescent="0.3">
      <c r="A204">
        <v>202</v>
      </c>
      <c r="B204">
        <f>'Real Input'!M204</f>
        <v>4.0885209999978542</v>
      </c>
      <c r="C204">
        <f ca="1">INDIRECT(CONCATENATE("'Real Input'!",'Real Analysis'!$B$2,A204+2))</f>
        <v>9.8535171600000009</v>
      </c>
      <c r="D204">
        <f t="shared" si="16"/>
        <v>2.2947999997995794E-2</v>
      </c>
      <c r="E204">
        <f ca="1">IF(B204&gt;0,C204-'Real Analysis'!$B$14,0)</f>
        <v>-2.9806423714262564E-3</v>
      </c>
      <c r="F204">
        <f t="shared" ca="1" si="19"/>
        <v>-2.2920240767572826E-2</v>
      </c>
      <c r="G204">
        <f t="shared" ca="1" si="15"/>
        <v>-4.3753578321693909E-2</v>
      </c>
      <c r="H204">
        <f ca="1">IF(AND(B204&gt;'Real Analysis'!$B$31,B204&lt;'Real Analysis'!$B$32),FilterInput(E204,'Real Analysis'!$B$26,'Real Analysis'!$B$27),0)</f>
        <v>0</v>
      </c>
      <c r="I204" t="e">
        <f>MEDIAN2("Real Values",H204,'Real Analysis'!$B$5,2)</f>
        <v>#VALUE!</v>
      </c>
      <c r="J204" t="e">
        <f>AVERAGE2("Real Values",I204,'Real Analysis'!$B$6,2)</f>
        <v>#VALUE!</v>
      </c>
      <c r="K204" t="e">
        <f>INTEGRAL2(J204,$B204,K203,J203,$B203,'Real Analysis'!$B$19)</f>
        <v>#VALUE!</v>
      </c>
      <c r="L204" t="e">
        <f>IF(AND(B204&lt;'Real Analysis'!$B$32,B204&gt;0),INTEGRAL2(K204,$B204,L203,K203,$B203,'Real Analysis'!$B$20),0)</f>
        <v>#VALUE!</v>
      </c>
      <c r="N204">
        <f>'Real Analysis'!$B$28*'Real Input'!U204+IF('Real Input'!U204 &gt; 0,'Real Analysis'!$B$29,0)</f>
        <v>0</v>
      </c>
      <c r="O204" t="e">
        <f t="shared" si="17"/>
        <v>#VALUE!</v>
      </c>
      <c r="P204" t="e">
        <f t="shared" si="18"/>
        <v>#VALUE!</v>
      </c>
    </row>
    <row r="205" spans="1:16" x14ac:dyDescent="0.3">
      <c r="A205">
        <v>203</v>
      </c>
      <c r="B205">
        <f>'Real Input'!M205</f>
        <v>4.1096580000012182</v>
      </c>
      <c r="C205">
        <f ca="1">INDIRECT(CONCATENATE("'Real Input'!",'Real Analysis'!$B$2,A205+2))</f>
        <v>9.8535465900000005</v>
      </c>
      <c r="D205">
        <f t="shared" si="16"/>
        <v>2.1137000003363937E-2</v>
      </c>
      <c r="E205">
        <f ca="1">IF(B205&gt;0,C205-'Real Analysis'!$B$14,0)</f>
        <v>-2.9512123714265925E-3</v>
      </c>
      <c r="F205">
        <f t="shared" ca="1" si="19"/>
        <v>-2.2982620543477598E-2</v>
      </c>
      <c r="G205">
        <f t="shared" ca="1" si="15"/>
        <v>-4.4239361972198708E-2</v>
      </c>
      <c r="H205">
        <f ca="1">IF(AND(B205&gt;'Real Analysis'!$B$31,B205&lt;'Real Analysis'!$B$32),FilterInput(E205,'Real Analysis'!$B$26,'Real Analysis'!$B$27),0)</f>
        <v>0</v>
      </c>
      <c r="I205" t="e">
        <f>MEDIAN2("Real Values",H205,'Real Analysis'!$B$5,2)</f>
        <v>#VALUE!</v>
      </c>
      <c r="J205" t="e">
        <f>AVERAGE2("Real Values",I205,'Real Analysis'!$B$6,2)</f>
        <v>#VALUE!</v>
      </c>
      <c r="K205" t="e">
        <f>INTEGRAL2(J205,$B205,K204,J204,$B204,'Real Analysis'!$B$19)</f>
        <v>#VALUE!</v>
      </c>
      <c r="L205" t="e">
        <f>IF(AND(B205&lt;'Real Analysis'!$B$32,B205&gt;0),INTEGRAL2(K205,$B205,L204,K204,$B204,'Real Analysis'!$B$20),0)</f>
        <v>#VALUE!</v>
      </c>
      <c r="N205">
        <f>'Real Analysis'!$B$28*'Real Input'!U205+IF('Real Input'!U205 &gt; 0,'Real Analysis'!$B$29,0)</f>
        <v>0</v>
      </c>
      <c r="O205" t="e">
        <f t="shared" si="17"/>
        <v>#VALUE!</v>
      </c>
      <c r="P205" t="e">
        <f t="shared" si="18"/>
        <v>#VALUE!</v>
      </c>
    </row>
    <row r="206" spans="1:16" x14ac:dyDescent="0.3">
      <c r="A206">
        <v>204</v>
      </c>
      <c r="B206">
        <f>'Real Input'!M206</f>
        <v>4.1296569999976782</v>
      </c>
      <c r="C206">
        <f ca="1">INDIRECT(CONCATENATE("'Real Input'!",'Real Analysis'!$B$2,A206+2))</f>
        <v>9.8535269700000008</v>
      </c>
      <c r="D206">
        <f t="shared" si="16"/>
        <v>1.9998999996460043E-2</v>
      </c>
      <c r="E206">
        <f ca="1">IF(B206&gt;0,C206-'Real Analysis'!$B$14,0)</f>
        <v>-2.9708323714263685E-3</v>
      </c>
      <c r="F206">
        <f t="shared" ca="1" si="19"/>
        <v>-2.3042034220063238E-2</v>
      </c>
      <c r="G206">
        <f t="shared" ca="1" si="15"/>
        <v>-4.4700179614484185E-2</v>
      </c>
      <c r="H206">
        <f ca="1">IF(AND(B206&gt;'Real Analysis'!$B$31,B206&lt;'Real Analysis'!$B$32),FilterInput(E206,'Real Analysis'!$B$26,'Real Analysis'!$B$27),0)</f>
        <v>0</v>
      </c>
      <c r="I206" t="e">
        <f>MEDIAN2("Real Values",H206,'Real Analysis'!$B$5,2)</f>
        <v>#VALUE!</v>
      </c>
      <c r="J206" t="e">
        <f>AVERAGE2("Real Values",I206,'Real Analysis'!$B$6,2)</f>
        <v>#VALUE!</v>
      </c>
      <c r="K206" t="e">
        <f>INTEGRAL2(J206,$B206,K205,J205,$B205,'Real Analysis'!$B$19)</f>
        <v>#VALUE!</v>
      </c>
      <c r="L206" t="e">
        <f>IF(AND(B206&lt;'Real Analysis'!$B$32,B206&gt;0),INTEGRAL2(K206,$B206,L205,K205,$B205,'Real Analysis'!$B$20),0)</f>
        <v>#VALUE!</v>
      </c>
      <c r="N206">
        <f>'Real Analysis'!$B$28*'Real Input'!U206+IF('Real Input'!U206 &gt; 0,'Real Analysis'!$B$29,0)</f>
        <v>0</v>
      </c>
      <c r="O206" t="e">
        <f t="shared" si="17"/>
        <v>#VALUE!</v>
      </c>
      <c r="P206" t="e">
        <f t="shared" si="18"/>
        <v>#VALUE!</v>
      </c>
    </row>
    <row r="207" spans="1:16" x14ac:dyDescent="0.3">
      <c r="A207">
        <v>205</v>
      </c>
      <c r="B207">
        <f>'Real Input'!M207</f>
        <v>4.1485169999941718</v>
      </c>
      <c r="C207">
        <f ca="1">INDIRECT(CONCATENATE("'Real Input'!",'Real Analysis'!$B$2,A207+2))</f>
        <v>9.8535269700000008</v>
      </c>
      <c r="D207">
        <f t="shared" si="16"/>
        <v>1.8859999996493571E-2</v>
      </c>
      <c r="E207">
        <f ca="1">IF(B207&gt;0,C207-'Real Analysis'!$B$14,0)</f>
        <v>-2.9708323714263685E-3</v>
      </c>
      <c r="F207">
        <f t="shared" ca="1" si="19"/>
        <v>-2.3098064118577923E-2</v>
      </c>
      <c r="G207">
        <f t="shared" ca="1" si="15"/>
        <v>-4.5135809103679571E-2</v>
      </c>
      <c r="H207">
        <f ca="1">IF(AND(B207&gt;'Real Analysis'!$B$31,B207&lt;'Real Analysis'!$B$32),FilterInput(E207,'Real Analysis'!$B$26,'Real Analysis'!$B$27),0)</f>
        <v>0</v>
      </c>
      <c r="I207" t="e">
        <f>MEDIAN2("Real Values",H207,'Real Analysis'!$B$5,2)</f>
        <v>#VALUE!</v>
      </c>
      <c r="J207" t="e">
        <f>AVERAGE2("Real Values",I207,'Real Analysis'!$B$6,2)</f>
        <v>#VALUE!</v>
      </c>
      <c r="K207" t="e">
        <f>INTEGRAL2(J207,$B207,K206,J206,$B206,'Real Analysis'!$B$19)</f>
        <v>#VALUE!</v>
      </c>
      <c r="L207" t="e">
        <f>IF(AND(B207&lt;'Real Analysis'!$B$32,B207&gt;0),INTEGRAL2(K207,$B207,L206,K206,$B206,'Real Analysis'!$B$20),0)</f>
        <v>#VALUE!</v>
      </c>
      <c r="N207">
        <f>'Real Analysis'!$B$28*'Real Input'!U207+IF('Real Input'!U207 &gt; 0,'Real Analysis'!$B$29,0)</f>
        <v>0</v>
      </c>
      <c r="O207" t="e">
        <f t="shared" si="17"/>
        <v>#VALUE!</v>
      </c>
      <c r="P207" t="e">
        <f t="shared" si="18"/>
        <v>#VALUE!</v>
      </c>
    </row>
    <row r="208" spans="1:16" x14ac:dyDescent="0.3">
      <c r="A208">
        <v>206</v>
      </c>
      <c r="B208">
        <f>'Real Input'!M208</f>
        <v>4.1641729999973904</v>
      </c>
      <c r="C208">
        <f ca="1">INDIRECT(CONCATENATE("'Real Input'!",'Real Analysis'!$B$2,A208+2))</f>
        <v>9.8535171600000009</v>
      </c>
      <c r="D208">
        <f t="shared" si="16"/>
        <v>1.5656000003218651E-2</v>
      </c>
      <c r="E208">
        <f ca="1">IF(B208&gt;0,C208-'Real Analysis'!$B$14,0)</f>
        <v>-2.9806423714262564E-3</v>
      </c>
      <c r="F208">
        <f t="shared" ca="1" si="19"/>
        <v>-2.3144729055554567E-2</v>
      </c>
      <c r="G208">
        <f t="shared" ca="1" si="15"/>
        <v>-4.5498162981847827E-2</v>
      </c>
      <c r="H208">
        <f ca="1">IF(AND(B208&gt;'Real Analysis'!$B$31,B208&lt;'Real Analysis'!$B$32),FilterInput(E208,'Real Analysis'!$B$26,'Real Analysis'!$B$27),0)</f>
        <v>0</v>
      </c>
      <c r="I208" t="e">
        <f>MEDIAN2("Real Values",H208,'Real Analysis'!$B$5,2)</f>
        <v>#VALUE!</v>
      </c>
      <c r="J208" t="e">
        <f>AVERAGE2("Real Values",I208,'Real Analysis'!$B$6,2)</f>
        <v>#VALUE!</v>
      </c>
      <c r="K208" t="e">
        <f>INTEGRAL2(J208,$B208,K207,J207,$B207,'Real Analysis'!$B$19)</f>
        <v>#VALUE!</v>
      </c>
      <c r="L208" t="e">
        <f>IF(AND(B208&lt;'Real Analysis'!$B$32,B208&gt;0),INTEGRAL2(K208,$B208,L207,K207,$B207,'Real Analysis'!$B$20),0)</f>
        <v>#VALUE!</v>
      </c>
      <c r="N208">
        <f>'Real Analysis'!$B$28*'Real Input'!U208+IF('Real Input'!U208 &gt; 0,'Real Analysis'!$B$29,0)</f>
        <v>0</v>
      </c>
      <c r="O208" t="e">
        <f t="shared" si="17"/>
        <v>#VALUE!</v>
      </c>
      <c r="P208" t="e">
        <f t="shared" si="18"/>
        <v>#VALUE!</v>
      </c>
    </row>
    <row r="209" spans="1:16" x14ac:dyDescent="0.3">
      <c r="A209">
        <v>207</v>
      </c>
      <c r="B209">
        <f>'Real Input'!M209</f>
        <v>4.1927120000036666</v>
      </c>
      <c r="C209">
        <f ca="1">INDIRECT(CONCATENATE("'Real Input'!",'Real Analysis'!$B$2,A209+2))</f>
        <v>9.8515061100000008</v>
      </c>
      <c r="D209">
        <f t="shared" si="16"/>
        <v>2.8539000006276183E-2</v>
      </c>
      <c r="E209">
        <f ca="1">IF(B209&gt;0,C209-'Real Analysis'!$B$14,0)</f>
        <v>-4.9916923714263817E-3</v>
      </c>
      <c r="F209">
        <f t="shared" ca="1" si="19"/>
        <v>-2.3287186964174034E-2</v>
      </c>
      <c r="G209">
        <f t="shared" ca="1" si="15"/>
        <v>-4.6162756010764541E-2</v>
      </c>
      <c r="H209">
        <f ca="1">IF(AND(B209&gt;'Real Analysis'!$B$31,B209&lt;'Real Analysis'!$B$32),FilterInput(E209,'Real Analysis'!$B$26,'Real Analysis'!$B$27),0)</f>
        <v>0</v>
      </c>
      <c r="I209" t="e">
        <f>MEDIAN2("Real Values",H209,'Real Analysis'!$B$5,2)</f>
        <v>#VALUE!</v>
      </c>
      <c r="J209" t="e">
        <f>AVERAGE2("Real Values",I209,'Real Analysis'!$B$6,2)</f>
        <v>#VALUE!</v>
      </c>
      <c r="K209" t="e">
        <f>INTEGRAL2(J209,$B209,K208,J208,$B208,'Real Analysis'!$B$19)</f>
        <v>#VALUE!</v>
      </c>
      <c r="L209" t="e">
        <f>IF(AND(B209&lt;'Real Analysis'!$B$32,B209&gt;0),INTEGRAL2(K209,$B209,L208,K208,$B208,'Real Analysis'!$B$20),0)</f>
        <v>#VALUE!</v>
      </c>
      <c r="N209">
        <f>'Real Analysis'!$B$28*'Real Input'!U209+IF('Real Input'!U209 &gt; 0,'Real Analysis'!$B$29,0)</f>
        <v>0</v>
      </c>
      <c r="O209" t="e">
        <f t="shared" si="17"/>
        <v>#VALUE!</v>
      </c>
      <c r="P209" t="e">
        <f t="shared" si="18"/>
        <v>#VALUE!</v>
      </c>
    </row>
    <row r="210" spans="1:16" x14ac:dyDescent="0.3">
      <c r="A210">
        <v>208</v>
      </c>
      <c r="B210">
        <f>'Real Input'!M210</f>
        <v>4.210573000003933</v>
      </c>
      <c r="C210">
        <f ca="1">INDIRECT(CONCATENATE("'Real Input'!",'Real Analysis'!$B$2,A210+2))</f>
        <v>9.8542725300000011</v>
      </c>
      <c r="D210">
        <f t="shared" si="16"/>
        <v>1.7861000000266358E-2</v>
      </c>
      <c r="E210">
        <f ca="1">IF(B210&gt;0,C210-'Real Analysis'!$B$14,0)</f>
        <v>-2.2252723714260014E-3</v>
      </c>
      <c r="F210">
        <f t="shared" ca="1" si="19"/>
        <v>-2.3326932554000666E-2</v>
      </c>
      <c r="G210">
        <f t="shared" ca="1" si="15"/>
        <v>-4.6579398353117758E-2</v>
      </c>
      <c r="H210">
        <f ca="1">IF(AND(B210&gt;'Real Analysis'!$B$31,B210&lt;'Real Analysis'!$B$32),FilterInput(E210,'Real Analysis'!$B$26,'Real Analysis'!$B$27),0)</f>
        <v>0</v>
      </c>
      <c r="I210" t="e">
        <f>MEDIAN2("Real Values",H210,'Real Analysis'!$B$5,2)</f>
        <v>#VALUE!</v>
      </c>
      <c r="J210" t="e">
        <f>AVERAGE2("Real Values",I210,'Real Analysis'!$B$6,2)</f>
        <v>#VALUE!</v>
      </c>
      <c r="K210" t="e">
        <f>INTEGRAL2(J210,$B210,K209,J209,$B209,'Real Analysis'!$B$19)</f>
        <v>#VALUE!</v>
      </c>
      <c r="L210" t="e">
        <f>IF(AND(B210&lt;'Real Analysis'!$B$32,B210&gt;0),INTEGRAL2(K210,$B210,L209,K209,$B209,'Real Analysis'!$B$20),0)</f>
        <v>#VALUE!</v>
      </c>
      <c r="N210">
        <f>'Real Analysis'!$B$28*'Real Input'!U210+IF('Real Input'!U210 &gt; 0,'Real Analysis'!$B$29,0)</f>
        <v>0</v>
      </c>
      <c r="O210" t="e">
        <f t="shared" si="17"/>
        <v>#VALUE!</v>
      </c>
      <c r="P210" t="e">
        <f t="shared" si="18"/>
        <v>#VALUE!</v>
      </c>
    </row>
    <row r="211" spans="1:16" x14ac:dyDescent="0.3">
      <c r="A211">
        <v>209</v>
      </c>
      <c r="B211">
        <f>'Real Input'!M211</f>
        <v>4.2300249999971129</v>
      </c>
      <c r="C211">
        <f ca="1">INDIRECT(CONCATENATE("'Real Input'!",'Real Analysis'!$B$2,A211+2))</f>
        <v>9.8533602000000009</v>
      </c>
      <c r="D211">
        <f t="shared" si="16"/>
        <v>1.9451999993179925E-2</v>
      </c>
      <c r="E211">
        <f ca="1">IF(B211&gt;0,C211-'Real Analysis'!$B$14,0)</f>
        <v>-3.1376023714262402E-3</v>
      </c>
      <c r="F211">
        <f t="shared" ca="1" si="19"/>
        <v>-2.3387965195308252E-2</v>
      </c>
      <c r="G211">
        <f t="shared" ca="1" si="15"/>
        <v>-4.7034341051937385E-2</v>
      </c>
      <c r="H211">
        <f ca="1">IF(AND(B211&gt;'Real Analysis'!$B$31,B211&lt;'Real Analysis'!$B$32),FilterInput(E211,'Real Analysis'!$B$26,'Real Analysis'!$B$27),0)</f>
        <v>0</v>
      </c>
      <c r="I211" t="e">
        <f>MEDIAN2("Real Values",H211,'Real Analysis'!$B$5,2)</f>
        <v>#VALUE!</v>
      </c>
      <c r="J211" t="e">
        <f>AVERAGE2("Real Values",I211,'Real Analysis'!$B$6,2)</f>
        <v>#VALUE!</v>
      </c>
      <c r="K211" t="e">
        <f>INTEGRAL2(J211,$B211,K210,J210,$B210,'Real Analysis'!$B$19)</f>
        <v>#VALUE!</v>
      </c>
      <c r="L211" t="e">
        <f>IF(AND(B211&lt;'Real Analysis'!$B$32,B211&gt;0),INTEGRAL2(K211,$B211,L210,K210,$B210,'Real Analysis'!$B$20),0)</f>
        <v>#VALUE!</v>
      </c>
      <c r="N211">
        <f>'Real Analysis'!$B$28*'Real Input'!U211+IF('Real Input'!U211 &gt; 0,'Real Analysis'!$B$29,0)</f>
        <v>0</v>
      </c>
      <c r="O211" t="e">
        <f t="shared" si="17"/>
        <v>#VALUE!</v>
      </c>
      <c r="P211" t="e">
        <f t="shared" si="18"/>
        <v>#VALUE!</v>
      </c>
    </row>
    <row r="212" spans="1:16" x14ac:dyDescent="0.3">
      <c r="A212">
        <v>210</v>
      </c>
      <c r="B212">
        <f>'Real Input'!M212</f>
        <v>4.2491770000051474</v>
      </c>
      <c r="C212">
        <f ca="1">INDIRECT(CONCATENATE("'Real Input'!",'Real Analysis'!$B$2,A212+2))</f>
        <v>9.7844351400000011</v>
      </c>
      <c r="D212">
        <f t="shared" si="16"/>
        <v>1.915200000803452E-2</v>
      </c>
      <c r="E212">
        <f ca="1">IF(B212&gt;0,C212-'Real Analysis'!$B$14,0)</f>
        <v>-7.2062662371426001E-2</v>
      </c>
      <c r="F212">
        <f t="shared" ca="1" si="19"/>
        <v>-2.4768109305624793E-2</v>
      </c>
      <c r="G212">
        <f t="shared" ca="1" si="15"/>
        <v>-4.750869988155771E-2</v>
      </c>
      <c r="H212">
        <f ca="1">IF(AND(B212&gt;'Real Analysis'!$B$31,B212&lt;'Real Analysis'!$B$32),FilterInput(E212,'Real Analysis'!$B$26,'Real Analysis'!$B$27),0)</f>
        <v>0</v>
      </c>
      <c r="I212" t="e">
        <f>MEDIAN2("Real Values",H212,'Real Analysis'!$B$5,2)</f>
        <v>#VALUE!</v>
      </c>
      <c r="J212" t="e">
        <f>AVERAGE2("Real Values",I212,'Real Analysis'!$B$6,2)</f>
        <v>#VALUE!</v>
      </c>
      <c r="K212" t="e">
        <f>INTEGRAL2(J212,$B212,K211,J211,$B211,'Real Analysis'!$B$19)</f>
        <v>#VALUE!</v>
      </c>
      <c r="L212" t="e">
        <f>IF(AND(B212&lt;'Real Analysis'!$B$32,B212&gt;0),INTEGRAL2(K212,$B212,L211,K211,$B211,'Real Analysis'!$B$20),0)</f>
        <v>#VALUE!</v>
      </c>
      <c r="N212">
        <f>'Real Analysis'!$B$28*'Real Input'!U212+IF('Real Input'!U212 &gt; 0,'Real Analysis'!$B$29,0)</f>
        <v>0</v>
      </c>
      <c r="O212" t="e">
        <f t="shared" si="17"/>
        <v>#VALUE!</v>
      </c>
      <c r="P212" t="e">
        <f t="shared" si="18"/>
        <v>#VALUE!</v>
      </c>
    </row>
    <row r="213" spans="1:16" x14ac:dyDescent="0.3">
      <c r="A213">
        <v>211</v>
      </c>
      <c r="B213">
        <f>'Real Input'!M213</f>
        <v>4.2693810000055237</v>
      </c>
      <c r="C213">
        <f ca="1">INDIRECT(CONCATENATE("'Real Input'!",'Real Analysis'!$B$2,A213+2))</f>
        <v>9.7810997400000002</v>
      </c>
      <c r="D213">
        <f t="shared" si="16"/>
        <v>2.0204000000376254E-2</v>
      </c>
      <c r="E213">
        <f ca="1">IF(B213&gt;0,C213-'Real Analysis'!$B$14,0)</f>
        <v>-7.5398062371426988E-2</v>
      </c>
      <c r="F213">
        <f t="shared" ca="1" si="19"/>
        <v>-2.6291451757805472E-2</v>
      </c>
      <c r="G213">
        <f t="shared" ca="1" si="15"/>
        <v>-4.8039892372882302E-2</v>
      </c>
      <c r="H213">
        <f ca="1">IF(AND(B213&gt;'Real Analysis'!$B$31,B213&lt;'Real Analysis'!$B$32),FilterInput(E213,'Real Analysis'!$B$26,'Real Analysis'!$B$27),0)</f>
        <v>0</v>
      </c>
      <c r="I213" t="e">
        <f>MEDIAN2("Real Values",H213,'Real Analysis'!$B$5,2)</f>
        <v>#VALUE!</v>
      </c>
      <c r="J213" t="e">
        <f>AVERAGE2("Real Values",I213,'Real Analysis'!$B$6,2)</f>
        <v>#VALUE!</v>
      </c>
      <c r="K213" t="e">
        <f>INTEGRAL2(J213,$B213,K212,J212,$B212,'Real Analysis'!$B$19)</f>
        <v>#VALUE!</v>
      </c>
      <c r="L213" t="e">
        <f>IF(AND(B213&lt;'Real Analysis'!$B$32,B213&gt;0),INTEGRAL2(K213,$B213,L212,K212,$B212,'Real Analysis'!$B$20),0)</f>
        <v>#VALUE!</v>
      </c>
      <c r="N213">
        <f>'Real Analysis'!$B$28*'Real Input'!U213+IF('Real Input'!U213 &gt; 0,'Real Analysis'!$B$29,0)</f>
        <v>0</v>
      </c>
      <c r="O213" t="e">
        <f t="shared" si="17"/>
        <v>#VALUE!</v>
      </c>
      <c r="P213" t="e">
        <f t="shared" si="18"/>
        <v>#VALUE!</v>
      </c>
    </row>
    <row r="214" spans="1:16" x14ac:dyDescent="0.3">
      <c r="A214">
        <v>212</v>
      </c>
      <c r="B214">
        <f>'Real Input'!M214</f>
        <v>4.2926810000062687</v>
      </c>
      <c r="C214">
        <f ca="1">INDIRECT(CONCATENATE("'Real Input'!",'Real Analysis'!$B$2,A214+2))</f>
        <v>9.8430400800000015</v>
      </c>
      <c r="D214">
        <f t="shared" si="16"/>
        <v>2.3300000000745058E-2</v>
      </c>
      <c r="E214">
        <f ca="1">IF(B214&gt;0,C214-'Real Analysis'!$B$14,0)</f>
        <v>-1.3457722371425618E-2</v>
      </c>
      <c r="F214">
        <f t="shared" ca="1" si="19"/>
        <v>-2.6605016689069717E-2</v>
      </c>
      <c r="G214">
        <f t="shared" ca="1" si="15"/>
        <v>-4.8659789261757451E-2</v>
      </c>
      <c r="H214">
        <f ca="1">IF(AND(B214&gt;'Real Analysis'!$B$31,B214&lt;'Real Analysis'!$B$32),FilterInput(E214,'Real Analysis'!$B$26,'Real Analysis'!$B$27),0)</f>
        <v>0</v>
      </c>
      <c r="I214" t="e">
        <f>MEDIAN2("Real Values",H214,'Real Analysis'!$B$5,2)</f>
        <v>#VALUE!</v>
      </c>
      <c r="J214" t="e">
        <f>AVERAGE2("Real Values",I214,'Real Analysis'!$B$6,2)</f>
        <v>#VALUE!</v>
      </c>
      <c r="K214" t="e">
        <f>INTEGRAL2(J214,$B214,K213,J213,$B213,'Real Analysis'!$B$19)</f>
        <v>#VALUE!</v>
      </c>
      <c r="L214" t="e">
        <f>IF(AND(B214&lt;'Real Analysis'!$B$32,B214&gt;0),INTEGRAL2(K214,$B214,L213,K213,$B213,'Real Analysis'!$B$20),0)</f>
        <v>#VALUE!</v>
      </c>
      <c r="N214">
        <f>'Real Analysis'!$B$28*'Real Input'!U214+IF('Real Input'!U214 &gt; 0,'Real Analysis'!$B$29,0)</f>
        <v>0</v>
      </c>
      <c r="O214" t="e">
        <f t="shared" si="17"/>
        <v>#VALUE!</v>
      </c>
      <c r="P214" t="e">
        <f t="shared" si="18"/>
        <v>#VALUE!</v>
      </c>
    </row>
    <row r="215" spans="1:16" x14ac:dyDescent="0.3">
      <c r="A215">
        <v>213</v>
      </c>
      <c r="B215">
        <f>'Real Input'!M215</f>
        <v>4.3123619999969378</v>
      </c>
      <c r="C215">
        <f ca="1">INDIRECT(CONCATENATE("'Real Input'!",'Real Analysis'!$B$2,A215+2))</f>
        <v>9.8448255000000007</v>
      </c>
      <c r="D215">
        <f t="shared" si="16"/>
        <v>1.9680999990669079E-2</v>
      </c>
      <c r="E215">
        <f ca="1">IF(B215&gt;0,C215-'Real Analysis'!$B$14,0)</f>
        <v>-1.1672302371426468E-2</v>
      </c>
      <c r="F215">
        <f t="shared" ca="1" si="19"/>
        <v>-2.6834739271932848E-2</v>
      </c>
      <c r="G215">
        <f t="shared" ca="1" si="15"/>
        <v>-4.918792376511797E-2</v>
      </c>
      <c r="H215">
        <f ca="1">IF(AND(B215&gt;'Real Analysis'!$B$31,B215&lt;'Real Analysis'!$B$32),FilterInput(E215,'Real Analysis'!$B$26,'Real Analysis'!$B$27),0)</f>
        <v>0</v>
      </c>
      <c r="I215" t="e">
        <f>MEDIAN2("Real Values",H215,'Real Analysis'!$B$5,2)</f>
        <v>#VALUE!</v>
      </c>
      <c r="J215" t="e">
        <f>AVERAGE2("Real Values",I215,'Real Analysis'!$B$6,2)</f>
        <v>#VALUE!</v>
      </c>
      <c r="K215" t="e">
        <f>INTEGRAL2(J215,$B215,K214,J214,$B214,'Real Analysis'!$B$19)</f>
        <v>#VALUE!</v>
      </c>
      <c r="L215" t="e">
        <f>IF(AND(B215&lt;'Real Analysis'!$B$32,B215&gt;0),INTEGRAL2(K215,$B215,L214,K214,$B214,'Real Analysis'!$B$20),0)</f>
        <v>#VALUE!</v>
      </c>
      <c r="N215">
        <f>'Real Analysis'!$B$28*'Real Input'!U215+IF('Real Input'!U215 &gt; 0,'Real Analysis'!$B$29,0)</f>
        <v>0</v>
      </c>
      <c r="O215" t="e">
        <f t="shared" si="17"/>
        <v>#VALUE!</v>
      </c>
      <c r="P215" t="e">
        <f t="shared" si="18"/>
        <v>#VALUE!</v>
      </c>
    </row>
    <row r="216" spans="1:16" x14ac:dyDescent="0.3">
      <c r="A216">
        <v>214</v>
      </c>
      <c r="B216">
        <f>'Real Input'!M216</f>
        <v>4.3236270000052173</v>
      </c>
      <c r="C216">
        <f ca="1">INDIRECT(CONCATENATE("'Real Input'!",'Real Analysis'!$B$2,A216+2))</f>
        <v>9.850240620000001</v>
      </c>
      <c r="D216">
        <f t="shared" si="16"/>
        <v>1.1265000008279458E-2</v>
      </c>
      <c r="E216">
        <f ca="1">IF(B216&gt;0,C216-'Real Analysis'!$B$14,0)</f>
        <v>-6.2571823714261399E-3</v>
      </c>
      <c r="F216">
        <f t="shared" ca="1" si="19"/>
        <v>-2.6905226431398768E-2</v>
      </c>
      <c r="G216">
        <f t="shared" ca="1" si="15"/>
        <v>-4.9491011141090439E-2</v>
      </c>
      <c r="H216">
        <f ca="1">IF(AND(B216&gt;'Real Analysis'!$B$31,B216&lt;'Real Analysis'!$B$32),FilterInput(E216,'Real Analysis'!$B$26,'Real Analysis'!$B$27),0)</f>
        <v>0</v>
      </c>
      <c r="I216" t="e">
        <f>MEDIAN2("Real Values",H216,'Real Analysis'!$B$5,2)</f>
        <v>#VALUE!</v>
      </c>
      <c r="J216" t="e">
        <f>AVERAGE2("Real Values",I216,'Real Analysis'!$B$6,2)</f>
        <v>#VALUE!</v>
      </c>
      <c r="K216" t="e">
        <f>INTEGRAL2(J216,$B216,K215,J215,$B215,'Real Analysis'!$B$19)</f>
        <v>#VALUE!</v>
      </c>
      <c r="L216" t="e">
        <f>IF(AND(B216&lt;'Real Analysis'!$B$32,B216&gt;0),INTEGRAL2(K216,$B216,L215,K215,$B215,'Real Analysis'!$B$20),0)</f>
        <v>#VALUE!</v>
      </c>
      <c r="N216">
        <f>'Real Analysis'!$B$28*'Real Input'!U216+IF('Real Input'!U216 &gt; 0,'Real Analysis'!$B$29,0)</f>
        <v>0</v>
      </c>
      <c r="O216" t="e">
        <f t="shared" si="17"/>
        <v>#VALUE!</v>
      </c>
      <c r="P216" t="e">
        <f t="shared" si="18"/>
        <v>#VALUE!</v>
      </c>
    </row>
    <row r="217" spans="1:16" x14ac:dyDescent="0.3">
      <c r="A217">
        <v>215</v>
      </c>
      <c r="B217">
        <f>'Real Input'!M217</f>
        <v>4.3512570000020787</v>
      </c>
      <c r="C217">
        <f ca="1">INDIRECT(CONCATENATE("'Real Input'!",'Real Analysis'!$B$2,A217+2))</f>
        <v>9.8545570200000014</v>
      </c>
      <c r="D217">
        <f t="shared" si="16"/>
        <v>2.7629999996861443E-2</v>
      </c>
      <c r="E217">
        <f ca="1">IF(B217&gt;0,C217-'Real Analysis'!$B$14,0)</f>
        <v>-1.9407823714256978E-3</v>
      </c>
      <c r="F217">
        <f t="shared" ca="1" si="19"/>
        <v>-2.695885024831517E-2</v>
      </c>
      <c r="G217">
        <f t="shared" ca="1" si="15"/>
        <v>-5.0235884173366774E-2</v>
      </c>
      <c r="H217">
        <f ca="1">IF(AND(B217&gt;'Real Analysis'!$B$31,B217&lt;'Real Analysis'!$B$32),FilterInput(E217,'Real Analysis'!$B$26,'Real Analysis'!$B$27),0)</f>
        <v>0</v>
      </c>
      <c r="I217" t="e">
        <f>MEDIAN2("Real Values",H217,'Real Analysis'!$B$5,2)</f>
        <v>#VALUE!</v>
      </c>
      <c r="J217" t="e">
        <f>AVERAGE2("Real Values",I217,'Real Analysis'!$B$6,2)</f>
        <v>#VALUE!</v>
      </c>
      <c r="K217" t="e">
        <f>INTEGRAL2(J217,$B217,K216,J216,$B216,'Real Analysis'!$B$19)</f>
        <v>#VALUE!</v>
      </c>
      <c r="L217" t="e">
        <f>IF(AND(B217&lt;'Real Analysis'!$B$32,B217&gt;0),INTEGRAL2(K217,$B217,L216,K216,$B216,'Real Analysis'!$B$20),0)</f>
        <v>#VALUE!</v>
      </c>
      <c r="N217">
        <f>'Real Analysis'!$B$28*'Real Input'!U217+IF('Real Input'!U217 &gt; 0,'Real Analysis'!$B$29,0)</f>
        <v>0</v>
      </c>
      <c r="O217" t="e">
        <f t="shared" si="17"/>
        <v>#VALUE!</v>
      </c>
      <c r="P217" t="e">
        <f t="shared" si="18"/>
        <v>#VALUE!</v>
      </c>
    </row>
    <row r="218" spans="1:16" x14ac:dyDescent="0.3">
      <c r="A218">
        <v>216</v>
      </c>
      <c r="B218">
        <f>'Real Input'!M218</f>
        <v>4.370452999995905</v>
      </c>
      <c r="C218">
        <f ca="1">INDIRECT(CONCATENATE("'Real Input'!",'Real Analysis'!$B$2,A218+2))</f>
        <v>9.8529776099999999</v>
      </c>
      <c r="D218">
        <f t="shared" si="16"/>
        <v>1.9195999993826263E-2</v>
      </c>
      <c r="E218">
        <f ca="1">IF(B218&gt;0,C218-'Real Analysis'!$B$14,0)</f>
        <v>-3.5201923714271999E-3</v>
      </c>
      <c r="F218">
        <f t="shared" ca="1" si="19"/>
        <v>-2.7026423861055353E-2</v>
      </c>
      <c r="G218">
        <f t="shared" ca="1" si="15"/>
        <v>-5.0754683405636741E-2</v>
      </c>
      <c r="H218">
        <f ca="1">IF(AND(B218&gt;'Real Analysis'!$B$31,B218&lt;'Real Analysis'!$B$32),FilterInput(E218,'Real Analysis'!$B$26,'Real Analysis'!$B$27),0)</f>
        <v>0</v>
      </c>
      <c r="I218" t="e">
        <f>MEDIAN2("Real Values",H218,'Real Analysis'!$B$5,2)</f>
        <v>#VALUE!</v>
      </c>
      <c r="J218" t="e">
        <f>AVERAGE2("Real Values",I218,'Real Analysis'!$B$6,2)</f>
        <v>#VALUE!</v>
      </c>
      <c r="K218" t="e">
        <f>INTEGRAL2(J218,$B218,K217,J217,$B217,'Real Analysis'!$B$19)</f>
        <v>#VALUE!</v>
      </c>
      <c r="L218" t="e">
        <f>IF(AND(B218&lt;'Real Analysis'!$B$32,B218&gt;0),INTEGRAL2(K218,$B218,L217,K217,$B217,'Real Analysis'!$B$20),0)</f>
        <v>#VALUE!</v>
      </c>
      <c r="N218">
        <f>'Real Analysis'!$B$28*'Real Input'!U218+IF('Real Input'!U218 &gt; 0,'Real Analysis'!$B$29,0)</f>
        <v>0</v>
      </c>
      <c r="O218" t="e">
        <f t="shared" si="17"/>
        <v>#VALUE!</v>
      </c>
      <c r="P218" t="e">
        <f t="shared" si="18"/>
        <v>#VALUE!</v>
      </c>
    </row>
    <row r="219" spans="1:16" x14ac:dyDescent="0.3">
      <c r="A219">
        <v>217</v>
      </c>
      <c r="B219">
        <f>'Real Input'!M219</f>
        <v>4.3855949999997392</v>
      </c>
      <c r="C219">
        <f ca="1">INDIRECT(CONCATENATE("'Real Input'!",'Real Analysis'!$B$2,A219+2))</f>
        <v>9.8528402699999997</v>
      </c>
      <c r="D219">
        <f t="shared" si="16"/>
        <v>1.5142000003834255E-2</v>
      </c>
      <c r="E219">
        <f ca="1">IF(B219&gt;0,C219-'Real Analysis'!$B$14,0)</f>
        <v>-3.6575323714274077E-3</v>
      </c>
      <c r="F219">
        <f t="shared" ca="1" si="19"/>
        <v>-2.7081806216237531E-2</v>
      </c>
      <c r="G219">
        <f t="shared" ca="1" si="15"/>
        <v>-5.116475611546685E-2</v>
      </c>
      <c r="H219">
        <f ca="1">IF(AND(B219&gt;'Real Analysis'!$B$31,B219&lt;'Real Analysis'!$B$32),FilterInput(E219,'Real Analysis'!$B$26,'Real Analysis'!$B$27),0)</f>
        <v>0</v>
      </c>
      <c r="I219" t="e">
        <f>MEDIAN2("Real Values",H219,'Real Analysis'!$B$5,2)</f>
        <v>#VALUE!</v>
      </c>
      <c r="J219" t="e">
        <f>AVERAGE2("Real Values",I219,'Real Analysis'!$B$6,2)</f>
        <v>#VALUE!</v>
      </c>
      <c r="K219" t="e">
        <f>INTEGRAL2(J219,$B219,K218,J218,$B218,'Real Analysis'!$B$19)</f>
        <v>#VALUE!</v>
      </c>
      <c r="L219" t="e">
        <f>IF(AND(B219&lt;'Real Analysis'!$B$32,B219&gt;0),INTEGRAL2(K219,$B219,L218,K218,$B218,'Real Analysis'!$B$20),0)</f>
        <v>#VALUE!</v>
      </c>
      <c r="N219">
        <f>'Real Analysis'!$B$28*'Real Input'!U219+IF('Real Input'!U219 &gt; 0,'Real Analysis'!$B$29,0)</f>
        <v>0</v>
      </c>
      <c r="O219" t="e">
        <f t="shared" si="17"/>
        <v>#VALUE!</v>
      </c>
      <c r="P219" t="e">
        <f t="shared" si="18"/>
        <v>#VALUE!</v>
      </c>
    </row>
    <row r="220" spans="1:16" x14ac:dyDescent="0.3">
      <c r="A220">
        <v>218</v>
      </c>
      <c r="B220">
        <f>'Real Input'!M220</f>
        <v>4.4116510000021663</v>
      </c>
      <c r="C220">
        <f ca="1">INDIRECT(CONCATENATE("'Real Input'!",'Real Analysis'!$B$2,A220+2))</f>
        <v>9.8516140200000013</v>
      </c>
      <c r="D220">
        <f t="shared" si="16"/>
        <v>2.6056000002427027E-2</v>
      </c>
      <c r="E220">
        <f ca="1">IF(B220&gt;0,C220-'Real Analysis'!$B$14,0)</f>
        <v>-4.8837823714258377E-3</v>
      </c>
      <c r="F220">
        <f t="shared" ca="1" si="19"/>
        <v>-2.7209058049719258E-2</v>
      </c>
      <c r="G220">
        <f t="shared" ca="1" si="15"/>
        <v>-5.1873715332076374E-2</v>
      </c>
      <c r="H220">
        <f ca="1">IF(AND(B220&gt;'Real Analysis'!$B$31,B220&lt;'Real Analysis'!$B$32),FilterInput(E220,'Real Analysis'!$B$26,'Real Analysis'!$B$27),0)</f>
        <v>0</v>
      </c>
      <c r="I220" t="e">
        <f>MEDIAN2("Real Values",H220,'Real Analysis'!$B$5,2)</f>
        <v>#VALUE!</v>
      </c>
      <c r="J220" t="e">
        <f>AVERAGE2("Real Values",I220,'Real Analysis'!$B$6,2)</f>
        <v>#VALUE!</v>
      </c>
      <c r="K220" t="e">
        <f>INTEGRAL2(J220,$B220,K219,J219,$B219,'Real Analysis'!$B$19)</f>
        <v>#VALUE!</v>
      </c>
      <c r="L220" t="e">
        <f>IF(AND(B220&lt;'Real Analysis'!$B$32,B220&gt;0),INTEGRAL2(K220,$B220,L219,K219,$B219,'Real Analysis'!$B$20),0)</f>
        <v>#VALUE!</v>
      </c>
      <c r="N220">
        <f>'Real Analysis'!$B$28*'Real Input'!U220+IF('Real Input'!U220 &gt; 0,'Real Analysis'!$B$29,0)</f>
        <v>0</v>
      </c>
      <c r="O220" t="e">
        <f t="shared" si="17"/>
        <v>#VALUE!</v>
      </c>
      <c r="P220" t="e">
        <f t="shared" si="18"/>
        <v>#VALUE!</v>
      </c>
    </row>
    <row r="221" spans="1:16" x14ac:dyDescent="0.3">
      <c r="A221">
        <v>219</v>
      </c>
      <c r="B221">
        <f>'Real Input'!M221</f>
        <v>4.4319560000003548</v>
      </c>
      <c r="C221">
        <f ca="1">INDIRECT(CONCATENATE("'Real Input'!",'Real Analysis'!$B$2,A221+2))</f>
        <v>9.852261480000001</v>
      </c>
      <c r="D221">
        <f t="shared" si="16"/>
        <v>2.0304999998188578E-2</v>
      </c>
      <c r="E221">
        <f ca="1">IF(B221&gt;0,C221-'Real Analysis'!$B$14,0)</f>
        <v>-4.2363223714261267E-3</v>
      </c>
      <c r="F221">
        <f t="shared" ca="1" si="19"/>
        <v>-2.729507657546339E-2</v>
      </c>
      <c r="G221">
        <f t="shared" ca="1" si="15"/>
        <v>-5.2427941861891716E-2</v>
      </c>
      <c r="H221">
        <f ca="1">IF(AND(B221&gt;'Real Analysis'!$B$31,B221&lt;'Real Analysis'!$B$32),FilterInput(E221,'Real Analysis'!$B$26,'Real Analysis'!$B$27),0)</f>
        <v>0</v>
      </c>
      <c r="I221" t="e">
        <f>MEDIAN2("Real Values",H221,'Real Analysis'!$B$5,2)</f>
        <v>#VALUE!</v>
      </c>
      <c r="J221" t="e">
        <f>AVERAGE2("Real Values",I221,'Real Analysis'!$B$6,2)</f>
        <v>#VALUE!</v>
      </c>
      <c r="K221" t="e">
        <f>INTEGRAL2(J221,$B221,K220,J220,$B220,'Real Analysis'!$B$19)</f>
        <v>#VALUE!</v>
      </c>
      <c r="L221" t="e">
        <f>IF(AND(B221&lt;'Real Analysis'!$B$32,B221&gt;0),INTEGRAL2(K221,$B221,L220,K220,$B220,'Real Analysis'!$B$20),0)</f>
        <v>#VALUE!</v>
      </c>
      <c r="N221">
        <f>'Real Analysis'!$B$28*'Real Input'!U221+IF('Real Input'!U221 &gt; 0,'Real Analysis'!$B$29,0)</f>
        <v>0</v>
      </c>
      <c r="O221" t="e">
        <f t="shared" si="17"/>
        <v>#VALUE!</v>
      </c>
      <c r="P221" t="e">
        <f t="shared" si="18"/>
        <v>#VALUE!</v>
      </c>
    </row>
    <row r="222" spans="1:16" x14ac:dyDescent="0.3">
      <c r="A222">
        <v>220</v>
      </c>
      <c r="B222">
        <f>'Real Input'!M222</f>
        <v>4.450609000006807</v>
      </c>
      <c r="C222">
        <f ca="1">INDIRECT(CONCATENATE("'Real Input'!",'Real Analysis'!$B$2,A222+2))</f>
        <v>9.7839250199999999</v>
      </c>
      <c r="D222">
        <f t="shared" si="16"/>
        <v>1.8653000006452203E-2</v>
      </c>
      <c r="E222">
        <f ca="1">IF(B222&gt;0,C222-'Real Analysis'!$B$14,0)</f>
        <v>-7.257278237142728E-2</v>
      </c>
      <c r="F222">
        <f t="shared" ca="1" si="19"/>
        <v>-2.8648776685505879E-2</v>
      </c>
      <c r="G222">
        <f t="shared" ca="1" si="15"/>
        <v>-5.2962327493591303E-2</v>
      </c>
      <c r="H222">
        <f ca="1">IF(AND(B222&gt;'Real Analysis'!$B$31,B222&lt;'Real Analysis'!$B$32),FilterInput(E222,'Real Analysis'!$B$26,'Real Analysis'!$B$27),0)</f>
        <v>0</v>
      </c>
      <c r="I222" t="e">
        <f>MEDIAN2("Real Values",H222,'Real Analysis'!$B$5,2)</f>
        <v>#VALUE!</v>
      </c>
      <c r="J222" t="e">
        <f>AVERAGE2("Real Values",I222,'Real Analysis'!$B$6,2)</f>
        <v>#VALUE!</v>
      </c>
      <c r="K222" t="e">
        <f>INTEGRAL2(J222,$B222,K221,J221,$B221,'Real Analysis'!$B$19)</f>
        <v>#VALUE!</v>
      </c>
      <c r="L222" t="e">
        <f>IF(AND(B222&lt;'Real Analysis'!$B$32,B222&gt;0),INTEGRAL2(K222,$B222,L221,K221,$B221,'Real Analysis'!$B$20),0)</f>
        <v>#VALUE!</v>
      </c>
      <c r="N222">
        <f>'Real Analysis'!$B$28*'Real Input'!U222+IF('Real Input'!U222 &gt; 0,'Real Analysis'!$B$29,0)</f>
        <v>0</v>
      </c>
      <c r="O222" t="e">
        <f t="shared" si="17"/>
        <v>#VALUE!</v>
      </c>
      <c r="P222" t="e">
        <f t="shared" si="18"/>
        <v>#VALUE!</v>
      </c>
    </row>
    <row r="223" spans="1:16" x14ac:dyDescent="0.3">
      <c r="A223">
        <v>221</v>
      </c>
      <c r="B223">
        <f>'Real Input'!M223</f>
        <v>4.4711410000018077</v>
      </c>
      <c r="C223">
        <f ca="1">INDIRECT(CONCATENATE("'Real Input'!",'Real Analysis'!$B$2,A223+2))</f>
        <v>9.7957558799999997</v>
      </c>
      <c r="D223">
        <f t="shared" si="16"/>
        <v>2.053199999500066E-2</v>
      </c>
      <c r="E223">
        <f ca="1">IF(B223&gt;0,C223-'Real Analysis'!$B$14,0)</f>
        <v>-6.0741922371427393E-2</v>
      </c>
      <c r="F223">
        <f t="shared" ca="1" si="19"/>
        <v>-2.9895929835332357E-2</v>
      </c>
      <c r="G223">
        <f t="shared" ca="1" si="15"/>
        <v>-5.3576150724820887E-2</v>
      </c>
      <c r="H223">
        <f ca="1">IF(AND(B223&gt;'Real Analysis'!$B$31,B223&lt;'Real Analysis'!$B$32),FilterInput(E223,'Real Analysis'!$B$26,'Real Analysis'!$B$27),0)</f>
        <v>0</v>
      </c>
      <c r="I223" t="e">
        <f>MEDIAN2("Real Values",H223,'Real Analysis'!$B$5,2)</f>
        <v>#VALUE!</v>
      </c>
      <c r="J223" t="e">
        <f>AVERAGE2("Real Values",I223,'Real Analysis'!$B$6,2)</f>
        <v>#VALUE!</v>
      </c>
      <c r="K223" t="e">
        <f>INTEGRAL2(J223,$B223,K222,J222,$B222,'Real Analysis'!$B$19)</f>
        <v>#VALUE!</v>
      </c>
      <c r="L223" t="e">
        <f>IF(AND(B223&lt;'Real Analysis'!$B$32,B223&gt;0),INTEGRAL2(K223,$B223,L222,K222,$B222,'Real Analysis'!$B$20),0)</f>
        <v>#VALUE!</v>
      </c>
      <c r="N223">
        <f>'Real Analysis'!$B$28*'Real Input'!U223+IF('Real Input'!U223 &gt; 0,'Real Analysis'!$B$29,0)</f>
        <v>0</v>
      </c>
      <c r="O223" t="e">
        <f t="shared" si="17"/>
        <v>#VALUE!</v>
      </c>
      <c r="P223" t="e">
        <f t="shared" si="18"/>
        <v>#VALUE!</v>
      </c>
    </row>
    <row r="224" spans="1:16" x14ac:dyDescent="0.3">
      <c r="A224">
        <v>222</v>
      </c>
      <c r="B224">
        <f>'Real Input'!M224</f>
        <v>4.4914649999991525</v>
      </c>
      <c r="C224">
        <f ca="1">INDIRECT(CONCATENATE("'Real Input'!",'Real Analysis'!$B$2,A224+2))</f>
        <v>9.8635037400000005</v>
      </c>
      <c r="D224">
        <f t="shared" si="16"/>
        <v>2.0323999997344799E-2</v>
      </c>
      <c r="E224">
        <f ca="1">IF(B224&gt;0,C224-'Real Analysis'!$B$14,0)</f>
        <v>7.0059376285733777E-3</v>
      </c>
      <c r="F224">
        <f t="shared" ca="1" si="19"/>
        <v>-2.9753541158987835E-2</v>
      </c>
      <c r="G224">
        <f t="shared" ca="1" si="15"/>
        <v>-5.4180861695257154E-2</v>
      </c>
      <c r="H224">
        <f ca="1">IF(AND(B224&gt;'Real Analysis'!$B$31,B224&lt;'Real Analysis'!$B$32),FilterInput(E224,'Real Analysis'!$B$26,'Real Analysis'!$B$27),0)</f>
        <v>0</v>
      </c>
      <c r="I224" t="e">
        <f>MEDIAN2("Real Values",H224,'Real Analysis'!$B$5,2)</f>
        <v>#VALUE!</v>
      </c>
      <c r="J224" t="e">
        <f>AVERAGE2("Real Values",I224,'Real Analysis'!$B$6,2)</f>
        <v>#VALUE!</v>
      </c>
      <c r="K224" t="e">
        <f>INTEGRAL2(J224,$B224,K223,J223,$B223,'Real Analysis'!$B$19)</f>
        <v>#VALUE!</v>
      </c>
      <c r="L224" t="e">
        <f>IF(AND(B224&lt;'Real Analysis'!$B$32,B224&gt;0),INTEGRAL2(K224,$B224,L223,K223,$B223,'Real Analysis'!$B$20),0)</f>
        <v>#VALUE!</v>
      </c>
      <c r="N224">
        <f>'Real Analysis'!$B$28*'Real Input'!U224+IF('Real Input'!U224 &gt; 0,'Real Analysis'!$B$29,0)</f>
        <v>0</v>
      </c>
      <c r="O224" t="e">
        <f t="shared" si="17"/>
        <v>#VALUE!</v>
      </c>
      <c r="P224" t="e">
        <f t="shared" si="18"/>
        <v>#VALUE!</v>
      </c>
    </row>
    <row r="225" spans="1:16" x14ac:dyDescent="0.3">
      <c r="A225">
        <v>223</v>
      </c>
      <c r="B225">
        <f>'Real Input'!M225</f>
        <v>4.5113770000025397</v>
      </c>
      <c r="C225">
        <f ca="1">INDIRECT(CONCATENATE("'Real Input'!",'Real Analysis'!$B$2,A225+2))</f>
        <v>9.8469248400000016</v>
      </c>
      <c r="D225">
        <f t="shared" si="16"/>
        <v>1.991200000338722E-2</v>
      </c>
      <c r="E225">
        <f ca="1">IF(B225&gt;0,C225-'Real Analysis'!$B$14,0)</f>
        <v>-9.5729623714255752E-3</v>
      </c>
      <c r="F225">
        <f t="shared" ca="1" si="19"/>
        <v>-2.9944157985760087E-2</v>
      </c>
      <c r="G225">
        <f t="shared" ref="G225:G288" ca="1" si="20">IF(B225&gt;0,G224+F225*$D225,0)</f>
        <v>-5.4777109769171037E-2</v>
      </c>
      <c r="H225">
        <f ca="1">IF(AND(B225&gt;'Real Analysis'!$B$31,B225&lt;'Real Analysis'!$B$32),FilterInput(E225,'Real Analysis'!$B$26,'Real Analysis'!$B$27),0)</f>
        <v>0</v>
      </c>
      <c r="I225" t="e">
        <f>MEDIAN2("Real Values",H225,'Real Analysis'!$B$5,2)</f>
        <v>#VALUE!</v>
      </c>
      <c r="J225" t="e">
        <f>AVERAGE2("Real Values",I225,'Real Analysis'!$B$6,2)</f>
        <v>#VALUE!</v>
      </c>
      <c r="K225" t="e">
        <f>INTEGRAL2(J225,$B225,K224,J224,$B224,'Real Analysis'!$B$19)</f>
        <v>#VALUE!</v>
      </c>
      <c r="L225" t="e">
        <f>IF(AND(B225&lt;'Real Analysis'!$B$32,B225&gt;0),INTEGRAL2(K225,$B225,L224,K224,$B224,'Real Analysis'!$B$20),0)</f>
        <v>#VALUE!</v>
      </c>
      <c r="N225">
        <f>'Real Analysis'!$B$28*'Real Input'!U225+IF('Real Input'!U225 &gt; 0,'Real Analysis'!$B$29,0)</f>
        <v>0</v>
      </c>
      <c r="O225" t="e">
        <f t="shared" si="17"/>
        <v>#VALUE!</v>
      </c>
      <c r="P225" t="e">
        <f t="shared" si="18"/>
        <v>#VALUE!</v>
      </c>
    </row>
    <row r="226" spans="1:16" x14ac:dyDescent="0.3">
      <c r="A226">
        <v>224</v>
      </c>
      <c r="B226">
        <f>'Real Input'!M226</f>
        <v>4.5335110000014538</v>
      </c>
      <c r="C226">
        <f ca="1">INDIRECT(CONCATENATE("'Real Input'!",'Real Analysis'!$B$2,A226+2))</f>
        <v>9.8517023100000003</v>
      </c>
      <c r="D226">
        <f t="shared" si="16"/>
        <v>2.2133999998914078E-2</v>
      </c>
      <c r="E226">
        <f ca="1">IF(B226&gt;0,C226-'Real Analysis'!$B$14,0)</f>
        <v>-4.795492371426846E-3</v>
      </c>
      <c r="F226">
        <f t="shared" ca="1" si="19"/>
        <v>-3.0050301413904041E-2</v>
      </c>
      <c r="G226">
        <f t="shared" ca="1" si="20"/>
        <v>-5.5442243140633757E-2</v>
      </c>
      <c r="H226">
        <f ca="1">IF(AND(B226&gt;'Real Analysis'!$B$31,B226&lt;'Real Analysis'!$B$32),FilterInput(E226,'Real Analysis'!$B$26,'Real Analysis'!$B$27),0)</f>
        <v>0</v>
      </c>
      <c r="I226" t="e">
        <f>MEDIAN2("Real Values",H226,'Real Analysis'!$B$5,2)</f>
        <v>#VALUE!</v>
      </c>
      <c r="J226" t="e">
        <f>AVERAGE2("Real Values",I226,'Real Analysis'!$B$6,2)</f>
        <v>#VALUE!</v>
      </c>
      <c r="K226" t="e">
        <f>INTEGRAL2(J226,$B226,K225,J225,$B225,'Real Analysis'!$B$19)</f>
        <v>#VALUE!</v>
      </c>
      <c r="L226" t="e">
        <f>IF(AND(B226&lt;'Real Analysis'!$B$32,B226&gt;0),INTEGRAL2(K226,$B226,L225,K225,$B225,'Real Analysis'!$B$20),0)</f>
        <v>#VALUE!</v>
      </c>
      <c r="N226">
        <f>'Real Analysis'!$B$28*'Real Input'!U226+IF('Real Input'!U226 &gt; 0,'Real Analysis'!$B$29,0)</f>
        <v>0</v>
      </c>
      <c r="O226" t="e">
        <f t="shared" si="17"/>
        <v>#VALUE!</v>
      </c>
      <c r="P226" t="e">
        <f t="shared" si="18"/>
        <v>#VALUE!</v>
      </c>
    </row>
    <row r="227" spans="1:16" x14ac:dyDescent="0.3">
      <c r="A227">
        <v>225</v>
      </c>
      <c r="B227">
        <f>'Real Input'!M227</f>
        <v>4.5518880000017816</v>
      </c>
      <c r="C227">
        <f ca="1">INDIRECT(CONCATENATE("'Real Input'!",'Real Analysis'!$B$2,A227+2))</f>
        <v>9.8535269700000008</v>
      </c>
      <c r="D227">
        <f t="shared" si="16"/>
        <v>1.8377000000327826E-2</v>
      </c>
      <c r="E227">
        <f ca="1">IF(B227&gt;0,C227-'Real Analysis'!$B$14,0)</f>
        <v>-2.9708323714263685E-3</v>
      </c>
      <c r="F227">
        <f t="shared" ca="1" si="19"/>
        <v>-3.0104896400394716E-2</v>
      </c>
      <c r="G227">
        <f t="shared" ca="1" si="20"/>
        <v>-5.5995480821793682E-2</v>
      </c>
      <c r="H227">
        <f ca="1">IF(AND(B227&gt;'Real Analysis'!$B$31,B227&lt;'Real Analysis'!$B$32),FilterInput(E227,'Real Analysis'!$B$26,'Real Analysis'!$B$27),0)</f>
        <v>0</v>
      </c>
      <c r="I227" t="e">
        <f>MEDIAN2("Real Values",H227,'Real Analysis'!$B$5,2)</f>
        <v>#VALUE!</v>
      </c>
      <c r="J227" t="e">
        <f>AVERAGE2("Real Values",I227,'Real Analysis'!$B$6,2)</f>
        <v>#VALUE!</v>
      </c>
      <c r="K227" t="e">
        <f>INTEGRAL2(J227,$B227,K226,J226,$B226,'Real Analysis'!$B$19)</f>
        <v>#VALUE!</v>
      </c>
      <c r="L227" t="e">
        <f>IF(AND(B227&lt;'Real Analysis'!$B$32,B227&gt;0),INTEGRAL2(K227,$B227,L226,K226,$B226,'Real Analysis'!$B$20),0)</f>
        <v>#VALUE!</v>
      </c>
      <c r="N227">
        <f>'Real Analysis'!$B$28*'Real Input'!U227+IF('Real Input'!U227 &gt; 0,'Real Analysis'!$B$29,0)</f>
        <v>0</v>
      </c>
      <c r="O227" t="e">
        <f t="shared" si="17"/>
        <v>#VALUE!</v>
      </c>
      <c r="P227" t="e">
        <f t="shared" si="18"/>
        <v>#VALUE!</v>
      </c>
    </row>
    <row r="228" spans="1:16" x14ac:dyDescent="0.3">
      <c r="A228">
        <v>226</v>
      </c>
      <c r="B228">
        <f>'Real Input'!M228</f>
        <v>4.5727159999951255</v>
      </c>
      <c r="C228">
        <f ca="1">INDIRECT(CONCATENATE("'Real Input'!",'Real Analysis'!$B$2,A228+2))</f>
        <v>9.8505349200000012</v>
      </c>
      <c r="D228">
        <f t="shared" si="16"/>
        <v>2.0827999993343838E-2</v>
      </c>
      <c r="E228">
        <f ca="1">IF(B228&gt;0,C228-'Real Analysis'!$B$14,0)</f>
        <v>-5.9628823714259482E-3</v>
      </c>
      <c r="F228">
        <f t="shared" ca="1" si="19"/>
        <v>-3.0229091314387085E-2</v>
      </c>
      <c r="G228">
        <f t="shared" ca="1" si="20"/>
        <v>-5.6625092335488528E-2</v>
      </c>
      <c r="H228">
        <f ca="1">IF(AND(B228&gt;'Real Analysis'!$B$31,B228&lt;'Real Analysis'!$B$32),FilterInput(E228,'Real Analysis'!$B$26,'Real Analysis'!$B$27),0)</f>
        <v>0</v>
      </c>
      <c r="I228" t="e">
        <f>MEDIAN2("Real Values",H228,'Real Analysis'!$B$5,2)</f>
        <v>#VALUE!</v>
      </c>
      <c r="J228" t="e">
        <f>AVERAGE2("Real Values",I228,'Real Analysis'!$B$6,2)</f>
        <v>#VALUE!</v>
      </c>
      <c r="K228" t="e">
        <f>INTEGRAL2(J228,$B228,K227,J227,$B227,'Real Analysis'!$B$19)</f>
        <v>#VALUE!</v>
      </c>
      <c r="L228" t="e">
        <f>IF(AND(B228&lt;'Real Analysis'!$B$32,B228&gt;0),INTEGRAL2(K228,$B228,L227,K227,$B227,'Real Analysis'!$B$20),0)</f>
        <v>#VALUE!</v>
      </c>
      <c r="N228">
        <f>'Real Analysis'!$B$28*'Real Input'!U228+IF('Real Input'!U228 &gt; 0,'Real Analysis'!$B$29,0)</f>
        <v>0</v>
      </c>
      <c r="O228" t="e">
        <f t="shared" si="17"/>
        <v>#VALUE!</v>
      </c>
      <c r="P228" t="e">
        <f t="shared" si="18"/>
        <v>#VALUE!</v>
      </c>
    </row>
    <row r="229" spans="1:16" x14ac:dyDescent="0.3">
      <c r="A229">
        <v>227</v>
      </c>
      <c r="B229">
        <f>'Real Input'!M229</f>
        <v>4.5875990000058664</v>
      </c>
      <c r="C229">
        <f ca="1">INDIRECT(CONCATENATE("'Real Input'!",'Real Analysis'!$B$2,A229+2))</f>
        <v>9.8509371300000002</v>
      </c>
      <c r="D229">
        <f t="shared" si="16"/>
        <v>1.4883000010740943E-2</v>
      </c>
      <c r="E229">
        <f ca="1">IF(B229&gt;0,C229-'Real Analysis'!$B$14,0)</f>
        <v>-5.560672371426989E-3</v>
      </c>
      <c r="F229">
        <f t="shared" ca="1" si="19"/>
        <v>-3.0311850801350761E-2</v>
      </c>
      <c r="G229">
        <f t="shared" ca="1" si="20"/>
        <v>-5.7076223611290611E-2</v>
      </c>
      <c r="H229">
        <f ca="1">IF(AND(B229&gt;'Real Analysis'!$B$31,B229&lt;'Real Analysis'!$B$32),FilterInput(E229,'Real Analysis'!$B$26,'Real Analysis'!$B$27),0)</f>
        <v>0</v>
      </c>
      <c r="I229" t="e">
        <f>MEDIAN2("Real Values",H229,'Real Analysis'!$B$5,2)</f>
        <v>#VALUE!</v>
      </c>
      <c r="J229" t="e">
        <f>AVERAGE2("Real Values",I229,'Real Analysis'!$B$6,2)</f>
        <v>#VALUE!</v>
      </c>
      <c r="K229" t="e">
        <f>INTEGRAL2(J229,$B229,K228,J228,$B228,'Real Analysis'!$B$19)</f>
        <v>#VALUE!</v>
      </c>
      <c r="L229" t="e">
        <f>IF(AND(B229&lt;'Real Analysis'!$B$32,B229&gt;0),INTEGRAL2(K229,$B229,L228,K228,$B228,'Real Analysis'!$B$20),0)</f>
        <v>#VALUE!</v>
      </c>
      <c r="N229">
        <f>'Real Analysis'!$B$28*'Real Input'!U229+IF('Real Input'!U229 &gt; 0,'Real Analysis'!$B$29,0)</f>
        <v>0</v>
      </c>
      <c r="O229" t="e">
        <f t="shared" si="17"/>
        <v>#VALUE!</v>
      </c>
      <c r="P229" t="e">
        <f t="shared" si="18"/>
        <v>#VALUE!</v>
      </c>
    </row>
    <row r="230" spans="1:16" x14ac:dyDescent="0.3">
      <c r="A230">
        <v>228</v>
      </c>
      <c r="B230">
        <f>'Real Input'!M230</f>
        <v>4.6115790000039851</v>
      </c>
      <c r="C230">
        <f ca="1">INDIRECT(CONCATENATE("'Real Input'!",'Real Analysis'!$B$2,A230+2))</f>
        <v>9.8508390299999995</v>
      </c>
      <c r="D230">
        <f t="shared" si="16"/>
        <v>2.3979999998118728E-2</v>
      </c>
      <c r="E230">
        <f ca="1">IF(B230&gt;0,C230-'Real Analysis'!$B$14,0)</f>
        <v>-5.658772371427645E-3</v>
      </c>
      <c r="F230">
        <f t="shared" ca="1" si="19"/>
        <v>-3.044754816280695E-2</v>
      </c>
      <c r="G230">
        <f t="shared" ca="1" si="20"/>
        <v>-5.7806355816177442E-2</v>
      </c>
      <c r="H230">
        <f ca="1">IF(AND(B230&gt;'Real Analysis'!$B$31,B230&lt;'Real Analysis'!$B$32),FilterInput(E230,'Real Analysis'!$B$26,'Real Analysis'!$B$27),0)</f>
        <v>0</v>
      </c>
      <c r="I230" t="e">
        <f>MEDIAN2("Real Values",H230,'Real Analysis'!$B$5,2)</f>
        <v>#VALUE!</v>
      </c>
      <c r="J230" t="e">
        <f>AVERAGE2("Real Values",I230,'Real Analysis'!$B$6,2)</f>
        <v>#VALUE!</v>
      </c>
      <c r="K230" t="e">
        <f>INTEGRAL2(J230,$B230,K229,J229,$B229,'Real Analysis'!$B$19)</f>
        <v>#VALUE!</v>
      </c>
      <c r="L230" t="e">
        <f>IF(AND(B230&lt;'Real Analysis'!$B$32,B230&gt;0),INTEGRAL2(K230,$B230,L229,K229,$B229,'Real Analysis'!$B$20),0)</f>
        <v>#VALUE!</v>
      </c>
      <c r="N230">
        <f>'Real Analysis'!$B$28*'Real Input'!U230+IF('Real Input'!U230 &gt; 0,'Real Analysis'!$B$29,0)</f>
        <v>0</v>
      </c>
      <c r="O230" t="e">
        <f t="shared" si="17"/>
        <v>#VALUE!</v>
      </c>
      <c r="P230" t="e">
        <f t="shared" si="18"/>
        <v>#VALUE!</v>
      </c>
    </row>
    <row r="231" spans="1:16" x14ac:dyDescent="0.3">
      <c r="A231">
        <v>229</v>
      </c>
      <c r="B231">
        <f>'Real Input'!M231</f>
        <v>4.6289269999979297</v>
      </c>
      <c r="C231">
        <f ca="1">INDIRECT(CONCATENATE("'Real Input'!",'Real Analysis'!$B$2,A231+2))</f>
        <v>9.8518985099999998</v>
      </c>
      <c r="D231">
        <f t="shared" si="16"/>
        <v>1.7347999993944541E-2</v>
      </c>
      <c r="E231">
        <f ca="1">IF(B231&gt;0,C231-'Real Analysis'!$B$14,0)</f>
        <v>-4.5992923714273104E-3</v>
      </c>
      <c r="F231">
        <f t="shared" ca="1" si="19"/>
        <v>-3.0527336686838619E-2</v>
      </c>
      <c r="G231">
        <f t="shared" ca="1" si="20"/>
        <v>-5.8335944052835861E-2</v>
      </c>
      <c r="H231">
        <f ca="1">IF(AND(B231&gt;'Real Analysis'!$B$31,B231&lt;'Real Analysis'!$B$32),FilterInput(E231,'Real Analysis'!$B$26,'Real Analysis'!$B$27),0)</f>
        <v>0</v>
      </c>
      <c r="I231" t="e">
        <f>MEDIAN2("Real Values",H231,'Real Analysis'!$B$5,2)</f>
        <v>#VALUE!</v>
      </c>
      <c r="J231" t="e">
        <f>AVERAGE2("Real Values",I231,'Real Analysis'!$B$6,2)</f>
        <v>#VALUE!</v>
      </c>
      <c r="K231" t="e">
        <f>INTEGRAL2(J231,$B231,K230,J230,$B230,'Real Analysis'!$B$19)</f>
        <v>#VALUE!</v>
      </c>
      <c r="L231" t="e">
        <f>IF(AND(B231&lt;'Real Analysis'!$B$32,B231&gt;0),INTEGRAL2(K231,$B231,L230,K230,$B230,'Real Analysis'!$B$20),0)</f>
        <v>#VALUE!</v>
      </c>
      <c r="N231">
        <f>'Real Analysis'!$B$28*'Real Input'!U231+IF('Real Input'!U231 &gt; 0,'Real Analysis'!$B$29,0)</f>
        <v>0</v>
      </c>
      <c r="O231" t="e">
        <f t="shared" si="17"/>
        <v>#VALUE!</v>
      </c>
      <c r="P231" t="e">
        <f t="shared" si="18"/>
        <v>#VALUE!</v>
      </c>
    </row>
    <row r="232" spans="1:16" x14ac:dyDescent="0.3">
      <c r="A232">
        <v>230</v>
      </c>
      <c r="B232">
        <f>'Real Input'!M232</f>
        <v>4.6466459999937797</v>
      </c>
      <c r="C232">
        <f ca="1">INDIRECT(CONCATENATE("'Real Input'!",'Real Analysis'!$B$2,A232+2))</f>
        <v>9.8537526</v>
      </c>
      <c r="D232">
        <f t="shared" si="16"/>
        <v>1.7718999995850027E-2</v>
      </c>
      <c r="E232">
        <f ca="1">IF(B232&gt;0,C232-'Real Analysis'!$B$14,0)</f>
        <v>-2.7452023714271689E-3</v>
      </c>
      <c r="F232">
        <f t="shared" ca="1" si="19"/>
        <v>-3.0575978927646547E-2</v>
      </c>
      <c r="G232">
        <f t="shared" ca="1" si="20"/>
        <v>-5.8877719823327943E-2</v>
      </c>
      <c r="H232">
        <f ca="1">IF(AND(B232&gt;'Real Analysis'!$B$31,B232&lt;'Real Analysis'!$B$32),FilterInput(E232,'Real Analysis'!$B$26,'Real Analysis'!$B$27),0)</f>
        <v>0</v>
      </c>
      <c r="I232" t="e">
        <f>MEDIAN2("Real Values",H232,'Real Analysis'!$B$5,2)</f>
        <v>#VALUE!</v>
      </c>
      <c r="J232" t="e">
        <f>AVERAGE2("Real Values",I232,'Real Analysis'!$B$6,2)</f>
        <v>#VALUE!</v>
      </c>
      <c r="K232" t="e">
        <f>INTEGRAL2(J232,$B232,K231,J231,$B231,'Real Analysis'!$B$19)</f>
        <v>#VALUE!</v>
      </c>
      <c r="L232" t="e">
        <f>IF(AND(B232&lt;'Real Analysis'!$B$32,B232&gt;0),INTEGRAL2(K232,$B232,L231,K231,$B231,'Real Analysis'!$B$20),0)</f>
        <v>#VALUE!</v>
      </c>
      <c r="N232">
        <f>'Real Analysis'!$B$28*'Real Input'!U232+IF('Real Input'!U232 &gt; 0,'Real Analysis'!$B$29,0)</f>
        <v>0</v>
      </c>
      <c r="O232" t="e">
        <f t="shared" si="17"/>
        <v>#VALUE!</v>
      </c>
      <c r="P232" t="e">
        <f t="shared" si="18"/>
        <v>#VALUE!</v>
      </c>
    </row>
    <row r="233" spans="1:16" x14ac:dyDescent="0.3">
      <c r="A233">
        <v>231</v>
      </c>
      <c r="B233">
        <f>'Real Input'!M233</f>
        <v>4.6679900000017369</v>
      </c>
      <c r="C233">
        <f ca="1">INDIRECT(CONCATENATE("'Real Input'!",'Real Analysis'!$B$2,A233+2))</f>
        <v>9.8383901399999996</v>
      </c>
      <c r="D233">
        <f t="shared" si="16"/>
        <v>2.134400000795722E-2</v>
      </c>
      <c r="E233">
        <f ca="1">IF(B233&gt;0,C233-'Real Analysis'!$B$14,0)</f>
        <v>-1.810766237142758E-2</v>
      </c>
      <c r="F233">
        <f t="shared" ca="1" si="19"/>
        <v>-3.0962468873446385E-2</v>
      </c>
      <c r="G233">
        <f t="shared" ca="1" si="20"/>
        <v>-5.953858275920916E-2</v>
      </c>
      <c r="H233">
        <f ca="1">IF(AND(B233&gt;'Real Analysis'!$B$31,B233&lt;'Real Analysis'!$B$32),FilterInput(E233,'Real Analysis'!$B$26,'Real Analysis'!$B$27),0)</f>
        <v>0</v>
      </c>
      <c r="I233" t="e">
        <f>MEDIAN2("Real Values",H233,'Real Analysis'!$B$5,2)</f>
        <v>#VALUE!</v>
      </c>
      <c r="J233" t="e">
        <f>AVERAGE2("Real Values",I233,'Real Analysis'!$B$6,2)</f>
        <v>#VALUE!</v>
      </c>
      <c r="K233" t="e">
        <f>INTEGRAL2(J233,$B233,K232,J232,$B232,'Real Analysis'!$B$19)</f>
        <v>#VALUE!</v>
      </c>
      <c r="L233" t="e">
        <f>IF(AND(B233&lt;'Real Analysis'!$B$32,B233&gt;0),INTEGRAL2(K233,$B233,L232,K232,$B232,'Real Analysis'!$B$20),0)</f>
        <v>#VALUE!</v>
      </c>
      <c r="N233">
        <f>'Real Analysis'!$B$28*'Real Input'!U233+IF('Real Input'!U233 &gt; 0,'Real Analysis'!$B$29,0)</f>
        <v>0</v>
      </c>
      <c r="O233" t="e">
        <f t="shared" si="17"/>
        <v>#VALUE!</v>
      </c>
      <c r="P233" t="e">
        <f t="shared" si="18"/>
        <v>#VALUE!</v>
      </c>
    </row>
    <row r="234" spans="1:16" x14ac:dyDescent="0.3">
      <c r="A234">
        <v>232</v>
      </c>
      <c r="B234">
        <f>'Real Input'!M234</f>
        <v>4.6924699999945005</v>
      </c>
      <c r="C234">
        <f ca="1">INDIRECT(CONCATENATE("'Real Input'!",'Real Analysis'!$B$2,A234+2))</f>
        <v>9.8383999500000012</v>
      </c>
      <c r="D234">
        <f t="shared" si="16"/>
        <v>2.4479999992763624E-2</v>
      </c>
      <c r="E234">
        <f ca="1">IF(B234&gt;0,C234-'Real Analysis'!$B$14,0)</f>
        <v>-1.8097852371425915E-2</v>
      </c>
      <c r="F234">
        <f t="shared" ca="1" si="19"/>
        <v>-3.1405504299367927E-2</v>
      </c>
      <c r="G234">
        <f t="shared" ca="1" si="20"/>
        <v>-6.0307389504230424E-2</v>
      </c>
      <c r="H234">
        <f ca="1">IF(AND(B234&gt;'Real Analysis'!$B$31,B234&lt;'Real Analysis'!$B$32),FilterInput(E234,'Real Analysis'!$B$26,'Real Analysis'!$B$27),0)</f>
        <v>0</v>
      </c>
      <c r="I234" t="e">
        <f>MEDIAN2("Real Values",H234,'Real Analysis'!$B$5,2)</f>
        <v>#VALUE!</v>
      </c>
      <c r="J234" t="e">
        <f>AVERAGE2("Real Values",I234,'Real Analysis'!$B$6,2)</f>
        <v>#VALUE!</v>
      </c>
      <c r="K234" t="e">
        <f>INTEGRAL2(J234,$B234,K233,J233,$B233,'Real Analysis'!$B$19)</f>
        <v>#VALUE!</v>
      </c>
      <c r="L234" t="e">
        <f>IF(AND(B234&lt;'Real Analysis'!$B$32,B234&gt;0),INTEGRAL2(K234,$B234,L233,K233,$B233,'Real Analysis'!$B$20),0)</f>
        <v>#VALUE!</v>
      </c>
      <c r="N234">
        <f>'Real Analysis'!$B$28*'Real Input'!U234+IF('Real Input'!U234 &gt; 0,'Real Analysis'!$B$29,0)</f>
        <v>0</v>
      </c>
      <c r="O234" t="e">
        <f t="shared" si="17"/>
        <v>#VALUE!</v>
      </c>
      <c r="P234" t="e">
        <f t="shared" si="18"/>
        <v>#VALUE!</v>
      </c>
    </row>
    <row r="235" spans="1:16" x14ac:dyDescent="0.3">
      <c r="A235">
        <v>233</v>
      </c>
      <c r="B235">
        <f>'Real Input'!M235</f>
        <v>4.7072829999960959</v>
      </c>
      <c r="C235">
        <f ca="1">INDIRECT(CONCATENATE("'Real Input'!",'Real Analysis'!$B$2,A235+2))</f>
        <v>9.8626012200000019</v>
      </c>
      <c r="D235">
        <f t="shared" si="16"/>
        <v>1.4813000001595356E-2</v>
      </c>
      <c r="E235">
        <f ca="1">IF(B235&gt;0,C235-'Real Analysis'!$B$14,0)</f>
        <v>6.1034176285748032E-3</v>
      </c>
      <c r="F235">
        <f t="shared" ca="1" si="19"/>
        <v>-3.131509437402611E-2</v>
      </c>
      <c r="G235">
        <f t="shared" ca="1" si="20"/>
        <v>-6.0771259997242831E-2</v>
      </c>
      <c r="H235">
        <f ca="1">IF(AND(B235&gt;'Real Analysis'!$B$31,B235&lt;'Real Analysis'!$B$32),FilterInput(E235,'Real Analysis'!$B$26,'Real Analysis'!$B$27),0)</f>
        <v>0</v>
      </c>
      <c r="I235" t="e">
        <f>MEDIAN2("Real Values",H235,'Real Analysis'!$B$5,2)</f>
        <v>#VALUE!</v>
      </c>
      <c r="J235" t="e">
        <f>AVERAGE2("Real Values",I235,'Real Analysis'!$B$6,2)</f>
        <v>#VALUE!</v>
      </c>
      <c r="K235" t="e">
        <f>INTEGRAL2(J235,$B235,K234,J234,$B234,'Real Analysis'!$B$19)</f>
        <v>#VALUE!</v>
      </c>
      <c r="L235" t="e">
        <f>IF(AND(B235&lt;'Real Analysis'!$B$32,B235&gt;0),INTEGRAL2(K235,$B235,L234,K234,$B234,'Real Analysis'!$B$20),0)</f>
        <v>#VALUE!</v>
      </c>
      <c r="N235">
        <f>'Real Analysis'!$B$28*'Real Input'!U235+IF('Real Input'!U235 &gt; 0,'Real Analysis'!$B$29,0)</f>
        <v>0</v>
      </c>
      <c r="O235" t="e">
        <f t="shared" si="17"/>
        <v>#VALUE!</v>
      </c>
      <c r="P235" t="e">
        <f t="shared" si="18"/>
        <v>#VALUE!</v>
      </c>
    </row>
    <row r="236" spans="1:16" x14ac:dyDescent="0.3">
      <c r="A236">
        <v>234</v>
      </c>
      <c r="B236">
        <f>'Real Input'!M236</f>
        <v>4.7321640000009211</v>
      </c>
      <c r="C236">
        <f ca="1">INDIRECT(CONCATENATE("'Real Input'!",'Real Analysis'!$B$2,A236+2))</f>
        <v>9.8561756700000007</v>
      </c>
      <c r="D236">
        <f t="shared" si="16"/>
        <v>2.4881000004825182E-2</v>
      </c>
      <c r="E236">
        <f ca="1">IF(B236&gt;0,C236-'Real Analysis'!$B$14,0)</f>
        <v>-3.2213237142642015E-4</v>
      </c>
      <c r="F236">
        <f t="shared" ca="1" si="19"/>
        <v>-3.1323109349561125E-2</v>
      </c>
      <c r="G236">
        <f t="shared" ca="1" si="20"/>
        <v>-6.1550610281120403E-2</v>
      </c>
      <c r="H236">
        <f ca="1">IF(AND(B236&gt;'Real Analysis'!$B$31,B236&lt;'Real Analysis'!$B$32),FilterInput(E236,'Real Analysis'!$B$26,'Real Analysis'!$B$27),0)</f>
        <v>0</v>
      </c>
      <c r="I236" t="e">
        <f>MEDIAN2("Real Values",H236,'Real Analysis'!$B$5,2)</f>
        <v>#VALUE!</v>
      </c>
      <c r="J236" t="e">
        <f>AVERAGE2("Real Values",I236,'Real Analysis'!$B$6,2)</f>
        <v>#VALUE!</v>
      </c>
      <c r="K236" t="e">
        <f>INTEGRAL2(J236,$B236,K235,J235,$B235,'Real Analysis'!$B$19)</f>
        <v>#VALUE!</v>
      </c>
      <c r="L236" t="e">
        <f>IF(AND(B236&lt;'Real Analysis'!$B$32,B236&gt;0),INTEGRAL2(K236,$B236,L235,K235,$B235,'Real Analysis'!$B$20),0)</f>
        <v>#VALUE!</v>
      </c>
      <c r="N236">
        <f>'Real Analysis'!$B$28*'Real Input'!U236+IF('Real Input'!U236 &gt; 0,'Real Analysis'!$B$29,0)</f>
        <v>0</v>
      </c>
      <c r="O236" t="e">
        <f t="shared" si="17"/>
        <v>#VALUE!</v>
      </c>
      <c r="P236" t="e">
        <f t="shared" si="18"/>
        <v>#VALUE!</v>
      </c>
    </row>
    <row r="237" spans="1:16" x14ac:dyDescent="0.3">
      <c r="A237">
        <v>235</v>
      </c>
      <c r="B237">
        <f>'Real Input'!M237</f>
        <v>4.7488690000027418</v>
      </c>
      <c r="C237">
        <f ca="1">INDIRECT(CONCATENATE("'Real Input'!",'Real Analysis'!$B$2,A237+2))</f>
        <v>9.8522909100000007</v>
      </c>
      <c r="D237">
        <f t="shared" si="16"/>
        <v>1.6705000001820736E-2</v>
      </c>
      <c r="E237">
        <f ca="1">IF(B237&gt;0,C237-'Real Analysis'!$B$14,0)</f>
        <v>-4.2068923714264628E-3</v>
      </c>
      <c r="F237">
        <f t="shared" ca="1" si="19"/>
        <v>-3.1393385486633466E-2</v>
      </c>
      <c r="G237">
        <f t="shared" ca="1" si="20"/>
        <v>-6.2075036785731771E-2</v>
      </c>
      <c r="H237">
        <f ca="1">IF(AND(B237&gt;'Real Analysis'!$B$31,B237&lt;'Real Analysis'!$B$32),FilterInput(E237,'Real Analysis'!$B$26,'Real Analysis'!$B$27),0)</f>
        <v>0</v>
      </c>
      <c r="I237" t="e">
        <f>MEDIAN2("Real Values",H237,'Real Analysis'!$B$5,2)</f>
        <v>#VALUE!</v>
      </c>
      <c r="J237" t="e">
        <f>AVERAGE2("Real Values",I237,'Real Analysis'!$B$6,2)</f>
        <v>#VALUE!</v>
      </c>
      <c r="K237" t="e">
        <f>INTEGRAL2(J237,$B237,K236,J236,$B236,'Real Analysis'!$B$19)</f>
        <v>#VALUE!</v>
      </c>
      <c r="L237" t="e">
        <f>IF(AND(B237&lt;'Real Analysis'!$B$32,B237&gt;0),INTEGRAL2(K237,$B237,L236,K236,$B236,'Real Analysis'!$B$20),0)</f>
        <v>#VALUE!</v>
      </c>
      <c r="N237">
        <f>'Real Analysis'!$B$28*'Real Input'!U237+IF('Real Input'!U237 &gt; 0,'Real Analysis'!$B$29,0)</f>
        <v>0</v>
      </c>
      <c r="O237" t="e">
        <f t="shared" si="17"/>
        <v>#VALUE!</v>
      </c>
      <c r="P237" t="e">
        <f t="shared" si="18"/>
        <v>#VALUE!</v>
      </c>
    </row>
    <row r="238" spans="1:16" x14ac:dyDescent="0.3">
      <c r="A238">
        <v>236</v>
      </c>
      <c r="B238">
        <f>'Real Input'!M238</f>
        <v>4.7680560000007972</v>
      </c>
      <c r="C238">
        <f ca="1">INDIRECT(CONCATENATE("'Real Input'!",'Real Analysis'!$B$2,A238+2))</f>
        <v>9.85499847</v>
      </c>
      <c r="D238">
        <f t="shared" si="16"/>
        <v>1.9186999998055398E-2</v>
      </c>
      <c r="E238">
        <f ca="1">IF(B238&gt;0,C238-'Real Analysis'!$B$14,0)</f>
        <v>-1.4993323714271867E-3</v>
      </c>
      <c r="F238">
        <f t="shared" ca="1" si="19"/>
        <v>-3.1422153176841126E-2</v>
      </c>
      <c r="G238">
        <f t="shared" ca="1" si="20"/>
        <v>-6.2677933638674715E-2</v>
      </c>
      <c r="H238">
        <f ca="1">IF(AND(B238&gt;'Real Analysis'!$B$31,B238&lt;'Real Analysis'!$B$32),FilterInput(E238,'Real Analysis'!$B$26,'Real Analysis'!$B$27),0)</f>
        <v>0</v>
      </c>
      <c r="I238" t="e">
        <f>MEDIAN2("Real Values",H238,'Real Analysis'!$B$5,2)</f>
        <v>#VALUE!</v>
      </c>
      <c r="J238" t="e">
        <f>AVERAGE2("Real Values",I238,'Real Analysis'!$B$6,2)</f>
        <v>#VALUE!</v>
      </c>
      <c r="K238" t="e">
        <f>INTEGRAL2(J238,$B238,K237,J237,$B237,'Real Analysis'!$B$19)</f>
        <v>#VALUE!</v>
      </c>
      <c r="L238" t="e">
        <f>IF(AND(B238&lt;'Real Analysis'!$B$32,B238&gt;0),INTEGRAL2(K238,$B238,L237,K237,$B237,'Real Analysis'!$B$20),0)</f>
        <v>#VALUE!</v>
      </c>
      <c r="N238">
        <f>'Real Analysis'!$B$28*'Real Input'!U238+IF('Real Input'!U238 &gt; 0,'Real Analysis'!$B$29,0)</f>
        <v>0</v>
      </c>
      <c r="O238" t="e">
        <f t="shared" si="17"/>
        <v>#VALUE!</v>
      </c>
      <c r="P238" t="e">
        <f t="shared" si="18"/>
        <v>#VALUE!</v>
      </c>
    </row>
    <row r="239" spans="1:16" x14ac:dyDescent="0.3">
      <c r="A239">
        <v>237</v>
      </c>
      <c r="B239">
        <f>'Real Input'!M239</f>
        <v>4.7922260000050301</v>
      </c>
      <c r="C239">
        <f ca="1">INDIRECT(CONCATENATE("'Real Input'!",'Real Analysis'!$B$2,A239+2))</f>
        <v>9.8539291799999997</v>
      </c>
      <c r="D239">
        <f t="shared" si="16"/>
        <v>2.4170000004232861E-2</v>
      </c>
      <c r="E239">
        <f ca="1">IF(B239&gt;0,C239-'Real Analysis'!$B$14,0)</f>
        <v>-2.5686223714274092E-3</v>
      </c>
      <c r="F239">
        <f t="shared" ca="1" si="19"/>
        <v>-3.1484236779569401E-2</v>
      </c>
      <c r="G239">
        <f t="shared" ca="1" si="20"/>
        <v>-6.3438907641770181E-2</v>
      </c>
      <c r="H239">
        <f ca="1">IF(AND(B239&gt;'Real Analysis'!$B$31,B239&lt;'Real Analysis'!$B$32),FilterInput(E239,'Real Analysis'!$B$26,'Real Analysis'!$B$27),0)</f>
        <v>0</v>
      </c>
      <c r="I239" t="e">
        <f>MEDIAN2("Real Values",H239,'Real Analysis'!$B$5,2)</f>
        <v>#VALUE!</v>
      </c>
      <c r="J239" t="e">
        <f>AVERAGE2("Real Values",I239,'Real Analysis'!$B$6,2)</f>
        <v>#VALUE!</v>
      </c>
      <c r="K239" t="e">
        <f>INTEGRAL2(J239,$B239,K238,J238,$B238,'Real Analysis'!$B$19)</f>
        <v>#VALUE!</v>
      </c>
      <c r="L239" t="e">
        <f>IF(AND(B239&lt;'Real Analysis'!$B$32,B239&gt;0),INTEGRAL2(K239,$B239,L238,K238,$B238,'Real Analysis'!$B$20),0)</f>
        <v>#VALUE!</v>
      </c>
      <c r="N239">
        <f>'Real Analysis'!$B$28*'Real Input'!U239+IF('Real Input'!U239 &gt; 0,'Real Analysis'!$B$29,0)</f>
        <v>0</v>
      </c>
      <c r="O239" t="e">
        <f t="shared" si="17"/>
        <v>#VALUE!</v>
      </c>
      <c r="P239" t="e">
        <f t="shared" si="18"/>
        <v>#VALUE!</v>
      </c>
    </row>
    <row r="240" spans="1:16" x14ac:dyDescent="0.3">
      <c r="A240">
        <v>238</v>
      </c>
      <c r="B240">
        <f>'Real Input'!M240</f>
        <v>4.8123060000070836</v>
      </c>
      <c r="C240">
        <f ca="1">INDIRECT(CONCATENATE("'Real Input'!",'Real Analysis'!$B$2,A240+2))</f>
        <v>9.8533700100000008</v>
      </c>
      <c r="D240">
        <f t="shared" si="16"/>
        <v>2.0080000002053566E-2</v>
      </c>
      <c r="E240">
        <f ca="1">IF(B240&gt;0,C240-'Real Analysis'!$B$14,0)</f>
        <v>-3.1277923714263522E-3</v>
      </c>
      <c r="F240">
        <f t="shared" ca="1" si="19"/>
        <v>-3.1547042850394065E-2</v>
      </c>
      <c r="G240">
        <f t="shared" ca="1" si="20"/>
        <v>-6.4072372262270874E-2</v>
      </c>
      <c r="H240">
        <f ca="1">IF(AND(B240&gt;'Real Analysis'!$B$31,B240&lt;'Real Analysis'!$B$32),FilterInput(E240,'Real Analysis'!$B$26,'Real Analysis'!$B$27),0)</f>
        <v>0</v>
      </c>
      <c r="I240" t="e">
        <f>MEDIAN2("Real Values",H240,'Real Analysis'!$B$5,2)</f>
        <v>#VALUE!</v>
      </c>
      <c r="J240" t="e">
        <f>AVERAGE2("Real Values",I240,'Real Analysis'!$B$6,2)</f>
        <v>#VALUE!</v>
      </c>
      <c r="K240" t="e">
        <f>INTEGRAL2(J240,$B240,K239,J239,$B239,'Real Analysis'!$B$19)</f>
        <v>#VALUE!</v>
      </c>
      <c r="L240" t="e">
        <f>IF(AND(B240&lt;'Real Analysis'!$B$32,B240&gt;0),INTEGRAL2(K240,$B240,L239,K239,$B239,'Real Analysis'!$B$20),0)</f>
        <v>#VALUE!</v>
      </c>
      <c r="N240">
        <f>'Real Analysis'!$B$28*'Real Input'!U240+IF('Real Input'!U240 &gt; 0,'Real Analysis'!$B$29,0)</f>
        <v>0</v>
      </c>
      <c r="O240" t="e">
        <f t="shared" si="17"/>
        <v>#VALUE!</v>
      </c>
      <c r="P240" t="e">
        <f t="shared" si="18"/>
        <v>#VALUE!</v>
      </c>
    </row>
    <row r="241" spans="1:16" x14ac:dyDescent="0.3">
      <c r="A241">
        <v>239</v>
      </c>
      <c r="B241">
        <f>'Real Input'!M241</f>
        <v>4.8278129999962403</v>
      </c>
      <c r="C241">
        <f ca="1">INDIRECT(CONCATENATE("'Real Input'!",'Real Analysis'!$B$2,A241+2))</f>
        <v>9.8536545000000011</v>
      </c>
      <c r="D241">
        <f t="shared" si="16"/>
        <v>1.5506999989156611E-2</v>
      </c>
      <c r="E241">
        <f ca="1">IF(B241&gt;0,C241-'Real Analysis'!$B$14,0)</f>
        <v>-2.8433023714260486E-3</v>
      </c>
      <c r="F241">
        <f t="shared" ca="1" si="19"/>
        <v>-3.1591133940236937E-2</v>
      </c>
      <c r="G241">
        <f t="shared" ca="1" si="20"/>
        <v>-6.4562255975939578E-2</v>
      </c>
      <c r="H241">
        <f ca="1">IF(AND(B241&gt;'Real Analysis'!$B$31,B241&lt;'Real Analysis'!$B$32),FilterInput(E241,'Real Analysis'!$B$26,'Real Analysis'!$B$27),0)</f>
        <v>0</v>
      </c>
      <c r="I241" t="e">
        <f>MEDIAN2("Real Values",H241,'Real Analysis'!$B$5,2)</f>
        <v>#VALUE!</v>
      </c>
      <c r="J241" t="e">
        <f>AVERAGE2("Real Values",I241,'Real Analysis'!$B$6,2)</f>
        <v>#VALUE!</v>
      </c>
      <c r="K241" t="e">
        <f>INTEGRAL2(J241,$B241,K240,J240,$B240,'Real Analysis'!$B$19)</f>
        <v>#VALUE!</v>
      </c>
      <c r="L241" t="e">
        <f>IF(AND(B241&lt;'Real Analysis'!$B$32,B241&gt;0),INTEGRAL2(K241,$B241,L240,K240,$B240,'Real Analysis'!$B$20),0)</f>
        <v>#VALUE!</v>
      </c>
      <c r="N241">
        <f>'Real Analysis'!$B$28*'Real Input'!U241+IF('Real Input'!U241 &gt; 0,'Real Analysis'!$B$29,0)</f>
        <v>0</v>
      </c>
      <c r="O241" t="e">
        <f t="shared" si="17"/>
        <v>#VALUE!</v>
      </c>
      <c r="P241" t="e">
        <f t="shared" si="18"/>
        <v>#VALUE!</v>
      </c>
    </row>
    <row r="242" spans="1:16" x14ac:dyDescent="0.3">
      <c r="A242">
        <v>240</v>
      </c>
      <c r="B242">
        <f>'Real Input'!M242</f>
        <v>4.8518710000062129</v>
      </c>
      <c r="C242">
        <f ca="1">INDIRECT(CONCATENATE("'Real Input'!",'Real Analysis'!$B$2,A242+2))</f>
        <v>9.8547826500000006</v>
      </c>
      <c r="D242">
        <f t="shared" si="16"/>
        <v>2.4058000009972602E-2</v>
      </c>
      <c r="E242">
        <f ca="1">IF(B242&gt;0,C242-'Real Analysis'!$B$14,0)</f>
        <v>-1.7151523714264982E-3</v>
      </c>
      <c r="F242">
        <f t="shared" ca="1" si="19"/>
        <v>-3.1632397076005819E-2</v>
      </c>
      <c r="G242">
        <f t="shared" ca="1" si="20"/>
        <v>-6.5323268185109584E-2</v>
      </c>
      <c r="H242">
        <f ca="1">IF(AND(B242&gt;'Real Analysis'!$B$31,B242&lt;'Real Analysis'!$B$32),FilterInput(E242,'Real Analysis'!$B$26,'Real Analysis'!$B$27),0)</f>
        <v>0</v>
      </c>
      <c r="I242" t="e">
        <f>MEDIAN2("Real Values",H242,'Real Analysis'!$B$5,2)</f>
        <v>#VALUE!</v>
      </c>
      <c r="J242" t="e">
        <f>AVERAGE2("Real Values",I242,'Real Analysis'!$B$6,2)</f>
        <v>#VALUE!</v>
      </c>
      <c r="K242" t="e">
        <f>INTEGRAL2(J242,$B242,K241,J241,$B241,'Real Analysis'!$B$19)</f>
        <v>#VALUE!</v>
      </c>
      <c r="L242" t="e">
        <f>IF(AND(B242&lt;'Real Analysis'!$B$32,B242&gt;0),INTEGRAL2(K242,$B242,L241,K241,$B241,'Real Analysis'!$B$20),0)</f>
        <v>#VALUE!</v>
      </c>
      <c r="N242">
        <f>'Real Analysis'!$B$28*'Real Input'!U242+IF('Real Input'!U242 &gt; 0,'Real Analysis'!$B$29,0)</f>
        <v>0</v>
      </c>
      <c r="O242" t="e">
        <f t="shared" si="17"/>
        <v>#VALUE!</v>
      </c>
      <c r="P242" t="e">
        <f t="shared" si="18"/>
        <v>#VALUE!</v>
      </c>
    </row>
    <row r="243" spans="1:16" x14ac:dyDescent="0.3">
      <c r="A243">
        <v>241</v>
      </c>
      <c r="B243">
        <f>'Real Input'!M243</f>
        <v>4.8685109999933047</v>
      </c>
      <c r="C243">
        <f ca="1">INDIRECT(CONCATENATE("'Real Input'!",'Real Analysis'!$B$2,A243+2))</f>
        <v>9.8554497300000019</v>
      </c>
      <c r="D243">
        <f t="shared" si="16"/>
        <v>1.6639999987091869E-2</v>
      </c>
      <c r="E243">
        <f ca="1">IF(B243&gt;0,C243-'Real Analysis'!$B$14,0)</f>
        <v>-1.0480723714252349E-3</v>
      </c>
      <c r="F243">
        <f t="shared" ca="1" si="19"/>
        <v>-3.1649837000252805E-2</v>
      </c>
      <c r="G243">
        <f t="shared" ca="1" si="20"/>
        <v>-6.5849921472385248E-2</v>
      </c>
      <c r="H243">
        <f ca="1">IF(AND(B243&gt;'Real Analysis'!$B$31,B243&lt;'Real Analysis'!$B$32),FilterInput(E243,'Real Analysis'!$B$26,'Real Analysis'!$B$27),0)</f>
        <v>0</v>
      </c>
      <c r="I243" t="e">
        <f>MEDIAN2("Real Values",H243,'Real Analysis'!$B$5,2)</f>
        <v>#VALUE!</v>
      </c>
      <c r="J243" t="e">
        <f>AVERAGE2("Real Values",I243,'Real Analysis'!$B$6,2)</f>
        <v>#VALUE!</v>
      </c>
      <c r="K243" t="e">
        <f>INTEGRAL2(J243,$B243,K242,J242,$B242,'Real Analysis'!$B$19)</f>
        <v>#VALUE!</v>
      </c>
      <c r="L243" t="e">
        <f>IF(AND(B243&lt;'Real Analysis'!$B$32,B243&gt;0),INTEGRAL2(K243,$B243,L242,K242,$B242,'Real Analysis'!$B$20),0)</f>
        <v>#VALUE!</v>
      </c>
      <c r="N243">
        <f>'Real Analysis'!$B$28*'Real Input'!U243+IF('Real Input'!U243 &gt; 0,'Real Analysis'!$B$29,0)</f>
        <v>0</v>
      </c>
      <c r="O243" t="e">
        <f t="shared" si="17"/>
        <v>#VALUE!</v>
      </c>
      <c r="P243" t="e">
        <f t="shared" si="18"/>
        <v>#VALUE!</v>
      </c>
    </row>
    <row r="244" spans="1:16" x14ac:dyDescent="0.3">
      <c r="A244">
        <v>242</v>
      </c>
      <c r="B244">
        <f>'Real Input'!M244</f>
        <v>4.8900969999958761</v>
      </c>
      <c r="C244">
        <f ca="1">INDIRECT(CONCATENATE("'Real Input'!",'Real Analysis'!$B$2,A244+2))</f>
        <v>9.8536152599999998</v>
      </c>
      <c r="D244">
        <f t="shared" si="16"/>
        <v>2.1586000002571382E-2</v>
      </c>
      <c r="E244">
        <f ca="1">IF(B244&gt;0,C244-'Real Analysis'!$B$14,0)</f>
        <v>-2.8825423714273768E-3</v>
      </c>
      <c r="F244">
        <f t="shared" ca="1" si="19"/>
        <v>-3.1712059559889851E-2</v>
      </c>
      <c r="G244">
        <f t="shared" ca="1" si="20"/>
        <v>-6.6534457990126569E-2</v>
      </c>
      <c r="H244">
        <f ca="1">IF(AND(B244&gt;'Real Analysis'!$B$31,B244&lt;'Real Analysis'!$B$32),FilterInput(E244,'Real Analysis'!$B$26,'Real Analysis'!$B$27),0)</f>
        <v>0</v>
      </c>
      <c r="I244" t="e">
        <f>MEDIAN2("Real Values",H244,'Real Analysis'!$B$5,2)</f>
        <v>#VALUE!</v>
      </c>
      <c r="J244" t="e">
        <f>AVERAGE2("Real Values",I244,'Real Analysis'!$B$6,2)</f>
        <v>#VALUE!</v>
      </c>
      <c r="K244" t="e">
        <f>INTEGRAL2(J244,$B244,K243,J243,$B243,'Real Analysis'!$B$19)</f>
        <v>#VALUE!</v>
      </c>
      <c r="L244" t="e">
        <f>IF(AND(B244&lt;'Real Analysis'!$B$32,B244&gt;0),INTEGRAL2(K244,$B244,L243,K243,$B243,'Real Analysis'!$B$20),0)</f>
        <v>#VALUE!</v>
      </c>
      <c r="N244">
        <f>'Real Analysis'!$B$28*'Real Input'!U244+IF('Real Input'!U244 &gt; 0,'Real Analysis'!$B$29,0)</f>
        <v>0</v>
      </c>
      <c r="O244" t="e">
        <f t="shared" si="17"/>
        <v>#VALUE!</v>
      </c>
      <c r="P244" t="e">
        <f t="shared" si="18"/>
        <v>#VALUE!</v>
      </c>
    </row>
    <row r="245" spans="1:16" x14ac:dyDescent="0.3">
      <c r="A245">
        <v>243</v>
      </c>
      <c r="B245">
        <f>'Real Input'!M245</f>
        <v>4.9109770000068238</v>
      </c>
      <c r="C245">
        <f ca="1">INDIRECT(CONCATENATE("'Real Input'!",'Real Analysis'!$B$2,A245+2))</f>
        <v>9.8532719100000001</v>
      </c>
      <c r="D245">
        <f t="shared" si="16"/>
        <v>2.0880000010947697E-2</v>
      </c>
      <c r="E245">
        <f ca="1">IF(B245&gt;0,C245-'Real Analysis'!$B$14,0)</f>
        <v>-3.2258923714270082E-3</v>
      </c>
      <c r="F245">
        <f t="shared" ca="1" si="19"/>
        <v>-3.1779416192640561E-2</v>
      </c>
      <c r="G245">
        <f t="shared" ca="1" si="20"/>
        <v>-6.719801220057682E-2</v>
      </c>
      <c r="H245">
        <f ca="1">IF(AND(B245&gt;'Real Analysis'!$B$31,B245&lt;'Real Analysis'!$B$32),FilterInput(E245,'Real Analysis'!$B$26,'Real Analysis'!$B$27),0)</f>
        <v>0</v>
      </c>
      <c r="I245" t="e">
        <f>MEDIAN2("Real Values",H245,'Real Analysis'!$B$5,2)</f>
        <v>#VALUE!</v>
      </c>
      <c r="J245" t="e">
        <f>AVERAGE2("Real Values",I245,'Real Analysis'!$B$6,2)</f>
        <v>#VALUE!</v>
      </c>
      <c r="K245" t="e">
        <f>INTEGRAL2(J245,$B245,K244,J244,$B244,'Real Analysis'!$B$19)</f>
        <v>#VALUE!</v>
      </c>
      <c r="L245" t="e">
        <f>IF(AND(B245&lt;'Real Analysis'!$B$32,B245&gt;0),INTEGRAL2(K245,$B245,L244,K244,$B244,'Real Analysis'!$B$20),0)</f>
        <v>#VALUE!</v>
      </c>
      <c r="N245">
        <f>'Real Analysis'!$B$28*'Real Input'!U245+IF('Real Input'!U245 &gt; 0,'Real Analysis'!$B$29,0)</f>
        <v>0</v>
      </c>
      <c r="O245" t="e">
        <f t="shared" si="17"/>
        <v>#VALUE!</v>
      </c>
      <c r="P245" t="e">
        <f t="shared" si="18"/>
        <v>#VALUE!</v>
      </c>
    </row>
    <row r="246" spans="1:16" x14ac:dyDescent="0.3">
      <c r="A246">
        <v>244</v>
      </c>
      <c r="B246">
        <f>'Real Input'!M246</f>
        <v>4.9282450000027893</v>
      </c>
      <c r="C246">
        <f ca="1">INDIRECT(CONCATENATE("'Real Input'!",'Real Analysis'!$B$2,A246+2))</f>
        <v>9.8541646200000006</v>
      </c>
      <c r="D246">
        <f t="shared" si="16"/>
        <v>1.7267999995965511E-2</v>
      </c>
      <c r="E246">
        <f ca="1">IF(B246&gt;0,C246-'Real Analysis'!$B$14,0)</f>
        <v>-2.3331823714265454E-3</v>
      </c>
      <c r="F246">
        <f t="shared" ca="1" si="19"/>
        <v>-3.1819705585820944E-2</v>
      </c>
      <c r="G246">
        <f t="shared" ca="1" si="20"/>
        <v>-6.7747474876504399E-2</v>
      </c>
      <c r="H246">
        <f ca="1">IF(AND(B246&gt;'Real Analysis'!$B$31,B246&lt;'Real Analysis'!$B$32),FilterInput(E246,'Real Analysis'!$B$26,'Real Analysis'!$B$27),0)</f>
        <v>0</v>
      </c>
      <c r="I246" t="e">
        <f>MEDIAN2("Real Values",H246,'Real Analysis'!$B$5,2)</f>
        <v>#VALUE!</v>
      </c>
      <c r="J246" t="e">
        <f>AVERAGE2("Real Values",I246,'Real Analysis'!$B$6,2)</f>
        <v>#VALUE!</v>
      </c>
      <c r="K246" t="e">
        <f>INTEGRAL2(J246,$B246,K245,J245,$B245,'Real Analysis'!$B$19)</f>
        <v>#VALUE!</v>
      </c>
      <c r="L246" t="e">
        <f>IF(AND(B246&lt;'Real Analysis'!$B$32,B246&gt;0),INTEGRAL2(K246,$B246,L245,K245,$B245,'Real Analysis'!$B$20),0)</f>
        <v>#VALUE!</v>
      </c>
      <c r="N246">
        <f>'Real Analysis'!$B$28*'Real Input'!U246+IF('Real Input'!U246 &gt; 0,'Real Analysis'!$B$29,0)</f>
        <v>0</v>
      </c>
      <c r="O246" t="e">
        <f t="shared" si="17"/>
        <v>#VALUE!</v>
      </c>
      <c r="P246" t="e">
        <f t="shared" si="18"/>
        <v>#VALUE!</v>
      </c>
    </row>
    <row r="247" spans="1:16" x14ac:dyDescent="0.3">
      <c r="A247">
        <v>245</v>
      </c>
      <c r="B247">
        <f>'Real Input'!M247</f>
        <v>4.9505219999991823</v>
      </c>
      <c r="C247">
        <f ca="1">INDIRECT(CONCATENATE("'Real Input'!",'Real Analysis'!$B$2,A247+2))</f>
        <v>9.8381154600000009</v>
      </c>
      <c r="D247">
        <f t="shared" si="16"/>
        <v>2.2276999996392988E-2</v>
      </c>
      <c r="E247">
        <f ca="1">IF(B247&gt;0,C247-'Real Analysis'!$B$14,0)</f>
        <v>-1.8382342371426219E-2</v>
      </c>
      <c r="F247">
        <f t="shared" ca="1" si="19"/>
        <v>-3.2229209026762899E-2</v>
      </c>
      <c r="G247">
        <f t="shared" ca="1" si="20"/>
        <v>-6.8465444965877351E-2</v>
      </c>
      <c r="H247">
        <f ca="1">IF(AND(B247&gt;'Real Analysis'!$B$31,B247&lt;'Real Analysis'!$B$32),FilterInput(E247,'Real Analysis'!$B$26,'Real Analysis'!$B$27),0)</f>
        <v>0</v>
      </c>
      <c r="I247" t="e">
        <f>MEDIAN2("Real Values",H247,'Real Analysis'!$B$5,2)</f>
        <v>#VALUE!</v>
      </c>
      <c r="J247" t="e">
        <f>AVERAGE2("Real Values",I247,'Real Analysis'!$B$6,2)</f>
        <v>#VALUE!</v>
      </c>
      <c r="K247" t="e">
        <f>INTEGRAL2(J247,$B247,K246,J246,$B246,'Real Analysis'!$B$19)</f>
        <v>#VALUE!</v>
      </c>
      <c r="L247" t="e">
        <f>IF(AND(B247&lt;'Real Analysis'!$B$32,B247&gt;0),INTEGRAL2(K247,$B247,L246,K246,$B246,'Real Analysis'!$B$20),0)</f>
        <v>#VALUE!</v>
      </c>
      <c r="N247">
        <f>'Real Analysis'!$B$28*'Real Input'!U247+IF('Real Input'!U247 &gt; 0,'Real Analysis'!$B$29,0)</f>
        <v>0</v>
      </c>
      <c r="O247" t="e">
        <f t="shared" si="17"/>
        <v>#VALUE!</v>
      </c>
      <c r="P247" t="e">
        <f t="shared" si="18"/>
        <v>#VALUE!</v>
      </c>
    </row>
    <row r="248" spans="1:16" x14ac:dyDescent="0.3">
      <c r="A248">
        <v>246</v>
      </c>
      <c r="B248">
        <f>'Real Input'!M248</f>
        <v>4.9698499999940395</v>
      </c>
      <c r="C248">
        <f ca="1">INDIRECT(CONCATENATE("'Real Input'!",'Real Analysis'!$B$2,A248+2))</f>
        <v>9.8631603900000009</v>
      </c>
      <c r="D248">
        <f t="shared" si="16"/>
        <v>1.9327999994857237E-2</v>
      </c>
      <c r="E248">
        <f ca="1">IF(B248&gt;0,C248-'Real Analysis'!$B$14,0)</f>
        <v>6.6625876285737462E-3</v>
      </c>
      <c r="F248">
        <f t="shared" ca="1" si="19"/>
        <v>-3.2100434533112093E-2</v>
      </c>
      <c r="G248">
        <f t="shared" ca="1" si="20"/>
        <v>-6.9085882164368256E-2</v>
      </c>
      <c r="H248">
        <f ca="1">IF(AND(B248&gt;'Real Analysis'!$B$31,B248&lt;'Real Analysis'!$B$32),FilterInput(E248,'Real Analysis'!$B$26,'Real Analysis'!$B$27),0)</f>
        <v>0</v>
      </c>
      <c r="I248" t="e">
        <f>MEDIAN2("Real Values",H248,'Real Analysis'!$B$5,2)</f>
        <v>#VALUE!</v>
      </c>
      <c r="J248" t="e">
        <f>AVERAGE2("Real Values",I248,'Real Analysis'!$B$6,2)</f>
        <v>#VALUE!</v>
      </c>
      <c r="K248" t="e">
        <f>INTEGRAL2(J248,$B248,K247,J247,$B247,'Real Analysis'!$B$19)</f>
        <v>#VALUE!</v>
      </c>
      <c r="L248" t="e">
        <f>IF(AND(B248&lt;'Real Analysis'!$B$32,B248&gt;0),INTEGRAL2(K248,$B248,L247,K247,$B247,'Real Analysis'!$B$20),0)</f>
        <v>#VALUE!</v>
      </c>
      <c r="N248">
        <f>'Real Analysis'!$B$28*'Real Input'!U248+IF('Real Input'!U248 &gt; 0,'Real Analysis'!$B$29,0)</f>
        <v>0</v>
      </c>
      <c r="O248" t="e">
        <f t="shared" si="17"/>
        <v>#VALUE!</v>
      </c>
      <c r="P248" t="e">
        <f t="shared" si="18"/>
        <v>#VALUE!</v>
      </c>
    </row>
    <row r="249" spans="1:16" x14ac:dyDescent="0.3">
      <c r="A249">
        <v>247</v>
      </c>
      <c r="B249">
        <f>'Real Input'!M249</f>
        <v>4.992593000002671</v>
      </c>
      <c r="C249">
        <f ca="1">INDIRECT(CONCATENATE("'Real Input'!",'Real Analysis'!$B$2,A249+2))</f>
        <v>9.915879330000001</v>
      </c>
      <c r="D249">
        <f t="shared" si="16"/>
        <v>2.2743000008631498E-2</v>
      </c>
      <c r="E249">
        <f ca="1">IF(B249&gt;0,C249-'Real Analysis'!$B$14,0)</f>
        <v>5.9381527628573849E-2</v>
      </c>
      <c r="F249">
        <f t="shared" ca="1" si="19"/>
        <v>-3.0749920449742885E-2</v>
      </c>
      <c r="G249">
        <f t="shared" ca="1" si="20"/>
        <v>-6.9785227605422176E-2</v>
      </c>
      <c r="H249">
        <f ca="1">IF(AND(B249&gt;'Real Analysis'!$B$31,B249&lt;'Real Analysis'!$B$32),FilterInput(E249,'Real Analysis'!$B$26,'Real Analysis'!$B$27),0)</f>
        <v>0</v>
      </c>
      <c r="I249" t="e">
        <f>MEDIAN2("Real Values",H249,'Real Analysis'!$B$5,2)</f>
        <v>#VALUE!</v>
      </c>
      <c r="J249" t="e">
        <f>AVERAGE2("Real Values",I249,'Real Analysis'!$B$6,2)</f>
        <v>#VALUE!</v>
      </c>
      <c r="K249" t="e">
        <f>INTEGRAL2(J249,$B249,K248,J248,$B248,'Real Analysis'!$B$19)</f>
        <v>#VALUE!</v>
      </c>
      <c r="L249" t="e">
        <f>IF(AND(B249&lt;'Real Analysis'!$B$32,B249&gt;0),INTEGRAL2(K249,$B249,L248,K248,$B248,'Real Analysis'!$B$20),0)</f>
        <v>#VALUE!</v>
      </c>
      <c r="N249">
        <f>'Real Analysis'!$B$28*'Real Input'!U249+IF('Real Input'!U249 &gt; 0,'Real Analysis'!$B$29,0)</f>
        <v>0</v>
      </c>
      <c r="O249" t="e">
        <f t="shared" si="17"/>
        <v>#VALUE!</v>
      </c>
      <c r="P249" t="e">
        <f t="shared" si="18"/>
        <v>#VALUE!</v>
      </c>
    </row>
    <row r="250" spans="1:16" x14ac:dyDescent="0.3">
      <c r="A250">
        <v>248</v>
      </c>
      <c r="B250">
        <f>'Real Input'!M250</f>
        <v>5.0088120000000345</v>
      </c>
      <c r="C250">
        <f ca="1">INDIRECT(CONCATENATE("'Real Input'!",'Real Analysis'!$B$2,A250+2))</f>
        <v>9.9139663800000015</v>
      </c>
      <c r="D250">
        <f t="shared" si="16"/>
        <v>1.6218999997363426E-2</v>
      </c>
      <c r="E250">
        <f ca="1">IF(B250&gt;0,C250-'Real Analysis'!$B$14,0)</f>
        <v>5.746857762857438E-2</v>
      </c>
      <c r="F250">
        <f t="shared" ca="1" si="19"/>
        <v>-2.9817837589336559E-2</v>
      </c>
      <c r="G250">
        <f t="shared" ca="1" si="20"/>
        <v>-7.0268843113205012E-2</v>
      </c>
      <c r="H250">
        <f ca="1">IF(AND(B250&gt;'Real Analysis'!$B$31,B250&lt;'Real Analysis'!$B$32),FilterInput(E250,'Real Analysis'!$B$26,'Real Analysis'!$B$27),0)</f>
        <v>0</v>
      </c>
      <c r="I250" t="e">
        <f>MEDIAN2("Real Values",H250,'Real Analysis'!$B$5,2)</f>
        <v>#VALUE!</v>
      </c>
      <c r="J250" t="e">
        <f>AVERAGE2("Real Values",I250,'Real Analysis'!$B$6,2)</f>
        <v>#VALUE!</v>
      </c>
      <c r="K250" t="e">
        <f>INTEGRAL2(J250,$B250,K249,J249,$B249,'Real Analysis'!$B$19)</f>
        <v>#VALUE!</v>
      </c>
      <c r="L250" t="e">
        <f>IF(AND(B250&lt;'Real Analysis'!$B$32,B250&gt;0),INTEGRAL2(K250,$B250,L249,K249,$B249,'Real Analysis'!$B$20),0)</f>
        <v>#VALUE!</v>
      </c>
      <c r="N250">
        <f>'Real Analysis'!$B$28*'Real Input'!U250+IF('Real Input'!U250 &gt; 0,'Real Analysis'!$B$29,0)</f>
        <v>0</v>
      </c>
      <c r="O250" t="e">
        <f t="shared" si="17"/>
        <v>#VALUE!</v>
      </c>
      <c r="P250" t="e">
        <f t="shared" si="18"/>
        <v>#VALUE!</v>
      </c>
    </row>
    <row r="251" spans="1:16" x14ac:dyDescent="0.3">
      <c r="A251">
        <v>249</v>
      </c>
      <c r="B251">
        <f>'Real Input'!M251</f>
        <v>5.0316100000054576</v>
      </c>
      <c r="C251">
        <f ca="1">INDIRECT(CONCATENATE("'Real Input'!",'Real Analysis'!$B$2,A251+2))</f>
        <v>9.8426378700000008</v>
      </c>
      <c r="D251">
        <f t="shared" si="16"/>
        <v>2.2798000005423091E-2</v>
      </c>
      <c r="E251">
        <f ca="1">IF(B251&gt;0,C251-'Real Analysis'!$B$14,0)</f>
        <v>-1.3859932371426353E-2</v>
      </c>
      <c r="F251">
        <f t="shared" ca="1" si="19"/>
        <v>-3.0133816327615501E-2</v>
      </c>
      <c r="G251">
        <f t="shared" ca="1" si="20"/>
        <v>-7.0955833858005413E-2</v>
      </c>
      <c r="H251">
        <f ca="1">IF(AND(B251&gt;'Real Analysis'!$B$31,B251&lt;'Real Analysis'!$B$32),FilterInput(E251,'Real Analysis'!$B$26,'Real Analysis'!$B$27),0)</f>
        <v>0</v>
      </c>
      <c r="I251" t="e">
        <f>MEDIAN2("Real Values",H251,'Real Analysis'!$B$5,2)</f>
        <v>#VALUE!</v>
      </c>
      <c r="J251" t="e">
        <f>AVERAGE2("Real Values",I251,'Real Analysis'!$B$6,2)</f>
        <v>#VALUE!</v>
      </c>
      <c r="K251" t="e">
        <f>INTEGRAL2(J251,$B251,K250,J250,$B250,'Real Analysis'!$B$19)</f>
        <v>#VALUE!</v>
      </c>
      <c r="L251" t="e">
        <f>IF(AND(B251&lt;'Real Analysis'!$B$32,B251&gt;0),INTEGRAL2(K251,$B251,L250,K250,$B250,'Real Analysis'!$B$20),0)</f>
        <v>#VALUE!</v>
      </c>
      <c r="N251">
        <f>'Real Analysis'!$B$28*'Real Input'!U251+IF('Real Input'!U251 &gt; 0,'Real Analysis'!$B$29,0)</f>
        <v>0</v>
      </c>
      <c r="O251" t="e">
        <f t="shared" si="17"/>
        <v>#VALUE!</v>
      </c>
      <c r="P251" t="e">
        <f t="shared" si="18"/>
        <v>#VALUE!</v>
      </c>
    </row>
    <row r="252" spans="1:16" x14ac:dyDescent="0.3">
      <c r="A252">
        <v>250</v>
      </c>
      <c r="B252">
        <f>'Real Input'!M252</f>
        <v>5.0499969999946188</v>
      </c>
      <c r="C252">
        <f ca="1">INDIRECT(CONCATENATE("'Real Input'!",'Real Analysis'!$B$2,A252+2))</f>
        <v>9.8547532199999992</v>
      </c>
      <c r="D252">
        <f t="shared" si="16"/>
        <v>1.8386999989161268E-2</v>
      </c>
      <c r="E252">
        <f ca="1">IF(B252&gt;0,C252-'Real Analysis'!$B$14,0)</f>
        <v>-1.7445823714279385E-3</v>
      </c>
      <c r="F252">
        <f t="shared" ca="1" si="19"/>
        <v>-3.0165893963660036E-2</v>
      </c>
      <c r="G252">
        <f t="shared" ca="1" si="20"/>
        <v>-7.1510494149988266E-2</v>
      </c>
      <c r="H252">
        <f ca="1">IF(AND(B252&gt;'Real Analysis'!$B$31,B252&lt;'Real Analysis'!$B$32),FilterInput(E252,'Real Analysis'!$B$26,'Real Analysis'!$B$27),0)</f>
        <v>0</v>
      </c>
      <c r="I252" t="e">
        <f>MEDIAN2("Real Values",H252,'Real Analysis'!$B$5,2)</f>
        <v>#VALUE!</v>
      </c>
      <c r="J252" t="e">
        <f>AVERAGE2("Real Values",I252,'Real Analysis'!$B$6,2)</f>
        <v>#VALUE!</v>
      </c>
      <c r="K252" t="e">
        <f>INTEGRAL2(J252,$B252,K251,J251,$B251,'Real Analysis'!$B$19)</f>
        <v>#VALUE!</v>
      </c>
      <c r="L252" t="e">
        <f>IF(AND(B252&lt;'Real Analysis'!$B$32,B252&gt;0),INTEGRAL2(K252,$B252,L251,K251,$B251,'Real Analysis'!$B$20),0)</f>
        <v>#VALUE!</v>
      </c>
      <c r="N252">
        <f>'Real Analysis'!$B$28*'Real Input'!U252+IF('Real Input'!U252 &gt; 0,'Real Analysis'!$B$29,0)</f>
        <v>0</v>
      </c>
      <c r="O252" t="e">
        <f t="shared" si="17"/>
        <v>#VALUE!</v>
      </c>
      <c r="P252" t="e">
        <f t="shared" si="18"/>
        <v>#VALUE!</v>
      </c>
    </row>
    <row r="253" spans="1:16" x14ac:dyDescent="0.3">
      <c r="A253">
        <v>251</v>
      </c>
      <c r="B253">
        <f>'Real Input'!M253</f>
        <v>5.0693129999999655</v>
      </c>
      <c r="C253">
        <f ca="1">INDIRECT(CONCATENATE("'Real Input'!",'Real Analysis'!$B$2,A253+2))</f>
        <v>9.8558421299999992</v>
      </c>
      <c r="D253">
        <f t="shared" si="16"/>
        <v>1.9316000005346723E-2</v>
      </c>
      <c r="E253">
        <f ca="1">IF(B253&gt;0,C253-'Real Analysis'!$B$14,0)</f>
        <v>-6.5567237142793999E-4</v>
      </c>
      <c r="F253">
        <f t="shared" ca="1" si="19"/>
        <v>-3.0178558931190043E-2</v>
      </c>
      <c r="G253">
        <f t="shared" ca="1" si="20"/>
        <v>-7.209342319446449E-2</v>
      </c>
      <c r="H253">
        <f ca="1">IF(AND(B253&gt;'Real Analysis'!$B$31,B253&lt;'Real Analysis'!$B$32),FilterInput(E253,'Real Analysis'!$B$26,'Real Analysis'!$B$27),0)</f>
        <v>0</v>
      </c>
      <c r="I253" t="e">
        <f>MEDIAN2("Real Values",H253,'Real Analysis'!$B$5,2)</f>
        <v>#VALUE!</v>
      </c>
      <c r="J253" t="e">
        <f>AVERAGE2("Real Values",I253,'Real Analysis'!$B$6,2)</f>
        <v>#VALUE!</v>
      </c>
      <c r="K253" t="e">
        <f>INTEGRAL2(J253,$B253,K252,J252,$B252,'Real Analysis'!$B$19)</f>
        <v>#VALUE!</v>
      </c>
      <c r="L253" t="e">
        <f>IF(AND(B253&lt;'Real Analysis'!$B$32,B253&gt;0),INTEGRAL2(K253,$B253,L252,K252,$B252,'Real Analysis'!$B$20),0)</f>
        <v>#VALUE!</v>
      </c>
      <c r="N253">
        <f>'Real Analysis'!$B$28*'Real Input'!U253+IF('Real Input'!U253 &gt; 0,'Real Analysis'!$B$29,0)</f>
        <v>0</v>
      </c>
      <c r="O253" t="e">
        <f t="shared" si="17"/>
        <v>#VALUE!</v>
      </c>
      <c r="P253" t="e">
        <f t="shared" si="18"/>
        <v>#VALUE!</v>
      </c>
    </row>
    <row r="254" spans="1:16" x14ac:dyDescent="0.3">
      <c r="A254">
        <v>252</v>
      </c>
      <c r="B254">
        <f>'Real Input'!M254</f>
        <v>5.0893229999928735</v>
      </c>
      <c r="C254">
        <f ca="1">INDIRECT(CONCATENATE("'Real Input'!",'Real Analysis'!$B$2,A254+2))</f>
        <v>9.8565288300000002</v>
      </c>
      <c r="D254">
        <f t="shared" si="16"/>
        <v>2.0009999992907979E-2</v>
      </c>
      <c r="E254">
        <f ca="1">IF(B254&gt;0,C254-'Real Analysis'!$B$14,0)</f>
        <v>3.1027628573099264E-5</v>
      </c>
      <c r="F254">
        <f t="shared" ca="1" si="19"/>
        <v>-3.0177938068342514E-2</v>
      </c>
      <c r="G254">
        <f t="shared" ca="1" si="20"/>
        <v>-7.2697283734997994E-2</v>
      </c>
      <c r="H254">
        <f ca="1">IF(AND(B254&gt;'Real Analysis'!$B$31,B254&lt;'Real Analysis'!$B$32),FilterInput(E254,'Real Analysis'!$B$26,'Real Analysis'!$B$27),0)</f>
        <v>0</v>
      </c>
      <c r="I254" t="e">
        <f>MEDIAN2("Real Values",H254,'Real Analysis'!$B$5,2)</f>
        <v>#VALUE!</v>
      </c>
      <c r="J254" t="e">
        <f>AVERAGE2("Real Values",I254,'Real Analysis'!$B$6,2)</f>
        <v>#VALUE!</v>
      </c>
      <c r="K254" t="e">
        <f>INTEGRAL2(J254,$B254,K253,J253,$B253,'Real Analysis'!$B$19)</f>
        <v>#VALUE!</v>
      </c>
      <c r="L254" t="e">
        <f>IF(AND(B254&lt;'Real Analysis'!$B$32,B254&gt;0),INTEGRAL2(K254,$B254,L253,K253,$B253,'Real Analysis'!$B$20),0)</f>
        <v>#VALUE!</v>
      </c>
      <c r="N254">
        <f>'Real Analysis'!$B$28*'Real Input'!U254+IF('Real Input'!U254 &gt; 0,'Real Analysis'!$B$29,0)</f>
        <v>0</v>
      </c>
      <c r="O254" t="e">
        <f t="shared" si="17"/>
        <v>#VALUE!</v>
      </c>
      <c r="P254" t="e">
        <f t="shared" si="18"/>
        <v>#VALUE!</v>
      </c>
    </row>
    <row r="255" spans="1:16" x14ac:dyDescent="0.3">
      <c r="A255">
        <v>253</v>
      </c>
      <c r="B255">
        <f>'Real Input'!M255</f>
        <v>5.1057020000007469</v>
      </c>
      <c r="C255">
        <f ca="1">INDIRECT(CONCATENATE("'Real Input'!",'Real Analysis'!$B$2,A255+2))</f>
        <v>9.8544392999999992</v>
      </c>
      <c r="D255">
        <f t="shared" si="16"/>
        <v>1.6379000007873401E-2</v>
      </c>
      <c r="E255">
        <f ca="1">IF(B255&gt;0,C255-'Real Analysis'!$B$14,0)</f>
        <v>-2.058502371427906E-3</v>
      </c>
      <c r="F255">
        <f t="shared" ca="1" si="19"/>
        <v>-3.0211654278700338E-2</v>
      </c>
      <c r="G255">
        <f t="shared" ca="1" si="20"/>
        <v>-7.3192120420666695E-2</v>
      </c>
      <c r="H255">
        <f ca="1">IF(AND(B255&gt;'Real Analysis'!$B$31,B255&lt;'Real Analysis'!$B$32),FilterInput(E255,'Real Analysis'!$B$26,'Real Analysis'!$B$27),0)</f>
        <v>0</v>
      </c>
      <c r="I255" t="e">
        <f>MEDIAN2("Real Values",H255,'Real Analysis'!$B$5,2)</f>
        <v>#VALUE!</v>
      </c>
      <c r="J255" t="e">
        <f>AVERAGE2("Real Values",I255,'Real Analysis'!$B$6,2)</f>
        <v>#VALUE!</v>
      </c>
      <c r="K255" t="e">
        <f>INTEGRAL2(J255,$B255,K254,J254,$B254,'Real Analysis'!$B$19)</f>
        <v>#VALUE!</v>
      </c>
      <c r="L255" t="e">
        <f>IF(AND(B255&lt;'Real Analysis'!$B$32,B255&gt;0),INTEGRAL2(K255,$B255,L254,K254,$B254,'Real Analysis'!$B$20),0)</f>
        <v>#VALUE!</v>
      </c>
      <c r="N255">
        <f>'Real Analysis'!$B$28*'Real Input'!U255+IF('Real Input'!U255 &gt; 0,'Real Analysis'!$B$29,0)</f>
        <v>0</v>
      </c>
      <c r="O255" t="e">
        <f t="shared" si="17"/>
        <v>#VALUE!</v>
      </c>
      <c r="P255" t="e">
        <f t="shared" si="18"/>
        <v>#VALUE!</v>
      </c>
    </row>
    <row r="256" spans="1:16" x14ac:dyDescent="0.3">
      <c r="A256">
        <v>254</v>
      </c>
      <c r="B256">
        <f>'Real Input'!M256</f>
        <v>5.1303250000055414</v>
      </c>
      <c r="C256">
        <f ca="1">INDIRECT(CONCATENATE("'Real Input'!",'Real Analysis'!$B$2,A256+2))</f>
        <v>9.8530364699999993</v>
      </c>
      <c r="D256">
        <f t="shared" si="16"/>
        <v>2.4623000004794449E-2</v>
      </c>
      <c r="E256">
        <f ca="1">IF(B256&gt;0,C256-'Real Analysis'!$B$14,0)</f>
        <v>-3.4613323714278721E-3</v>
      </c>
      <c r="F256">
        <f t="shared" ca="1" si="19"/>
        <v>-3.0296882665698601E-2</v>
      </c>
      <c r="G256">
        <f t="shared" ca="1" si="20"/>
        <v>-7.3938120562689447E-2</v>
      </c>
      <c r="H256">
        <f ca="1">IF(AND(B256&gt;'Real Analysis'!$B$31,B256&lt;'Real Analysis'!$B$32),FilterInput(E256,'Real Analysis'!$B$26,'Real Analysis'!$B$27),0)</f>
        <v>0</v>
      </c>
      <c r="I256" t="e">
        <f>MEDIAN2("Real Values",H256,'Real Analysis'!$B$5,2)</f>
        <v>#VALUE!</v>
      </c>
      <c r="J256" t="e">
        <f>AVERAGE2("Real Values",I256,'Real Analysis'!$B$6,2)</f>
        <v>#VALUE!</v>
      </c>
      <c r="K256" t="e">
        <f>INTEGRAL2(J256,$B256,K255,J255,$B255,'Real Analysis'!$B$19)</f>
        <v>#VALUE!</v>
      </c>
      <c r="L256" t="e">
        <f>IF(AND(B256&lt;'Real Analysis'!$B$32,B256&gt;0),INTEGRAL2(K256,$B256,L255,K255,$B255,'Real Analysis'!$B$20),0)</f>
        <v>#VALUE!</v>
      </c>
      <c r="N256">
        <f>'Real Analysis'!$B$28*'Real Input'!U256+IF('Real Input'!U256 &gt; 0,'Real Analysis'!$B$29,0)</f>
        <v>0</v>
      </c>
      <c r="O256" t="e">
        <f t="shared" si="17"/>
        <v>#VALUE!</v>
      </c>
      <c r="P256" t="e">
        <f t="shared" si="18"/>
        <v>#VALUE!</v>
      </c>
    </row>
    <row r="257" spans="1:16" x14ac:dyDescent="0.3">
      <c r="A257">
        <v>255</v>
      </c>
      <c r="B257">
        <f>'Real Input'!M257</f>
        <v>5.1522410000034142</v>
      </c>
      <c r="C257">
        <f ca="1">INDIRECT(CONCATENATE("'Real Input'!",'Real Analysis'!$B$2,A257+2))</f>
        <v>9.853507350000001</v>
      </c>
      <c r="D257">
        <f t="shared" si="16"/>
        <v>2.1915999997872859E-2</v>
      </c>
      <c r="E257">
        <f ca="1">IF(B257&gt;0,C257-'Real Analysis'!$B$14,0)</f>
        <v>-2.9904523714261444E-3</v>
      </c>
      <c r="F257">
        <f t="shared" ca="1" si="19"/>
        <v>-3.0362421419864415E-2</v>
      </c>
      <c r="G257">
        <f t="shared" ca="1" si="20"/>
        <v>-7.4603543390462615E-2</v>
      </c>
      <c r="H257">
        <f ca="1">IF(AND(B257&gt;'Real Analysis'!$B$31,B257&lt;'Real Analysis'!$B$32),FilterInput(E257,'Real Analysis'!$B$26,'Real Analysis'!$B$27),0)</f>
        <v>0</v>
      </c>
      <c r="I257" t="e">
        <f>MEDIAN2("Real Values",H257,'Real Analysis'!$B$5,2)</f>
        <v>#VALUE!</v>
      </c>
      <c r="J257" t="e">
        <f>AVERAGE2("Real Values",I257,'Real Analysis'!$B$6,2)</f>
        <v>#VALUE!</v>
      </c>
      <c r="K257" t="e">
        <f>INTEGRAL2(J257,$B257,K256,J256,$B256,'Real Analysis'!$B$19)</f>
        <v>#VALUE!</v>
      </c>
      <c r="L257" t="e">
        <f>IF(AND(B257&lt;'Real Analysis'!$B$32,B257&gt;0),INTEGRAL2(K257,$B257,L256,K256,$B256,'Real Analysis'!$B$20),0)</f>
        <v>#VALUE!</v>
      </c>
      <c r="N257">
        <f>'Real Analysis'!$B$28*'Real Input'!U257+IF('Real Input'!U257 &gt; 0,'Real Analysis'!$B$29,0)</f>
        <v>0</v>
      </c>
      <c r="O257" t="e">
        <f t="shared" si="17"/>
        <v>#VALUE!</v>
      </c>
      <c r="P257" t="e">
        <f t="shared" si="18"/>
        <v>#VALUE!</v>
      </c>
    </row>
    <row r="258" spans="1:16" x14ac:dyDescent="0.3">
      <c r="A258">
        <v>256</v>
      </c>
      <c r="B258">
        <f>'Real Input'!M258</f>
        <v>5.1705280000023777</v>
      </c>
      <c r="C258">
        <f ca="1">INDIRECT(CONCATENATE("'Real Input'!",'Real Analysis'!$B$2,A258+2))</f>
        <v>9.8701156799999996</v>
      </c>
      <c r="D258">
        <f t="shared" si="16"/>
        <v>1.8286999998963438E-2</v>
      </c>
      <c r="E258">
        <f ca="1">IF(B258&gt;0,C258-'Real Analysis'!$B$14,0)</f>
        <v>1.3617877628572472E-2</v>
      </c>
      <c r="F258">
        <f t="shared" ca="1" si="19"/>
        <v>-3.0113391291684825E-2</v>
      </c>
      <c r="G258">
        <f t="shared" ca="1" si="20"/>
        <v>-7.5154226976982444E-2</v>
      </c>
      <c r="H258">
        <f ca="1">IF(AND(B258&gt;'Real Analysis'!$B$31,B258&lt;'Real Analysis'!$B$32),FilterInput(E258,'Real Analysis'!$B$26,'Real Analysis'!$B$27),0)</f>
        <v>0</v>
      </c>
      <c r="I258" t="e">
        <f>MEDIAN2("Real Values",H258,'Real Analysis'!$B$5,2)</f>
        <v>#VALUE!</v>
      </c>
      <c r="J258" t="e">
        <f>AVERAGE2("Real Values",I258,'Real Analysis'!$B$6,2)</f>
        <v>#VALUE!</v>
      </c>
      <c r="K258" t="e">
        <f>INTEGRAL2(J258,$B258,K257,J257,$B257,'Real Analysis'!$B$19)</f>
        <v>#VALUE!</v>
      </c>
      <c r="L258" t="e">
        <f>IF(AND(B258&lt;'Real Analysis'!$B$32,B258&gt;0),INTEGRAL2(K258,$B258,L257,K257,$B257,'Real Analysis'!$B$20),0)</f>
        <v>#VALUE!</v>
      </c>
      <c r="N258">
        <f>'Real Analysis'!$B$28*'Real Input'!U258+IF('Real Input'!U258 &gt; 0,'Real Analysis'!$B$29,0)</f>
        <v>0</v>
      </c>
      <c r="O258" t="e">
        <f t="shared" si="17"/>
        <v>#VALUE!</v>
      </c>
      <c r="P258" t="e">
        <f t="shared" si="18"/>
        <v>#VALUE!</v>
      </c>
    </row>
    <row r="259" spans="1:16" x14ac:dyDescent="0.3">
      <c r="A259">
        <v>257</v>
      </c>
      <c r="B259">
        <f>'Real Input'!M259</f>
        <v>5.1904260000010254</v>
      </c>
      <c r="C259">
        <f ca="1">INDIRECT(CONCATENATE("'Real Input'!",'Real Analysis'!$B$2,A259+2))</f>
        <v>9.9453878099999997</v>
      </c>
      <c r="D259">
        <f t="shared" ref="D259:D322" si="21">B259-B258</f>
        <v>1.989799999864772E-2</v>
      </c>
      <c r="E259">
        <f ca="1">IF(B259&gt;0,C259-'Real Analysis'!$B$14,0)</f>
        <v>8.8890007628572576E-2</v>
      </c>
      <c r="F259">
        <f t="shared" ca="1" si="19"/>
        <v>-2.8344657920011694E-2</v>
      </c>
      <c r="G259">
        <f t="shared" ca="1" si="20"/>
        <v>-7.5718228980236502E-2</v>
      </c>
      <c r="H259">
        <f ca="1">IF(AND(B259&gt;'Real Analysis'!$B$31,B259&lt;'Real Analysis'!$B$32),FilterInput(E259,'Real Analysis'!$B$26,'Real Analysis'!$B$27),0)</f>
        <v>0</v>
      </c>
      <c r="I259" t="e">
        <f>MEDIAN2("Real Values",H259,'Real Analysis'!$B$5,2)</f>
        <v>#VALUE!</v>
      </c>
      <c r="J259" t="e">
        <f>AVERAGE2("Real Values",I259,'Real Analysis'!$B$6,2)</f>
        <v>#VALUE!</v>
      </c>
      <c r="K259" t="e">
        <f>INTEGRAL2(J259,$B259,K258,J258,$B258,'Real Analysis'!$B$19)</f>
        <v>#VALUE!</v>
      </c>
      <c r="L259" t="e">
        <f>IF(AND(B259&lt;'Real Analysis'!$B$32,B259&gt;0),INTEGRAL2(K259,$B259,L258,K258,$B258,'Real Analysis'!$B$20),0)</f>
        <v>#VALUE!</v>
      </c>
      <c r="N259">
        <f>'Real Analysis'!$B$28*'Real Input'!U259+IF('Real Input'!U259 &gt; 0,'Real Analysis'!$B$29,0)</f>
        <v>0</v>
      </c>
      <c r="O259" t="e">
        <f t="shared" ref="O259:O322" si="22">_xlfn.COVARIANCE.P($L$102:$L$1200,N259:N1357)</f>
        <v>#VALUE!</v>
      </c>
      <c r="P259" t="e">
        <f t="shared" ref="P259:P322" si="23">N259-L259</f>
        <v>#VALUE!</v>
      </c>
    </row>
    <row r="260" spans="1:16" x14ac:dyDescent="0.3">
      <c r="A260">
        <v>258</v>
      </c>
      <c r="B260">
        <f>'Real Input'!M260</f>
        <v>5.2120589999976801</v>
      </c>
      <c r="C260">
        <f ca="1">INDIRECT(CONCATENATE("'Real Input'!",'Real Analysis'!$B$2,A260+2))</f>
        <v>9.8431185600000006</v>
      </c>
      <c r="D260">
        <f t="shared" si="21"/>
        <v>2.1632999996654689E-2</v>
      </c>
      <c r="E260">
        <f ca="1">IF(B260&gt;0,C260-'Real Analysis'!$B$14,0)</f>
        <v>-1.3379242371426514E-2</v>
      </c>
      <c r="F260">
        <f t="shared" ref="F260:F323" ca="1" si="24">IF(B260&gt;0,F259+E260*$D260,0)</f>
        <v>-2.8634091070188005E-2</v>
      </c>
      <c r="G260">
        <f t="shared" ca="1" si="20"/>
        <v>-7.6337670272262084E-2</v>
      </c>
      <c r="H260">
        <f ca="1">IF(AND(B260&gt;'Real Analysis'!$B$31,B260&lt;'Real Analysis'!$B$32),FilterInput(E260,'Real Analysis'!$B$26,'Real Analysis'!$B$27),0)</f>
        <v>0</v>
      </c>
      <c r="I260" t="e">
        <f>MEDIAN2("Real Values",H260,'Real Analysis'!$B$5,2)</f>
        <v>#VALUE!</v>
      </c>
      <c r="J260" t="e">
        <f>AVERAGE2("Real Values",I260,'Real Analysis'!$B$6,2)</f>
        <v>#VALUE!</v>
      </c>
      <c r="K260" t="e">
        <f>INTEGRAL2(J260,$B260,K259,J259,$B259,'Real Analysis'!$B$19)</f>
        <v>#VALUE!</v>
      </c>
      <c r="L260" t="e">
        <f>IF(AND(B260&lt;'Real Analysis'!$B$32,B260&gt;0),INTEGRAL2(K260,$B260,L259,K259,$B259,'Real Analysis'!$B$20),0)</f>
        <v>#VALUE!</v>
      </c>
      <c r="N260">
        <f>'Real Analysis'!$B$28*'Real Input'!U260+IF('Real Input'!U260 &gt; 0,'Real Analysis'!$B$29,0)</f>
        <v>0</v>
      </c>
      <c r="O260" t="e">
        <f t="shared" si="22"/>
        <v>#VALUE!</v>
      </c>
      <c r="P260" t="e">
        <f t="shared" si="23"/>
        <v>#VALUE!</v>
      </c>
    </row>
    <row r="261" spans="1:16" x14ac:dyDescent="0.3">
      <c r="A261">
        <v>259</v>
      </c>
      <c r="B261">
        <f>'Real Input'!M261</f>
        <v>5.23209499999939</v>
      </c>
      <c r="C261">
        <f ca="1">INDIRECT(CONCATENATE("'Real Input'!",'Real Analysis'!$B$2,A261+2))</f>
        <v>9.852889320000001</v>
      </c>
      <c r="D261">
        <f t="shared" si="21"/>
        <v>2.0036000001709908E-2</v>
      </c>
      <c r="E261">
        <f ca="1">IF(B261&gt;0,C261-'Real Analysis'!$B$14,0)</f>
        <v>-3.6084823714261915E-3</v>
      </c>
      <c r="F261">
        <f t="shared" ca="1" si="24"/>
        <v>-2.8706390622988069E-2</v>
      </c>
      <c r="G261">
        <f t="shared" ca="1" si="20"/>
        <v>-7.6912831514833357E-2</v>
      </c>
      <c r="H261">
        <f ca="1">IF(AND(B261&gt;'Real Analysis'!$B$31,B261&lt;'Real Analysis'!$B$32),FilterInput(E261,'Real Analysis'!$B$26,'Real Analysis'!$B$27),0)</f>
        <v>0</v>
      </c>
      <c r="I261" t="e">
        <f>MEDIAN2("Real Values",H261,'Real Analysis'!$B$5,2)</f>
        <v>#VALUE!</v>
      </c>
      <c r="J261" t="e">
        <f>AVERAGE2("Real Values",I261,'Real Analysis'!$B$6,2)</f>
        <v>#VALUE!</v>
      </c>
      <c r="K261" t="e">
        <f>INTEGRAL2(J261,$B261,K260,J260,$B260,'Real Analysis'!$B$19)</f>
        <v>#VALUE!</v>
      </c>
      <c r="L261" t="e">
        <f>IF(AND(B261&lt;'Real Analysis'!$B$32,B261&gt;0),INTEGRAL2(K261,$B261,L260,K260,$B260,'Real Analysis'!$B$20),0)</f>
        <v>#VALUE!</v>
      </c>
      <c r="N261">
        <f>'Real Analysis'!$B$28*'Real Input'!U261+IF('Real Input'!U261 &gt; 0,'Real Analysis'!$B$29,0)</f>
        <v>0</v>
      </c>
      <c r="O261" t="e">
        <f t="shared" si="22"/>
        <v>#VALUE!</v>
      </c>
      <c r="P261" t="e">
        <f t="shared" si="23"/>
        <v>#VALUE!</v>
      </c>
    </row>
    <row r="262" spans="1:16" x14ac:dyDescent="0.3">
      <c r="A262">
        <v>260</v>
      </c>
      <c r="B262">
        <f>'Real Input'!M262</f>
        <v>5.2414469999930589</v>
      </c>
      <c r="C262">
        <f ca="1">INDIRECT(CONCATENATE("'Real Input'!",'Real Analysis'!$B$2,A262+2))</f>
        <v>9.84768021</v>
      </c>
      <c r="D262">
        <f t="shared" si="21"/>
        <v>9.3519999936688691E-3</v>
      </c>
      <c r="E262">
        <f ca="1">IF(B262&gt;0,C262-'Real Analysis'!$B$14,0)</f>
        <v>-8.8175923714270965E-3</v>
      </c>
      <c r="F262">
        <f t="shared" ca="1" si="24"/>
        <v>-2.8788852746789832E-2</v>
      </c>
      <c r="G262">
        <f t="shared" ca="1" si="20"/>
        <v>-7.7182064865539066E-2</v>
      </c>
      <c r="H262">
        <f ca="1">IF(AND(B262&gt;'Real Analysis'!$B$31,B262&lt;'Real Analysis'!$B$32),FilterInput(E262,'Real Analysis'!$B$26,'Real Analysis'!$B$27),0)</f>
        <v>0</v>
      </c>
      <c r="I262" t="e">
        <f>MEDIAN2("Real Values",H262,'Real Analysis'!$B$5,2)</f>
        <v>#VALUE!</v>
      </c>
      <c r="J262" t="e">
        <f>AVERAGE2("Real Values",I262,'Real Analysis'!$B$6,2)</f>
        <v>#VALUE!</v>
      </c>
      <c r="K262" t="e">
        <f>INTEGRAL2(J262,$B262,K261,J261,$B261,'Real Analysis'!$B$19)</f>
        <v>#VALUE!</v>
      </c>
      <c r="L262" t="e">
        <f>IF(AND(B262&lt;'Real Analysis'!$B$32,B262&gt;0),INTEGRAL2(K262,$B262,L261,K261,$B261,'Real Analysis'!$B$20),0)</f>
        <v>#VALUE!</v>
      </c>
      <c r="N262">
        <f>'Real Analysis'!$B$28*'Real Input'!U262+IF('Real Input'!U262 &gt; 0,'Real Analysis'!$B$29,0)</f>
        <v>0</v>
      </c>
      <c r="O262" t="e">
        <f t="shared" si="22"/>
        <v>#VALUE!</v>
      </c>
      <c r="P262" t="e">
        <f t="shared" si="23"/>
        <v>#VALUE!</v>
      </c>
    </row>
    <row r="263" spans="1:16" x14ac:dyDescent="0.3">
      <c r="A263">
        <v>261</v>
      </c>
      <c r="B263">
        <f>'Real Input'!M263</f>
        <v>5.2651409999962198</v>
      </c>
      <c r="C263">
        <f ca="1">INDIRECT(CONCATENATE("'Real Input'!",'Real Analysis'!$B$2,A263+2))</f>
        <v>9.8520358500000018</v>
      </c>
      <c r="D263">
        <f t="shared" si="21"/>
        <v>2.3694000003160909E-2</v>
      </c>
      <c r="E263">
        <f ca="1">IF(B263&gt;0,C263-'Real Analysis'!$B$14,0)</f>
        <v>-4.4619523714253262E-3</v>
      </c>
      <c r="F263">
        <f t="shared" ca="1" si="24"/>
        <v>-2.8894574246292486E-2</v>
      </c>
      <c r="G263">
        <f t="shared" ca="1" si="20"/>
        <v>-7.7866692907822055E-2</v>
      </c>
      <c r="H263">
        <f ca="1">IF(AND(B263&gt;'Real Analysis'!$B$31,B263&lt;'Real Analysis'!$B$32),FilterInput(E263,'Real Analysis'!$B$26,'Real Analysis'!$B$27),0)</f>
        <v>0</v>
      </c>
      <c r="I263" t="e">
        <f>MEDIAN2("Real Values",H263,'Real Analysis'!$B$5,2)</f>
        <v>#VALUE!</v>
      </c>
      <c r="J263" t="e">
        <f>AVERAGE2("Real Values",I263,'Real Analysis'!$B$6,2)</f>
        <v>#VALUE!</v>
      </c>
      <c r="K263" t="e">
        <f>INTEGRAL2(J263,$B263,K262,J262,$B262,'Real Analysis'!$B$19)</f>
        <v>#VALUE!</v>
      </c>
      <c r="L263" t="e">
        <f>IF(AND(B263&lt;'Real Analysis'!$B$32,B263&gt;0),INTEGRAL2(K263,$B263,L262,K262,$B262,'Real Analysis'!$B$20),0)</f>
        <v>#VALUE!</v>
      </c>
      <c r="N263">
        <f>'Real Analysis'!$B$28*'Real Input'!U263+IF('Real Input'!U263 &gt; 0,'Real Analysis'!$B$29,0)</f>
        <v>0</v>
      </c>
      <c r="O263" t="e">
        <f t="shared" si="22"/>
        <v>#VALUE!</v>
      </c>
      <c r="P263" t="e">
        <f t="shared" si="23"/>
        <v>#VALUE!</v>
      </c>
    </row>
    <row r="264" spans="1:16" x14ac:dyDescent="0.3">
      <c r="A264">
        <v>262</v>
      </c>
      <c r="B264">
        <f>'Real Input'!M264</f>
        <v>5.2915400000056252</v>
      </c>
      <c r="C264">
        <f ca="1">INDIRECT(CONCATENATE("'Real Input'!",'Real Analysis'!$B$2,A264+2))</f>
        <v>9.8525655900000011</v>
      </c>
      <c r="D264">
        <f t="shared" si="21"/>
        <v>2.6399000009405427E-2</v>
      </c>
      <c r="E264">
        <f ca="1">IF(B264&gt;0,C264-'Real Analysis'!$B$14,0)</f>
        <v>-3.9322123714260471E-3</v>
      </c>
      <c r="F264">
        <f t="shared" ca="1" si="24"/>
        <v>-2.8998380720722746E-2</v>
      </c>
      <c r="G264">
        <f t="shared" ca="1" si="20"/>
        <v>-7.8632221160741159E-2</v>
      </c>
      <c r="H264">
        <f ca="1">IF(AND(B264&gt;'Real Analysis'!$B$31,B264&lt;'Real Analysis'!$B$32),FilterInput(E264,'Real Analysis'!$B$26,'Real Analysis'!$B$27),0)</f>
        <v>0</v>
      </c>
      <c r="I264" t="e">
        <f>MEDIAN2("Real Values",H264,'Real Analysis'!$B$5,2)</f>
        <v>#VALUE!</v>
      </c>
      <c r="J264" t="e">
        <f>AVERAGE2("Real Values",I264,'Real Analysis'!$B$6,2)</f>
        <v>#VALUE!</v>
      </c>
      <c r="K264" t="e">
        <f>INTEGRAL2(J264,$B264,K263,J263,$B263,'Real Analysis'!$B$19)</f>
        <v>#VALUE!</v>
      </c>
      <c r="L264" t="e">
        <f>IF(AND(B264&lt;'Real Analysis'!$B$32,B264&gt;0),INTEGRAL2(K264,$B264,L263,K263,$B263,'Real Analysis'!$B$20),0)</f>
        <v>#VALUE!</v>
      </c>
      <c r="N264">
        <f>'Real Analysis'!$B$28*'Real Input'!U264+IF('Real Input'!U264 &gt; 0,'Real Analysis'!$B$29,0)</f>
        <v>0</v>
      </c>
      <c r="O264" t="e">
        <f t="shared" si="22"/>
        <v>#VALUE!</v>
      </c>
      <c r="P264" t="e">
        <f t="shared" si="23"/>
        <v>#VALUE!</v>
      </c>
    </row>
    <row r="265" spans="1:16" x14ac:dyDescent="0.3">
      <c r="A265">
        <v>263</v>
      </c>
      <c r="B265">
        <f>'Real Input'!M265</f>
        <v>5.3114269999932731</v>
      </c>
      <c r="C265">
        <f ca="1">INDIRECT(CONCATENATE("'Real Input'!",'Real Analysis'!$B$2,A265+2))</f>
        <v>9.8154935999999999</v>
      </c>
      <c r="D265">
        <f t="shared" si="21"/>
        <v>1.9886999987647869E-2</v>
      </c>
      <c r="E265">
        <f ca="1">IF(B265&gt;0,C265-'Real Analysis'!$B$14,0)</f>
        <v>-4.1004202371427212E-2</v>
      </c>
      <c r="F265">
        <f t="shared" ca="1" si="24"/>
        <v>-2.981383129277683E-2</v>
      </c>
      <c r="G265">
        <f t="shared" ca="1" si="20"/>
        <v>-7.9225128823292343E-2</v>
      </c>
      <c r="H265">
        <f ca="1">IF(AND(B265&gt;'Real Analysis'!$B$31,B265&lt;'Real Analysis'!$B$32),FilterInput(E265,'Real Analysis'!$B$26,'Real Analysis'!$B$27),0)</f>
        <v>0</v>
      </c>
      <c r="I265" t="e">
        <f>MEDIAN2("Real Values",H265,'Real Analysis'!$B$5,2)</f>
        <v>#VALUE!</v>
      </c>
      <c r="J265" t="e">
        <f>AVERAGE2("Real Values",I265,'Real Analysis'!$B$6,2)</f>
        <v>#VALUE!</v>
      </c>
      <c r="K265" t="e">
        <f>INTEGRAL2(J265,$B265,K264,J264,$B264,'Real Analysis'!$B$19)</f>
        <v>#VALUE!</v>
      </c>
      <c r="L265" t="e">
        <f>IF(AND(B265&lt;'Real Analysis'!$B$32,B265&gt;0),INTEGRAL2(K265,$B265,L264,K264,$B264,'Real Analysis'!$B$20),0)</f>
        <v>#VALUE!</v>
      </c>
      <c r="N265">
        <f>'Real Analysis'!$B$28*'Real Input'!U265+IF('Real Input'!U265 &gt; 0,'Real Analysis'!$B$29,0)</f>
        <v>0</v>
      </c>
      <c r="O265" t="e">
        <f t="shared" si="22"/>
        <v>#VALUE!</v>
      </c>
      <c r="P265" t="e">
        <f t="shared" si="23"/>
        <v>#VALUE!</v>
      </c>
    </row>
    <row r="266" spans="1:16" x14ac:dyDescent="0.3">
      <c r="A266">
        <v>264</v>
      </c>
      <c r="B266">
        <f>'Real Input'!M266</f>
        <v>5.3258539999951608</v>
      </c>
      <c r="C266">
        <f ca="1">INDIRECT(CONCATENATE("'Real Input'!",'Real Analysis'!$B$2,A266+2))</f>
        <v>9.8588145600000008</v>
      </c>
      <c r="D266">
        <f t="shared" si="21"/>
        <v>1.4427000001887791E-2</v>
      </c>
      <c r="E266">
        <f ca="1">IF(B266&gt;0,C266-'Real Analysis'!$B$14,0)</f>
        <v>2.3167576285736402E-3</v>
      </c>
      <c r="F266">
        <f t="shared" ca="1" si="24"/>
        <v>-2.9780407430465023E-2</v>
      </c>
      <c r="G266">
        <f t="shared" ca="1" si="20"/>
        <v>-7.9654770761347887E-2</v>
      </c>
      <c r="H266">
        <f ca="1">IF(AND(B266&gt;'Real Analysis'!$B$31,B266&lt;'Real Analysis'!$B$32),FilterInput(E266,'Real Analysis'!$B$26,'Real Analysis'!$B$27),0)</f>
        <v>0</v>
      </c>
      <c r="I266" t="e">
        <f>MEDIAN2("Real Values",H266,'Real Analysis'!$B$5,2)</f>
        <v>#VALUE!</v>
      </c>
      <c r="J266" t="e">
        <f>AVERAGE2("Real Values",I266,'Real Analysis'!$B$6,2)</f>
        <v>#VALUE!</v>
      </c>
      <c r="K266" t="e">
        <f>INTEGRAL2(J266,$B266,K265,J265,$B265,'Real Analysis'!$B$19)</f>
        <v>#VALUE!</v>
      </c>
      <c r="L266" t="e">
        <f>IF(AND(B266&lt;'Real Analysis'!$B$32,B266&gt;0),INTEGRAL2(K266,$B266,L265,K265,$B265,'Real Analysis'!$B$20),0)</f>
        <v>#VALUE!</v>
      </c>
      <c r="N266">
        <f>'Real Analysis'!$B$28*'Real Input'!U266+IF('Real Input'!U266 &gt; 0,'Real Analysis'!$B$29,0)</f>
        <v>0</v>
      </c>
      <c r="O266" t="e">
        <f t="shared" si="22"/>
        <v>#VALUE!</v>
      </c>
      <c r="P266" t="e">
        <f t="shared" si="23"/>
        <v>#VALUE!</v>
      </c>
    </row>
    <row r="267" spans="1:16" x14ac:dyDescent="0.3">
      <c r="A267">
        <v>265</v>
      </c>
      <c r="B267">
        <f>'Real Input'!M267</f>
        <v>5.3507320000062464</v>
      </c>
      <c r="C267">
        <f ca="1">INDIRECT(CONCATENATE("'Real Input'!",'Real Analysis'!$B$2,A267+2))</f>
        <v>9.8570193300000017</v>
      </c>
      <c r="D267">
        <f t="shared" si="21"/>
        <v>2.4878000011085533E-2</v>
      </c>
      <c r="E267">
        <f ca="1">IF(B267&gt;0,C267-'Real Analysis'!$B$14,0)</f>
        <v>5.2152762857460289E-4</v>
      </c>
      <c r="F267">
        <f t="shared" ca="1" si="24"/>
        <v>-2.9767432866115561E-2</v>
      </c>
      <c r="G267">
        <f t="shared" ca="1" si="20"/>
        <v>-8.0395324956521103E-2</v>
      </c>
      <c r="H267">
        <f ca="1">IF(AND(B267&gt;'Real Analysis'!$B$31,B267&lt;'Real Analysis'!$B$32),FilterInput(E267,'Real Analysis'!$B$26,'Real Analysis'!$B$27),0)</f>
        <v>0</v>
      </c>
      <c r="I267" t="e">
        <f>MEDIAN2("Real Values",H267,'Real Analysis'!$B$5,2)</f>
        <v>#VALUE!</v>
      </c>
      <c r="J267" t="e">
        <f>AVERAGE2("Real Values",I267,'Real Analysis'!$B$6,2)</f>
        <v>#VALUE!</v>
      </c>
      <c r="K267" t="e">
        <f>INTEGRAL2(J267,$B267,K266,J266,$B266,'Real Analysis'!$B$19)</f>
        <v>#VALUE!</v>
      </c>
      <c r="L267" t="e">
        <f>IF(AND(B267&lt;'Real Analysis'!$B$32,B267&gt;0),INTEGRAL2(K267,$B267,L266,K266,$B266,'Real Analysis'!$B$20),0)</f>
        <v>#VALUE!</v>
      </c>
      <c r="N267">
        <f>'Real Analysis'!$B$28*'Real Input'!U267+IF('Real Input'!U267 &gt; 0,'Real Analysis'!$B$29,0)</f>
        <v>0</v>
      </c>
      <c r="O267" t="e">
        <f t="shared" si="22"/>
        <v>#VALUE!</v>
      </c>
      <c r="P267" t="e">
        <f t="shared" si="23"/>
        <v>#VALUE!</v>
      </c>
    </row>
    <row r="268" spans="1:16" x14ac:dyDescent="0.3">
      <c r="A268">
        <v>266</v>
      </c>
      <c r="B268">
        <f>'Real Input'!M268</f>
        <v>5.3712130000058096</v>
      </c>
      <c r="C268">
        <f ca="1">INDIRECT(CONCATENATE("'Real Input'!",'Real Analysis'!$B$2,A268+2))</f>
        <v>9.8509861800000014</v>
      </c>
      <c r="D268">
        <f t="shared" si="21"/>
        <v>2.048099999956321E-2</v>
      </c>
      <c r="E268">
        <f ca="1">IF(B268&gt;0,C268-'Real Analysis'!$B$14,0)</f>
        <v>-5.5116223714257728E-3</v>
      </c>
      <c r="F268">
        <f t="shared" ca="1" si="24"/>
        <v>-2.9880316403902325E-2</v>
      </c>
      <c r="G268">
        <f t="shared" ca="1" si="20"/>
        <v>-8.1007303716776377E-2</v>
      </c>
      <c r="H268">
        <f ca="1">IF(AND(B268&gt;'Real Analysis'!$B$31,B268&lt;'Real Analysis'!$B$32),FilterInput(E268,'Real Analysis'!$B$26,'Real Analysis'!$B$27),0)</f>
        <v>0</v>
      </c>
      <c r="I268" t="e">
        <f>MEDIAN2("Real Values",H268,'Real Analysis'!$B$5,2)</f>
        <v>#VALUE!</v>
      </c>
      <c r="J268" t="e">
        <f>AVERAGE2("Real Values",I268,'Real Analysis'!$B$6,2)</f>
        <v>#VALUE!</v>
      </c>
      <c r="K268" t="e">
        <f>INTEGRAL2(J268,$B268,K267,J267,$B267,'Real Analysis'!$B$19)</f>
        <v>#VALUE!</v>
      </c>
      <c r="L268" t="e">
        <f>IF(AND(B268&lt;'Real Analysis'!$B$32,B268&gt;0),INTEGRAL2(K268,$B268,L267,K267,$B267,'Real Analysis'!$B$20),0)</f>
        <v>#VALUE!</v>
      </c>
      <c r="N268">
        <f>'Real Analysis'!$B$28*'Real Input'!U268+IF('Real Input'!U268 &gt; 0,'Real Analysis'!$B$29,0)</f>
        <v>0</v>
      </c>
      <c r="O268" t="e">
        <f t="shared" si="22"/>
        <v>#VALUE!</v>
      </c>
      <c r="P268" t="e">
        <f t="shared" si="23"/>
        <v>#VALUE!</v>
      </c>
    </row>
    <row r="269" spans="1:16" x14ac:dyDescent="0.3">
      <c r="A269">
        <v>267</v>
      </c>
      <c r="B269">
        <f>'Real Input'!M269</f>
        <v>5.3883910000004107</v>
      </c>
      <c r="C269">
        <f ca="1">INDIRECT(CONCATENATE("'Real Input'!",'Real Analysis'!$B$2,A269+2))</f>
        <v>9.8517905999999993</v>
      </c>
      <c r="D269">
        <f t="shared" si="21"/>
        <v>1.7177999994601123E-2</v>
      </c>
      <c r="E269">
        <f ca="1">IF(B269&gt;0,C269-'Real Analysis'!$B$14,0)</f>
        <v>-4.7072023714278544E-3</v>
      </c>
      <c r="F269">
        <f t="shared" ca="1" si="24"/>
        <v>-2.99611767262133E-2</v>
      </c>
      <c r="G269">
        <f t="shared" ca="1" si="20"/>
        <v>-8.1521976810417507E-2</v>
      </c>
      <c r="H269">
        <f ca="1">IF(AND(B269&gt;'Real Analysis'!$B$31,B269&lt;'Real Analysis'!$B$32),FilterInput(E269,'Real Analysis'!$B$26,'Real Analysis'!$B$27),0)</f>
        <v>0</v>
      </c>
      <c r="I269" t="e">
        <f>MEDIAN2("Real Values",H269,'Real Analysis'!$B$5,2)</f>
        <v>#VALUE!</v>
      </c>
      <c r="J269" t="e">
        <f>AVERAGE2("Real Values",I269,'Real Analysis'!$B$6,2)</f>
        <v>#VALUE!</v>
      </c>
      <c r="K269" t="e">
        <f>INTEGRAL2(J269,$B269,K268,J268,$B268,'Real Analysis'!$B$19)</f>
        <v>#VALUE!</v>
      </c>
      <c r="L269" t="e">
        <f>IF(AND(B269&lt;'Real Analysis'!$B$32,B269&gt;0),INTEGRAL2(K269,$B269,L268,K268,$B268,'Real Analysis'!$B$20),0)</f>
        <v>#VALUE!</v>
      </c>
      <c r="N269">
        <f>'Real Analysis'!$B$28*'Real Input'!U269+IF('Real Input'!U269 &gt; 0,'Real Analysis'!$B$29,0)</f>
        <v>0</v>
      </c>
      <c r="O269" t="e">
        <f t="shared" si="22"/>
        <v>#VALUE!</v>
      </c>
      <c r="P269" t="e">
        <f t="shared" si="23"/>
        <v>#VALUE!</v>
      </c>
    </row>
    <row r="270" spans="1:16" x14ac:dyDescent="0.3">
      <c r="A270">
        <v>268</v>
      </c>
      <c r="B270">
        <f>'Real Input'!M270</f>
        <v>5.411642999999458</v>
      </c>
      <c r="C270">
        <f ca="1">INDIRECT(CONCATENATE("'Real Input'!",'Real Analysis'!$B$2,A270+2))</f>
        <v>9.8518788900000018</v>
      </c>
      <c r="D270">
        <f t="shared" si="21"/>
        <v>2.3251999999047257E-2</v>
      </c>
      <c r="E270">
        <f ca="1">IF(B270&gt;0,C270-'Real Analysis'!$B$14,0)</f>
        <v>-4.61891237142531E-3</v>
      </c>
      <c r="F270">
        <f t="shared" ca="1" si="24"/>
        <v>-3.006857567666928E-2</v>
      </c>
      <c r="G270">
        <f t="shared" ca="1" si="20"/>
        <v>-8.2221131332022773E-2</v>
      </c>
      <c r="H270">
        <f ca="1">IF(AND(B270&gt;'Real Analysis'!$B$31,B270&lt;'Real Analysis'!$B$32),FilterInput(E270,'Real Analysis'!$B$26,'Real Analysis'!$B$27),0)</f>
        <v>0</v>
      </c>
      <c r="I270" t="e">
        <f>MEDIAN2("Real Values",H270,'Real Analysis'!$B$5,2)</f>
        <v>#VALUE!</v>
      </c>
      <c r="J270" t="e">
        <f>AVERAGE2("Real Values",I270,'Real Analysis'!$B$6,2)</f>
        <v>#VALUE!</v>
      </c>
      <c r="K270" t="e">
        <f>INTEGRAL2(J270,$B270,K269,J269,$B269,'Real Analysis'!$B$19)</f>
        <v>#VALUE!</v>
      </c>
      <c r="L270" t="e">
        <f>IF(AND(B270&lt;'Real Analysis'!$B$32,B270&gt;0),INTEGRAL2(K270,$B270,L269,K269,$B269,'Real Analysis'!$B$20),0)</f>
        <v>#VALUE!</v>
      </c>
      <c r="N270">
        <f>'Real Analysis'!$B$28*'Real Input'!U270+IF('Real Input'!U270 &gt; 0,'Real Analysis'!$B$29,0)</f>
        <v>0</v>
      </c>
      <c r="O270" t="e">
        <f t="shared" si="22"/>
        <v>#VALUE!</v>
      </c>
      <c r="P270" t="e">
        <f t="shared" si="23"/>
        <v>#VALUE!</v>
      </c>
    </row>
    <row r="271" spans="1:16" x14ac:dyDescent="0.3">
      <c r="A271">
        <v>269</v>
      </c>
      <c r="B271">
        <f>'Real Input'!M271</f>
        <v>5.4311230000021169</v>
      </c>
      <c r="C271">
        <f ca="1">INDIRECT(CONCATENATE("'Real Input'!",'Real Analysis'!$B$2,A271+2))</f>
        <v>9.8524674900000004</v>
      </c>
      <c r="D271">
        <f t="shared" si="21"/>
        <v>1.9480000002658926E-2</v>
      </c>
      <c r="E271">
        <f ca="1">IF(B271&gt;0,C271-'Real Analysis'!$B$14,0)</f>
        <v>-4.0303123714267031E-3</v>
      </c>
      <c r="F271">
        <f t="shared" ca="1" si="24"/>
        <v>-3.0147086161675388E-2</v>
      </c>
      <c r="G271">
        <f t="shared" ca="1" si="20"/>
        <v>-8.2808396570532364E-2</v>
      </c>
      <c r="H271">
        <f ca="1">IF(AND(B271&gt;'Real Analysis'!$B$31,B271&lt;'Real Analysis'!$B$32),FilterInput(E271,'Real Analysis'!$B$26,'Real Analysis'!$B$27),0)</f>
        <v>0</v>
      </c>
      <c r="I271" t="e">
        <f>MEDIAN2("Real Values",H271,'Real Analysis'!$B$5,2)</f>
        <v>#VALUE!</v>
      </c>
      <c r="J271" t="e">
        <f>AVERAGE2("Real Values",I271,'Real Analysis'!$B$6,2)</f>
        <v>#VALUE!</v>
      </c>
      <c r="K271" t="e">
        <f>INTEGRAL2(J271,$B271,K270,J270,$B270,'Real Analysis'!$B$19)</f>
        <v>#VALUE!</v>
      </c>
      <c r="L271" t="e">
        <f>IF(AND(B271&lt;'Real Analysis'!$B$32,B271&gt;0),INTEGRAL2(K271,$B271,L270,K270,$B270,'Real Analysis'!$B$20),0)</f>
        <v>#VALUE!</v>
      </c>
      <c r="N271">
        <f>'Real Analysis'!$B$28*'Real Input'!U271+IF('Real Input'!U271 &gt; 0,'Real Analysis'!$B$29,0)</f>
        <v>0</v>
      </c>
      <c r="O271" t="e">
        <f t="shared" si="22"/>
        <v>#VALUE!</v>
      </c>
      <c r="P271" t="e">
        <f t="shared" si="23"/>
        <v>#VALUE!</v>
      </c>
    </row>
    <row r="272" spans="1:16" x14ac:dyDescent="0.3">
      <c r="A272">
        <v>270</v>
      </c>
      <c r="B272">
        <f>'Real Input'!M272</f>
        <v>5.4486299999989569</v>
      </c>
      <c r="C272">
        <f ca="1">INDIRECT(CONCATENATE("'Real Input'!",'Real Analysis'!$B$2,A272+2))</f>
        <v>9.834220890000001</v>
      </c>
      <c r="D272">
        <f t="shared" si="21"/>
        <v>1.7506999996840023E-2</v>
      </c>
      <c r="E272">
        <f ca="1">IF(B272&gt;0,C272-'Real Analysis'!$B$14,0)</f>
        <v>-2.227691237142615E-2</v>
      </c>
      <c r="F272">
        <f t="shared" ca="1" si="24"/>
        <v>-3.0537088066491552E-2</v>
      </c>
      <c r="G272">
        <f t="shared" ca="1" si="20"/>
        <v>-8.3343009371215929E-2</v>
      </c>
      <c r="H272">
        <f ca="1">IF(AND(B272&gt;'Real Analysis'!$B$31,B272&lt;'Real Analysis'!$B$32),FilterInput(E272,'Real Analysis'!$B$26,'Real Analysis'!$B$27),0)</f>
        <v>0</v>
      </c>
      <c r="I272" t="e">
        <f>MEDIAN2("Real Values",H272,'Real Analysis'!$B$5,2)</f>
        <v>#VALUE!</v>
      </c>
      <c r="J272" t="e">
        <f>AVERAGE2("Real Values",I272,'Real Analysis'!$B$6,2)</f>
        <v>#VALUE!</v>
      </c>
      <c r="K272" t="e">
        <f>INTEGRAL2(J272,$B272,K271,J271,$B271,'Real Analysis'!$B$19)</f>
        <v>#VALUE!</v>
      </c>
      <c r="L272" t="e">
        <f>IF(AND(B272&lt;'Real Analysis'!$B$32,B272&gt;0),INTEGRAL2(K272,$B272,L271,K271,$B271,'Real Analysis'!$B$20),0)</f>
        <v>#VALUE!</v>
      </c>
      <c r="N272">
        <f>'Real Analysis'!$B$28*'Real Input'!U272+IF('Real Input'!U272 &gt; 0,'Real Analysis'!$B$29,0)</f>
        <v>0</v>
      </c>
      <c r="O272" t="e">
        <f t="shared" si="22"/>
        <v>#VALUE!</v>
      </c>
      <c r="P272" t="e">
        <f t="shared" si="23"/>
        <v>#VALUE!</v>
      </c>
    </row>
    <row r="273" spans="1:16" x14ac:dyDescent="0.3">
      <c r="A273">
        <v>271</v>
      </c>
      <c r="B273">
        <f>'Real Input'!M273</f>
        <v>5.4724680000072112</v>
      </c>
      <c r="C273">
        <f ca="1">INDIRECT(CONCATENATE("'Real Input'!",'Real Analysis'!$B$2,A273+2))</f>
        <v>9.863788229999999</v>
      </c>
      <c r="D273">
        <f t="shared" si="21"/>
        <v>2.3838000008254312E-2</v>
      </c>
      <c r="E273">
        <f ca="1">IF(B273&gt;0,C273-'Real Analysis'!$B$14,0)</f>
        <v>7.290427628571905E-3</v>
      </c>
      <c r="F273">
        <f t="shared" ca="1" si="24"/>
        <v>-3.0363298852621477E-2</v>
      </c>
      <c r="G273">
        <f t="shared" ca="1" si="20"/>
        <v>-8.4066809689515354E-2</v>
      </c>
      <c r="H273">
        <f ca="1">IF(AND(B273&gt;'Real Analysis'!$B$31,B273&lt;'Real Analysis'!$B$32),FilterInput(E273,'Real Analysis'!$B$26,'Real Analysis'!$B$27),0)</f>
        <v>0</v>
      </c>
      <c r="I273" t="e">
        <f>MEDIAN2("Real Values",H273,'Real Analysis'!$B$5,2)</f>
        <v>#VALUE!</v>
      </c>
      <c r="J273" t="e">
        <f>AVERAGE2("Real Values",I273,'Real Analysis'!$B$6,2)</f>
        <v>#VALUE!</v>
      </c>
      <c r="K273" t="e">
        <f>INTEGRAL2(J273,$B273,K272,J272,$B272,'Real Analysis'!$B$19)</f>
        <v>#VALUE!</v>
      </c>
      <c r="L273" t="e">
        <f>IF(AND(B273&lt;'Real Analysis'!$B$32,B273&gt;0),INTEGRAL2(K273,$B273,L272,K272,$B272,'Real Analysis'!$B$20),0)</f>
        <v>#VALUE!</v>
      </c>
      <c r="N273">
        <f>'Real Analysis'!$B$28*'Real Input'!U273+IF('Real Input'!U273 &gt; 0,'Real Analysis'!$B$29,0)</f>
        <v>0</v>
      </c>
      <c r="O273" t="e">
        <f t="shared" si="22"/>
        <v>#VALUE!</v>
      </c>
      <c r="P273" t="e">
        <f t="shared" si="23"/>
        <v>#VALUE!</v>
      </c>
    </row>
    <row r="274" spans="1:16" x14ac:dyDescent="0.3">
      <c r="A274">
        <v>272</v>
      </c>
      <c r="B274">
        <f>'Real Input'!M274</f>
        <v>5.4919269999954849</v>
      </c>
      <c r="C274">
        <f ca="1">INDIRECT(CONCATENATE("'Real Input'!",'Real Analysis'!$B$2,A274+2))</f>
        <v>9.8539684200000011</v>
      </c>
      <c r="D274">
        <f t="shared" si="21"/>
        <v>1.9458999988273717E-2</v>
      </c>
      <c r="E274">
        <f ca="1">IF(B274&gt;0,C274-'Real Analysis'!$B$14,0)</f>
        <v>-2.529382371426081E-3</v>
      </c>
      <c r="F274">
        <f t="shared" ca="1" si="24"/>
        <v>-3.0412518104157397E-2</v>
      </c>
      <c r="G274">
        <f t="shared" ca="1" si="20"/>
        <v>-8.4658606878947523E-2</v>
      </c>
      <c r="H274">
        <f ca="1">IF(AND(B274&gt;'Real Analysis'!$B$31,B274&lt;'Real Analysis'!$B$32),FilterInput(E274,'Real Analysis'!$B$26,'Real Analysis'!$B$27),0)</f>
        <v>0</v>
      </c>
      <c r="I274" t="e">
        <f>MEDIAN2("Real Values",H274,'Real Analysis'!$B$5,2)</f>
        <v>#VALUE!</v>
      </c>
      <c r="J274" t="e">
        <f>AVERAGE2("Real Values",I274,'Real Analysis'!$B$6,2)</f>
        <v>#VALUE!</v>
      </c>
      <c r="K274" t="e">
        <f>INTEGRAL2(J274,$B274,K273,J273,$B273,'Real Analysis'!$B$19)</f>
        <v>#VALUE!</v>
      </c>
      <c r="L274" t="e">
        <f>IF(AND(B274&lt;'Real Analysis'!$B$32,B274&gt;0),INTEGRAL2(K274,$B274,L273,K273,$B273,'Real Analysis'!$B$20),0)</f>
        <v>#VALUE!</v>
      </c>
      <c r="N274">
        <f>'Real Analysis'!$B$28*'Real Input'!U274+IF('Real Input'!U274 &gt; 0,'Real Analysis'!$B$29,0)</f>
        <v>0</v>
      </c>
      <c r="O274" t="e">
        <f t="shared" si="22"/>
        <v>#VALUE!</v>
      </c>
      <c r="P274" t="e">
        <f t="shared" si="23"/>
        <v>#VALUE!</v>
      </c>
    </row>
    <row r="275" spans="1:16" x14ac:dyDescent="0.3">
      <c r="A275">
        <v>273</v>
      </c>
      <c r="B275">
        <f>'Real Input'!M275</f>
        <v>5.511863000006997</v>
      </c>
      <c r="C275">
        <f ca="1">INDIRECT(CONCATENATE("'Real Input'!",'Real Analysis'!$B$2,A275+2))</f>
        <v>9.8492792399999995</v>
      </c>
      <c r="D275">
        <f t="shared" si="21"/>
        <v>1.9936000011512078E-2</v>
      </c>
      <c r="E275">
        <f ca="1">IF(B275&gt;0,C275-'Real Analysis'!$B$14,0)</f>
        <v>-7.2185623714275948E-3</v>
      </c>
      <c r="F275">
        <f t="shared" ca="1" si="24"/>
        <v>-3.055642736367728E-2</v>
      </c>
      <c r="G275">
        <f t="shared" ca="1" si="20"/>
        <v>-8.5267779815221559E-2</v>
      </c>
      <c r="H275">
        <f ca="1">IF(AND(B275&gt;'Real Analysis'!$B$31,B275&lt;'Real Analysis'!$B$32),FilterInput(E275,'Real Analysis'!$B$26,'Real Analysis'!$B$27),0)</f>
        <v>0</v>
      </c>
      <c r="I275" t="e">
        <f>MEDIAN2("Real Values",H275,'Real Analysis'!$B$5,2)</f>
        <v>#VALUE!</v>
      </c>
      <c r="J275" t="e">
        <f>AVERAGE2("Real Values",I275,'Real Analysis'!$B$6,2)</f>
        <v>#VALUE!</v>
      </c>
      <c r="K275" t="e">
        <f>INTEGRAL2(J275,$B275,K274,J274,$B274,'Real Analysis'!$B$19)</f>
        <v>#VALUE!</v>
      </c>
      <c r="L275" t="e">
        <f>IF(AND(B275&lt;'Real Analysis'!$B$32,B275&gt;0),INTEGRAL2(K275,$B275,L274,K274,$B274,'Real Analysis'!$B$20),0)</f>
        <v>#VALUE!</v>
      </c>
      <c r="N275">
        <f>'Real Analysis'!$B$28*'Real Input'!U275+IF('Real Input'!U275 &gt; 0,'Real Analysis'!$B$29,0)</f>
        <v>0</v>
      </c>
      <c r="O275" t="e">
        <f t="shared" si="22"/>
        <v>#VALUE!</v>
      </c>
      <c r="P275" t="e">
        <f t="shared" si="23"/>
        <v>#VALUE!</v>
      </c>
    </row>
    <row r="276" spans="1:16" x14ac:dyDescent="0.3">
      <c r="A276">
        <v>274</v>
      </c>
      <c r="B276">
        <f>'Real Input'!M276</f>
        <v>5.5304809999943245</v>
      </c>
      <c r="C276">
        <f ca="1">INDIRECT(CONCATENATE("'Real Input'!",'Real Analysis'!$B$2,A276+2))</f>
        <v>9.867506220000001</v>
      </c>
      <c r="D276">
        <f t="shared" si="21"/>
        <v>1.8617999987327494E-2</v>
      </c>
      <c r="E276">
        <f ca="1">IF(B276&gt;0,C276-'Real Analysis'!$B$14,0)</f>
        <v>1.1008417628573852E-2</v>
      </c>
      <c r="F276">
        <f t="shared" ca="1" si="24"/>
        <v>-3.0351472644407997E-2</v>
      </c>
      <c r="G276">
        <f t="shared" ca="1" si="20"/>
        <v>-8.5832863532530515E-2</v>
      </c>
      <c r="H276">
        <f ca="1">IF(AND(B276&gt;'Real Analysis'!$B$31,B276&lt;'Real Analysis'!$B$32),FilterInput(E276,'Real Analysis'!$B$26,'Real Analysis'!$B$27),0)</f>
        <v>0</v>
      </c>
      <c r="I276" t="e">
        <f>MEDIAN2("Real Values",H276,'Real Analysis'!$B$5,2)</f>
        <v>#VALUE!</v>
      </c>
      <c r="J276" t="e">
        <f>AVERAGE2("Real Values",I276,'Real Analysis'!$B$6,2)</f>
        <v>#VALUE!</v>
      </c>
      <c r="K276" t="e">
        <f>INTEGRAL2(J276,$B276,K275,J275,$B275,'Real Analysis'!$B$19)</f>
        <v>#VALUE!</v>
      </c>
      <c r="L276" t="e">
        <f>IF(AND(B276&lt;'Real Analysis'!$B$32,B276&gt;0),INTEGRAL2(K276,$B276,L275,K275,$B275,'Real Analysis'!$B$20),0)</f>
        <v>#VALUE!</v>
      </c>
      <c r="N276">
        <f>'Real Analysis'!$B$28*'Real Input'!U276+IF('Real Input'!U276 &gt; 0,'Real Analysis'!$B$29,0)</f>
        <v>0</v>
      </c>
      <c r="O276" t="e">
        <f t="shared" si="22"/>
        <v>#VALUE!</v>
      </c>
      <c r="P276" t="e">
        <f t="shared" si="23"/>
        <v>#VALUE!</v>
      </c>
    </row>
    <row r="277" spans="1:16" x14ac:dyDescent="0.3">
      <c r="A277">
        <v>275</v>
      </c>
      <c r="B277">
        <f>'Real Input'!M277</f>
        <v>5.5470349999959581</v>
      </c>
      <c r="C277">
        <f ca="1">INDIRECT(CONCATENATE("'Real Input'!",'Real Analysis'!$B$2,A277+2))</f>
        <v>9.8725485600000003</v>
      </c>
      <c r="D277">
        <f t="shared" si="21"/>
        <v>1.655400000163354E-2</v>
      </c>
      <c r="E277">
        <f ca="1">IF(B277&gt;0,C277-'Real Analysis'!$B$14,0)</f>
        <v>1.6050757628573109E-2</v>
      </c>
      <c r="F277">
        <f t="shared" ca="1" si="24"/>
        <v>-3.0085768402598377E-2</v>
      </c>
      <c r="G277">
        <f t="shared" ca="1" si="20"/>
        <v>-8.6330903342716273E-2</v>
      </c>
      <c r="H277">
        <f ca="1">IF(AND(B277&gt;'Real Analysis'!$B$31,B277&lt;'Real Analysis'!$B$32),FilterInput(E277,'Real Analysis'!$B$26,'Real Analysis'!$B$27),0)</f>
        <v>0</v>
      </c>
      <c r="I277" t="e">
        <f>MEDIAN2("Real Values",H277,'Real Analysis'!$B$5,2)</f>
        <v>#VALUE!</v>
      </c>
      <c r="J277" t="e">
        <f>AVERAGE2("Real Values",I277,'Real Analysis'!$B$6,2)</f>
        <v>#VALUE!</v>
      </c>
      <c r="K277" t="e">
        <f>INTEGRAL2(J277,$B277,K276,J276,$B276,'Real Analysis'!$B$19)</f>
        <v>#VALUE!</v>
      </c>
      <c r="L277" t="e">
        <f>IF(AND(B277&lt;'Real Analysis'!$B$32,B277&gt;0),INTEGRAL2(K277,$B277,L276,K276,$B276,'Real Analysis'!$B$20),0)</f>
        <v>#VALUE!</v>
      </c>
      <c r="N277">
        <f>'Real Analysis'!$B$28*'Real Input'!U277+IF('Real Input'!U277 &gt; 0,'Real Analysis'!$B$29,0)</f>
        <v>0</v>
      </c>
      <c r="O277" t="e">
        <f t="shared" si="22"/>
        <v>#VALUE!</v>
      </c>
      <c r="P277" t="e">
        <f t="shared" si="23"/>
        <v>#VALUE!</v>
      </c>
    </row>
    <row r="278" spans="1:16" x14ac:dyDescent="0.3">
      <c r="A278">
        <v>276</v>
      </c>
      <c r="B278">
        <f>'Real Input'!M278</f>
        <v>5.5724880000052508</v>
      </c>
      <c r="C278">
        <f ca="1">INDIRECT(CONCATENATE("'Real Input'!",'Real Analysis'!$B$2,A278+2))</f>
        <v>9.8593835399999996</v>
      </c>
      <c r="D278">
        <f t="shared" si="21"/>
        <v>2.5453000009292737E-2</v>
      </c>
      <c r="E278">
        <f ca="1">IF(B278&gt;0,C278-'Real Analysis'!$B$14,0)</f>
        <v>2.8857376285724712E-3</v>
      </c>
      <c r="F278">
        <f t="shared" ca="1" si="24"/>
        <v>-3.0012317722711505E-2</v>
      </c>
      <c r="G278">
        <f t="shared" ca="1" si="20"/>
        <v>-8.7094806865991345E-2</v>
      </c>
      <c r="H278">
        <f ca="1">IF(AND(B278&gt;'Real Analysis'!$B$31,B278&lt;'Real Analysis'!$B$32),FilterInput(E278,'Real Analysis'!$B$26,'Real Analysis'!$B$27),0)</f>
        <v>0</v>
      </c>
      <c r="I278" t="e">
        <f>MEDIAN2("Real Values",H278,'Real Analysis'!$B$5,2)</f>
        <v>#VALUE!</v>
      </c>
      <c r="J278" t="e">
        <f>AVERAGE2("Real Values",I278,'Real Analysis'!$B$6,2)</f>
        <v>#VALUE!</v>
      </c>
      <c r="K278" t="e">
        <f>INTEGRAL2(J278,$B278,K277,J277,$B277,'Real Analysis'!$B$19)</f>
        <v>#VALUE!</v>
      </c>
      <c r="L278" t="e">
        <f>IF(AND(B278&lt;'Real Analysis'!$B$32,B278&gt;0),INTEGRAL2(K278,$B278,L277,K277,$B277,'Real Analysis'!$B$20),0)</f>
        <v>#VALUE!</v>
      </c>
      <c r="N278">
        <f>'Real Analysis'!$B$28*'Real Input'!U278+IF('Real Input'!U278 &gt; 0,'Real Analysis'!$B$29,0)</f>
        <v>0</v>
      </c>
      <c r="O278" t="e">
        <f t="shared" si="22"/>
        <v>#VALUE!</v>
      </c>
      <c r="P278" t="e">
        <f t="shared" si="23"/>
        <v>#VALUE!</v>
      </c>
    </row>
    <row r="279" spans="1:16" x14ac:dyDescent="0.3">
      <c r="A279">
        <v>277</v>
      </c>
      <c r="B279">
        <f>'Real Input'!M279</f>
        <v>5.5827129999961471</v>
      </c>
      <c r="C279">
        <f ca="1">INDIRECT(CONCATENATE("'Real Input'!",'Real Analysis'!$B$2,A279+2))</f>
        <v>9.8467678800000016</v>
      </c>
      <c r="D279">
        <f t="shared" si="21"/>
        <v>1.0224999990896322E-2</v>
      </c>
      <c r="E279">
        <f ca="1">IF(B279&gt;0,C279-'Real Analysis'!$B$14,0)</f>
        <v>-9.7299223714255589E-3</v>
      </c>
      <c r="F279">
        <f t="shared" ca="1" si="24"/>
        <v>-3.0111806178870753E-2</v>
      </c>
      <c r="G279">
        <f t="shared" ca="1" si="20"/>
        <v>-8.7402700083896168E-2</v>
      </c>
      <c r="H279">
        <f ca="1">IF(AND(B279&gt;'Real Analysis'!$B$31,B279&lt;'Real Analysis'!$B$32),FilterInput(E279,'Real Analysis'!$B$26,'Real Analysis'!$B$27),0)</f>
        <v>0</v>
      </c>
      <c r="I279" t="e">
        <f>MEDIAN2("Real Values",H279,'Real Analysis'!$B$5,2)</f>
        <v>#VALUE!</v>
      </c>
      <c r="J279" t="e">
        <f>AVERAGE2("Real Values",I279,'Real Analysis'!$B$6,2)</f>
        <v>#VALUE!</v>
      </c>
      <c r="K279" t="e">
        <f>INTEGRAL2(J279,$B279,K278,J278,$B278,'Real Analysis'!$B$19)</f>
        <v>#VALUE!</v>
      </c>
      <c r="L279" t="e">
        <f>IF(AND(B279&lt;'Real Analysis'!$B$32,B279&gt;0),INTEGRAL2(K279,$B279,L278,K278,$B278,'Real Analysis'!$B$20),0)</f>
        <v>#VALUE!</v>
      </c>
      <c r="N279">
        <f>'Real Analysis'!$B$28*'Real Input'!U279+IF('Real Input'!U279 &gt; 0,'Real Analysis'!$B$29,0)</f>
        <v>0</v>
      </c>
      <c r="O279" t="e">
        <f t="shared" si="22"/>
        <v>#VALUE!</v>
      </c>
      <c r="P279" t="e">
        <f t="shared" si="23"/>
        <v>#VALUE!</v>
      </c>
    </row>
    <row r="280" spans="1:16" x14ac:dyDescent="0.3">
      <c r="A280">
        <v>278</v>
      </c>
      <c r="B280">
        <f>'Real Input'!M280</f>
        <v>5.6128069999977015</v>
      </c>
      <c r="C280">
        <f ca="1">INDIRECT(CONCATENATE("'Real Input'!",'Real Analysis'!$B$2,A280+2))</f>
        <v>9.919607130000001</v>
      </c>
      <c r="D280">
        <f t="shared" si="21"/>
        <v>3.0094000001554377E-2</v>
      </c>
      <c r="E280">
        <f ca="1">IF(B280&gt;0,C280-'Real Analysis'!$B$14,0)</f>
        <v>6.3109327628573908E-2</v>
      </c>
      <c r="F280">
        <f t="shared" ca="1" si="24"/>
        <v>-2.8212594073118352E-2</v>
      </c>
      <c r="G280">
        <f t="shared" ca="1" si="20"/>
        <v>-8.8251729889976441E-2</v>
      </c>
      <c r="H280">
        <f ca="1">IF(AND(B280&gt;'Real Analysis'!$B$31,B280&lt;'Real Analysis'!$B$32),FilterInput(E280,'Real Analysis'!$B$26,'Real Analysis'!$B$27),0)</f>
        <v>0</v>
      </c>
      <c r="I280" t="e">
        <f>MEDIAN2("Real Values",H280,'Real Analysis'!$B$5,2)</f>
        <v>#VALUE!</v>
      </c>
      <c r="J280" t="e">
        <f>AVERAGE2("Real Values",I280,'Real Analysis'!$B$6,2)</f>
        <v>#VALUE!</v>
      </c>
      <c r="K280" t="e">
        <f>INTEGRAL2(J280,$B280,K279,J279,$B279,'Real Analysis'!$B$19)</f>
        <v>#VALUE!</v>
      </c>
      <c r="L280" t="e">
        <f>IF(AND(B280&lt;'Real Analysis'!$B$32,B280&gt;0),INTEGRAL2(K280,$B280,L279,K279,$B279,'Real Analysis'!$B$20),0)</f>
        <v>#VALUE!</v>
      </c>
      <c r="N280">
        <f>'Real Analysis'!$B$28*'Real Input'!U280+IF('Real Input'!U280 &gt; 0,'Real Analysis'!$B$29,0)</f>
        <v>0</v>
      </c>
      <c r="O280" t="e">
        <f t="shared" si="22"/>
        <v>#VALUE!</v>
      </c>
      <c r="P280" t="e">
        <f t="shared" si="23"/>
        <v>#VALUE!</v>
      </c>
    </row>
    <row r="281" spans="1:16" x14ac:dyDescent="0.3">
      <c r="A281">
        <v>279</v>
      </c>
      <c r="B281">
        <f>'Real Input'!M281</f>
        <v>5.6301979999989271</v>
      </c>
      <c r="C281">
        <f ca="1">INDIRECT(CONCATENATE("'Real Input'!",'Real Analysis'!$B$2,A281+2))</f>
        <v>9.935479710000001</v>
      </c>
      <c r="D281">
        <f t="shared" si="21"/>
        <v>1.7391000001225621E-2</v>
      </c>
      <c r="E281">
        <f ca="1">IF(B281&gt;0,C281-'Real Analysis'!$B$14,0)</f>
        <v>7.8981907628573822E-2</v>
      </c>
      <c r="F281">
        <f t="shared" ca="1" si="24"/>
        <v>-2.6839019717453023E-2</v>
      </c>
      <c r="G281">
        <f t="shared" ca="1" si="20"/>
        <v>-8.8718487281915559E-2</v>
      </c>
      <c r="H281">
        <f ca="1">IF(AND(B281&gt;'Real Analysis'!$B$31,B281&lt;'Real Analysis'!$B$32),FilterInput(E281,'Real Analysis'!$B$26,'Real Analysis'!$B$27),0)</f>
        <v>0</v>
      </c>
      <c r="I281" t="e">
        <f>MEDIAN2("Real Values",H281,'Real Analysis'!$B$5,2)</f>
        <v>#VALUE!</v>
      </c>
      <c r="J281" t="e">
        <f>AVERAGE2("Real Values",I281,'Real Analysis'!$B$6,2)</f>
        <v>#VALUE!</v>
      </c>
      <c r="K281" t="e">
        <f>INTEGRAL2(J281,$B281,K280,J280,$B280,'Real Analysis'!$B$19)</f>
        <v>#VALUE!</v>
      </c>
      <c r="L281" t="e">
        <f>IF(AND(B281&lt;'Real Analysis'!$B$32,B281&gt;0),INTEGRAL2(K281,$B281,L280,K280,$B280,'Real Analysis'!$B$20),0)</f>
        <v>#VALUE!</v>
      </c>
      <c r="N281">
        <f>'Real Analysis'!$B$28*'Real Input'!U281+IF('Real Input'!U281 &gt; 0,'Real Analysis'!$B$29,0)</f>
        <v>0</v>
      </c>
      <c r="O281" t="e">
        <f t="shared" si="22"/>
        <v>#VALUE!</v>
      </c>
      <c r="P281" t="e">
        <f t="shared" si="23"/>
        <v>#VALUE!</v>
      </c>
    </row>
    <row r="282" spans="1:16" x14ac:dyDescent="0.3">
      <c r="A282">
        <v>280</v>
      </c>
      <c r="B282">
        <f>'Real Input'!M282</f>
        <v>5.6481090000015683</v>
      </c>
      <c r="C282">
        <f ca="1">INDIRECT(CONCATENATE("'Real Input'!",'Real Analysis'!$B$2,A282+2))</f>
        <v>9.8486514000000014</v>
      </c>
      <c r="D282">
        <f t="shared" si="21"/>
        <v>1.7911000002641231E-2</v>
      </c>
      <c r="E282">
        <f ca="1">IF(B282&gt;0,C282-'Real Analysis'!$B$14,0)</f>
        <v>-7.8464023714257536E-3</v>
      </c>
      <c r="F282">
        <f t="shared" ca="1" si="24"/>
        <v>-2.6979556630348355E-2</v>
      </c>
      <c r="G282">
        <f t="shared" ca="1" si="20"/>
        <v>-8.9201718120792986E-2</v>
      </c>
      <c r="H282">
        <f ca="1">IF(AND(B282&gt;'Real Analysis'!$B$31,B282&lt;'Real Analysis'!$B$32),FilterInput(E282,'Real Analysis'!$B$26,'Real Analysis'!$B$27),0)</f>
        <v>0</v>
      </c>
      <c r="I282" t="e">
        <f>MEDIAN2("Real Values",H282,'Real Analysis'!$B$5,2)</f>
        <v>#VALUE!</v>
      </c>
      <c r="J282" t="e">
        <f>AVERAGE2("Real Values",I282,'Real Analysis'!$B$6,2)</f>
        <v>#VALUE!</v>
      </c>
      <c r="K282" t="e">
        <f>INTEGRAL2(J282,$B282,K281,J281,$B281,'Real Analysis'!$B$19)</f>
        <v>#VALUE!</v>
      </c>
      <c r="L282" t="e">
        <f>IF(AND(B282&lt;'Real Analysis'!$B$32,B282&gt;0),INTEGRAL2(K282,$B282,L281,K281,$B281,'Real Analysis'!$B$20),0)</f>
        <v>#VALUE!</v>
      </c>
      <c r="N282">
        <f>'Real Analysis'!$B$28*'Real Input'!U282+IF('Real Input'!U282 &gt; 0,'Real Analysis'!$B$29,0)</f>
        <v>0</v>
      </c>
      <c r="O282" t="e">
        <f t="shared" si="22"/>
        <v>#VALUE!</v>
      </c>
      <c r="P282" t="e">
        <f t="shared" si="23"/>
        <v>#VALUE!</v>
      </c>
    </row>
    <row r="283" spans="1:16" x14ac:dyDescent="0.3">
      <c r="A283">
        <v>281</v>
      </c>
      <c r="B283">
        <f>'Real Input'!M283</f>
        <v>5.6710330000059912</v>
      </c>
      <c r="C283">
        <f ca="1">INDIRECT(CONCATENATE("'Real Input'!",'Real Analysis'!$B$2,A283+2))</f>
        <v>9.8504760600000019</v>
      </c>
      <c r="D283">
        <f t="shared" si="21"/>
        <v>2.2924000004422851E-2</v>
      </c>
      <c r="E283">
        <f ca="1">IF(B283&gt;0,C283-'Real Analysis'!$B$14,0)</f>
        <v>-6.021742371425276E-3</v>
      </c>
      <c r="F283">
        <f t="shared" ca="1" si="24"/>
        <v>-2.711759905249754E-2</v>
      </c>
      <c r="G283">
        <f t="shared" ca="1" si="20"/>
        <v>-8.982336196159238E-2</v>
      </c>
      <c r="H283">
        <f ca="1">IF(AND(B283&gt;'Real Analysis'!$B$31,B283&lt;'Real Analysis'!$B$32),FilterInput(E283,'Real Analysis'!$B$26,'Real Analysis'!$B$27),0)</f>
        <v>0</v>
      </c>
      <c r="I283" t="e">
        <f>MEDIAN2("Real Values",H283,'Real Analysis'!$B$5,2)</f>
        <v>#VALUE!</v>
      </c>
      <c r="J283" t="e">
        <f>AVERAGE2("Real Values",I283,'Real Analysis'!$B$6,2)</f>
        <v>#VALUE!</v>
      </c>
      <c r="K283" t="e">
        <f>INTEGRAL2(J283,$B283,K282,J282,$B282,'Real Analysis'!$B$19)</f>
        <v>#VALUE!</v>
      </c>
      <c r="L283" t="e">
        <f>IF(AND(B283&lt;'Real Analysis'!$B$32,B283&gt;0),INTEGRAL2(K283,$B283,L282,K282,$B282,'Real Analysis'!$B$20),0)</f>
        <v>#VALUE!</v>
      </c>
      <c r="N283">
        <f>'Real Analysis'!$B$28*'Real Input'!U283+IF('Real Input'!U283 &gt; 0,'Real Analysis'!$B$29,0)</f>
        <v>0</v>
      </c>
      <c r="O283" t="e">
        <f t="shared" si="22"/>
        <v>#VALUE!</v>
      </c>
      <c r="P283" t="e">
        <f t="shared" si="23"/>
        <v>#VALUE!</v>
      </c>
    </row>
    <row r="284" spans="1:16" x14ac:dyDescent="0.3">
      <c r="A284">
        <v>282</v>
      </c>
      <c r="B284">
        <f>'Real Input'!M284</f>
        <v>5.688586000003852</v>
      </c>
      <c r="C284">
        <f ca="1">INDIRECT(CONCATENATE("'Real Input'!",'Real Analysis'!$B$2,A284+2))</f>
        <v>9.9059614200000006</v>
      </c>
      <c r="D284">
        <f t="shared" si="21"/>
        <v>1.7552999997860752E-2</v>
      </c>
      <c r="E284">
        <f ca="1">IF(B284&gt;0,C284-'Real Analysis'!$B$14,0)</f>
        <v>4.9463617628573431E-2</v>
      </c>
      <c r="F284">
        <f t="shared" ca="1" si="24"/>
        <v>-2.6249364172369005E-2</v>
      </c>
      <c r="G284">
        <f t="shared" ca="1" si="20"/>
        <v>-9.0284117050853818E-2</v>
      </c>
      <c r="H284">
        <f ca="1">IF(AND(B284&gt;'Real Analysis'!$B$31,B284&lt;'Real Analysis'!$B$32),FilterInput(E284,'Real Analysis'!$B$26,'Real Analysis'!$B$27),0)</f>
        <v>0</v>
      </c>
      <c r="I284" t="e">
        <f>MEDIAN2("Real Values",H284,'Real Analysis'!$B$5,2)</f>
        <v>#VALUE!</v>
      </c>
      <c r="J284" t="e">
        <f>AVERAGE2("Real Values",I284,'Real Analysis'!$B$6,2)</f>
        <v>#VALUE!</v>
      </c>
      <c r="K284" t="e">
        <f>INTEGRAL2(J284,$B284,K283,J283,$B283,'Real Analysis'!$B$19)</f>
        <v>#VALUE!</v>
      </c>
      <c r="L284" t="e">
        <f>IF(AND(B284&lt;'Real Analysis'!$B$32,B284&gt;0),INTEGRAL2(K284,$B284,L283,K283,$B283,'Real Analysis'!$B$20),0)</f>
        <v>#VALUE!</v>
      </c>
      <c r="N284">
        <f>'Real Analysis'!$B$28*'Real Input'!U284+IF('Real Input'!U284 &gt; 0,'Real Analysis'!$B$29,0)</f>
        <v>0</v>
      </c>
      <c r="O284" t="e">
        <f t="shared" si="22"/>
        <v>#VALUE!</v>
      </c>
      <c r="P284" t="e">
        <f t="shared" si="23"/>
        <v>#VALUE!</v>
      </c>
    </row>
    <row r="285" spans="1:16" x14ac:dyDescent="0.3">
      <c r="A285">
        <v>283</v>
      </c>
      <c r="B285">
        <f>'Real Input'!M285</f>
        <v>5.7051849999988917</v>
      </c>
      <c r="C285">
        <f ca="1">INDIRECT(CONCATENATE("'Real Input'!",'Real Analysis'!$B$2,A285+2))</f>
        <v>9.9014684400000021</v>
      </c>
      <c r="D285">
        <f t="shared" si="21"/>
        <v>1.6598999995039776E-2</v>
      </c>
      <c r="E285">
        <f ca="1">IF(B285&gt;0,C285-'Real Analysis'!$B$14,0)</f>
        <v>4.4970637628575005E-2</v>
      </c>
      <c r="F285">
        <f t="shared" ca="1" si="24"/>
        <v>-2.5502896558595355E-2</v>
      </c>
      <c r="G285">
        <f t="shared" ca="1" si="20"/>
        <v>-9.0707439630703449E-2</v>
      </c>
      <c r="H285">
        <f ca="1">IF(AND(B285&gt;'Real Analysis'!$B$31,B285&lt;'Real Analysis'!$B$32),FilterInput(E285,'Real Analysis'!$B$26,'Real Analysis'!$B$27),0)</f>
        <v>0</v>
      </c>
      <c r="I285" t="e">
        <f>MEDIAN2("Real Values",H285,'Real Analysis'!$B$5,2)</f>
        <v>#VALUE!</v>
      </c>
      <c r="J285" t="e">
        <f>AVERAGE2("Real Values",I285,'Real Analysis'!$B$6,2)</f>
        <v>#VALUE!</v>
      </c>
      <c r="K285" t="e">
        <f>INTEGRAL2(J285,$B285,K284,J284,$B284,'Real Analysis'!$B$19)</f>
        <v>#VALUE!</v>
      </c>
      <c r="L285" t="e">
        <f>IF(AND(B285&lt;'Real Analysis'!$B$32,B285&gt;0),INTEGRAL2(K285,$B285,L284,K284,$B284,'Real Analysis'!$B$20),0)</f>
        <v>#VALUE!</v>
      </c>
      <c r="N285">
        <f>'Real Analysis'!$B$28*'Real Input'!U285+IF('Real Input'!U285 &gt; 0,'Real Analysis'!$B$29,0)</f>
        <v>0</v>
      </c>
      <c r="O285" t="e">
        <f t="shared" si="22"/>
        <v>#VALUE!</v>
      </c>
      <c r="P285" t="e">
        <f t="shared" si="23"/>
        <v>#VALUE!</v>
      </c>
    </row>
    <row r="286" spans="1:16" x14ac:dyDescent="0.3">
      <c r="A286">
        <v>284</v>
      </c>
      <c r="B286">
        <f>'Real Input'!M286</f>
        <v>5.7317630000034114</v>
      </c>
      <c r="C286">
        <f ca="1">INDIRECT(CONCATENATE("'Real Input'!",'Real Analysis'!$B$2,A286+2))</f>
        <v>9.8592462000000012</v>
      </c>
      <c r="D286">
        <f t="shared" si="21"/>
        <v>2.6578000004519708E-2</v>
      </c>
      <c r="E286">
        <f ca="1">IF(B286&gt;0,C286-'Real Analysis'!$B$14,0)</f>
        <v>2.7483976285740397E-3</v>
      </c>
      <c r="F286">
        <f t="shared" ca="1" si="24"/>
        <v>-2.5429849646410693E-2</v>
      </c>
      <c r="G286">
        <f t="shared" ca="1" si="20"/>
        <v>-9.138331417472069E-2</v>
      </c>
      <c r="H286">
        <f ca="1">IF(AND(B286&gt;'Real Analysis'!$B$31,B286&lt;'Real Analysis'!$B$32),FilterInput(E286,'Real Analysis'!$B$26,'Real Analysis'!$B$27),0)</f>
        <v>0</v>
      </c>
      <c r="I286" t="e">
        <f>MEDIAN2("Real Values",H286,'Real Analysis'!$B$5,2)</f>
        <v>#VALUE!</v>
      </c>
      <c r="J286" t="e">
        <f>AVERAGE2("Real Values",I286,'Real Analysis'!$B$6,2)</f>
        <v>#VALUE!</v>
      </c>
      <c r="K286" t="e">
        <f>INTEGRAL2(J286,$B286,K285,J285,$B285,'Real Analysis'!$B$19)</f>
        <v>#VALUE!</v>
      </c>
      <c r="L286" t="e">
        <f>IF(AND(B286&lt;'Real Analysis'!$B$32,B286&gt;0),INTEGRAL2(K286,$B286,L285,K285,$B285,'Real Analysis'!$B$20),0)</f>
        <v>#VALUE!</v>
      </c>
      <c r="N286">
        <f>'Real Analysis'!$B$28*'Real Input'!U286+IF('Real Input'!U286 &gt; 0,'Real Analysis'!$B$29,0)</f>
        <v>0</v>
      </c>
      <c r="O286" t="e">
        <f t="shared" si="22"/>
        <v>#VALUE!</v>
      </c>
      <c r="P286" t="e">
        <f t="shared" si="23"/>
        <v>#VALUE!</v>
      </c>
    </row>
    <row r="287" spans="1:16" x14ac:dyDescent="0.3">
      <c r="A287">
        <v>285</v>
      </c>
      <c r="B287">
        <f>'Real Input'!M287</f>
        <v>5.7484459999977844</v>
      </c>
      <c r="C287">
        <f ca="1">INDIRECT(CONCATENATE("'Real Input'!",'Real Analysis'!$B$2,A287+2))</f>
        <v>9.8517415499999998</v>
      </c>
      <c r="D287">
        <f t="shared" si="21"/>
        <v>1.6682999994372949E-2</v>
      </c>
      <c r="E287">
        <f ca="1">IF(B287&gt;0,C287-'Real Analysis'!$B$14,0)</f>
        <v>-4.7562523714272942E-3</v>
      </c>
      <c r="F287">
        <f t="shared" ca="1" si="24"/>
        <v>-2.5509198204696451E-2</v>
      </c>
      <c r="G287">
        <f t="shared" ca="1" si="20"/>
        <v>-9.1808884128226104E-2</v>
      </c>
      <c r="H287">
        <f ca="1">IF(AND(B287&gt;'Real Analysis'!$B$31,B287&lt;'Real Analysis'!$B$32),FilterInput(E287,'Real Analysis'!$B$26,'Real Analysis'!$B$27),0)</f>
        <v>0</v>
      </c>
      <c r="I287" t="e">
        <f>MEDIAN2("Real Values",H287,'Real Analysis'!$B$5,2)</f>
        <v>#VALUE!</v>
      </c>
      <c r="J287" t="e">
        <f>AVERAGE2("Real Values",I287,'Real Analysis'!$B$6,2)</f>
        <v>#VALUE!</v>
      </c>
      <c r="K287" t="e">
        <f>INTEGRAL2(J287,$B287,K286,J286,$B286,'Real Analysis'!$B$19)</f>
        <v>#VALUE!</v>
      </c>
      <c r="L287" t="e">
        <f>IF(AND(B287&lt;'Real Analysis'!$B$32,B287&gt;0),INTEGRAL2(K287,$B287,L286,K286,$B286,'Real Analysis'!$B$20),0)</f>
        <v>#VALUE!</v>
      </c>
      <c r="N287">
        <f>'Real Analysis'!$B$28*'Real Input'!U287+IF('Real Input'!U287 &gt; 0,'Real Analysis'!$B$29,0)</f>
        <v>0</v>
      </c>
      <c r="O287" t="e">
        <f t="shared" si="22"/>
        <v>#VALUE!</v>
      </c>
      <c r="P287" t="e">
        <f t="shared" si="23"/>
        <v>#VALUE!</v>
      </c>
    </row>
    <row r="288" spans="1:16" x14ac:dyDescent="0.3">
      <c r="A288">
        <v>286</v>
      </c>
      <c r="B288">
        <f>'Real Input'!M288</f>
        <v>5.770009999992908</v>
      </c>
      <c r="C288">
        <f ca="1">INDIRECT(CONCATENATE("'Real Input'!",'Real Analysis'!$B$2,A288+2))</f>
        <v>9.8500051800000001</v>
      </c>
      <c r="D288">
        <f t="shared" si="21"/>
        <v>2.1563999995123595E-2</v>
      </c>
      <c r="E288">
        <f ca="1">IF(B288&gt;0,C288-'Real Analysis'!$B$14,0)</f>
        <v>-6.4926223714270037E-3</v>
      </c>
      <c r="F288">
        <f t="shared" ca="1" si="24"/>
        <v>-2.5649205113482242E-2</v>
      </c>
      <c r="G288">
        <f t="shared" ca="1" si="20"/>
        <v>-9.2361983587168156E-2</v>
      </c>
      <c r="H288">
        <f ca="1">IF(AND(B288&gt;'Real Analysis'!$B$31,B288&lt;'Real Analysis'!$B$32),FilterInput(E288,'Real Analysis'!$B$26,'Real Analysis'!$B$27),0)</f>
        <v>0</v>
      </c>
      <c r="I288" t="e">
        <f>MEDIAN2("Real Values",H288,'Real Analysis'!$B$5,2)</f>
        <v>#VALUE!</v>
      </c>
      <c r="J288" t="e">
        <f>AVERAGE2("Real Values",I288,'Real Analysis'!$B$6,2)</f>
        <v>#VALUE!</v>
      </c>
      <c r="K288" t="e">
        <f>INTEGRAL2(J288,$B288,K287,J287,$B287,'Real Analysis'!$B$19)</f>
        <v>#VALUE!</v>
      </c>
      <c r="L288" t="e">
        <f>IF(AND(B288&lt;'Real Analysis'!$B$32,B288&gt;0),INTEGRAL2(K288,$B288,L287,K287,$B287,'Real Analysis'!$B$20),0)</f>
        <v>#VALUE!</v>
      </c>
      <c r="N288">
        <f>'Real Analysis'!$B$28*'Real Input'!U288+IF('Real Input'!U288 &gt; 0,'Real Analysis'!$B$29,0)</f>
        <v>0</v>
      </c>
      <c r="O288" t="e">
        <f t="shared" si="22"/>
        <v>#VALUE!</v>
      </c>
      <c r="P288" t="e">
        <f t="shared" si="23"/>
        <v>#VALUE!</v>
      </c>
    </row>
    <row r="289" spans="1:16" x14ac:dyDescent="0.3">
      <c r="A289">
        <v>287</v>
      </c>
      <c r="B289">
        <f>'Real Input'!M289</f>
        <v>5.7910430000047199</v>
      </c>
      <c r="C289">
        <f ca="1">INDIRECT(CONCATENATE("'Real Input'!",'Real Analysis'!$B$2,A289+2))</f>
        <v>9.8507605500000004</v>
      </c>
      <c r="D289">
        <f t="shared" si="21"/>
        <v>2.1033000011811964E-2</v>
      </c>
      <c r="E289">
        <f ca="1">IF(B289&gt;0,C289-'Real Analysis'!$B$14,0)</f>
        <v>-5.7372523714267487E-3</v>
      </c>
      <c r="F289">
        <f t="shared" ca="1" si="24"/>
        <v>-2.5769876742678229E-2</v>
      </c>
      <c r="G289">
        <f t="shared" ref="G289:G352" ca="1" si="25">IF(B289&gt;0,G288+F289*$D289,0)</f>
        <v>-9.2904001405001296E-2</v>
      </c>
      <c r="H289">
        <f ca="1">IF(AND(B289&gt;'Real Analysis'!$B$31,B289&lt;'Real Analysis'!$B$32),FilterInput(E289,'Real Analysis'!$B$26,'Real Analysis'!$B$27),0)</f>
        <v>0</v>
      </c>
      <c r="I289" t="e">
        <f>MEDIAN2("Real Values",H289,'Real Analysis'!$B$5,2)</f>
        <v>#VALUE!</v>
      </c>
      <c r="J289" t="e">
        <f>AVERAGE2("Real Values",I289,'Real Analysis'!$B$6,2)</f>
        <v>#VALUE!</v>
      </c>
      <c r="K289" t="e">
        <f>INTEGRAL2(J289,$B289,K288,J288,$B288,'Real Analysis'!$B$19)</f>
        <v>#VALUE!</v>
      </c>
      <c r="L289" t="e">
        <f>IF(AND(B289&lt;'Real Analysis'!$B$32,B289&gt;0),INTEGRAL2(K289,$B289,L288,K288,$B288,'Real Analysis'!$B$20),0)</f>
        <v>#VALUE!</v>
      </c>
      <c r="N289">
        <f>'Real Analysis'!$B$28*'Real Input'!U289+IF('Real Input'!U289 &gt; 0,'Real Analysis'!$B$29,0)</f>
        <v>0</v>
      </c>
      <c r="O289" t="e">
        <f t="shared" si="22"/>
        <v>#VALUE!</v>
      </c>
      <c r="P289" t="e">
        <f t="shared" si="23"/>
        <v>#VALUE!</v>
      </c>
    </row>
    <row r="290" spans="1:16" x14ac:dyDescent="0.3">
      <c r="A290">
        <v>288</v>
      </c>
      <c r="B290">
        <f>'Real Input'!M290</f>
        <v>5.811199999996461</v>
      </c>
      <c r="C290">
        <f ca="1">INDIRECT(CONCATENATE("'Real Input'!",'Real Analysis'!$B$2,A290+2))</f>
        <v>9.851015610000001</v>
      </c>
      <c r="D290">
        <f t="shared" si="21"/>
        <v>2.0156999991741031E-2</v>
      </c>
      <c r="E290">
        <f ca="1">IF(B290&gt;0,C290-'Real Analysis'!$B$14,0)</f>
        <v>-5.4821923714261089E-3</v>
      </c>
      <c r="F290">
        <f t="shared" ca="1" si="24"/>
        <v>-2.5880381294263788E-2</v>
      </c>
      <c r="G290">
        <f t="shared" ca="1" si="25"/>
        <v>-9.3425672250536024E-2</v>
      </c>
      <c r="H290">
        <f ca="1">IF(AND(B290&gt;'Real Analysis'!$B$31,B290&lt;'Real Analysis'!$B$32),FilterInput(E290,'Real Analysis'!$B$26,'Real Analysis'!$B$27),0)</f>
        <v>0</v>
      </c>
      <c r="I290" t="e">
        <f>MEDIAN2("Real Values",H290,'Real Analysis'!$B$5,2)</f>
        <v>#VALUE!</v>
      </c>
      <c r="J290" t="e">
        <f>AVERAGE2("Real Values",I290,'Real Analysis'!$B$6,2)</f>
        <v>#VALUE!</v>
      </c>
      <c r="K290" t="e">
        <f>INTEGRAL2(J290,$B290,K289,J289,$B289,'Real Analysis'!$B$19)</f>
        <v>#VALUE!</v>
      </c>
      <c r="L290" t="e">
        <f>IF(AND(B290&lt;'Real Analysis'!$B$32,B290&gt;0),INTEGRAL2(K290,$B290,L289,K289,$B289,'Real Analysis'!$B$20),0)</f>
        <v>#VALUE!</v>
      </c>
      <c r="N290">
        <f>'Real Analysis'!$B$28*'Real Input'!U290+IF('Real Input'!U290 &gt; 0,'Real Analysis'!$B$29,0)</f>
        <v>0</v>
      </c>
      <c r="O290" t="e">
        <f t="shared" si="22"/>
        <v>#VALUE!</v>
      </c>
      <c r="P290" t="e">
        <f t="shared" si="23"/>
        <v>#VALUE!</v>
      </c>
    </row>
    <row r="291" spans="1:16" x14ac:dyDescent="0.3">
      <c r="A291">
        <v>289</v>
      </c>
      <c r="B291">
        <f>'Real Input'!M291</f>
        <v>5.8293629999971017</v>
      </c>
      <c r="C291">
        <f ca="1">INDIRECT(CONCATENATE("'Real Input'!",'Real Analysis'!$B$2,A291+2))</f>
        <v>9.8514766799999993</v>
      </c>
      <c r="D291">
        <f t="shared" si="21"/>
        <v>1.816300000064075E-2</v>
      </c>
      <c r="E291">
        <f ca="1">IF(B291&gt;0,C291-'Real Analysis'!$B$14,0)</f>
        <v>-5.0211223714278219E-3</v>
      </c>
      <c r="F291">
        <f t="shared" ca="1" si="24"/>
        <v>-2.597157993989925E-2</v>
      </c>
      <c r="G291">
        <f t="shared" ca="1" si="25"/>
        <v>-9.3897394057001052E-2</v>
      </c>
      <c r="H291">
        <f ca="1">IF(AND(B291&gt;'Real Analysis'!$B$31,B291&lt;'Real Analysis'!$B$32),FilterInput(E291,'Real Analysis'!$B$26,'Real Analysis'!$B$27),0)</f>
        <v>0</v>
      </c>
      <c r="I291" t="e">
        <f>MEDIAN2("Real Values",H291,'Real Analysis'!$B$5,2)</f>
        <v>#VALUE!</v>
      </c>
      <c r="J291" t="e">
        <f>AVERAGE2("Real Values",I291,'Real Analysis'!$B$6,2)</f>
        <v>#VALUE!</v>
      </c>
      <c r="K291" t="e">
        <f>INTEGRAL2(J291,$B291,K290,J290,$B290,'Real Analysis'!$B$19)</f>
        <v>#VALUE!</v>
      </c>
      <c r="L291" t="e">
        <f>IF(AND(B291&lt;'Real Analysis'!$B$32,B291&gt;0),INTEGRAL2(K291,$B291,L290,K290,$B290,'Real Analysis'!$B$20),0)</f>
        <v>#VALUE!</v>
      </c>
      <c r="N291">
        <f>'Real Analysis'!$B$28*'Real Input'!U291+IF('Real Input'!U291 &gt; 0,'Real Analysis'!$B$29,0)</f>
        <v>0</v>
      </c>
      <c r="O291" t="e">
        <f t="shared" si="22"/>
        <v>#VALUE!</v>
      </c>
      <c r="P291" t="e">
        <f t="shared" si="23"/>
        <v>#VALUE!</v>
      </c>
    </row>
    <row r="292" spans="1:16" x14ac:dyDescent="0.3">
      <c r="A292">
        <v>290</v>
      </c>
      <c r="B292">
        <f>'Real Input'!M292</f>
        <v>5.8445210000063526</v>
      </c>
      <c r="C292">
        <f ca="1">INDIRECT(CONCATENATE("'Real Input'!",'Real Analysis'!$B$2,A292+2))</f>
        <v>9.8662309200000013</v>
      </c>
      <c r="D292">
        <f t="shared" si="21"/>
        <v>1.5158000009250827E-2</v>
      </c>
      <c r="E292">
        <f ca="1">IF(B292&gt;0,C292-'Real Analysis'!$B$14,0)</f>
        <v>9.733117628574206E-3</v>
      </c>
      <c r="F292">
        <f t="shared" ca="1" si="24"/>
        <v>-2.5824045342795282E-2</v>
      </c>
      <c r="G292">
        <f t="shared" ca="1" si="25"/>
        <v>-9.4288834936546037E-2</v>
      </c>
      <c r="H292">
        <f ca="1">IF(AND(B292&gt;'Real Analysis'!$B$31,B292&lt;'Real Analysis'!$B$32),FilterInput(E292,'Real Analysis'!$B$26,'Real Analysis'!$B$27),0)</f>
        <v>0</v>
      </c>
      <c r="I292" t="e">
        <f>MEDIAN2("Real Values",H292,'Real Analysis'!$B$5,2)</f>
        <v>#VALUE!</v>
      </c>
      <c r="J292" t="e">
        <f>AVERAGE2("Real Values",I292,'Real Analysis'!$B$6,2)</f>
        <v>#VALUE!</v>
      </c>
      <c r="K292" t="e">
        <f>INTEGRAL2(J292,$B292,K291,J291,$B291,'Real Analysis'!$B$19)</f>
        <v>#VALUE!</v>
      </c>
      <c r="L292" t="e">
        <f>IF(AND(B292&lt;'Real Analysis'!$B$32,B292&gt;0),INTEGRAL2(K292,$B292,L291,K291,$B291,'Real Analysis'!$B$20),0)</f>
        <v>#VALUE!</v>
      </c>
      <c r="N292">
        <f>'Real Analysis'!$B$28*'Real Input'!U292+IF('Real Input'!U292 &gt; 0,'Real Analysis'!$B$29,0)</f>
        <v>0</v>
      </c>
      <c r="O292" t="e">
        <f t="shared" si="22"/>
        <v>#VALUE!</v>
      </c>
      <c r="P292" t="e">
        <f t="shared" si="23"/>
        <v>#VALUE!</v>
      </c>
    </row>
    <row r="293" spans="1:16" x14ac:dyDescent="0.3">
      <c r="A293">
        <v>291</v>
      </c>
      <c r="B293">
        <f>'Real Input'!M293</f>
        <v>5.8717230000038398</v>
      </c>
      <c r="C293">
        <f ca="1">INDIRECT(CONCATENATE("'Real Input'!",'Real Analysis'!$B$2,A293+2))</f>
        <v>9.8691837299999996</v>
      </c>
      <c r="D293">
        <f t="shared" si="21"/>
        <v>2.7201999997487292E-2</v>
      </c>
      <c r="E293">
        <f ca="1">IF(B293&gt;0,C293-'Real Analysis'!$B$14,0)</f>
        <v>1.2685927628572458E-2</v>
      </c>
      <c r="F293">
        <f t="shared" ca="1" si="24"/>
        <v>-2.5478962739474729E-2</v>
      </c>
      <c r="G293">
        <f t="shared" ca="1" si="25"/>
        <v>-9.4981913680921209E-2</v>
      </c>
      <c r="H293">
        <f ca="1">IF(AND(B293&gt;'Real Analysis'!$B$31,B293&lt;'Real Analysis'!$B$32),FilterInput(E293,'Real Analysis'!$B$26,'Real Analysis'!$B$27),0)</f>
        <v>0</v>
      </c>
      <c r="I293" t="e">
        <f>MEDIAN2("Real Values",H293,'Real Analysis'!$B$5,2)</f>
        <v>#VALUE!</v>
      </c>
      <c r="J293" t="e">
        <f>AVERAGE2("Real Values",I293,'Real Analysis'!$B$6,2)</f>
        <v>#VALUE!</v>
      </c>
      <c r="K293" t="e">
        <f>INTEGRAL2(J293,$B293,K292,J292,$B292,'Real Analysis'!$B$19)</f>
        <v>#VALUE!</v>
      </c>
      <c r="L293" t="e">
        <f>IF(AND(B293&lt;'Real Analysis'!$B$32,B293&gt;0),INTEGRAL2(K293,$B293,L292,K292,$B292,'Real Analysis'!$B$20),0)</f>
        <v>#VALUE!</v>
      </c>
      <c r="N293">
        <f>'Real Analysis'!$B$28*'Real Input'!U293+IF('Real Input'!U293 &gt; 0,'Real Analysis'!$B$29,0)</f>
        <v>0</v>
      </c>
      <c r="O293" t="e">
        <f t="shared" si="22"/>
        <v>#VALUE!</v>
      </c>
      <c r="P293" t="e">
        <f t="shared" si="23"/>
        <v>#VALUE!</v>
      </c>
    </row>
    <row r="294" spans="1:16" x14ac:dyDescent="0.3">
      <c r="A294">
        <v>292</v>
      </c>
      <c r="B294">
        <f>'Real Input'!M294</f>
        <v>5.8918779999949038</v>
      </c>
      <c r="C294">
        <f ca="1">INDIRECT(CONCATENATE("'Real Input'!",'Real Analysis'!$B$2,A294+2))</f>
        <v>9.8502504300000009</v>
      </c>
      <c r="D294">
        <f t="shared" si="21"/>
        <v>2.015499999106396E-2</v>
      </c>
      <c r="E294">
        <f ca="1">IF(B294&gt;0,C294-'Real Analysis'!$B$14,0)</f>
        <v>-6.2473723714262519E-3</v>
      </c>
      <c r="F294">
        <f t="shared" ca="1" si="24"/>
        <v>-2.5604878529564997E-2</v>
      </c>
      <c r="G294">
        <f t="shared" ca="1" si="25"/>
        <v>-9.5497980007455782E-2</v>
      </c>
      <c r="H294">
        <f ca="1">IF(AND(B294&gt;'Real Analysis'!$B$31,B294&lt;'Real Analysis'!$B$32),FilterInput(E294,'Real Analysis'!$B$26,'Real Analysis'!$B$27),0)</f>
        <v>0</v>
      </c>
      <c r="I294" t="e">
        <f>MEDIAN2("Real Values",H294,'Real Analysis'!$B$5,2)</f>
        <v>#VALUE!</v>
      </c>
      <c r="J294" t="e">
        <f>AVERAGE2("Real Values",I294,'Real Analysis'!$B$6,2)</f>
        <v>#VALUE!</v>
      </c>
      <c r="K294" t="e">
        <f>INTEGRAL2(J294,$B294,K293,J293,$B293,'Real Analysis'!$B$19)</f>
        <v>#VALUE!</v>
      </c>
      <c r="L294" t="e">
        <f>IF(AND(B294&lt;'Real Analysis'!$B$32,B294&gt;0),INTEGRAL2(K294,$B294,L293,K293,$B293,'Real Analysis'!$B$20),0)</f>
        <v>#VALUE!</v>
      </c>
      <c r="N294">
        <f>'Real Analysis'!$B$28*'Real Input'!U294+IF('Real Input'!U294 &gt; 0,'Real Analysis'!$B$29,0)</f>
        <v>0</v>
      </c>
      <c r="O294" t="e">
        <f t="shared" si="22"/>
        <v>#VALUE!</v>
      </c>
      <c r="P294" t="e">
        <f t="shared" si="23"/>
        <v>#VALUE!</v>
      </c>
    </row>
    <row r="295" spans="1:16" x14ac:dyDescent="0.3">
      <c r="A295">
        <v>293</v>
      </c>
      <c r="B295">
        <f>'Real Input'!M295</f>
        <v>5.9094639999966603</v>
      </c>
      <c r="C295">
        <f ca="1">INDIRECT(CONCATENATE("'Real Input'!",'Real Analysis'!$B$2,A295+2))</f>
        <v>9.8588439900000004</v>
      </c>
      <c r="D295">
        <f t="shared" si="21"/>
        <v>1.7586000001756474E-2</v>
      </c>
      <c r="E295">
        <f ca="1">IF(B295&gt;0,C295-'Real Analysis'!$B$14,0)</f>
        <v>2.3461876285733041E-3</v>
      </c>
      <c r="F295">
        <f t="shared" ca="1" si="24"/>
        <v>-2.5563618473924785E-2</v>
      </c>
      <c r="G295">
        <f t="shared" ca="1" si="25"/>
        <v>-9.594754180198313E-2</v>
      </c>
      <c r="H295">
        <f ca="1">IF(AND(B295&gt;'Real Analysis'!$B$31,B295&lt;'Real Analysis'!$B$32),FilterInput(E295,'Real Analysis'!$B$26,'Real Analysis'!$B$27),0)</f>
        <v>0</v>
      </c>
      <c r="I295" t="e">
        <f>MEDIAN2("Real Values",H295,'Real Analysis'!$B$5,2)</f>
        <v>#VALUE!</v>
      </c>
      <c r="J295" t="e">
        <f>AVERAGE2("Real Values",I295,'Real Analysis'!$B$6,2)</f>
        <v>#VALUE!</v>
      </c>
      <c r="K295" t="e">
        <f>INTEGRAL2(J295,$B295,K294,J294,$B294,'Real Analysis'!$B$19)</f>
        <v>#VALUE!</v>
      </c>
      <c r="L295" t="e">
        <f>IF(AND(B295&lt;'Real Analysis'!$B$32,B295&gt;0),INTEGRAL2(K295,$B295,L294,K294,$B294,'Real Analysis'!$B$20),0)</f>
        <v>#VALUE!</v>
      </c>
      <c r="N295">
        <f>'Real Analysis'!$B$28*'Real Input'!U295+IF('Real Input'!U295 &gt; 0,'Real Analysis'!$B$29,0)</f>
        <v>0</v>
      </c>
      <c r="O295" t="e">
        <f t="shared" si="22"/>
        <v>#VALUE!</v>
      </c>
      <c r="P295" t="e">
        <f t="shared" si="23"/>
        <v>#VALUE!</v>
      </c>
    </row>
    <row r="296" spans="1:16" x14ac:dyDescent="0.3">
      <c r="A296">
        <v>294</v>
      </c>
      <c r="B296">
        <f>'Real Input'!M296</f>
        <v>5.9309780000039609</v>
      </c>
      <c r="C296">
        <f ca="1">INDIRECT(CONCATENATE("'Real Input'!",'Real Analysis'!$B$2,A296+2))</f>
        <v>9.8488083600000014</v>
      </c>
      <c r="D296">
        <f t="shared" si="21"/>
        <v>2.1514000007300638E-2</v>
      </c>
      <c r="E296">
        <f ca="1">IF(B296&gt;0,C296-'Real Analysis'!$B$14,0)</f>
        <v>-7.6894423714257698E-3</v>
      </c>
      <c r="F296">
        <f t="shared" ca="1" si="24"/>
        <v>-2.5729049137159777E-2</v>
      </c>
      <c r="G296">
        <f t="shared" ca="1" si="25"/>
        <v>-9.650107656530782E-2</v>
      </c>
      <c r="H296">
        <f ca="1">IF(AND(B296&gt;'Real Analysis'!$B$31,B296&lt;'Real Analysis'!$B$32),FilterInput(E296,'Real Analysis'!$B$26,'Real Analysis'!$B$27),0)</f>
        <v>0</v>
      </c>
      <c r="I296" t="e">
        <f>MEDIAN2("Real Values",H296,'Real Analysis'!$B$5,2)</f>
        <v>#VALUE!</v>
      </c>
      <c r="J296" t="e">
        <f>AVERAGE2("Real Values",I296,'Real Analysis'!$B$6,2)</f>
        <v>#VALUE!</v>
      </c>
      <c r="K296" t="e">
        <f>INTEGRAL2(J296,$B296,K295,J295,$B295,'Real Analysis'!$B$19)</f>
        <v>#VALUE!</v>
      </c>
      <c r="L296" t="e">
        <f>IF(AND(B296&lt;'Real Analysis'!$B$32,B296&gt;0),INTEGRAL2(K296,$B296,L295,K295,$B295,'Real Analysis'!$B$20),0)</f>
        <v>#VALUE!</v>
      </c>
      <c r="N296">
        <f>'Real Analysis'!$B$28*'Real Input'!U296+IF('Real Input'!U296 &gt; 0,'Real Analysis'!$B$29,0)</f>
        <v>0</v>
      </c>
      <c r="O296" t="e">
        <f t="shared" si="22"/>
        <v>#VALUE!</v>
      </c>
      <c r="P296" t="e">
        <f t="shared" si="23"/>
        <v>#VALUE!</v>
      </c>
    </row>
    <row r="297" spans="1:16" x14ac:dyDescent="0.3">
      <c r="A297">
        <v>295</v>
      </c>
      <c r="B297">
        <f>'Real Input'!M297</f>
        <v>5.9442010000057053</v>
      </c>
      <c r="C297">
        <f ca="1">INDIRECT(CONCATENATE("'Real Input'!",'Real Analysis'!$B$2,A297+2))</f>
        <v>9.8511235199999998</v>
      </c>
      <c r="D297">
        <f t="shared" si="21"/>
        <v>1.3223000001744367E-2</v>
      </c>
      <c r="E297">
        <f ca="1">IF(B297&gt;0,C297-'Real Analysis'!$B$14,0)</f>
        <v>-5.3742823714273413E-3</v>
      </c>
      <c r="F297">
        <f t="shared" ca="1" si="24"/>
        <v>-2.5800113272966534E-2</v>
      </c>
      <c r="G297">
        <f t="shared" ca="1" si="25"/>
        <v>-9.684223146316126E-2</v>
      </c>
      <c r="H297">
        <f ca="1">IF(AND(B297&gt;'Real Analysis'!$B$31,B297&lt;'Real Analysis'!$B$32),FilterInput(E297,'Real Analysis'!$B$26,'Real Analysis'!$B$27),0)</f>
        <v>0</v>
      </c>
      <c r="I297" t="e">
        <f>MEDIAN2("Real Values",H297,'Real Analysis'!$B$5,2)</f>
        <v>#VALUE!</v>
      </c>
      <c r="J297" t="e">
        <f>AVERAGE2("Real Values",I297,'Real Analysis'!$B$6,2)</f>
        <v>#VALUE!</v>
      </c>
      <c r="K297" t="e">
        <f>INTEGRAL2(J297,$B297,K296,J296,$B296,'Real Analysis'!$B$19)</f>
        <v>#VALUE!</v>
      </c>
      <c r="L297" t="e">
        <f>IF(AND(B297&lt;'Real Analysis'!$B$32,B297&gt;0),INTEGRAL2(K297,$B297,L296,K296,$B296,'Real Analysis'!$B$20),0)</f>
        <v>#VALUE!</v>
      </c>
      <c r="N297">
        <f>'Real Analysis'!$B$28*'Real Input'!U297+IF('Real Input'!U297 &gt; 0,'Real Analysis'!$B$29,0)</f>
        <v>0</v>
      </c>
      <c r="O297" t="e">
        <f t="shared" si="22"/>
        <v>#VALUE!</v>
      </c>
      <c r="P297" t="e">
        <f t="shared" si="23"/>
        <v>#VALUE!</v>
      </c>
    </row>
    <row r="298" spans="1:16" x14ac:dyDescent="0.3">
      <c r="A298">
        <v>296</v>
      </c>
      <c r="B298">
        <f>'Real Input'!M298</f>
        <v>5.9691310000052908</v>
      </c>
      <c r="C298">
        <f ca="1">INDIRECT(CONCATENATE("'Real Input'!",'Real Analysis'!$B$2,A298+2))</f>
        <v>9.8524674900000004</v>
      </c>
      <c r="D298">
        <f t="shared" si="21"/>
        <v>2.4929999999585561E-2</v>
      </c>
      <c r="E298">
        <f ca="1">IF(B298&gt;0,C298-'Real Analysis'!$B$14,0)</f>
        <v>-4.0303123714267031E-3</v>
      </c>
      <c r="F298">
        <f t="shared" ca="1" si="24"/>
        <v>-2.5900588960384531E-2</v>
      </c>
      <c r="G298">
        <f t="shared" ca="1" si="25"/>
        <v>-9.7487933145932917E-2</v>
      </c>
      <c r="H298">
        <f ca="1">IF(AND(B298&gt;'Real Analysis'!$B$31,B298&lt;'Real Analysis'!$B$32),FilterInput(E298,'Real Analysis'!$B$26,'Real Analysis'!$B$27),0)</f>
        <v>0</v>
      </c>
      <c r="I298" t="e">
        <f>MEDIAN2("Real Values",H298,'Real Analysis'!$B$5,2)</f>
        <v>#VALUE!</v>
      </c>
      <c r="J298" t="e">
        <f>AVERAGE2("Real Values",I298,'Real Analysis'!$B$6,2)</f>
        <v>#VALUE!</v>
      </c>
      <c r="K298" t="e">
        <f>INTEGRAL2(J298,$B298,K297,J297,$B297,'Real Analysis'!$B$19)</f>
        <v>#VALUE!</v>
      </c>
      <c r="L298" t="e">
        <f>IF(AND(B298&lt;'Real Analysis'!$B$32,B298&gt;0),INTEGRAL2(K298,$B298,L297,K297,$B297,'Real Analysis'!$B$20),0)</f>
        <v>#VALUE!</v>
      </c>
      <c r="N298">
        <f>'Real Analysis'!$B$28*'Real Input'!U298+IF('Real Input'!U298 &gt; 0,'Real Analysis'!$B$29,0)</f>
        <v>0</v>
      </c>
      <c r="O298" t="e">
        <f t="shared" si="22"/>
        <v>#VALUE!</v>
      </c>
      <c r="P298" t="e">
        <f t="shared" si="23"/>
        <v>#VALUE!</v>
      </c>
    </row>
    <row r="299" spans="1:16" x14ac:dyDescent="0.3">
      <c r="A299">
        <v>297</v>
      </c>
      <c r="B299">
        <f>'Real Input'!M299</f>
        <v>5.9892129999934696</v>
      </c>
      <c r="C299">
        <f ca="1">INDIRECT(CONCATENATE("'Real Input'!",'Real Analysis'!$B$2,A299+2))</f>
        <v>9.8316408600000003</v>
      </c>
      <c r="D299">
        <f t="shared" si="21"/>
        <v>2.0081999988178723E-2</v>
      </c>
      <c r="E299">
        <f ca="1">IF(B299&gt;0,C299-'Real Analysis'!$B$14,0)</f>
        <v>-2.4856942371426882E-2</v>
      </c>
      <c r="F299">
        <f t="shared" ca="1" si="24"/>
        <v>-2.6399766076793684E-2</v>
      </c>
      <c r="G299">
        <f t="shared" ca="1" si="25"/>
        <v>-9.8018093247975002E-2</v>
      </c>
      <c r="H299">
        <f ca="1">IF(AND(B299&gt;'Real Analysis'!$B$31,B299&lt;'Real Analysis'!$B$32),FilterInput(E299,'Real Analysis'!$B$26,'Real Analysis'!$B$27),0)</f>
        <v>0</v>
      </c>
      <c r="I299" t="e">
        <f>MEDIAN2("Real Values",H299,'Real Analysis'!$B$5,2)</f>
        <v>#VALUE!</v>
      </c>
      <c r="J299" t="e">
        <f>AVERAGE2("Real Values",I299,'Real Analysis'!$B$6,2)</f>
        <v>#VALUE!</v>
      </c>
      <c r="K299" t="e">
        <f>INTEGRAL2(J299,$B299,K298,J298,$B298,'Real Analysis'!$B$19)</f>
        <v>#VALUE!</v>
      </c>
      <c r="L299" t="e">
        <f>IF(AND(B299&lt;'Real Analysis'!$B$32,B299&gt;0),INTEGRAL2(K299,$B299,L298,K298,$B298,'Real Analysis'!$B$20),0)</f>
        <v>#VALUE!</v>
      </c>
      <c r="N299">
        <f>'Real Analysis'!$B$28*'Real Input'!U299+IF('Real Input'!U299 &gt; 0,'Real Analysis'!$B$29,0)</f>
        <v>0</v>
      </c>
      <c r="O299" t="e">
        <f t="shared" si="22"/>
        <v>#VALUE!</v>
      </c>
      <c r="P299" t="e">
        <f t="shared" si="23"/>
        <v>#VALUE!</v>
      </c>
    </row>
    <row r="300" spans="1:16" x14ac:dyDescent="0.3">
      <c r="A300">
        <v>298</v>
      </c>
      <c r="B300">
        <f>'Real Input'!M300</f>
        <v>6.0112450000015087</v>
      </c>
      <c r="C300">
        <f ca="1">INDIRECT(CONCATENATE("'Real Input'!",'Real Analysis'!$B$2,A300+2))</f>
        <v>9.8598249900000017</v>
      </c>
      <c r="D300">
        <f t="shared" si="21"/>
        <v>2.2032000008039176E-2</v>
      </c>
      <c r="E300">
        <f ca="1">IF(B300&gt;0,C300-'Real Analysis'!$B$14,0)</f>
        <v>3.327187628574535E-3</v>
      </c>
      <c r="F300">
        <f t="shared" ca="1" si="24"/>
        <v>-2.6326461478934183E-2</v>
      </c>
      <c r="G300">
        <f t="shared" ca="1" si="25"/>
        <v>-9.8598117847490521E-2</v>
      </c>
      <c r="H300">
        <f ca="1">IF(AND(B300&gt;'Real Analysis'!$B$31,B300&lt;'Real Analysis'!$B$32),FilterInput(E300,'Real Analysis'!$B$26,'Real Analysis'!$B$27),0)</f>
        <v>0</v>
      </c>
      <c r="I300" t="e">
        <f>MEDIAN2("Real Values",H300,'Real Analysis'!$B$5,2)</f>
        <v>#VALUE!</v>
      </c>
      <c r="J300" t="e">
        <f>AVERAGE2("Real Values",I300,'Real Analysis'!$B$6,2)</f>
        <v>#VALUE!</v>
      </c>
      <c r="K300" t="e">
        <f>INTEGRAL2(J300,$B300,K299,J299,$B299,'Real Analysis'!$B$19)</f>
        <v>#VALUE!</v>
      </c>
      <c r="L300" t="e">
        <f>IF(AND(B300&lt;'Real Analysis'!$B$32,B300&gt;0),INTEGRAL2(K300,$B300,L299,K299,$B299,'Real Analysis'!$B$20),0)</f>
        <v>#VALUE!</v>
      </c>
      <c r="N300">
        <f>'Real Analysis'!$B$28*'Real Input'!U300+IF('Real Input'!U300 &gt; 0,'Real Analysis'!$B$29,0)</f>
        <v>0</v>
      </c>
      <c r="O300" t="e">
        <f t="shared" si="22"/>
        <v>#VALUE!</v>
      </c>
      <c r="P300" t="e">
        <f t="shared" si="23"/>
        <v>#VALUE!</v>
      </c>
    </row>
    <row r="301" spans="1:16" x14ac:dyDescent="0.3">
      <c r="A301">
        <v>299</v>
      </c>
      <c r="B301">
        <f>'Real Input'!M301</f>
        <v>6.0316659999953117</v>
      </c>
      <c r="C301">
        <f ca="1">INDIRECT(CONCATENATE("'Real Input'!",'Real Analysis'!$B$2,A301+2))</f>
        <v>9.8448941700000017</v>
      </c>
      <c r="D301">
        <f t="shared" si="21"/>
        <v>2.042099999380298E-2</v>
      </c>
      <c r="E301">
        <f ca="1">IF(B301&gt;0,C301-'Real Analysis'!$B$14,0)</f>
        <v>-1.1603632371425476E-2</v>
      </c>
      <c r="F301">
        <f t="shared" ca="1" si="24"/>
        <v>-2.6563419255519156E-2</v>
      </c>
      <c r="G301">
        <f t="shared" ca="1" si="25"/>
        <v>-9.9140569431942868E-2</v>
      </c>
      <c r="H301">
        <f ca="1">IF(AND(B301&gt;'Real Analysis'!$B$31,B301&lt;'Real Analysis'!$B$32),FilterInput(E301,'Real Analysis'!$B$26,'Real Analysis'!$B$27),0)</f>
        <v>0</v>
      </c>
      <c r="I301" t="e">
        <f>MEDIAN2("Real Values",H301,'Real Analysis'!$B$5,2)</f>
        <v>#VALUE!</v>
      </c>
      <c r="J301" t="e">
        <f>AVERAGE2("Real Values",I301,'Real Analysis'!$B$6,2)</f>
        <v>#VALUE!</v>
      </c>
      <c r="K301" t="e">
        <f>INTEGRAL2(J301,$B301,K300,J300,$B300,'Real Analysis'!$B$19)</f>
        <v>#VALUE!</v>
      </c>
      <c r="L301" t="e">
        <f>IF(AND(B301&lt;'Real Analysis'!$B$32,B301&gt;0),INTEGRAL2(K301,$B301,L300,K300,$B300,'Real Analysis'!$B$20),0)</f>
        <v>#VALUE!</v>
      </c>
      <c r="N301">
        <f>'Real Analysis'!$B$28*'Real Input'!U301+IF('Real Input'!U301 &gt; 0,'Real Analysis'!$B$29,0)</f>
        <v>0</v>
      </c>
      <c r="O301" t="e">
        <f t="shared" si="22"/>
        <v>#VALUE!</v>
      </c>
      <c r="P301" t="e">
        <f t="shared" si="23"/>
        <v>#VALUE!</v>
      </c>
    </row>
    <row r="302" spans="1:16" x14ac:dyDescent="0.3">
      <c r="A302">
        <v>300</v>
      </c>
      <c r="B302">
        <f>'Real Input'!M302</f>
        <v>6.049723999996786</v>
      </c>
      <c r="C302">
        <f ca="1">INDIRECT(CONCATENATE("'Real Input'!",'Real Analysis'!$B$2,A302+2))</f>
        <v>9.8551750499999997</v>
      </c>
      <c r="D302">
        <f t="shared" si="21"/>
        <v>1.8058000001474284E-2</v>
      </c>
      <c r="E302">
        <f ca="1">IF(B302&gt;0,C302-'Real Analysis'!$B$14,0)</f>
        <v>-1.322752371427427E-3</v>
      </c>
      <c r="F302">
        <f t="shared" ca="1" si="24"/>
        <v>-2.6587305517844342E-2</v>
      </c>
      <c r="G302">
        <f t="shared" ca="1" si="25"/>
        <v>-9.9620682995023302E-2</v>
      </c>
      <c r="H302">
        <f ca="1">IF(AND(B302&gt;'Real Analysis'!$B$31,B302&lt;'Real Analysis'!$B$32),FilterInput(E302,'Real Analysis'!$B$26,'Real Analysis'!$B$27),0)</f>
        <v>0</v>
      </c>
      <c r="I302" t="e">
        <f>MEDIAN2("Real Values",H302,'Real Analysis'!$B$5,2)</f>
        <v>#VALUE!</v>
      </c>
      <c r="J302" t="e">
        <f>AVERAGE2("Real Values",I302,'Real Analysis'!$B$6,2)</f>
        <v>#VALUE!</v>
      </c>
      <c r="K302" t="e">
        <f>INTEGRAL2(J302,$B302,K301,J301,$B301,'Real Analysis'!$B$19)</f>
        <v>#VALUE!</v>
      </c>
      <c r="L302" t="e">
        <f>IF(AND(B302&lt;'Real Analysis'!$B$32,B302&gt;0),INTEGRAL2(K302,$B302,L301,K301,$B301,'Real Analysis'!$B$20),0)</f>
        <v>#VALUE!</v>
      </c>
      <c r="N302">
        <f>'Real Analysis'!$B$28*'Real Input'!U302+IF('Real Input'!U302 &gt; 0,'Real Analysis'!$B$29,0)</f>
        <v>0</v>
      </c>
      <c r="O302" t="e">
        <f t="shared" si="22"/>
        <v>#VALUE!</v>
      </c>
      <c r="P302" t="e">
        <f t="shared" si="23"/>
        <v>#VALUE!</v>
      </c>
    </row>
    <row r="303" spans="1:16" x14ac:dyDescent="0.3">
      <c r="A303">
        <v>301</v>
      </c>
      <c r="B303">
        <f>'Real Input'!M303</f>
        <v>6.0702909999963595</v>
      </c>
      <c r="C303">
        <f ca="1">INDIRECT(CONCATENATE("'Real Input'!",'Real Analysis'!$B$2,A303+2))</f>
        <v>9.8530364699999993</v>
      </c>
      <c r="D303">
        <f t="shared" si="21"/>
        <v>2.0566999999573454E-2</v>
      </c>
      <c r="E303">
        <f ca="1">IF(B303&gt;0,C303-'Real Analysis'!$B$14,0)</f>
        <v>-3.4613323714278721E-3</v>
      </c>
      <c r="F303">
        <f t="shared" ca="1" si="24"/>
        <v>-2.6658494740726024E-2</v>
      </c>
      <c r="G303">
        <f t="shared" ca="1" si="25"/>
        <v>-0.10016896825634444</v>
      </c>
      <c r="H303">
        <f ca="1">IF(AND(B303&gt;'Real Analysis'!$B$31,B303&lt;'Real Analysis'!$B$32),FilterInput(E303,'Real Analysis'!$B$26,'Real Analysis'!$B$27),0)</f>
        <v>0</v>
      </c>
      <c r="I303" t="e">
        <f>MEDIAN2("Real Values",H303,'Real Analysis'!$B$5,2)</f>
        <v>#VALUE!</v>
      </c>
      <c r="J303" t="e">
        <f>AVERAGE2("Real Values",I303,'Real Analysis'!$B$6,2)</f>
        <v>#VALUE!</v>
      </c>
      <c r="K303" t="e">
        <f>INTEGRAL2(J303,$B303,K302,J302,$B302,'Real Analysis'!$B$19)</f>
        <v>#VALUE!</v>
      </c>
      <c r="L303" t="e">
        <f>IF(AND(B303&lt;'Real Analysis'!$B$32,B303&gt;0),INTEGRAL2(K303,$B303,L302,K302,$B302,'Real Analysis'!$B$20),0)</f>
        <v>#VALUE!</v>
      </c>
      <c r="N303">
        <f>'Real Analysis'!$B$28*'Real Input'!U303+IF('Real Input'!U303 &gt; 0,'Real Analysis'!$B$29,0)</f>
        <v>0</v>
      </c>
      <c r="O303" t="e">
        <f t="shared" si="22"/>
        <v>#VALUE!</v>
      </c>
      <c r="P303" t="e">
        <f t="shared" si="23"/>
        <v>#VALUE!</v>
      </c>
    </row>
    <row r="304" spans="1:16" x14ac:dyDescent="0.3">
      <c r="A304">
        <v>302</v>
      </c>
      <c r="B304">
        <f>'Real Input'!M304</f>
        <v>6.0916339999967022</v>
      </c>
      <c r="C304">
        <f ca="1">INDIRECT(CONCATENATE("'Real Input'!",'Real Analysis'!$B$2,A304+2))</f>
        <v>9.8524086300000011</v>
      </c>
      <c r="D304">
        <f t="shared" si="21"/>
        <v>2.1343000000342727E-2</v>
      </c>
      <c r="E304">
        <f ca="1">IF(B304&gt;0,C304-'Real Analysis'!$B$14,0)</f>
        <v>-4.0891723714260308E-3</v>
      </c>
      <c r="F304">
        <f t="shared" ca="1" si="24"/>
        <v>-2.6745769946650771E-2</v>
      </c>
      <c r="G304">
        <f t="shared" ca="1" si="25"/>
        <v>-0.10073980322432498</v>
      </c>
      <c r="H304">
        <f ca="1">IF(AND(B304&gt;'Real Analysis'!$B$31,B304&lt;'Real Analysis'!$B$32),FilterInput(E304,'Real Analysis'!$B$26,'Real Analysis'!$B$27),0)</f>
        <v>0</v>
      </c>
      <c r="I304" t="e">
        <f>MEDIAN2("Real Values",H304,'Real Analysis'!$B$5,2)</f>
        <v>#VALUE!</v>
      </c>
      <c r="J304" t="e">
        <f>AVERAGE2("Real Values",I304,'Real Analysis'!$B$6,2)</f>
        <v>#VALUE!</v>
      </c>
      <c r="K304" t="e">
        <f>INTEGRAL2(J304,$B304,K303,J303,$B303,'Real Analysis'!$B$19)</f>
        <v>#VALUE!</v>
      </c>
      <c r="L304" t="e">
        <f>IF(AND(B304&lt;'Real Analysis'!$B$32,B304&gt;0),INTEGRAL2(K304,$B304,L303,K303,$B303,'Real Analysis'!$B$20),0)</f>
        <v>#VALUE!</v>
      </c>
      <c r="N304">
        <f>'Real Analysis'!$B$28*'Real Input'!U304+IF('Real Input'!U304 &gt; 0,'Real Analysis'!$B$29,0)</f>
        <v>0</v>
      </c>
      <c r="O304" t="e">
        <f t="shared" si="22"/>
        <v>#VALUE!</v>
      </c>
      <c r="P304" t="e">
        <f t="shared" si="23"/>
        <v>#VALUE!</v>
      </c>
    </row>
    <row r="305" spans="1:16" x14ac:dyDescent="0.3">
      <c r="A305">
        <v>303</v>
      </c>
      <c r="B305">
        <f>'Real Input'!M305</f>
        <v>6.1098610000044573</v>
      </c>
      <c r="C305">
        <f ca="1">INDIRECT(CONCATENATE("'Real Input'!",'Real Analysis'!$B$2,A305+2))</f>
        <v>9.8504466300000022</v>
      </c>
      <c r="D305">
        <f t="shared" si="21"/>
        <v>1.8227000007755123E-2</v>
      </c>
      <c r="E305">
        <f ca="1">IF(B305&gt;0,C305-'Real Analysis'!$B$14,0)</f>
        <v>-6.0511723714249399E-3</v>
      </c>
      <c r="F305">
        <f t="shared" ca="1" si="24"/>
        <v>-2.6856064665511662E-2</v>
      </c>
      <c r="G305">
        <f t="shared" ca="1" si="25"/>
        <v>-0.10122930871519153</v>
      </c>
      <c r="H305">
        <f ca="1">IF(AND(B305&gt;'Real Analysis'!$B$31,B305&lt;'Real Analysis'!$B$32),FilterInput(E305,'Real Analysis'!$B$26,'Real Analysis'!$B$27),0)</f>
        <v>0</v>
      </c>
      <c r="I305" t="e">
        <f>MEDIAN2("Real Values",H305,'Real Analysis'!$B$5,2)</f>
        <v>#VALUE!</v>
      </c>
      <c r="J305" t="e">
        <f>AVERAGE2("Real Values",I305,'Real Analysis'!$B$6,2)</f>
        <v>#VALUE!</v>
      </c>
      <c r="K305" t="e">
        <f>INTEGRAL2(J305,$B305,K304,J304,$B304,'Real Analysis'!$B$19)</f>
        <v>#VALUE!</v>
      </c>
      <c r="L305" t="e">
        <f>IF(AND(B305&lt;'Real Analysis'!$B$32,B305&gt;0),INTEGRAL2(K305,$B305,L304,K304,$B304,'Real Analysis'!$B$20),0)</f>
        <v>#VALUE!</v>
      </c>
      <c r="N305">
        <f>'Real Analysis'!$B$28*'Real Input'!U305+IF('Real Input'!U305 &gt; 0,'Real Analysis'!$B$29,0)</f>
        <v>0</v>
      </c>
      <c r="O305" t="e">
        <f t="shared" si="22"/>
        <v>#VALUE!</v>
      </c>
      <c r="P305" t="e">
        <f t="shared" si="23"/>
        <v>#VALUE!</v>
      </c>
    </row>
    <row r="306" spans="1:16" x14ac:dyDescent="0.3">
      <c r="A306">
        <v>304</v>
      </c>
      <c r="B306">
        <f>'Real Input'!M306</f>
        <v>6.1296969999966677</v>
      </c>
      <c r="C306">
        <f ca="1">INDIRECT(CONCATENATE("'Real Input'!",'Real Analysis'!$B$2,A306+2))</f>
        <v>9.850858650000001</v>
      </c>
      <c r="D306">
        <f t="shared" si="21"/>
        <v>1.9835999992210418E-2</v>
      </c>
      <c r="E306">
        <f ca="1">IF(B306&gt;0,C306-'Real Analysis'!$B$14,0)</f>
        <v>-5.6391523714260927E-3</v>
      </c>
      <c r="F306">
        <f t="shared" ca="1" si="24"/>
        <v>-2.6967922891907345E-2</v>
      </c>
      <c r="G306">
        <f t="shared" ca="1" si="25"/>
        <v>-0.10176424443346534</v>
      </c>
      <c r="H306">
        <f ca="1">IF(AND(B306&gt;'Real Analysis'!$B$31,B306&lt;'Real Analysis'!$B$32),FilterInput(E306,'Real Analysis'!$B$26,'Real Analysis'!$B$27),0)</f>
        <v>0</v>
      </c>
      <c r="I306" t="e">
        <f>MEDIAN2("Real Values",H306,'Real Analysis'!$B$5,2)</f>
        <v>#VALUE!</v>
      </c>
      <c r="J306" t="e">
        <f>AVERAGE2("Real Values",I306,'Real Analysis'!$B$6,2)</f>
        <v>#VALUE!</v>
      </c>
      <c r="K306" t="e">
        <f>INTEGRAL2(J306,$B306,K305,J305,$B305,'Real Analysis'!$B$19)</f>
        <v>#VALUE!</v>
      </c>
      <c r="L306" t="e">
        <f>IF(AND(B306&lt;'Real Analysis'!$B$32,B306&gt;0),INTEGRAL2(K306,$B306,L305,K305,$B305,'Real Analysis'!$B$20),0)</f>
        <v>#VALUE!</v>
      </c>
      <c r="N306">
        <f>'Real Analysis'!$B$28*'Real Input'!U306+IF('Real Input'!U306 &gt; 0,'Real Analysis'!$B$29,0)</f>
        <v>0</v>
      </c>
      <c r="O306" t="e">
        <f t="shared" si="22"/>
        <v>#VALUE!</v>
      </c>
      <c r="P306" t="e">
        <f t="shared" si="23"/>
        <v>#VALUE!</v>
      </c>
    </row>
    <row r="307" spans="1:16" x14ac:dyDescent="0.3">
      <c r="A307">
        <v>305</v>
      </c>
      <c r="B307">
        <f>'Real Input'!M307</f>
        <v>6.1473790000018198</v>
      </c>
      <c r="C307">
        <f ca="1">INDIRECT(CONCATENATE("'Real Input'!",'Real Analysis'!$B$2,A307+2))</f>
        <v>9.8518396500000005</v>
      </c>
      <c r="D307">
        <f t="shared" si="21"/>
        <v>1.7682000005152076E-2</v>
      </c>
      <c r="E307">
        <f ca="1">IF(B307&gt;0,C307-'Real Analysis'!$B$14,0)</f>
        <v>-4.6581523714266382E-3</v>
      </c>
      <c r="F307">
        <f t="shared" ca="1" si="24"/>
        <v>-2.7050288342162911E-2</v>
      </c>
      <c r="G307">
        <f t="shared" ca="1" si="25"/>
        <v>-0.10224254763207083</v>
      </c>
      <c r="H307">
        <f ca="1">IF(AND(B307&gt;'Real Analysis'!$B$31,B307&lt;'Real Analysis'!$B$32),FilterInput(E307,'Real Analysis'!$B$26,'Real Analysis'!$B$27),0)</f>
        <v>0</v>
      </c>
      <c r="I307" t="e">
        <f>MEDIAN2("Real Values",H307,'Real Analysis'!$B$5,2)</f>
        <v>#VALUE!</v>
      </c>
      <c r="J307" t="e">
        <f>AVERAGE2("Real Values",I307,'Real Analysis'!$B$6,2)</f>
        <v>#VALUE!</v>
      </c>
      <c r="K307" t="e">
        <f>INTEGRAL2(J307,$B307,K306,J306,$B306,'Real Analysis'!$B$19)</f>
        <v>#VALUE!</v>
      </c>
      <c r="L307" t="e">
        <f>IF(AND(B307&lt;'Real Analysis'!$B$32,B307&gt;0),INTEGRAL2(K307,$B307,L306,K306,$B306,'Real Analysis'!$B$20),0)</f>
        <v>#VALUE!</v>
      </c>
      <c r="N307">
        <f>'Real Analysis'!$B$28*'Real Input'!U307+IF('Real Input'!U307 &gt; 0,'Real Analysis'!$B$29,0)</f>
        <v>0</v>
      </c>
      <c r="O307" t="e">
        <f t="shared" si="22"/>
        <v>#VALUE!</v>
      </c>
      <c r="P307" t="e">
        <f t="shared" si="23"/>
        <v>#VALUE!</v>
      </c>
    </row>
    <row r="308" spans="1:16" x14ac:dyDescent="0.3">
      <c r="A308">
        <v>306</v>
      </c>
      <c r="B308">
        <f>'Real Input'!M308</f>
        <v>6.1705170000059297</v>
      </c>
      <c r="C308">
        <f ca="1">INDIRECT(CONCATENATE("'Real Input'!",'Real Analysis'!$B$2,A308+2))</f>
        <v>9.8533700100000008</v>
      </c>
      <c r="D308">
        <f t="shared" si="21"/>
        <v>2.3138000004109927E-2</v>
      </c>
      <c r="E308">
        <f ca="1">IF(B308&gt;0,C308-'Real Analysis'!$B$14,0)</f>
        <v>-3.1277923714263522E-3</v>
      </c>
      <c r="F308">
        <f t="shared" ca="1" si="24"/>
        <v>-2.712265920206583E-2</v>
      </c>
      <c r="G308">
        <f t="shared" ca="1" si="25"/>
        <v>-0.1028701117207997</v>
      </c>
      <c r="H308">
        <f ca="1">IF(AND(B308&gt;'Real Analysis'!$B$31,B308&lt;'Real Analysis'!$B$32),FilterInput(E308,'Real Analysis'!$B$26,'Real Analysis'!$B$27),0)</f>
        <v>0</v>
      </c>
      <c r="I308" t="e">
        <f>MEDIAN2("Real Values",H308,'Real Analysis'!$B$5,2)</f>
        <v>#VALUE!</v>
      </c>
      <c r="J308" t="e">
        <f>AVERAGE2("Real Values",I308,'Real Analysis'!$B$6,2)</f>
        <v>#VALUE!</v>
      </c>
      <c r="K308" t="e">
        <f>INTEGRAL2(J308,$B308,K307,J307,$B307,'Real Analysis'!$B$19)</f>
        <v>#VALUE!</v>
      </c>
      <c r="L308" t="e">
        <f>IF(AND(B308&lt;'Real Analysis'!$B$32,B308&gt;0),INTEGRAL2(K308,$B308,L307,K307,$B307,'Real Analysis'!$B$20),0)</f>
        <v>#VALUE!</v>
      </c>
      <c r="N308">
        <f>'Real Analysis'!$B$28*'Real Input'!U308+IF('Real Input'!U308 &gt; 0,'Real Analysis'!$B$29,0)</f>
        <v>0</v>
      </c>
      <c r="O308" t="e">
        <f t="shared" si="22"/>
        <v>#VALUE!</v>
      </c>
      <c r="P308" t="e">
        <f t="shared" si="23"/>
        <v>#VALUE!</v>
      </c>
    </row>
    <row r="309" spans="1:16" x14ac:dyDescent="0.3">
      <c r="A309">
        <v>307</v>
      </c>
      <c r="B309">
        <f>'Real Input'!M309</f>
        <v>6.1910729999945033</v>
      </c>
      <c r="C309">
        <f ca="1">INDIRECT(CONCATENATE("'Real Input'!",'Real Analysis'!$B$2,A309+2))</f>
        <v>9.85001499</v>
      </c>
      <c r="D309">
        <f t="shared" si="21"/>
        <v>2.0555999988573603E-2</v>
      </c>
      <c r="E309">
        <f ca="1">IF(B309&gt;0,C309-'Real Analysis'!$B$14,0)</f>
        <v>-6.4828123714271157E-3</v>
      </c>
      <c r="F309">
        <f t="shared" ca="1" si="24"/>
        <v>-2.725591989309881E-2</v>
      </c>
      <c r="G309">
        <f t="shared" ca="1" si="25"/>
        <v>-0.1034303844098108</v>
      </c>
      <c r="H309">
        <f ca="1">IF(AND(B309&gt;'Real Analysis'!$B$31,B309&lt;'Real Analysis'!$B$32),FilterInput(E309,'Real Analysis'!$B$26,'Real Analysis'!$B$27),0)</f>
        <v>0</v>
      </c>
      <c r="I309" t="e">
        <f>MEDIAN2("Real Values",H309,'Real Analysis'!$B$5,2)</f>
        <v>#VALUE!</v>
      </c>
      <c r="J309" t="e">
        <f>AVERAGE2("Real Values",I309,'Real Analysis'!$B$6,2)</f>
        <v>#VALUE!</v>
      </c>
      <c r="K309" t="e">
        <f>INTEGRAL2(J309,$B309,K308,J308,$B308,'Real Analysis'!$B$19)</f>
        <v>#VALUE!</v>
      </c>
      <c r="L309" t="e">
        <f>IF(AND(B309&lt;'Real Analysis'!$B$32,B309&gt;0),INTEGRAL2(K309,$B309,L308,K308,$B308,'Real Analysis'!$B$20),0)</f>
        <v>#VALUE!</v>
      </c>
      <c r="N309">
        <f>'Real Analysis'!$B$28*'Real Input'!U309+IF('Real Input'!U309 &gt; 0,'Real Analysis'!$B$29,0)</f>
        <v>0</v>
      </c>
      <c r="O309" t="e">
        <f t="shared" si="22"/>
        <v>#VALUE!</v>
      </c>
      <c r="P309" t="e">
        <f t="shared" si="23"/>
        <v>#VALUE!</v>
      </c>
    </row>
    <row r="310" spans="1:16" x14ac:dyDescent="0.3">
      <c r="A310">
        <v>308</v>
      </c>
      <c r="B310">
        <f>'Real Input'!M310</f>
        <v>6.2112950000009732</v>
      </c>
      <c r="C310">
        <f ca="1">INDIRECT(CONCATENATE("'Real Input'!",'Real Analysis'!$B$2,A310+2))</f>
        <v>9.850711500000001</v>
      </c>
      <c r="D310">
        <f t="shared" si="21"/>
        <v>2.0222000006469898E-2</v>
      </c>
      <c r="E310">
        <f ca="1">IF(B310&gt;0,C310-'Real Analysis'!$B$14,0)</f>
        <v>-5.7863023714261885E-3</v>
      </c>
      <c r="F310">
        <f t="shared" ca="1" si="24"/>
        <v>-2.7372930499691226E-2</v>
      </c>
      <c r="G310">
        <f t="shared" ca="1" si="25"/>
        <v>-0.10398391981055265</v>
      </c>
      <c r="H310">
        <f ca="1">IF(AND(B310&gt;'Real Analysis'!$B$31,B310&lt;'Real Analysis'!$B$32),FilterInput(E310,'Real Analysis'!$B$26,'Real Analysis'!$B$27),0)</f>
        <v>0</v>
      </c>
      <c r="I310" t="e">
        <f>MEDIAN2("Real Values",H310,'Real Analysis'!$B$5,2)</f>
        <v>#VALUE!</v>
      </c>
      <c r="J310" t="e">
        <f>AVERAGE2("Real Values",I310,'Real Analysis'!$B$6,2)</f>
        <v>#VALUE!</v>
      </c>
      <c r="K310" t="e">
        <f>INTEGRAL2(J310,$B310,K309,J309,$B309,'Real Analysis'!$B$19)</f>
        <v>#VALUE!</v>
      </c>
      <c r="L310" t="e">
        <f>IF(AND(B310&lt;'Real Analysis'!$B$32,B310&gt;0),INTEGRAL2(K310,$B310,L309,K309,$B309,'Real Analysis'!$B$20),0)</f>
        <v>#VALUE!</v>
      </c>
      <c r="N310">
        <f>'Real Analysis'!$B$28*'Real Input'!U310+IF('Real Input'!U310 &gt; 0,'Real Analysis'!$B$29,0)</f>
        <v>0</v>
      </c>
      <c r="O310" t="e">
        <f t="shared" si="22"/>
        <v>#VALUE!</v>
      </c>
      <c r="P310" t="e">
        <f t="shared" si="23"/>
        <v>#VALUE!</v>
      </c>
    </row>
    <row r="311" spans="1:16" x14ac:dyDescent="0.3">
      <c r="A311">
        <v>309</v>
      </c>
      <c r="B311">
        <f>'Real Input'!M311</f>
        <v>6.2324990000051912</v>
      </c>
      <c r="C311">
        <f ca="1">INDIRECT(CONCATENATE("'Real Input'!",'Real Analysis'!$B$2,A311+2))</f>
        <v>9.8506722599999996</v>
      </c>
      <c r="D311">
        <f t="shared" si="21"/>
        <v>2.120400000421796E-2</v>
      </c>
      <c r="E311">
        <f ca="1">IF(B311&gt;0,C311-'Real Analysis'!$B$14,0)</f>
        <v>-5.8255423714275167E-3</v>
      </c>
      <c r="F311">
        <f t="shared" ca="1" si="24"/>
        <v>-2.7496455300159546E-2</v>
      </c>
      <c r="G311">
        <f t="shared" ca="1" si="25"/>
        <v>-0.10456695464885321</v>
      </c>
      <c r="H311">
        <f ca="1">IF(AND(B311&gt;'Real Analysis'!$B$31,B311&lt;'Real Analysis'!$B$32),FilterInput(E311,'Real Analysis'!$B$26,'Real Analysis'!$B$27),0)</f>
        <v>0</v>
      </c>
      <c r="I311" t="e">
        <f>MEDIAN2("Real Values",H311,'Real Analysis'!$B$5,2)</f>
        <v>#VALUE!</v>
      </c>
      <c r="J311" t="e">
        <f>AVERAGE2("Real Values",I311,'Real Analysis'!$B$6,2)</f>
        <v>#VALUE!</v>
      </c>
      <c r="K311" t="e">
        <f>INTEGRAL2(J311,$B311,K310,J310,$B310,'Real Analysis'!$B$19)</f>
        <v>#VALUE!</v>
      </c>
      <c r="L311" t="e">
        <f>IF(AND(B311&lt;'Real Analysis'!$B$32,B311&gt;0),INTEGRAL2(K311,$B311,L310,K310,$B310,'Real Analysis'!$B$20),0)</f>
        <v>#VALUE!</v>
      </c>
      <c r="N311">
        <f>'Real Analysis'!$B$28*'Real Input'!U311+IF('Real Input'!U311 &gt; 0,'Real Analysis'!$B$29,0)</f>
        <v>0</v>
      </c>
      <c r="O311" t="e">
        <f t="shared" si="22"/>
        <v>#VALUE!</v>
      </c>
      <c r="P311" t="e">
        <f t="shared" si="23"/>
        <v>#VALUE!</v>
      </c>
    </row>
    <row r="312" spans="1:16" x14ac:dyDescent="0.3">
      <c r="A312">
        <v>310</v>
      </c>
      <c r="B312">
        <f>'Real Input'!M312</f>
        <v>6.2469310000014957</v>
      </c>
      <c r="C312">
        <f ca="1">INDIRECT(CONCATENATE("'Real Input'!",'Real Analysis'!$B$2,A312+2))</f>
        <v>9.850554540000001</v>
      </c>
      <c r="D312">
        <f t="shared" si="21"/>
        <v>1.4431999996304512E-2</v>
      </c>
      <c r="E312">
        <f ca="1">IF(B312&gt;0,C312-'Real Analysis'!$B$14,0)</f>
        <v>-5.9432623714261723E-3</v>
      </c>
      <c r="F312">
        <f t="shared" ca="1" si="24"/>
        <v>-2.7582228462682004E-2</v>
      </c>
      <c r="G312">
        <f t="shared" ca="1" si="25"/>
        <v>-0.10496502136992471</v>
      </c>
      <c r="H312">
        <f ca="1">IF(AND(B312&gt;'Real Analysis'!$B$31,B312&lt;'Real Analysis'!$B$32),FilterInput(E312,'Real Analysis'!$B$26,'Real Analysis'!$B$27),0)</f>
        <v>0</v>
      </c>
      <c r="I312" t="e">
        <f>MEDIAN2("Real Values",H312,'Real Analysis'!$B$5,2)</f>
        <v>#VALUE!</v>
      </c>
      <c r="J312" t="e">
        <f>AVERAGE2("Real Values",I312,'Real Analysis'!$B$6,2)</f>
        <v>#VALUE!</v>
      </c>
      <c r="K312" t="e">
        <f>INTEGRAL2(J312,$B312,K311,J311,$B311,'Real Analysis'!$B$19)</f>
        <v>#VALUE!</v>
      </c>
      <c r="L312" t="e">
        <f>IF(AND(B312&lt;'Real Analysis'!$B$32,B312&gt;0),INTEGRAL2(K312,$B312,L311,K311,$B311,'Real Analysis'!$B$20),0)</f>
        <v>#VALUE!</v>
      </c>
      <c r="N312">
        <f>'Real Analysis'!$B$28*'Real Input'!U312+IF('Real Input'!U312 &gt; 0,'Real Analysis'!$B$29,0)</f>
        <v>0</v>
      </c>
      <c r="O312" t="e">
        <f t="shared" si="22"/>
        <v>#VALUE!</v>
      </c>
      <c r="P312" t="e">
        <f t="shared" si="23"/>
        <v>#VALUE!</v>
      </c>
    </row>
    <row r="313" spans="1:16" x14ac:dyDescent="0.3">
      <c r="A313">
        <v>311</v>
      </c>
      <c r="B313">
        <f>'Real Input'!M313</f>
        <v>6.2678610000002664</v>
      </c>
      <c r="C313">
        <f ca="1">INDIRECT(CONCATENATE("'Real Input'!",'Real Analysis'!$B$2,A313+2))</f>
        <v>9.8352607499999998</v>
      </c>
      <c r="D313">
        <f t="shared" si="21"/>
        <v>2.0929999998770654E-2</v>
      </c>
      <c r="E313">
        <f ca="1">IF(B313&gt;0,C313-'Real Analysis'!$B$14,0)</f>
        <v>-2.1237052371427367E-2</v>
      </c>
      <c r="F313">
        <f t="shared" ca="1" si="24"/>
        <v>-2.802671996878987E-2</v>
      </c>
      <c r="G313">
        <f t="shared" ca="1" si="25"/>
        <v>-0.10555162061883702</v>
      </c>
      <c r="H313">
        <f ca="1">IF(AND(B313&gt;'Real Analysis'!$B$31,B313&lt;'Real Analysis'!$B$32),FilterInput(E313,'Real Analysis'!$B$26,'Real Analysis'!$B$27),0)</f>
        <v>0</v>
      </c>
      <c r="I313" t="e">
        <f>MEDIAN2("Real Values",H313,'Real Analysis'!$B$5,2)</f>
        <v>#VALUE!</v>
      </c>
      <c r="J313" t="e">
        <f>AVERAGE2("Real Values",I313,'Real Analysis'!$B$6,2)</f>
        <v>#VALUE!</v>
      </c>
      <c r="K313" t="e">
        <f>INTEGRAL2(J313,$B313,K312,J312,$B312,'Real Analysis'!$B$19)</f>
        <v>#VALUE!</v>
      </c>
      <c r="L313" t="e">
        <f>IF(AND(B313&lt;'Real Analysis'!$B$32,B313&gt;0),INTEGRAL2(K313,$B313,L312,K312,$B312,'Real Analysis'!$B$20),0)</f>
        <v>#VALUE!</v>
      </c>
      <c r="N313">
        <f>'Real Analysis'!$B$28*'Real Input'!U313+IF('Real Input'!U313 &gt; 0,'Real Analysis'!$B$29,0)</f>
        <v>0</v>
      </c>
      <c r="O313" t="e">
        <f t="shared" si="22"/>
        <v>#VALUE!</v>
      </c>
      <c r="P313" t="e">
        <f t="shared" si="23"/>
        <v>#VALUE!</v>
      </c>
    </row>
    <row r="314" spans="1:16" x14ac:dyDescent="0.3">
      <c r="A314">
        <v>312</v>
      </c>
      <c r="B314">
        <f>'Real Input'!M314</f>
        <v>6.2864479999989271</v>
      </c>
      <c r="C314">
        <f ca="1">INDIRECT(CONCATENATE("'Real Input'!",'Real Analysis'!$B$2,A314+2))</f>
        <v>9.7600082400000012</v>
      </c>
      <c r="D314">
        <f t="shared" si="21"/>
        <v>1.8586999998660758E-2</v>
      </c>
      <c r="E314">
        <f ca="1">IF(B314&gt;0,C314-'Real Analysis'!$B$14,0)</f>
        <v>-9.6489562371425919E-2</v>
      </c>
      <c r="F314">
        <f t="shared" ca="1" si="24"/>
        <v>-2.9820171464458339E-2</v>
      </c>
      <c r="G314">
        <f t="shared" ca="1" si="25"/>
        <v>-0.10610588814580697</v>
      </c>
      <c r="H314">
        <f ca="1">IF(AND(B314&gt;'Real Analysis'!$B$31,B314&lt;'Real Analysis'!$B$32),FilterInput(E314,'Real Analysis'!$B$26,'Real Analysis'!$B$27),0)</f>
        <v>0</v>
      </c>
      <c r="I314" t="e">
        <f>MEDIAN2("Real Values",H314,'Real Analysis'!$B$5,2)</f>
        <v>#VALUE!</v>
      </c>
      <c r="J314" t="e">
        <f>AVERAGE2("Real Values",I314,'Real Analysis'!$B$6,2)</f>
        <v>#VALUE!</v>
      </c>
      <c r="K314" t="e">
        <f>INTEGRAL2(J314,$B314,K313,J313,$B313,'Real Analysis'!$B$19)</f>
        <v>#VALUE!</v>
      </c>
      <c r="L314" t="e">
        <f>IF(AND(B314&lt;'Real Analysis'!$B$32,B314&gt;0),INTEGRAL2(K314,$B314,L313,K313,$B313,'Real Analysis'!$B$20),0)</f>
        <v>#VALUE!</v>
      </c>
      <c r="N314">
        <f>'Real Analysis'!$B$28*'Real Input'!U314+IF('Real Input'!U314 &gt; 0,'Real Analysis'!$B$29,0)</f>
        <v>0</v>
      </c>
      <c r="O314" t="e">
        <f t="shared" si="22"/>
        <v>#VALUE!</v>
      </c>
      <c r="P314" t="e">
        <f t="shared" si="23"/>
        <v>#VALUE!</v>
      </c>
    </row>
    <row r="315" spans="1:16" x14ac:dyDescent="0.3">
      <c r="A315">
        <v>313</v>
      </c>
      <c r="B315">
        <f>'Real Input'!M315</f>
        <v>6.3126840000040829</v>
      </c>
      <c r="C315">
        <f ca="1">INDIRECT(CONCATENATE("'Real Input'!",'Real Analysis'!$B$2,A315+2))</f>
        <v>9.8041630499999997</v>
      </c>
      <c r="D315">
        <f t="shared" si="21"/>
        <v>2.6236000005155802E-2</v>
      </c>
      <c r="E315">
        <f ca="1">IF(B315&gt;0,C315-'Real Analysis'!$B$14,0)</f>
        <v>-5.2334752371427484E-2</v>
      </c>
      <c r="F315">
        <f t="shared" ca="1" si="24"/>
        <v>-3.1193226027944939E-2</v>
      </c>
      <c r="G315">
        <f t="shared" ca="1" si="25"/>
        <v>-0.10692427362403696</v>
      </c>
      <c r="H315">
        <f ca="1">IF(AND(B315&gt;'Real Analysis'!$B$31,B315&lt;'Real Analysis'!$B$32),FilterInput(E315,'Real Analysis'!$B$26,'Real Analysis'!$B$27),0)</f>
        <v>0</v>
      </c>
      <c r="I315" t="e">
        <f>MEDIAN2("Real Values",H315,'Real Analysis'!$B$5,2)</f>
        <v>#VALUE!</v>
      </c>
      <c r="J315" t="e">
        <f>AVERAGE2("Real Values",I315,'Real Analysis'!$B$6,2)</f>
        <v>#VALUE!</v>
      </c>
      <c r="K315" t="e">
        <f>INTEGRAL2(J315,$B315,K314,J314,$B314,'Real Analysis'!$B$19)</f>
        <v>#VALUE!</v>
      </c>
      <c r="L315" t="e">
        <f>IF(AND(B315&lt;'Real Analysis'!$B$32,B315&gt;0),INTEGRAL2(K315,$B315,L314,K314,$B314,'Real Analysis'!$B$20),0)</f>
        <v>#VALUE!</v>
      </c>
      <c r="N315">
        <f>'Real Analysis'!$B$28*'Real Input'!U315+IF('Real Input'!U315 &gt; 0,'Real Analysis'!$B$29,0)</f>
        <v>0</v>
      </c>
      <c r="O315" t="e">
        <f t="shared" si="22"/>
        <v>#VALUE!</v>
      </c>
      <c r="P315" t="e">
        <f t="shared" si="23"/>
        <v>#VALUE!</v>
      </c>
    </row>
    <row r="316" spans="1:16" x14ac:dyDescent="0.3">
      <c r="A316">
        <v>314</v>
      </c>
      <c r="B316">
        <f>'Real Input'!M316</f>
        <v>6.3321949999954086</v>
      </c>
      <c r="C316">
        <f ca="1">INDIRECT(CONCATENATE("'Real Input'!",'Real Analysis'!$B$2,A316+2))</f>
        <v>9.8606784600000008</v>
      </c>
      <c r="D316">
        <f t="shared" si="21"/>
        <v>1.9510999991325662E-2</v>
      </c>
      <c r="E316">
        <f ca="1">IF(B316&gt;0,C316-'Real Analysis'!$B$14,0)</f>
        <v>4.1806576285736696E-3</v>
      </c>
      <c r="F316">
        <f t="shared" ca="1" si="24"/>
        <v>-3.1111657216990104E-2</v>
      </c>
      <c r="G316">
        <f t="shared" ca="1" si="25"/>
        <v>-0.10753129316772778</v>
      </c>
      <c r="H316">
        <f ca="1">IF(AND(B316&gt;'Real Analysis'!$B$31,B316&lt;'Real Analysis'!$B$32),FilterInput(E316,'Real Analysis'!$B$26,'Real Analysis'!$B$27),0)</f>
        <v>0</v>
      </c>
      <c r="I316" t="e">
        <f>MEDIAN2("Real Values",H316,'Real Analysis'!$B$5,2)</f>
        <v>#VALUE!</v>
      </c>
      <c r="J316" t="e">
        <f>AVERAGE2("Real Values",I316,'Real Analysis'!$B$6,2)</f>
        <v>#VALUE!</v>
      </c>
      <c r="K316" t="e">
        <f>INTEGRAL2(J316,$B316,K315,J315,$B315,'Real Analysis'!$B$19)</f>
        <v>#VALUE!</v>
      </c>
      <c r="L316" t="e">
        <f>IF(AND(B316&lt;'Real Analysis'!$B$32,B316&gt;0),INTEGRAL2(K316,$B316,L315,K315,$B315,'Real Analysis'!$B$20),0)</f>
        <v>#VALUE!</v>
      </c>
      <c r="N316">
        <f>'Real Analysis'!$B$28*'Real Input'!U316+IF('Real Input'!U316 &gt; 0,'Real Analysis'!$B$29,0)</f>
        <v>0</v>
      </c>
      <c r="O316" t="e">
        <f t="shared" si="22"/>
        <v>#VALUE!</v>
      </c>
      <c r="P316" t="e">
        <f t="shared" si="23"/>
        <v>#VALUE!</v>
      </c>
    </row>
    <row r="317" spans="1:16" x14ac:dyDescent="0.3">
      <c r="A317">
        <v>315</v>
      </c>
      <c r="B317">
        <f>'Real Input'!M317</f>
        <v>6.3515110000007553</v>
      </c>
      <c r="C317">
        <f ca="1">INDIRECT(CONCATENATE("'Real Input'!",'Real Analysis'!$B$2,A317+2))</f>
        <v>9.8567642699999993</v>
      </c>
      <c r="D317">
        <f t="shared" si="21"/>
        <v>1.9316000005346723E-2</v>
      </c>
      <c r="E317">
        <f ca="1">IF(B317&gt;0,C317-'Real Analysis'!$B$14,0)</f>
        <v>2.6646762857218675E-4</v>
      </c>
      <c r="F317">
        <f t="shared" ca="1" si="24"/>
        <v>-3.1106510128275179E-2</v>
      </c>
      <c r="G317">
        <f t="shared" ca="1" si="25"/>
        <v>-0.10813214651753186</v>
      </c>
      <c r="H317">
        <f ca="1">IF(AND(B317&gt;'Real Analysis'!$B$31,B317&lt;'Real Analysis'!$B$32),FilterInput(E317,'Real Analysis'!$B$26,'Real Analysis'!$B$27),0)</f>
        <v>0</v>
      </c>
      <c r="I317" t="e">
        <f>MEDIAN2("Real Values",H317,'Real Analysis'!$B$5,2)</f>
        <v>#VALUE!</v>
      </c>
      <c r="J317" t="e">
        <f>AVERAGE2("Real Values",I317,'Real Analysis'!$B$6,2)</f>
        <v>#VALUE!</v>
      </c>
      <c r="K317" t="e">
        <f>INTEGRAL2(J317,$B317,K316,J316,$B316,'Real Analysis'!$B$19)</f>
        <v>#VALUE!</v>
      </c>
      <c r="L317" t="e">
        <f>IF(AND(B317&lt;'Real Analysis'!$B$32,B317&gt;0),INTEGRAL2(K317,$B317,L316,K316,$B316,'Real Analysis'!$B$20),0)</f>
        <v>#VALUE!</v>
      </c>
      <c r="N317">
        <f>'Real Analysis'!$B$28*'Real Input'!U317+IF('Real Input'!U317 &gt; 0,'Real Analysis'!$B$29,0)</f>
        <v>0</v>
      </c>
      <c r="O317" t="e">
        <f t="shared" si="22"/>
        <v>#VALUE!</v>
      </c>
      <c r="P317" t="e">
        <f t="shared" si="23"/>
        <v>#VALUE!</v>
      </c>
    </row>
    <row r="318" spans="1:16" x14ac:dyDescent="0.3">
      <c r="A318">
        <v>316</v>
      </c>
      <c r="B318">
        <f>'Real Input'!M318</f>
        <v>6.3666939999966417</v>
      </c>
      <c r="C318">
        <f ca="1">INDIRECT(CONCATENATE("'Real Input'!",'Real Analysis'!$B$2,A318+2))</f>
        <v>9.8537231700000003</v>
      </c>
      <c r="D318">
        <f t="shared" si="21"/>
        <v>1.5182999995886348E-2</v>
      </c>
      <c r="E318">
        <f ca="1">IF(B318&gt;0,C318-'Real Analysis'!$B$14,0)</f>
        <v>-2.7746323714268328E-3</v>
      </c>
      <c r="F318">
        <f t="shared" ca="1" si="24"/>
        <v>-3.1148637371559137E-2</v>
      </c>
      <c r="G318">
        <f t="shared" ca="1" si="25"/>
        <v>-0.10860507627861611</v>
      </c>
      <c r="H318">
        <f ca="1">IF(AND(B318&gt;'Real Analysis'!$B$31,B318&lt;'Real Analysis'!$B$32),FilterInput(E318,'Real Analysis'!$B$26,'Real Analysis'!$B$27),0)</f>
        <v>0</v>
      </c>
      <c r="I318" t="e">
        <f>MEDIAN2("Real Values",H318,'Real Analysis'!$B$5,2)</f>
        <v>#VALUE!</v>
      </c>
      <c r="J318" t="e">
        <f>AVERAGE2("Real Values",I318,'Real Analysis'!$B$6,2)</f>
        <v>#VALUE!</v>
      </c>
      <c r="K318" t="e">
        <f>INTEGRAL2(J318,$B318,K317,J317,$B317,'Real Analysis'!$B$19)</f>
        <v>#VALUE!</v>
      </c>
      <c r="L318" t="e">
        <f>IF(AND(B318&lt;'Real Analysis'!$B$32,B318&gt;0),INTEGRAL2(K318,$B318,L317,K317,$B317,'Real Analysis'!$B$20),0)</f>
        <v>#VALUE!</v>
      </c>
      <c r="N318">
        <f>'Real Analysis'!$B$28*'Real Input'!U318+IF('Real Input'!U318 &gt; 0,'Real Analysis'!$B$29,0)</f>
        <v>0</v>
      </c>
      <c r="O318" t="e">
        <f t="shared" si="22"/>
        <v>#VALUE!</v>
      </c>
      <c r="P318" t="e">
        <f t="shared" si="23"/>
        <v>#VALUE!</v>
      </c>
    </row>
    <row r="319" spans="1:16" x14ac:dyDescent="0.3">
      <c r="A319">
        <v>317</v>
      </c>
      <c r="B319">
        <f>'Real Input'!M319</f>
        <v>6.3825130000041099</v>
      </c>
      <c r="C319">
        <f ca="1">INDIRECT(CONCATENATE("'Real Input'!",'Real Analysis'!$B$2,A319+2))</f>
        <v>9.8729998200000004</v>
      </c>
      <c r="D319">
        <f t="shared" si="21"/>
        <v>1.5819000007468276E-2</v>
      </c>
      <c r="E319">
        <f ca="1">IF(B319&gt;0,C319-'Real Analysis'!$B$14,0)</f>
        <v>1.6502017628573284E-2</v>
      </c>
      <c r="F319">
        <f t="shared" ca="1" si="24"/>
        <v>-3.0887591954569495E-2</v>
      </c>
      <c r="G319">
        <f t="shared" ca="1" si="25"/>
        <v>-0.10909368709597612</v>
      </c>
      <c r="H319">
        <f ca="1">IF(AND(B319&gt;'Real Analysis'!$B$31,B319&lt;'Real Analysis'!$B$32),FilterInput(E319,'Real Analysis'!$B$26,'Real Analysis'!$B$27),0)</f>
        <v>0</v>
      </c>
      <c r="I319" t="e">
        <f>MEDIAN2("Real Values",H319,'Real Analysis'!$B$5,2)</f>
        <v>#VALUE!</v>
      </c>
      <c r="J319" t="e">
        <f>AVERAGE2("Real Values",I319,'Real Analysis'!$B$6,2)</f>
        <v>#VALUE!</v>
      </c>
      <c r="K319" t="e">
        <f>INTEGRAL2(J319,$B319,K318,J318,$B318,'Real Analysis'!$B$19)</f>
        <v>#VALUE!</v>
      </c>
      <c r="L319" t="e">
        <f>IF(AND(B319&lt;'Real Analysis'!$B$32,B319&gt;0),INTEGRAL2(K319,$B319,L318,K318,$B318,'Real Analysis'!$B$20),0)</f>
        <v>#VALUE!</v>
      </c>
      <c r="N319">
        <f>'Real Analysis'!$B$28*'Real Input'!U319+IF('Real Input'!U319 &gt; 0,'Real Analysis'!$B$29,0)</f>
        <v>0</v>
      </c>
      <c r="O319" t="e">
        <f t="shared" si="22"/>
        <v>#VALUE!</v>
      </c>
      <c r="P319" t="e">
        <f t="shared" si="23"/>
        <v>#VALUE!</v>
      </c>
    </row>
    <row r="320" spans="1:16" x14ac:dyDescent="0.3">
      <c r="A320">
        <v>318</v>
      </c>
      <c r="B320">
        <f>'Real Input'!M320</f>
        <v>6.4117300000070827</v>
      </c>
      <c r="C320">
        <f ca="1">INDIRECT(CONCATENATE("'Real Input'!",'Real Analysis'!$B$2,A320+2))</f>
        <v>9.8596091700000006</v>
      </c>
      <c r="D320">
        <f t="shared" si="21"/>
        <v>2.9217000002972782E-2</v>
      </c>
      <c r="E320">
        <f ca="1">IF(B320&gt;0,C320-'Real Analysis'!$B$14,0)</f>
        <v>3.1113676285734471E-3</v>
      </c>
      <c r="F320">
        <f t="shared" ca="1" si="24"/>
        <v>-3.0796687126556217E-2</v>
      </c>
      <c r="G320">
        <f t="shared" ca="1" si="25"/>
        <v>-0.10999347390384427</v>
      </c>
      <c r="H320">
        <f ca="1">IF(AND(B320&gt;'Real Analysis'!$B$31,B320&lt;'Real Analysis'!$B$32),FilterInput(E320,'Real Analysis'!$B$26,'Real Analysis'!$B$27),0)</f>
        <v>0</v>
      </c>
      <c r="I320" t="e">
        <f>MEDIAN2("Real Values",H320,'Real Analysis'!$B$5,2)</f>
        <v>#VALUE!</v>
      </c>
      <c r="J320" t="e">
        <f>AVERAGE2("Real Values",I320,'Real Analysis'!$B$6,2)</f>
        <v>#VALUE!</v>
      </c>
      <c r="K320" t="e">
        <f>INTEGRAL2(J320,$B320,K319,J319,$B319,'Real Analysis'!$B$19)</f>
        <v>#VALUE!</v>
      </c>
      <c r="L320" t="e">
        <f>IF(AND(B320&lt;'Real Analysis'!$B$32,B320&gt;0),INTEGRAL2(K320,$B320,L319,K319,$B319,'Real Analysis'!$B$20),0)</f>
        <v>#VALUE!</v>
      </c>
      <c r="N320">
        <f>'Real Analysis'!$B$28*'Real Input'!U320+IF('Real Input'!U320 &gt; 0,'Real Analysis'!$B$29,0)</f>
        <v>0</v>
      </c>
      <c r="O320" t="e">
        <f t="shared" si="22"/>
        <v>#VALUE!</v>
      </c>
      <c r="P320" t="e">
        <f t="shared" si="23"/>
        <v>#VALUE!</v>
      </c>
    </row>
    <row r="321" spans="1:16" x14ac:dyDescent="0.3">
      <c r="A321">
        <v>319</v>
      </c>
      <c r="B321">
        <f>'Real Input'!M321</f>
        <v>6.42871500000183</v>
      </c>
      <c r="C321">
        <f ca="1">INDIRECT(CONCATENATE("'Real Input'!",'Real Analysis'!$B$2,A321+2))</f>
        <v>9.8304244199999999</v>
      </c>
      <c r="D321">
        <f t="shared" si="21"/>
        <v>1.6984999994747341E-2</v>
      </c>
      <c r="E321">
        <f ca="1">IF(B321&gt;0,C321-'Real Analysis'!$B$14,0)</f>
        <v>-2.6073382371427201E-2</v>
      </c>
      <c r="F321">
        <f t="shared" ca="1" si="24"/>
        <v>-3.1239543525997952E-2</v>
      </c>
      <c r="G321">
        <f t="shared" ca="1" si="25"/>
        <v>-0.11052407755046925</v>
      </c>
      <c r="H321">
        <f ca="1">IF(AND(B321&gt;'Real Analysis'!$B$31,B321&lt;'Real Analysis'!$B$32),FilterInput(E321,'Real Analysis'!$B$26,'Real Analysis'!$B$27),0)</f>
        <v>0</v>
      </c>
      <c r="I321" t="e">
        <f>MEDIAN2("Real Values",H321,'Real Analysis'!$B$5,2)</f>
        <v>#VALUE!</v>
      </c>
      <c r="J321" t="e">
        <f>AVERAGE2("Real Values",I321,'Real Analysis'!$B$6,2)</f>
        <v>#VALUE!</v>
      </c>
      <c r="K321" t="e">
        <f>INTEGRAL2(J321,$B321,K320,J320,$B320,'Real Analysis'!$B$19)</f>
        <v>#VALUE!</v>
      </c>
      <c r="L321" t="e">
        <f>IF(AND(B321&lt;'Real Analysis'!$B$32,B321&gt;0),INTEGRAL2(K321,$B321,L320,K320,$B320,'Real Analysis'!$B$20),0)</f>
        <v>#VALUE!</v>
      </c>
      <c r="N321">
        <f>'Real Analysis'!$B$28*'Real Input'!U321+IF('Real Input'!U321 &gt; 0,'Real Analysis'!$B$29,0)</f>
        <v>0</v>
      </c>
      <c r="O321" t="e">
        <f t="shared" si="22"/>
        <v>#VALUE!</v>
      </c>
      <c r="P321" t="e">
        <f t="shared" si="23"/>
        <v>#VALUE!</v>
      </c>
    </row>
    <row r="322" spans="1:16" x14ac:dyDescent="0.3">
      <c r="A322">
        <v>320</v>
      </c>
      <c r="B322">
        <f>'Real Input'!M322</f>
        <v>6.4473149999976158</v>
      </c>
      <c r="C322">
        <f ca="1">INDIRECT(CONCATENATE("'Real Input'!",'Real Analysis'!$B$2,A322+2))</f>
        <v>9.8595993600000007</v>
      </c>
      <c r="D322">
        <f t="shared" si="21"/>
        <v>1.8599999995785765E-2</v>
      </c>
      <c r="E322">
        <f ca="1">IF(B322&gt;0,C322-'Real Analysis'!$B$14,0)</f>
        <v>3.1015576285735591E-3</v>
      </c>
      <c r="F322">
        <f t="shared" ca="1" si="24"/>
        <v>-3.1181854554119554E-2</v>
      </c>
      <c r="G322">
        <f t="shared" ca="1" si="25"/>
        <v>-0.11110406004504447</v>
      </c>
      <c r="H322">
        <f ca="1">IF(AND(B322&gt;'Real Analysis'!$B$31,B322&lt;'Real Analysis'!$B$32),FilterInput(E322,'Real Analysis'!$B$26,'Real Analysis'!$B$27),0)</f>
        <v>0</v>
      </c>
      <c r="I322" t="e">
        <f>MEDIAN2("Real Values",H322,'Real Analysis'!$B$5,2)</f>
        <v>#VALUE!</v>
      </c>
      <c r="J322" t="e">
        <f>AVERAGE2("Real Values",I322,'Real Analysis'!$B$6,2)</f>
        <v>#VALUE!</v>
      </c>
      <c r="K322" t="e">
        <f>INTEGRAL2(J322,$B322,K321,J321,$B321,'Real Analysis'!$B$19)</f>
        <v>#VALUE!</v>
      </c>
      <c r="L322" t="e">
        <f>IF(AND(B322&lt;'Real Analysis'!$B$32,B322&gt;0),INTEGRAL2(K322,$B322,L321,K321,$B321,'Real Analysis'!$B$20),0)</f>
        <v>#VALUE!</v>
      </c>
      <c r="N322">
        <f>'Real Analysis'!$B$28*'Real Input'!U322+IF('Real Input'!U322 &gt; 0,'Real Analysis'!$B$29,0)</f>
        <v>0</v>
      </c>
      <c r="O322" t="e">
        <f t="shared" si="22"/>
        <v>#VALUE!</v>
      </c>
      <c r="P322" t="e">
        <f t="shared" si="23"/>
        <v>#VALUE!</v>
      </c>
    </row>
    <row r="323" spans="1:16" x14ac:dyDescent="0.3">
      <c r="A323">
        <v>321</v>
      </c>
      <c r="B323">
        <f>'Real Input'!M323</f>
        <v>6.4672019999998156</v>
      </c>
      <c r="C323">
        <f ca="1">INDIRECT(CONCATENATE("'Real Input'!",'Real Analysis'!$B$2,A323+2))</f>
        <v>9.85686237</v>
      </c>
      <c r="D323">
        <f t="shared" ref="D323:D386" si="26">B323-B322</f>
        <v>1.9887000002199784E-2</v>
      </c>
      <c r="E323">
        <f ca="1">IF(B323&gt;0,C323-'Real Analysis'!$B$14,0)</f>
        <v>3.6456762857284275E-4</v>
      </c>
      <c r="F323">
        <f t="shared" ca="1" si="24"/>
        <v>-3.1174604397689324E-2</v>
      </c>
      <c r="G323">
        <f t="shared" ca="1" si="25"/>
        <v>-0.1117240294027699</v>
      </c>
      <c r="H323">
        <f ca="1">IF(AND(B323&gt;'Real Analysis'!$B$31,B323&lt;'Real Analysis'!$B$32),FilterInput(E323,'Real Analysis'!$B$26,'Real Analysis'!$B$27),0)</f>
        <v>0</v>
      </c>
      <c r="I323" t="e">
        <f>MEDIAN2("Real Values",H323,'Real Analysis'!$B$5,2)</f>
        <v>#VALUE!</v>
      </c>
      <c r="J323" t="e">
        <f>AVERAGE2("Real Values",I323,'Real Analysis'!$B$6,2)</f>
        <v>#VALUE!</v>
      </c>
      <c r="K323" t="e">
        <f>INTEGRAL2(J323,$B323,K322,J322,$B322,'Real Analysis'!$B$19)</f>
        <v>#VALUE!</v>
      </c>
      <c r="L323" t="e">
        <f>IF(AND(B323&lt;'Real Analysis'!$B$32,B323&gt;0),INTEGRAL2(K323,$B323,L322,K322,$B322,'Real Analysis'!$B$20),0)</f>
        <v>#VALUE!</v>
      </c>
      <c r="N323">
        <f>'Real Analysis'!$B$28*'Real Input'!U323+IF('Real Input'!U323 &gt; 0,'Real Analysis'!$B$29,0)</f>
        <v>0</v>
      </c>
      <c r="O323" t="e">
        <f t="shared" ref="O323:O386" si="27">_xlfn.COVARIANCE.P($L$102:$L$1200,N323:N1421)</f>
        <v>#VALUE!</v>
      </c>
      <c r="P323" t="e">
        <f t="shared" ref="P323:P386" si="28">N323-L323</f>
        <v>#VALUE!</v>
      </c>
    </row>
    <row r="324" spans="1:16" x14ac:dyDescent="0.3">
      <c r="A324">
        <v>322</v>
      </c>
      <c r="B324">
        <f>'Real Input'!M324</f>
        <v>6.4927759999991395</v>
      </c>
      <c r="C324">
        <f ca="1">INDIRECT(CONCATENATE("'Real Input'!",'Real Analysis'!$B$2,A324+2))</f>
        <v>9.8495441100000001</v>
      </c>
      <c r="D324">
        <f t="shared" si="26"/>
        <v>2.557399999932386E-2</v>
      </c>
      <c r="E324">
        <f ca="1">IF(B324&gt;0,C324-'Real Analysis'!$B$14,0)</f>
        <v>-6.9536923714270671E-3</v>
      </c>
      <c r="F324">
        <f t="shared" ref="F324:F387" ca="1" si="29">IF(B324&gt;0,F323+E324*$D324,0)</f>
        <v>-3.1352438126391498E-2</v>
      </c>
      <c r="G324">
        <f t="shared" ca="1" si="25"/>
        <v>-0.11252583665539304</v>
      </c>
      <c r="H324">
        <f ca="1">IF(AND(B324&gt;'Real Analysis'!$B$31,B324&lt;'Real Analysis'!$B$32),FilterInput(E324,'Real Analysis'!$B$26,'Real Analysis'!$B$27),0)</f>
        <v>0</v>
      </c>
      <c r="I324" t="e">
        <f>MEDIAN2("Real Values",H324,'Real Analysis'!$B$5,2)</f>
        <v>#VALUE!</v>
      </c>
      <c r="J324" t="e">
        <f>AVERAGE2("Real Values",I324,'Real Analysis'!$B$6,2)</f>
        <v>#VALUE!</v>
      </c>
      <c r="K324" t="e">
        <f>INTEGRAL2(J324,$B324,K323,J323,$B323,'Real Analysis'!$B$19)</f>
        <v>#VALUE!</v>
      </c>
      <c r="L324" t="e">
        <f>IF(AND(B324&lt;'Real Analysis'!$B$32,B324&gt;0),INTEGRAL2(K324,$B324,L323,K323,$B323,'Real Analysis'!$B$20),0)</f>
        <v>#VALUE!</v>
      </c>
      <c r="N324">
        <f>'Real Analysis'!$B$28*'Real Input'!U324+IF('Real Input'!U324 &gt; 0,'Real Analysis'!$B$29,0)</f>
        <v>0</v>
      </c>
      <c r="O324" t="e">
        <f t="shared" si="27"/>
        <v>#VALUE!</v>
      </c>
      <c r="P324" t="e">
        <f t="shared" si="28"/>
        <v>#VALUE!</v>
      </c>
    </row>
    <row r="325" spans="1:16" x14ac:dyDescent="0.3">
      <c r="A325">
        <v>323</v>
      </c>
      <c r="B325">
        <f>'Real Input'!M325</f>
        <v>6.5122140000021318</v>
      </c>
      <c r="C325">
        <f ca="1">INDIRECT(CONCATENATE("'Real Input'!",'Real Analysis'!$B$2,A325+2))</f>
        <v>9.85421367</v>
      </c>
      <c r="D325">
        <f t="shared" si="26"/>
        <v>1.9438000002992339E-2</v>
      </c>
      <c r="E325">
        <f ca="1">IF(B325&gt;0,C325-'Real Analysis'!$B$14,0)</f>
        <v>-2.2841323714271056E-3</v>
      </c>
      <c r="F325">
        <f t="shared" ca="1" si="29"/>
        <v>-3.1396837091434135E-2</v>
      </c>
      <c r="G325">
        <f t="shared" ca="1" si="25"/>
        <v>-0.11313612837487028</v>
      </c>
      <c r="H325">
        <f ca="1">IF(AND(B325&gt;'Real Analysis'!$B$31,B325&lt;'Real Analysis'!$B$32),FilterInput(E325,'Real Analysis'!$B$26,'Real Analysis'!$B$27),0)</f>
        <v>0</v>
      </c>
      <c r="I325" t="e">
        <f>MEDIAN2("Real Values",H325,'Real Analysis'!$B$5,2)</f>
        <v>#VALUE!</v>
      </c>
      <c r="J325" t="e">
        <f>AVERAGE2("Real Values",I325,'Real Analysis'!$B$6,2)</f>
        <v>#VALUE!</v>
      </c>
      <c r="K325" t="e">
        <f>INTEGRAL2(J325,$B325,K324,J324,$B324,'Real Analysis'!$B$19)</f>
        <v>#VALUE!</v>
      </c>
      <c r="L325" t="e">
        <f>IF(AND(B325&lt;'Real Analysis'!$B$32,B325&gt;0),INTEGRAL2(K325,$B325,L324,K324,$B324,'Real Analysis'!$B$20),0)</f>
        <v>#VALUE!</v>
      </c>
      <c r="N325">
        <f>'Real Analysis'!$B$28*'Real Input'!U325+IF('Real Input'!U325 &gt; 0,'Real Analysis'!$B$29,0)</f>
        <v>0</v>
      </c>
      <c r="O325" t="e">
        <f t="shared" si="27"/>
        <v>#VALUE!</v>
      </c>
      <c r="P325" t="e">
        <f t="shared" si="28"/>
        <v>#VALUE!</v>
      </c>
    </row>
    <row r="326" spans="1:16" x14ac:dyDescent="0.3">
      <c r="A326">
        <v>324</v>
      </c>
      <c r="B326">
        <f>'Real Input'!M326</f>
        <v>6.5327839999954449</v>
      </c>
      <c r="C326">
        <f ca="1">INDIRECT(CONCATENATE("'Real Input'!",'Real Analysis'!$B$2,A326+2))</f>
        <v>9.9190675800000001</v>
      </c>
      <c r="D326">
        <f t="shared" si="26"/>
        <v>2.0569999993313104E-2</v>
      </c>
      <c r="E326">
        <f ca="1">IF(B326&gt;0,C326-'Real Analysis'!$B$14,0)</f>
        <v>6.2569777628572965E-2</v>
      </c>
      <c r="F326">
        <f t="shared" ca="1" si="29"/>
        <v>-3.0109776766032787E-2</v>
      </c>
      <c r="G326">
        <f t="shared" ca="1" si="25"/>
        <v>-0.11375548648274623</v>
      </c>
      <c r="H326">
        <f ca="1">IF(AND(B326&gt;'Real Analysis'!$B$31,B326&lt;'Real Analysis'!$B$32),FilterInput(E326,'Real Analysis'!$B$26,'Real Analysis'!$B$27),0)</f>
        <v>0</v>
      </c>
      <c r="I326" t="e">
        <f>MEDIAN2("Real Values",H326,'Real Analysis'!$B$5,2)</f>
        <v>#VALUE!</v>
      </c>
      <c r="J326" t="e">
        <f>AVERAGE2("Real Values",I326,'Real Analysis'!$B$6,2)</f>
        <v>#VALUE!</v>
      </c>
      <c r="K326" t="e">
        <f>INTEGRAL2(J326,$B326,K325,J325,$B325,'Real Analysis'!$B$19)</f>
        <v>#VALUE!</v>
      </c>
      <c r="L326" t="e">
        <f>IF(AND(B326&lt;'Real Analysis'!$B$32,B326&gt;0),INTEGRAL2(K326,$B326,L325,K325,$B325,'Real Analysis'!$B$20),0)</f>
        <v>#VALUE!</v>
      </c>
      <c r="N326">
        <f>'Real Analysis'!$B$28*'Real Input'!U326+IF('Real Input'!U326 &gt; 0,'Real Analysis'!$B$29,0)</f>
        <v>0</v>
      </c>
      <c r="O326" t="e">
        <f t="shared" si="27"/>
        <v>#VALUE!</v>
      </c>
      <c r="P326" t="e">
        <f t="shared" si="28"/>
        <v>#VALUE!</v>
      </c>
    </row>
    <row r="327" spans="1:16" x14ac:dyDescent="0.3">
      <c r="A327">
        <v>325</v>
      </c>
      <c r="B327">
        <f>'Real Input'!M327</f>
        <v>6.5528210000047693</v>
      </c>
      <c r="C327">
        <f ca="1">INDIRECT(CONCATENATE("'Real Input'!",'Real Analysis'!$B$2,A327+2))</f>
        <v>9.8553320099999997</v>
      </c>
      <c r="D327">
        <f t="shared" si="26"/>
        <v>2.0037000009324402E-2</v>
      </c>
      <c r="E327">
        <f ca="1">IF(B327&gt;0,C327-'Real Analysis'!$B$14,0)</f>
        <v>-1.1657923714274432E-3</v>
      </c>
      <c r="F327">
        <f t="shared" ca="1" si="29"/>
        <v>-3.013313574778995E-2</v>
      </c>
      <c r="G327">
        <f t="shared" ca="1" si="25"/>
        <v>-0.11435926412400567</v>
      </c>
      <c r="H327">
        <f ca="1">IF(AND(B327&gt;'Real Analysis'!$B$31,B327&lt;'Real Analysis'!$B$32),FilterInput(E327,'Real Analysis'!$B$26,'Real Analysis'!$B$27),0)</f>
        <v>0</v>
      </c>
      <c r="I327" t="e">
        <f>MEDIAN2("Real Values",H327,'Real Analysis'!$B$5,2)</f>
        <v>#VALUE!</v>
      </c>
      <c r="J327" t="e">
        <f>AVERAGE2("Real Values",I327,'Real Analysis'!$B$6,2)</f>
        <v>#VALUE!</v>
      </c>
      <c r="K327" t="e">
        <f>INTEGRAL2(J327,$B327,K326,J326,$B326,'Real Analysis'!$B$19)</f>
        <v>#VALUE!</v>
      </c>
      <c r="L327" t="e">
        <f>IF(AND(B327&lt;'Real Analysis'!$B$32,B327&gt;0),INTEGRAL2(K327,$B327,L326,K326,$B326,'Real Analysis'!$B$20),0)</f>
        <v>#VALUE!</v>
      </c>
      <c r="N327">
        <f>'Real Analysis'!$B$28*'Real Input'!U327+IF('Real Input'!U327 &gt; 0,'Real Analysis'!$B$29,0)</f>
        <v>0</v>
      </c>
      <c r="O327" t="e">
        <f t="shared" si="27"/>
        <v>#VALUE!</v>
      </c>
      <c r="P327" t="e">
        <f t="shared" si="28"/>
        <v>#VALUE!</v>
      </c>
    </row>
    <row r="328" spans="1:16" x14ac:dyDescent="0.3">
      <c r="A328">
        <v>326</v>
      </c>
      <c r="B328">
        <f>'Real Input'!M328</f>
        <v>6.5691119999974035</v>
      </c>
      <c r="C328">
        <f ca="1">INDIRECT(CONCATENATE("'Real Input'!",'Real Analysis'!$B$2,A328+2))</f>
        <v>9.853664310000001</v>
      </c>
      <c r="D328">
        <f t="shared" si="26"/>
        <v>1.629099999263417E-2</v>
      </c>
      <c r="E328">
        <f ca="1">IF(B328&gt;0,C328-'Real Analysis'!$B$14,0)</f>
        <v>-2.8334923714261606E-3</v>
      </c>
      <c r="F328">
        <f t="shared" ca="1" si="29"/>
        <v>-3.0179296171991981E-2</v>
      </c>
      <c r="G328">
        <f t="shared" ca="1" si="25"/>
        <v>-0.1148509150377213</v>
      </c>
      <c r="H328">
        <f ca="1">IF(AND(B328&gt;'Real Analysis'!$B$31,B328&lt;'Real Analysis'!$B$32),FilterInput(E328,'Real Analysis'!$B$26,'Real Analysis'!$B$27),0)</f>
        <v>0</v>
      </c>
      <c r="I328" t="e">
        <f>MEDIAN2("Real Values",H328,'Real Analysis'!$B$5,2)</f>
        <v>#VALUE!</v>
      </c>
      <c r="J328" t="e">
        <f>AVERAGE2("Real Values",I328,'Real Analysis'!$B$6,2)</f>
        <v>#VALUE!</v>
      </c>
      <c r="K328" t="e">
        <f>INTEGRAL2(J328,$B328,K327,J327,$B327,'Real Analysis'!$B$19)</f>
        <v>#VALUE!</v>
      </c>
      <c r="L328" t="e">
        <f>IF(AND(B328&lt;'Real Analysis'!$B$32,B328&gt;0),INTEGRAL2(K328,$B328,L327,K327,$B327,'Real Analysis'!$B$20),0)</f>
        <v>#VALUE!</v>
      </c>
      <c r="N328">
        <f>'Real Analysis'!$B$28*'Real Input'!U328+IF('Real Input'!U328 &gt; 0,'Real Analysis'!$B$29,0)</f>
        <v>0</v>
      </c>
      <c r="O328" t="e">
        <f t="shared" si="27"/>
        <v>#VALUE!</v>
      </c>
      <c r="P328" t="e">
        <f t="shared" si="28"/>
        <v>#VALUE!</v>
      </c>
    </row>
    <row r="329" spans="1:16" x14ac:dyDescent="0.3">
      <c r="A329">
        <v>327</v>
      </c>
      <c r="B329">
        <f>'Real Input'!M329</f>
        <v>6.5885390000039479</v>
      </c>
      <c r="C329">
        <f ca="1">INDIRECT(CONCATENATE("'Real Input'!",'Real Analysis'!$B$2,A329+2))</f>
        <v>9.8473466700000003</v>
      </c>
      <c r="D329">
        <f t="shared" si="26"/>
        <v>1.9427000006544404E-2</v>
      </c>
      <c r="E329">
        <f ca="1">IF(B329&gt;0,C329-'Real Analysis'!$B$14,0)</f>
        <v>-9.15113237142684E-3</v>
      </c>
      <c r="F329">
        <f t="shared" ca="1" si="29"/>
        <v>-3.035707522063158E-2</v>
      </c>
      <c r="G329">
        <f t="shared" ca="1" si="25"/>
        <v>-0.11544066193823117</v>
      </c>
      <c r="H329">
        <f ca="1">IF(AND(B329&gt;'Real Analysis'!$B$31,B329&lt;'Real Analysis'!$B$32),FilterInput(E329,'Real Analysis'!$B$26,'Real Analysis'!$B$27),0)</f>
        <v>0</v>
      </c>
      <c r="I329" t="e">
        <f>MEDIAN2("Real Values",H329,'Real Analysis'!$B$5,2)</f>
        <v>#VALUE!</v>
      </c>
      <c r="J329" t="e">
        <f>AVERAGE2("Real Values",I329,'Real Analysis'!$B$6,2)</f>
        <v>#VALUE!</v>
      </c>
      <c r="K329" t="e">
        <f>INTEGRAL2(J329,$B329,K328,J328,$B328,'Real Analysis'!$B$19)</f>
        <v>#VALUE!</v>
      </c>
      <c r="L329" t="e">
        <f>IF(AND(B329&lt;'Real Analysis'!$B$32,B329&gt;0),INTEGRAL2(K329,$B329,L328,K328,$B328,'Real Analysis'!$B$20),0)</f>
        <v>#VALUE!</v>
      </c>
      <c r="N329">
        <f>'Real Analysis'!$B$28*'Real Input'!U329+IF('Real Input'!U329 &gt; 0,'Real Analysis'!$B$29,0)</f>
        <v>0</v>
      </c>
      <c r="O329" t="e">
        <f t="shared" si="27"/>
        <v>#VALUE!</v>
      </c>
      <c r="P329" t="e">
        <f t="shared" si="28"/>
        <v>#VALUE!</v>
      </c>
    </row>
    <row r="330" spans="1:16" x14ac:dyDescent="0.3">
      <c r="A330">
        <v>328</v>
      </c>
      <c r="B330">
        <f>'Real Input'!M330</f>
        <v>6.6088980000058655</v>
      </c>
      <c r="C330">
        <f ca="1">INDIRECT(CONCATENATE("'Real Input'!",'Real Analysis'!$B$2,A330+2))</f>
        <v>9.8514472499999997</v>
      </c>
      <c r="D330">
        <f t="shared" si="26"/>
        <v>2.0359000001917593E-2</v>
      </c>
      <c r="E330">
        <f ca="1">IF(B330&gt;0,C330-'Real Analysis'!$B$14,0)</f>
        <v>-5.0505523714274858E-3</v>
      </c>
      <c r="F330">
        <f t="shared" ca="1" si="29"/>
        <v>-3.0459899416371158E-2</v>
      </c>
      <c r="G330">
        <f t="shared" ca="1" si="25"/>
        <v>-0.11606079503050748</v>
      </c>
      <c r="H330">
        <f ca="1">IF(AND(B330&gt;'Real Analysis'!$B$31,B330&lt;'Real Analysis'!$B$32),FilterInput(E330,'Real Analysis'!$B$26,'Real Analysis'!$B$27),0)</f>
        <v>0</v>
      </c>
      <c r="I330" t="e">
        <f>MEDIAN2("Real Values",H330,'Real Analysis'!$B$5,2)</f>
        <v>#VALUE!</v>
      </c>
      <c r="J330" t="e">
        <f>AVERAGE2("Real Values",I330,'Real Analysis'!$B$6,2)</f>
        <v>#VALUE!</v>
      </c>
      <c r="K330" t="e">
        <f>INTEGRAL2(J330,$B330,K329,J329,$B329,'Real Analysis'!$B$19)</f>
        <v>#VALUE!</v>
      </c>
      <c r="L330" t="e">
        <f>IF(AND(B330&lt;'Real Analysis'!$B$32,B330&gt;0),INTEGRAL2(K330,$B330,L329,K329,$B329,'Real Analysis'!$B$20),0)</f>
        <v>#VALUE!</v>
      </c>
      <c r="N330">
        <f>'Real Analysis'!$B$28*'Real Input'!U330+IF('Real Input'!U330 &gt; 0,'Real Analysis'!$B$29,0)</f>
        <v>0</v>
      </c>
      <c r="O330" t="e">
        <f t="shared" si="27"/>
        <v>#VALUE!</v>
      </c>
      <c r="P330" t="e">
        <f t="shared" si="28"/>
        <v>#VALUE!</v>
      </c>
    </row>
    <row r="331" spans="1:16" x14ac:dyDescent="0.3">
      <c r="A331">
        <v>329</v>
      </c>
      <c r="B331">
        <f>'Real Input'!M331</f>
        <v>6.6250469999940833</v>
      </c>
      <c r="C331">
        <f ca="1">INDIRECT(CONCATENATE("'Real Input'!",'Real Analysis'!$B$2,A331+2))</f>
        <v>9.8492694299999997</v>
      </c>
      <c r="D331">
        <f t="shared" si="26"/>
        <v>1.6148999988217838E-2</v>
      </c>
      <c r="E331">
        <f ca="1">IF(B331&gt;0,C331-'Real Analysis'!$B$14,0)</f>
        <v>-7.2283723714274828E-3</v>
      </c>
      <c r="F331">
        <f t="shared" ca="1" si="29"/>
        <v>-3.0576630401712174E-2</v>
      </c>
      <c r="G331">
        <f t="shared" ca="1" si="25"/>
        <v>-0.11655457703450448</v>
      </c>
      <c r="H331">
        <f ca="1">IF(AND(B331&gt;'Real Analysis'!$B$31,B331&lt;'Real Analysis'!$B$32),FilterInput(E331,'Real Analysis'!$B$26,'Real Analysis'!$B$27),0)</f>
        <v>0</v>
      </c>
      <c r="I331" t="e">
        <f>MEDIAN2("Real Values",H331,'Real Analysis'!$B$5,2)</f>
        <v>#VALUE!</v>
      </c>
      <c r="J331" t="e">
        <f>AVERAGE2("Real Values",I331,'Real Analysis'!$B$6,2)</f>
        <v>#VALUE!</v>
      </c>
      <c r="K331" t="e">
        <f>INTEGRAL2(J331,$B331,K330,J330,$B330,'Real Analysis'!$B$19)</f>
        <v>#VALUE!</v>
      </c>
      <c r="L331" t="e">
        <f>IF(AND(B331&lt;'Real Analysis'!$B$32,B331&gt;0),INTEGRAL2(K331,$B331,L330,K330,$B330,'Real Analysis'!$B$20),0)</f>
        <v>#VALUE!</v>
      </c>
      <c r="N331">
        <f>'Real Analysis'!$B$28*'Real Input'!U331+IF('Real Input'!U331 &gt; 0,'Real Analysis'!$B$29,0)</f>
        <v>0</v>
      </c>
      <c r="O331" t="e">
        <f t="shared" si="27"/>
        <v>#VALUE!</v>
      </c>
      <c r="P331" t="e">
        <f t="shared" si="28"/>
        <v>#VALUE!</v>
      </c>
    </row>
    <row r="332" spans="1:16" x14ac:dyDescent="0.3">
      <c r="A332">
        <v>330</v>
      </c>
      <c r="B332">
        <f>'Real Input'!M332</f>
        <v>6.6494329999986803</v>
      </c>
      <c r="C332">
        <f ca="1">INDIRECT(CONCATENATE("'Real Input'!",'Real Analysis'!$B$2,A332+2))</f>
        <v>9.8511431400000014</v>
      </c>
      <c r="D332">
        <f t="shared" si="26"/>
        <v>2.4386000004597008E-2</v>
      </c>
      <c r="E332">
        <f ca="1">IF(B332&gt;0,C332-'Real Analysis'!$B$14,0)</f>
        <v>-5.354662371425789E-3</v>
      </c>
      <c r="F332">
        <f t="shared" ca="1" si="29"/>
        <v>-3.0707209198326379E-2</v>
      </c>
      <c r="G332">
        <f t="shared" ca="1" si="25"/>
        <v>-0.11730340303815602</v>
      </c>
      <c r="H332">
        <f ca="1">IF(AND(B332&gt;'Real Analysis'!$B$31,B332&lt;'Real Analysis'!$B$32),FilterInput(E332,'Real Analysis'!$B$26,'Real Analysis'!$B$27),0)</f>
        <v>0</v>
      </c>
      <c r="I332" t="e">
        <f>MEDIAN2("Real Values",H332,'Real Analysis'!$B$5,2)</f>
        <v>#VALUE!</v>
      </c>
      <c r="J332" t="e">
        <f>AVERAGE2("Real Values",I332,'Real Analysis'!$B$6,2)</f>
        <v>#VALUE!</v>
      </c>
      <c r="K332" t="e">
        <f>INTEGRAL2(J332,$B332,K331,J331,$B331,'Real Analysis'!$B$19)</f>
        <v>#VALUE!</v>
      </c>
      <c r="L332" t="e">
        <f>IF(AND(B332&lt;'Real Analysis'!$B$32,B332&gt;0),INTEGRAL2(K332,$B332,L331,K331,$B331,'Real Analysis'!$B$20),0)</f>
        <v>#VALUE!</v>
      </c>
      <c r="N332">
        <f>'Real Analysis'!$B$28*'Real Input'!U332+IF('Real Input'!U332 &gt; 0,'Real Analysis'!$B$29,0)</f>
        <v>0</v>
      </c>
      <c r="O332" t="e">
        <f t="shared" si="27"/>
        <v>#VALUE!</v>
      </c>
      <c r="P332" t="e">
        <f t="shared" si="28"/>
        <v>#VALUE!</v>
      </c>
    </row>
    <row r="333" spans="1:16" x14ac:dyDescent="0.3">
      <c r="A333">
        <v>331</v>
      </c>
      <c r="B333">
        <f>'Real Input'!M333</f>
        <v>6.6683259999990696</v>
      </c>
      <c r="C333">
        <f ca="1">INDIRECT(CONCATENATE("'Real Input'!",'Real Analysis'!$B$2,A333+2))</f>
        <v>9.8685460799999998</v>
      </c>
      <c r="D333">
        <f t="shared" si="26"/>
        <v>1.8893000000389293E-2</v>
      </c>
      <c r="E333">
        <f ca="1">IF(B333&gt;0,C333-'Real Analysis'!$B$14,0)</f>
        <v>1.2048277628572635E-2</v>
      </c>
      <c r="F333">
        <f t="shared" ca="1" si="29"/>
        <v>-3.0479581089085064E-2</v>
      </c>
      <c r="G333">
        <f t="shared" ca="1" si="25"/>
        <v>-0.11787925376368397</v>
      </c>
      <c r="H333">
        <f ca="1">IF(AND(B333&gt;'Real Analysis'!$B$31,B333&lt;'Real Analysis'!$B$32),FilterInput(E333,'Real Analysis'!$B$26,'Real Analysis'!$B$27),0)</f>
        <v>0</v>
      </c>
      <c r="I333" t="e">
        <f>MEDIAN2("Real Values",H333,'Real Analysis'!$B$5,2)</f>
        <v>#VALUE!</v>
      </c>
      <c r="J333" t="e">
        <f>AVERAGE2("Real Values",I333,'Real Analysis'!$B$6,2)</f>
        <v>#VALUE!</v>
      </c>
      <c r="K333" t="e">
        <f>INTEGRAL2(J333,$B333,K332,J332,$B332,'Real Analysis'!$B$19)</f>
        <v>#VALUE!</v>
      </c>
      <c r="L333" t="e">
        <f>IF(AND(B333&lt;'Real Analysis'!$B$32,B333&gt;0),INTEGRAL2(K333,$B333,L332,K332,$B332,'Real Analysis'!$B$20),0)</f>
        <v>#VALUE!</v>
      </c>
      <c r="N333">
        <f>'Real Analysis'!$B$28*'Real Input'!U333+IF('Real Input'!U333 &gt; 0,'Real Analysis'!$B$29,0)</f>
        <v>0</v>
      </c>
      <c r="O333" t="e">
        <f t="shared" si="27"/>
        <v>#VALUE!</v>
      </c>
      <c r="P333" t="e">
        <f t="shared" si="28"/>
        <v>#VALUE!</v>
      </c>
    </row>
    <row r="334" spans="1:16" x14ac:dyDescent="0.3">
      <c r="A334">
        <v>332</v>
      </c>
      <c r="B334">
        <f>'Real Input'!M334</f>
        <v>6.6891250000044238</v>
      </c>
      <c r="C334">
        <f ca="1">INDIRECT(CONCATENATE("'Real Input'!",'Real Analysis'!$B$2,A334+2))</f>
        <v>9.8572351500000011</v>
      </c>
      <c r="D334">
        <f t="shared" si="26"/>
        <v>2.0799000005354173E-2</v>
      </c>
      <c r="E334">
        <f ca="1">IF(B334&gt;0,C334-'Real Analysis'!$B$14,0)</f>
        <v>7.3734762857391445E-4</v>
      </c>
      <c r="F334">
        <f t="shared" ca="1" si="29"/>
        <v>-3.0464244995754407E-2</v>
      </c>
      <c r="G334">
        <f t="shared" ca="1" si="25"/>
        <v>-0.11851287959551378</v>
      </c>
      <c r="H334">
        <f ca="1">IF(AND(B334&gt;'Real Analysis'!$B$31,B334&lt;'Real Analysis'!$B$32),FilterInput(E334,'Real Analysis'!$B$26,'Real Analysis'!$B$27),0)</f>
        <v>0</v>
      </c>
      <c r="I334" t="e">
        <f>MEDIAN2("Real Values",H334,'Real Analysis'!$B$5,2)</f>
        <v>#VALUE!</v>
      </c>
      <c r="J334" t="e">
        <f>AVERAGE2("Real Values",I334,'Real Analysis'!$B$6,2)</f>
        <v>#VALUE!</v>
      </c>
      <c r="K334" t="e">
        <f>INTEGRAL2(J334,$B334,K333,J333,$B333,'Real Analysis'!$B$19)</f>
        <v>#VALUE!</v>
      </c>
      <c r="L334" t="e">
        <f>IF(AND(B334&lt;'Real Analysis'!$B$32,B334&gt;0),INTEGRAL2(K334,$B334,L333,K333,$B333,'Real Analysis'!$B$20),0)</f>
        <v>#VALUE!</v>
      </c>
      <c r="N334">
        <f>'Real Analysis'!$B$28*'Real Input'!U334+IF('Real Input'!U334 &gt; 0,'Real Analysis'!$B$29,0)</f>
        <v>0</v>
      </c>
      <c r="O334" t="e">
        <f t="shared" si="27"/>
        <v>#VALUE!</v>
      </c>
      <c r="P334" t="e">
        <f t="shared" si="28"/>
        <v>#VALUE!</v>
      </c>
    </row>
    <row r="335" spans="1:16" x14ac:dyDescent="0.3">
      <c r="A335">
        <v>333</v>
      </c>
      <c r="B335">
        <f>'Real Input'!M335</f>
        <v>6.7096219999948516</v>
      </c>
      <c r="C335">
        <f ca="1">INDIRECT(CONCATENATE("'Real Input'!",'Real Analysis'!$B$2,A335+2))</f>
        <v>9.8341816499999997</v>
      </c>
      <c r="D335">
        <f t="shared" si="26"/>
        <v>2.0496999990427867E-2</v>
      </c>
      <c r="E335">
        <f ca="1">IF(B335&gt;0,C335-'Real Analysis'!$B$14,0)</f>
        <v>-2.2316152371427478E-2</v>
      </c>
      <c r="F335">
        <f t="shared" ca="1" si="29"/>
        <v>-3.0921659170697943E-2</v>
      </c>
      <c r="G335">
        <f t="shared" ca="1" si="25"/>
        <v>-0.11914668084323959</v>
      </c>
      <c r="H335">
        <f ca="1">IF(AND(B335&gt;'Real Analysis'!$B$31,B335&lt;'Real Analysis'!$B$32),FilterInput(E335,'Real Analysis'!$B$26,'Real Analysis'!$B$27),0)</f>
        <v>0</v>
      </c>
      <c r="I335" t="e">
        <f>MEDIAN2("Real Values",H335,'Real Analysis'!$B$5,2)</f>
        <v>#VALUE!</v>
      </c>
      <c r="J335" t="e">
        <f>AVERAGE2("Real Values",I335,'Real Analysis'!$B$6,2)</f>
        <v>#VALUE!</v>
      </c>
      <c r="K335" t="e">
        <f>INTEGRAL2(J335,$B335,K334,J334,$B334,'Real Analysis'!$B$19)</f>
        <v>#VALUE!</v>
      </c>
      <c r="L335" t="e">
        <f>IF(AND(B335&lt;'Real Analysis'!$B$32,B335&gt;0),INTEGRAL2(K335,$B335,L334,K334,$B334,'Real Analysis'!$B$20),0)</f>
        <v>#VALUE!</v>
      </c>
      <c r="N335">
        <f>'Real Analysis'!$B$28*'Real Input'!U335+IF('Real Input'!U335 &gt; 0,'Real Analysis'!$B$29,0)</f>
        <v>0</v>
      </c>
      <c r="O335" t="e">
        <f t="shared" si="27"/>
        <v>#VALUE!</v>
      </c>
      <c r="P335" t="e">
        <f t="shared" si="28"/>
        <v>#VALUE!</v>
      </c>
    </row>
    <row r="336" spans="1:16" x14ac:dyDescent="0.3">
      <c r="A336">
        <v>334</v>
      </c>
      <c r="B336">
        <f>'Real Input'!M336</f>
        <v>6.7310640000068815</v>
      </c>
      <c r="C336">
        <f ca="1">INDIRECT(CONCATENATE("'Real Input'!",'Real Analysis'!$B$2,A336+2))</f>
        <v>9.8455612500000012</v>
      </c>
      <c r="D336">
        <f t="shared" si="26"/>
        <v>2.1442000012029894E-2</v>
      </c>
      <c r="E336">
        <f ca="1">IF(B336&gt;0,C336-'Real Analysis'!$B$14,0)</f>
        <v>-1.0936552371425989E-2</v>
      </c>
      <c r="F336">
        <f t="shared" ca="1" si="29"/>
        <v>-3.1156160726777623E-2</v>
      </c>
      <c r="G336">
        <f t="shared" ca="1" si="25"/>
        <v>-0.11981473124191797</v>
      </c>
      <c r="H336">
        <f ca="1">IF(AND(B336&gt;'Real Analysis'!$B$31,B336&lt;'Real Analysis'!$B$32),FilterInput(E336,'Real Analysis'!$B$26,'Real Analysis'!$B$27),0)</f>
        <v>0</v>
      </c>
      <c r="I336" t="e">
        <f>MEDIAN2("Real Values",H336,'Real Analysis'!$B$5,2)</f>
        <v>#VALUE!</v>
      </c>
      <c r="J336" t="e">
        <f>AVERAGE2("Real Values",I336,'Real Analysis'!$B$6,2)</f>
        <v>#VALUE!</v>
      </c>
      <c r="K336" t="e">
        <f>INTEGRAL2(J336,$B336,K335,J335,$B335,'Real Analysis'!$B$19)</f>
        <v>#VALUE!</v>
      </c>
      <c r="L336" t="e">
        <f>IF(AND(B336&lt;'Real Analysis'!$B$32,B336&gt;0),INTEGRAL2(K336,$B336,L335,K335,$B335,'Real Analysis'!$B$20),0)</f>
        <v>#VALUE!</v>
      </c>
      <c r="N336">
        <f>'Real Analysis'!$B$28*'Real Input'!U336+IF('Real Input'!U336 &gt; 0,'Real Analysis'!$B$29,0)</f>
        <v>0</v>
      </c>
      <c r="O336" t="e">
        <f t="shared" si="27"/>
        <v>#VALUE!</v>
      </c>
      <c r="P336" t="e">
        <f t="shared" si="28"/>
        <v>#VALUE!</v>
      </c>
    </row>
    <row r="337" spans="1:16" x14ac:dyDescent="0.3">
      <c r="A337">
        <v>335</v>
      </c>
      <c r="B337">
        <f>'Real Input'!M337</f>
        <v>6.750530000004801</v>
      </c>
      <c r="C337">
        <f ca="1">INDIRECT(CONCATENATE("'Real Input'!",'Real Analysis'!$B$2,A337+2))</f>
        <v>9.8533994400000005</v>
      </c>
      <c r="D337">
        <f t="shared" si="26"/>
        <v>1.9465999997919425E-2</v>
      </c>
      <c r="E337">
        <f ca="1">IF(B337&gt;0,C337-'Real Analysis'!$B$14,0)</f>
        <v>-3.0983623714266884E-3</v>
      </c>
      <c r="F337">
        <f t="shared" ca="1" si="29"/>
        <v>-3.1216473448693369E-2</v>
      </c>
      <c r="G337">
        <f t="shared" ca="1" si="25"/>
        <v>-0.12042239111400528</v>
      </c>
      <c r="H337">
        <f ca="1">IF(AND(B337&gt;'Real Analysis'!$B$31,B337&lt;'Real Analysis'!$B$32),FilterInput(E337,'Real Analysis'!$B$26,'Real Analysis'!$B$27),0)</f>
        <v>0</v>
      </c>
      <c r="I337" t="e">
        <f>MEDIAN2("Real Values",H337,'Real Analysis'!$B$5,2)</f>
        <v>#VALUE!</v>
      </c>
      <c r="J337" t="e">
        <f>AVERAGE2("Real Values",I337,'Real Analysis'!$B$6,2)</f>
        <v>#VALUE!</v>
      </c>
      <c r="K337" t="e">
        <f>INTEGRAL2(J337,$B337,K336,J336,$B336,'Real Analysis'!$B$19)</f>
        <v>#VALUE!</v>
      </c>
      <c r="L337" t="e">
        <f>IF(AND(B337&lt;'Real Analysis'!$B$32,B337&gt;0),INTEGRAL2(K337,$B337,L336,K336,$B336,'Real Analysis'!$B$20),0)</f>
        <v>#VALUE!</v>
      </c>
      <c r="N337">
        <f>'Real Analysis'!$B$28*'Real Input'!U337+IF('Real Input'!U337 &gt; 0,'Real Analysis'!$B$29,0)</f>
        <v>0</v>
      </c>
      <c r="O337" t="e">
        <f t="shared" si="27"/>
        <v>#VALUE!</v>
      </c>
      <c r="P337" t="e">
        <f t="shared" si="28"/>
        <v>#VALUE!</v>
      </c>
    </row>
    <row r="338" spans="1:16" x14ac:dyDescent="0.3">
      <c r="A338">
        <v>336</v>
      </c>
      <c r="B338">
        <f>'Real Input'!M338</f>
        <v>6.7719000000070082</v>
      </c>
      <c r="C338">
        <f ca="1">INDIRECT(CONCATENATE("'Real Input'!",'Real Analysis'!$B$2,A338+2))</f>
        <v>9.8511823799999991</v>
      </c>
      <c r="D338">
        <f t="shared" si="26"/>
        <v>2.1370000002207235E-2</v>
      </c>
      <c r="E338">
        <f ca="1">IF(B338&gt;0,C338-'Real Analysis'!$B$14,0)</f>
        <v>-5.3154223714280135E-3</v>
      </c>
      <c r="F338">
        <f t="shared" ca="1" si="29"/>
        <v>-3.1330064024782521E-2</v>
      </c>
      <c r="G338">
        <f t="shared" ca="1" si="25"/>
        <v>-0.12109191458228404</v>
      </c>
      <c r="H338">
        <f ca="1">IF(AND(B338&gt;'Real Analysis'!$B$31,B338&lt;'Real Analysis'!$B$32),FilterInput(E338,'Real Analysis'!$B$26,'Real Analysis'!$B$27),0)</f>
        <v>0</v>
      </c>
      <c r="I338" t="e">
        <f>MEDIAN2("Real Values",H338,'Real Analysis'!$B$5,2)</f>
        <v>#VALUE!</v>
      </c>
      <c r="J338" t="e">
        <f>AVERAGE2("Real Values",I338,'Real Analysis'!$B$6,2)</f>
        <v>#VALUE!</v>
      </c>
      <c r="K338" t="e">
        <f>INTEGRAL2(J338,$B338,K337,J337,$B337,'Real Analysis'!$B$19)</f>
        <v>#VALUE!</v>
      </c>
      <c r="L338" t="e">
        <f>IF(AND(B338&lt;'Real Analysis'!$B$32,B338&gt;0),INTEGRAL2(K338,$B338,L337,K337,$B337,'Real Analysis'!$B$20),0)</f>
        <v>#VALUE!</v>
      </c>
      <c r="N338">
        <f>'Real Analysis'!$B$28*'Real Input'!U338+IF('Real Input'!U338 &gt; 0,'Real Analysis'!$B$29,0)</f>
        <v>0</v>
      </c>
      <c r="O338" t="e">
        <f t="shared" si="27"/>
        <v>#VALUE!</v>
      </c>
      <c r="P338" t="e">
        <f t="shared" si="28"/>
        <v>#VALUE!</v>
      </c>
    </row>
    <row r="339" spans="1:16" x14ac:dyDescent="0.3">
      <c r="A339">
        <v>337</v>
      </c>
      <c r="B339">
        <f>'Real Input'!M339</f>
        <v>6.7896100000070874</v>
      </c>
      <c r="C339">
        <f ca="1">INDIRECT(CONCATENATE("'Real Input'!",'Real Analysis'!$B$2,A339+2))</f>
        <v>9.8510646600000005</v>
      </c>
      <c r="D339">
        <f t="shared" si="26"/>
        <v>1.7710000000079162E-2</v>
      </c>
      <c r="E339">
        <f ca="1">IF(B339&gt;0,C339-'Real Analysis'!$B$14,0)</f>
        <v>-5.4331423714266691E-3</v>
      </c>
      <c r="F339">
        <f t="shared" ca="1" si="29"/>
        <v>-3.142628497618092E-2</v>
      </c>
      <c r="G339">
        <f t="shared" ca="1" si="25"/>
        <v>-0.12164847408921468</v>
      </c>
      <c r="H339">
        <f ca="1">IF(AND(B339&gt;'Real Analysis'!$B$31,B339&lt;'Real Analysis'!$B$32),FilterInput(E339,'Real Analysis'!$B$26,'Real Analysis'!$B$27),0)</f>
        <v>0</v>
      </c>
      <c r="I339" t="e">
        <f>MEDIAN2("Real Values",H339,'Real Analysis'!$B$5,2)</f>
        <v>#VALUE!</v>
      </c>
      <c r="J339" t="e">
        <f>AVERAGE2("Real Values",I339,'Real Analysis'!$B$6,2)</f>
        <v>#VALUE!</v>
      </c>
      <c r="K339" t="e">
        <f>INTEGRAL2(J339,$B339,K338,J338,$B338,'Real Analysis'!$B$19)</f>
        <v>#VALUE!</v>
      </c>
      <c r="L339" t="e">
        <f>IF(AND(B339&lt;'Real Analysis'!$B$32,B339&gt;0),INTEGRAL2(K339,$B339,L338,K338,$B338,'Real Analysis'!$B$20),0)</f>
        <v>#VALUE!</v>
      </c>
      <c r="N339">
        <f>'Real Analysis'!$B$28*'Real Input'!U339+IF('Real Input'!U339 &gt; 0,'Real Analysis'!$B$29,0)</f>
        <v>0</v>
      </c>
      <c r="O339" t="e">
        <f t="shared" si="27"/>
        <v>#VALUE!</v>
      </c>
      <c r="P339" t="e">
        <f t="shared" si="28"/>
        <v>#VALUE!</v>
      </c>
    </row>
    <row r="340" spans="1:16" x14ac:dyDescent="0.3">
      <c r="A340">
        <v>338</v>
      </c>
      <c r="B340">
        <f>'Real Input'!M340</f>
        <v>6.8107880000025034</v>
      </c>
      <c r="C340">
        <f ca="1">INDIRECT(CONCATENATE("'Real Input'!",'Real Analysis'!$B$2,A340+2))</f>
        <v>9.8541744300000005</v>
      </c>
      <c r="D340">
        <f t="shared" si="26"/>
        <v>2.117799999541603E-2</v>
      </c>
      <c r="E340">
        <f ca="1">IF(B340&gt;0,C340-'Real Analysis'!$B$14,0)</f>
        <v>-2.3233723714266574E-3</v>
      </c>
      <c r="F340">
        <f t="shared" ca="1" si="29"/>
        <v>-3.1475489356252342E-2</v>
      </c>
      <c r="G340">
        <f t="shared" ca="1" si="25"/>
        <v>-0.12231506200265711</v>
      </c>
      <c r="H340">
        <f ca="1">IF(AND(B340&gt;'Real Analysis'!$B$31,B340&lt;'Real Analysis'!$B$32),FilterInput(E340,'Real Analysis'!$B$26,'Real Analysis'!$B$27),0)</f>
        <v>0</v>
      </c>
      <c r="I340" t="e">
        <f>MEDIAN2("Real Values",H340,'Real Analysis'!$B$5,2)</f>
        <v>#VALUE!</v>
      </c>
      <c r="J340" t="e">
        <f>AVERAGE2("Real Values",I340,'Real Analysis'!$B$6,2)</f>
        <v>#VALUE!</v>
      </c>
      <c r="K340" t="e">
        <f>INTEGRAL2(J340,$B340,K339,J339,$B339,'Real Analysis'!$B$19)</f>
        <v>#VALUE!</v>
      </c>
      <c r="L340" t="e">
        <f>IF(AND(B340&lt;'Real Analysis'!$B$32,B340&gt;0),INTEGRAL2(K340,$B340,L339,K339,$B339,'Real Analysis'!$B$20),0)</f>
        <v>#VALUE!</v>
      </c>
      <c r="N340">
        <f>'Real Analysis'!$B$28*'Real Input'!U340+IF('Real Input'!U340 &gt; 0,'Real Analysis'!$B$29,0)</f>
        <v>0</v>
      </c>
      <c r="O340" t="e">
        <f t="shared" si="27"/>
        <v>#VALUE!</v>
      </c>
      <c r="P340" t="e">
        <f t="shared" si="28"/>
        <v>#VALUE!</v>
      </c>
    </row>
    <row r="341" spans="1:16" x14ac:dyDescent="0.3">
      <c r="A341">
        <v>339</v>
      </c>
      <c r="B341">
        <f>'Real Input'!M341</f>
        <v>6.8291630000021541</v>
      </c>
      <c r="C341">
        <f ca="1">INDIRECT(CONCATENATE("'Real Input'!",'Real Analysis'!$B$2,A341+2))</f>
        <v>9.8535564000000004</v>
      </c>
      <c r="D341">
        <f t="shared" si="26"/>
        <v>1.8374999999650754E-2</v>
      </c>
      <c r="E341">
        <f ca="1">IF(B341&gt;0,C341-'Real Analysis'!$B$14,0)</f>
        <v>-2.9414023714267046E-3</v>
      </c>
      <c r="F341">
        <f t="shared" ca="1" si="29"/>
        <v>-3.1529537624826284E-2</v>
      </c>
      <c r="G341">
        <f t="shared" ca="1" si="25"/>
        <v>-0.12289441725650228</v>
      </c>
      <c r="H341">
        <f ca="1">IF(AND(B341&gt;'Real Analysis'!$B$31,B341&lt;'Real Analysis'!$B$32),FilterInput(E341,'Real Analysis'!$B$26,'Real Analysis'!$B$27),0)</f>
        <v>0</v>
      </c>
      <c r="I341" t="e">
        <f>MEDIAN2("Real Values",H341,'Real Analysis'!$B$5,2)</f>
        <v>#VALUE!</v>
      </c>
      <c r="J341" t="e">
        <f>AVERAGE2("Real Values",I341,'Real Analysis'!$B$6,2)</f>
        <v>#VALUE!</v>
      </c>
      <c r="K341" t="e">
        <f>INTEGRAL2(J341,$B341,K340,J340,$B340,'Real Analysis'!$B$19)</f>
        <v>#VALUE!</v>
      </c>
      <c r="L341" t="e">
        <f>IF(AND(B341&lt;'Real Analysis'!$B$32,B341&gt;0),INTEGRAL2(K341,$B341,L340,K340,$B340,'Real Analysis'!$B$20),0)</f>
        <v>#VALUE!</v>
      </c>
      <c r="N341">
        <f>'Real Analysis'!$B$28*'Real Input'!U341+IF('Real Input'!U341 &gt; 0,'Real Analysis'!$B$29,0)</f>
        <v>0</v>
      </c>
      <c r="O341" t="e">
        <f t="shared" si="27"/>
        <v>#VALUE!</v>
      </c>
      <c r="P341" t="e">
        <f t="shared" si="28"/>
        <v>#VALUE!</v>
      </c>
    </row>
    <row r="342" spans="1:16" x14ac:dyDescent="0.3">
      <c r="A342">
        <v>340</v>
      </c>
      <c r="B342">
        <f>'Real Input'!M342</f>
        <v>6.8509550000017043</v>
      </c>
      <c r="C342">
        <f ca="1">INDIRECT(CONCATENATE("'Real Input'!",'Real Analysis'!$B$2,A342+2))</f>
        <v>9.8535171600000009</v>
      </c>
      <c r="D342">
        <f t="shared" si="26"/>
        <v>2.1791999999550171E-2</v>
      </c>
      <c r="E342">
        <f ca="1">IF(B342&gt;0,C342-'Real Analysis'!$B$14,0)</f>
        <v>-2.9806423714262564E-3</v>
      </c>
      <c r="F342">
        <f t="shared" ca="1" si="29"/>
        <v>-3.1594491783383062E-2</v>
      </c>
      <c r="G342">
        <f t="shared" ca="1" si="25"/>
        <v>-0.12358292442143155</v>
      </c>
      <c r="H342">
        <f ca="1">IF(AND(B342&gt;'Real Analysis'!$B$31,B342&lt;'Real Analysis'!$B$32),FilterInput(E342,'Real Analysis'!$B$26,'Real Analysis'!$B$27),0)</f>
        <v>0</v>
      </c>
      <c r="I342" t="e">
        <f>MEDIAN2("Real Values",H342,'Real Analysis'!$B$5,2)</f>
        <v>#VALUE!</v>
      </c>
      <c r="J342" t="e">
        <f>AVERAGE2("Real Values",I342,'Real Analysis'!$B$6,2)</f>
        <v>#VALUE!</v>
      </c>
      <c r="K342" t="e">
        <f>INTEGRAL2(J342,$B342,K341,J341,$B341,'Real Analysis'!$B$19)</f>
        <v>#VALUE!</v>
      </c>
      <c r="L342" t="e">
        <f>IF(AND(B342&lt;'Real Analysis'!$B$32,B342&gt;0),INTEGRAL2(K342,$B342,L341,K341,$B341,'Real Analysis'!$B$20),0)</f>
        <v>#VALUE!</v>
      </c>
      <c r="N342">
        <f>'Real Analysis'!$B$28*'Real Input'!U342+IF('Real Input'!U342 &gt; 0,'Real Analysis'!$B$29,0)</f>
        <v>0</v>
      </c>
      <c r="O342" t="e">
        <f t="shared" si="27"/>
        <v>#VALUE!</v>
      </c>
      <c r="P342" t="e">
        <f t="shared" si="28"/>
        <v>#VALUE!</v>
      </c>
    </row>
    <row r="343" spans="1:16" x14ac:dyDescent="0.3">
      <c r="A343">
        <v>341</v>
      </c>
      <c r="B343">
        <f>'Real Input'!M343</f>
        <v>6.8708230000047479</v>
      </c>
      <c r="C343">
        <f ca="1">INDIRECT(CONCATENATE("'Real Input'!",'Real Analysis'!$B$2,A343+2))</f>
        <v>9.8535367800000007</v>
      </c>
      <c r="D343">
        <f t="shared" si="26"/>
        <v>1.9868000003043562E-2</v>
      </c>
      <c r="E343">
        <f ca="1">IF(B343&gt;0,C343-'Real Analysis'!$B$14,0)</f>
        <v>-2.9610223714264805E-3</v>
      </c>
      <c r="F343">
        <f t="shared" ca="1" si="29"/>
        <v>-3.1653321375867578E-2</v>
      </c>
      <c r="G343">
        <f t="shared" ca="1" si="25"/>
        <v>-0.12421181261062363</v>
      </c>
      <c r="H343">
        <f ca="1">IF(AND(B343&gt;'Real Analysis'!$B$31,B343&lt;'Real Analysis'!$B$32),FilterInput(E343,'Real Analysis'!$B$26,'Real Analysis'!$B$27),0)</f>
        <v>0</v>
      </c>
      <c r="I343" t="e">
        <f>MEDIAN2("Real Values",H343,'Real Analysis'!$B$5,2)</f>
        <v>#VALUE!</v>
      </c>
      <c r="J343" t="e">
        <f>AVERAGE2("Real Values",I343,'Real Analysis'!$B$6,2)</f>
        <v>#VALUE!</v>
      </c>
      <c r="K343" t="e">
        <f>INTEGRAL2(J343,$B343,K342,J342,$B342,'Real Analysis'!$B$19)</f>
        <v>#VALUE!</v>
      </c>
      <c r="L343" t="e">
        <f>IF(AND(B343&lt;'Real Analysis'!$B$32,B343&gt;0),INTEGRAL2(K343,$B343,L342,K342,$B342,'Real Analysis'!$B$20),0)</f>
        <v>#VALUE!</v>
      </c>
      <c r="N343">
        <f>'Real Analysis'!$B$28*'Real Input'!U343+IF('Real Input'!U343 &gt; 0,'Real Analysis'!$B$29,0)</f>
        <v>0</v>
      </c>
      <c r="O343" t="e">
        <f t="shared" si="27"/>
        <v>#VALUE!</v>
      </c>
      <c r="P343" t="e">
        <f t="shared" si="28"/>
        <v>#VALUE!</v>
      </c>
    </row>
    <row r="344" spans="1:16" x14ac:dyDescent="0.3">
      <c r="A344">
        <v>342</v>
      </c>
      <c r="B344">
        <f>'Real Input'!M344</f>
        <v>6.8905999999988126</v>
      </c>
      <c r="C344">
        <f ca="1">INDIRECT(CONCATENATE("'Real Input'!",'Real Analysis'!$B$2,A344+2))</f>
        <v>9.8529285600000005</v>
      </c>
      <c r="D344">
        <f t="shared" si="26"/>
        <v>1.9776999994064681E-2</v>
      </c>
      <c r="E344">
        <f ca="1">IF(B344&gt;0,C344-'Real Analysis'!$B$14,0)</f>
        <v>-3.5692423714266397E-3</v>
      </c>
      <c r="F344">
        <f t="shared" ca="1" si="29"/>
        <v>-3.1723910282226098E-2</v>
      </c>
      <c r="G344">
        <f t="shared" ca="1" si="25"/>
        <v>-0.12483921638408692</v>
      </c>
      <c r="H344">
        <f ca="1">IF(AND(B344&gt;'Real Analysis'!$B$31,B344&lt;'Real Analysis'!$B$32),FilterInput(E344,'Real Analysis'!$B$26,'Real Analysis'!$B$27),0)</f>
        <v>0</v>
      </c>
      <c r="I344" t="e">
        <f>MEDIAN2("Real Values",H344,'Real Analysis'!$B$5,2)</f>
        <v>#VALUE!</v>
      </c>
      <c r="J344" t="e">
        <f>AVERAGE2("Real Values",I344,'Real Analysis'!$B$6,2)</f>
        <v>#VALUE!</v>
      </c>
      <c r="K344" t="e">
        <f>INTEGRAL2(J344,$B344,K343,J343,$B343,'Real Analysis'!$B$19)</f>
        <v>#VALUE!</v>
      </c>
      <c r="L344" t="e">
        <f>IF(AND(B344&lt;'Real Analysis'!$B$32,B344&gt;0),INTEGRAL2(K344,$B344,L343,K343,$B343,'Real Analysis'!$B$20),0)</f>
        <v>#VALUE!</v>
      </c>
      <c r="N344">
        <f>'Real Analysis'!$B$28*'Real Input'!U344+IF('Real Input'!U344 &gt; 0,'Real Analysis'!$B$29,0)</f>
        <v>0</v>
      </c>
      <c r="O344" t="e">
        <f t="shared" si="27"/>
        <v>#VALUE!</v>
      </c>
      <c r="P344" t="e">
        <f t="shared" si="28"/>
        <v>#VALUE!</v>
      </c>
    </row>
    <row r="345" spans="1:16" x14ac:dyDescent="0.3">
      <c r="A345">
        <v>343</v>
      </c>
      <c r="B345">
        <f>'Real Input'!M345</f>
        <v>6.9100480000051903</v>
      </c>
      <c r="C345">
        <f ca="1">INDIRECT(CONCATENATE("'Real Input'!",'Real Analysis'!$B$2,A345+2))</f>
        <v>9.8527225500000011</v>
      </c>
      <c r="D345">
        <f t="shared" si="26"/>
        <v>1.9448000006377697E-2</v>
      </c>
      <c r="E345">
        <f ca="1">IF(B345&gt;0,C345-'Real Analysis'!$B$14,0)</f>
        <v>-3.7752523714260633E-3</v>
      </c>
      <c r="F345">
        <f t="shared" ca="1" si="29"/>
        <v>-3.1797331390369672E-2</v>
      </c>
      <c r="G345">
        <f t="shared" ca="1" si="25"/>
        <v>-0.12545761088516963</v>
      </c>
      <c r="H345">
        <f ca="1">IF(AND(B345&gt;'Real Analysis'!$B$31,B345&lt;'Real Analysis'!$B$32),FilterInput(E345,'Real Analysis'!$B$26,'Real Analysis'!$B$27),0)</f>
        <v>0</v>
      </c>
      <c r="I345" t="e">
        <f>MEDIAN2("Real Values",H345,'Real Analysis'!$B$5,2)</f>
        <v>#VALUE!</v>
      </c>
      <c r="J345" t="e">
        <f>AVERAGE2("Real Values",I345,'Real Analysis'!$B$6,2)</f>
        <v>#VALUE!</v>
      </c>
      <c r="K345" t="e">
        <f>INTEGRAL2(J345,$B345,K344,J344,$B344,'Real Analysis'!$B$19)</f>
        <v>#VALUE!</v>
      </c>
      <c r="L345" t="e">
        <f>IF(AND(B345&lt;'Real Analysis'!$B$32,B345&gt;0),INTEGRAL2(K345,$B345,L344,K344,$B344,'Real Analysis'!$B$20),0)</f>
        <v>#VALUE!</v>
      </c>
      <c r="N345">
        <f>'Real Analysis'!$B$28*'Real Input'!U345+IF('Real Input'!U345 &gt; 0,'Real Analysis'!$B$29,0)</f>
        <v>0</v>
      </c>
      <c r="O345" t="e">
        <f t="shared" si="27"/>
        <v>#VALUE!</v>
      </c>
      <c r="P345" t="e">
        <f t="shared" si="28"/>
        <v>#VALUE!</v>
      </c>
    </row>
    <row r="346" spans="1:16" x14ac:dyDescent="0.3">
      <c r="A346">
        <v>344</v>
      </c>
      <c r="B346">
        <f>'Real Input'!M346</f>
        <v>6.9326330000039889</v>
      </c>
      <c r="C346">
        <f ca="1">INDIRECT(CONCATENATE("'Real Input'!",'Real Analysis'!$B$2,A346+2))</f>
        <v>9.8533602000000009</v>
      </c>
      <c r="D346">
        <f t="shared" si="26"/>
        <v>2.2584999998798594E-2</v>
      </c>
      <c r="E346">
        <f ca="1">IF(B346&gt;0,C346-'Real Analysis'!$B$14,0)</f>
        <v>-3.1376023714262402E-3</v>
      </c>
      <c r="F346">
        <f t="shared" ca="1" si="29"/>
        <v>-3.1868194139924567E-2</v>
      </c>
      <c r="G346">
        <f t="shared" ca="1" si="25"/>
        <v>-0.12617735404978153</v>
      </c>
      <c r="H346">
        <f ca="1">IF(AND(B346&gt;'Real Analysis'!$B$31,B346&lt;'Real Analysis'!$B$32),FilterInput(E346,'Real Analysis'!$B$26,'Real Analysis'!$B$27),0)</f>
        <v>0</v>
      </c>
      <c r="I346" t="e">
        <f>MEDIAN2("Real Values",H346,'Real Analysis'!$B$5,2)</f>
        <v>#VALUE!</v>
      </c>
      <c r="J346" t="e">
        <f>AVERAGE2("Real Values",I346,'Real Analysis'!$B$6,2)</f>
        <v>#VALUE!</v>
      </c>
      <c r="K346" t="e">
        <f>INTEGRAL2(J346,$B346,K345,J345,$B345,'Real Analysis'!$B$19)</f>
        <v>#VALUE!</v>
      </c>
      <c r="L346" t="e">
        <f>IF(AND(B346&lt;'Real Analysis'!$B$32,B346&gt;0),INTEGRAL2(K346,$B346,L345,K345,$B345,'Real Analysis'!$B$20),0)</f>
        <v>#VALUE!</v>
      </c>
      <c r="N346">
        <f>'Real Analysis'!$B$28*'Real Input'!U346+IF('Real Input'!U346 &gt; 0,'Real Analysis'!$B$29,0)</f>
        <v>0</v>
      </c>
      <c r="O346" t="e">
        <f t="shared" si="27"/>
        <v>#VALUE!</v>
      </c>
      <c r="P346" t="e">
        <f t="shared" si="28"/>
        <v>#VALUE!</v>
      </c>
    </row>
    <row r="347" spans="1:16" x14ac:dyDescent="0.3">
      <c r="A347">
        <v>345</v>
      </c>
      <c r="B347">
        <f>'Real Input'!M347</f>
        <v>6.9449889999959851</v>
      </c>
      <c r="C347">
        <f ca="1">INDIRECT(CONCATENATE("'Real Input'!",'Real Analysis'!$B$2,A347+2))</f>
        <v>9.8537624100000016</v>
      </c>
      <c r="D347">
        <f t="shared" si="26"/>
        <v>1.2355999991996214E-2</v>
      </c>
      <c r="E347">
        <f ca="1">IF(B347&gt;0,C347-'Real Analysis'!$B$14,0)</f>
        <v>-2.7353923714255046E-3</v>
      </c>
      <c r="F347">
        <f t="shared" ca="1" si="29"/>
        <v>-3.1901992648044004E-2</v>
      </c>
      <c r="G347">
        <f t="shared" ca="1" si="25"/>
        <v>-0.12657153507068541</v>
      </c>
      <c r="H347">
        <f ca="1">IF(AND(B347&gt;'Real Analysis'!$B$31,B347&lt;'Real Analysis'!$B$32),FilterInput(E347,'Real Analysis'!$B$26,'Real Analysis'!$B$27),0)</f>
        <v>0</v>
      </c>
      <c r="I347" t="e">
        <f>MEDIAN2("Real Values",H347,'Real Analysis'!$B$5,2)</f>
        <v>#VALUE!</v>
      </c>
      <c r="J347" t="e">
        <f>AVERAGE2("Real Values",I347,'Real Analysis'!$B$6,2)</f>
        <v>#VALUE!</v>
      </c>
      <c r="K347" t="e">
        <f>INTEGRAL2(J347,$B347,K346,J346,$B346,'Real Analysis'!$B$19)</f>
        <v>#VALUE!</v>
      </c>
      <c r="L347" t="e">
        <f>IF(AND(B347&lt;'Real Analysis'!$B$32,B347&gt;0),INTEGRAL2(K347,$B347,L346,K346,$B346,'Real Analysis'!$B$20),0)</f>
        <v>#VALUE!</v>
      </c>
      <c r="N347">
        <f>'Real Analysis'!$B$28*'Real Input'!U347+IF('Real Input'!U347 &gt; 0,'Real Analysis'!$B$29,0)</f>
        <v>0</v>
      </c>
      <c r="O347" t="e">
        <f t="shared" si="27"/>
        <v>#VALUE!</v>
      </c>
      <c r="P347" t="e">
        <f t="shared" si="28"/>
        <v>#VALUE!</v>
      </c>
    </row>
    <row r="348" spans="1:16" x14ac:dyDescent="0.3">
      <c r="A348">
        <v>346</v>
      </c>
      <c r="B348">
        <f>'Real Input'!M348</f>
        <v>6.9655269999930169</v>
      </c>
      <c r="C348">
        <f ca="1">INDIRECT(CONCATENATE("'Real Input'!",'Real Analysis'!$B$2,A348+2))</f>
        <v>9.8883426600000011</v>
      </c>
      <c r="D348">
        <f t="shared" si="26"/>
        <v>2.0537999997031875E-2</v>
      </c>
      <c r="E348">
        <f ca="1">IF(B348&gt;0,C348-'Real Analysis'!$B$14,0)</f>
        <v>3.1844857628573919E-2</v>
      </c>
      <c r="F348">
        <f t="shared" ca="1" si="29"/>
        <v>-3.1247962962162874E-2</v>
      </c>
      <c r="G348">
        <f t="shared" ca="1" si="25"/>
        <v>-0.12721330573390957</v>
      </c>
      <c r="H348">
        <f ca="1">IF(AND(B348&gt;'Real Analysis'!$B$31,B348&lt;'Real Analysis'!$B$32),FilterInput(E348,'Real Analysis'!$B$26,'Real Analysis'!$B$27),0)</f>
        <v>0</v>
      </c>
      <c r="I348" t="e">
        <f>MEDIAN2("Real Values",H348,'Real Analysis'!$B$5,2)</f>
        <v>#VALUE!</v>
      </c>
      <c r="J348" t="e">
        <f>AVERAGE2("Real Values",I348,'Real Analysis'!$B$6,2)</f>
        <v>#VALUE!</v>
      </c>
      <c r="K348" t="e">
        <f>INTEGRAL2(J348,$B348,K347,J347,$B347,'Real Analysis'!$B$19)</f>
        <v>#VALUE!</v>
      </c>
      <c r="L348" t="e">
        <f>IF(AND(B348&lt;'Real Analysis'!$B$32,B348&gt;0),INTEGRAL2(K348,$B348,L347,K347,$B347,'Real Analysis'!$B$20),0)</f>
        <v>#VALUE!</v>
      </c>
      <c r="N348">
        <f>'Real Analysis'!$B$28*'Real Input'!U348+IF('Real Input'!U348 &gt; 0,'Real Analysis'!$B$29,0)</f>
        <v>0</v>
      </c>
      <c r="O348" t="e">
        <f t="shared" si="27"/>
        <v>#VALUE!</v>
      </c>
      <c r="P348" t="e">
        <f t="shared" si="28"/>
        <v>#VALUE!</v>
      </c>
    </row>
    <row r="349" spans="1:16" x14ac:dyDescent="0.3">
      <c r="A349">
        <v>347</v>
      </c>
      <c r="B349">
        <f>'Real Input'!M349</f>
        <v>6.9883089999930235</v>
      </c>
      <c r="C349">
        <f ca="1">INDIRECT(CONCATENATE("'Real Input'!",'Real Analysis'!$B$2,A349+2))</f>
        <v>9.9259836299999993</v>
      </c>
      <c r="D349">
        <f t="shared" si="26"/>
        <v>2.2782000000006519E-2</v>
      </c>
      <c r="E349">
        <f ca="1">IF(B349&gt;0,C349-'Real Analysis'!$B$14,0)</f>
        <v>6.9485827628572139E-2</v>
      </c>
      <c r="F349">
        <f t="shared" ca="1" si="29"/>
        <v>-2.966493683712829E-2</v>
      </c>
      <c r="G349">
        <f t="shared" ca="1" si="25"/>
        <v>-0.12788913232493321</v>
      </c>
      <c r="H349">
        <f ca="1">IF(AND(B349&gt;'Real Analysis'!$B$31,B349&lt;'Real Analysis'!$B$32),FilterInput(E349,'Real Analysis'!$B$26,'Real Analysis'!$B$27),0)</f>
        <v>0</v>
      </c>
      <c r="I349" t="e">
        <f>MEDIAN2("Real Values",H349,'Real Analysis'!$B$5,2)</f>
        <v>#VALUE!</v>
      </c>
      <c r="J349" t="e">
        <f>AVERAGE2("Real Values",I349,'Real Analysis'!$B$6,2)</f>
        <v>#VALUE!</v>
      </c>
      <c r="K349" t="e">
        <f>INTEGRAL2(J349,$B349,K348,J348,$B348,'Real Analysis'!$B$19)</f>
        <v>#VALUE!</v>
      </c>
      <c r="L349" t="e">
        <f>IF(AND(B349&lt;'Real Analysis'!$B$32,B349&gt;0),INTEGRAL2(K349,$B349,L348,K348,$B348,'Real Analysis'!$B$20),0)</f>
        <v>#VALUE!</v>
      </c>
      <c r="N349">
        <f>'Real Analysis'!$B$28*'Real Input'!U349+IF('Real Input'!U349 &gt; 0,'Real Analysis'!$B$29,0)</f>
        <v>0</v>
      </c>
      <c r="O349" t="e">
        <f t="shared" si="27"/>
        <v>#VALUE!</v>
      </c>
      <c r="P349" t="e">
        <f t="shared" si="28"/>
        <v>#VALUE!</v>
      </c>
    </row>
    <row r="350" spans="1:16" x14ac:dyDescent="0.3">
      <c r="A350">
        <v>348</v>
      </c>
      <c r="B350">
        <f>'Real Input'!M350</f>
        <v>7.0150399999984074</v>
      </c>
      <c r="C350">
        <f ca="1">INDIRECT(CONCATENATE("'Real Input'!",'Real Analysis'!$B$2,A350+2))</f>
        <v>9.9351756000000009</v>
      </c>
      <c r="D350">
        <f t="shared" si="26"/>
        <v>2.6731000005383976E-2</v>
      </c>
      <c r="E350">
        <f ca="1">IF(B350&gt;0,C350-'Real Analysis'!$B$14,0)</f>
        <v>7.8677797628573742E-2</v>
      </c>
      <c r="F350">
        <f t="shared" ca="1" si="29"/>
        <v>-2.7561800628295285E-2</v>
      </c>
      <c r="G350">
        <f t="shared" ca="1" si="25"/>
        <v>-0.12862588681767656</v>
      </c>
      <c r="H350">
        <f ca="1">IF(AND(B350&gt;'Real Analysis'!$B$31,B350&lt;'Real Analysis'!$B$32),FilterInput(E350,'Real Analysis'!$B$26,'Real Analysis'!$B$27),0)</f>
        <v>0</v>
      </c>
      <c r="I350" t="e">
        <f>MEDIAN2("Real Values",H350,'Real Analysis'!$B$5,2)</f>
        <v>#VALUE!</v>
      </c>
      <c r="J350" t="e">
        <f>AVERAGE2("Real Values",I350,'Real Analysis'!$B$6,2)</f>
        <v>#VALUE!</v>
      </c>
      <c r="K350" t="e">
        <f>INTEGRAL2(J350,$B350,K349,J349,$B349,'Real Analysis'!$B$19)</f>
        <v>#VALUE!</v>
      </c>
      <c r="L350" t="e">
        <f>IF(AND(B350&lt;'Real Analysis'!$B$32,B350&gt;0),INTEGRAL2(K350,$B350,L349,K349,$B349,'Real Analysis'!$B$20),0)</f>
        <v>#VALUE!</v>
      </c>
      <c r="N350">
        <f>'Real Analysis'!$B$28*'Real Input'!U350+IF('Real Input'!U350 &gt; 0,'Real Analysis'!$B$29,0)</f>
        <v>0</v>
      </c>
      <c r="O350" t="e">
        <f t="shared" si="27"/>
        <v>#VALUE!</v>
      </c>
      <c r="P350" t="e">
        <f t="shared" si="28"/>
        <v>#VALUE!</v>
      </c>
    </row>
    <row r="351" spans="1:16" x14ac:dyDescent="0.3">
      <c r="A351">
        <v>349</v>
      </c>
      <c r="B351">
        <f>'Real Input'!M351</f>
        <v>7.0287379999936093</v>
      </c>
      <c r="C351">
        <f ca="1">INDIRECT(CONCATENATE("'Real Input'!",'Real Analysis'!$B$2,A351+2))</f>
        <v>9.9287794800000011</v>
      </c>
      <c r="D351">
        <f t="shared" si="26"/>
        <v>1.3697999995201826E-2</v>
      </c>
      <c r="E351">
        <f ca="1">IF(B351&gt;0,C351-'Real Analysis'!$B$14,0)</f>
        <v>7.2281677628573959E-2</v>
      </c>
      <c r="F351">
        <f t="shared" ca="1" si="29"/>
        <v>-2.6571686208485899E-2</v>
      </c>
      <c r="G351">
        <f t="shared" ca="1" si="25"/>
        <v>-0.12898986577523291</v>
      </c>
      <c r="H351">
        <f ca="1">IF(AND(B351&gt;'Real Analysis'!$B$31,B351&lt;'Real Analysis'!$B$32),FilterInput(E351,'Real Analysis'!$B$26,'Real Analysis'!$B$27),0)</f>
        <v>0</v>
      </c>
      <c r="I351" t="e">
        <f>MEDIAN2("Real Values",H351,'Real Analysis'!$B$5,2)</f>
        <v>#VALUE!</v>
      </c>
      <c r="J351" t="e">
        <f>AVERAGE2("Real Values",I351,'Real Analysis'!$B$6,2)</f>
        <v>#VALUE!</v>
      </c>
      <c r="K351" t="e">
        <f>INTEGRAL2(J351,$B351,K350,J350,$B350,'Real Analysis'!$B$19)</f>
        <v>#VALUE!</v>
      </c>
      <c r="L351" t="e">
        <f>IF(AND(B351&lt;'Real Analysis'!$B$32,B351&gt;0),INTEGRAL2(K351,$B351,L350,K350,$B350,'Real Analysis'!$B$20),0)</f>
        <v>#VALUE!</v>
      </c>
      <c r="N351">
        <f>'Real Analysis'!$B$28*'Real Input'!U351+IF('Real Input'!U351 &gt; 0,'Real Analysis'!$B$29,0)</f>
        <v>0</v>
      </c>
      <c r="O351" t="e">
        <f t="shared" si="27"/>
        <v>#VALUE!</v>
      </c>
      <c r="P351" t="e">
        <f t="shared" si="28"/>
        <v>#VALUE!</v>
      </c>
    </row>
    <row r="352" spans="1:16" x14ac:dyDescent="0.3">
      <c r="A352">
        <v>350</v>
      </c>
      <c r="B352">
        <f>'Real Input'!M352</f>
        <v>7.0497789999935776</v>
      </c>
      <c r="C352">
        <f ca="1">INDIRECT(CONCATENATE("'Real Input'!",'Real Analysis'!$B$2,A352+2))</f>
        <v>9.843618870000002</v>
      </c>
      <c r="D352">
        <f t="shared" si="26"/>
        <v>2.1040999999968335E-2</v>
      </c>
      <c r="E352">
        <f ca="1">IF(B352&gt;0,C352-'Real Analysis'!$B$14,0)</f>
        <v>-1.2878932371425122E-2</v>
      </c>
      <c r="F352">
        <f t="shared" ca="1" si="29"/>
        <v>-2.6842671824512648E-2</v>
      </c>
      <c r="G352">
        <f t="shared" ca="1" si="25"/>
        <v>-0.12955466243309163</v>
      </c>
      <c r="H352">
        <f ca="1">IF(AND(B352&gt;'Real Analysis'!$B$31,B352&lt;'Real Analysis'!$B$32),FilterInput(E352,'Real Analysis'!$B$26,'Real Analysis'!$B$27),0)</f>
        <v>0</v>
      </c>
      <c r="I352" t="e">
        <f>MEDIAN2("Real Values",H352,'Real Analysis'!$B$5,2)</f>
        <v>#VALUE!</v>
      </c>
      <c r="J352" t="e">
        <f>AVERAGE2("Real Values",I352,'Real Analysis'!$B$6,2)</f>
        <v>#VALUE!</v>
      </c>
      <c r="K352" t="e">
        <f>INTEGRAL2(J352,$B352,K351,J351,$B351,'Real Analysis'!$B$19)</f>
        <v>#VALUE!</v>
      </c>
      <c r="L352" t="e">
        <f>IF(AND(B352&lt;'Real Analysis'!$B$32,B352&gt;0),INTEGRAL2(K352,$B352,L351,K351,$B351,'Real Analysis'!$B$20),0)</f>
        <v>#VALUE!</v>
      </c>
      <c r="N352">
        <f>'Real Analysis'!$B$28*'Real Input'!U352+IF('Real Input'!U352 &gt; 0,'Real Analysis'!$B$29,0)</f>
        <v>0</v>
      </c>
      <c r="O352" t="e">
        <f t="shared" si="27"/>
        <v>#VALUE!</v>
      </c>
      <c r="P352" t="e">
        <f t="shared" si="28"/>
        <v>#VALUE!</v>
      </c>
    </row>
    <row r="353" spans="1:16" x14ac:dyDescent="0.3">
      <c r="A353">
        <v>351</v>
      </c>
      <c r="B353">
        <f>'Real Input'!M353</f>
        <v>7.0709510000015143</v>
      </c>
      <c r="C353">
        <f ca="1">INDIRECT(CONCATENATE("'Real Input'!",'Real Analysis'!$B$2,A353+2))</f>
        <v>9.8542921500000009</v>
      </c>
      <c r="D353">
        <f t="shared" si="26"/>
        <v>2.1172000007936731E-2</v>
      </c>
      <c r="E353">
        <f ca="1">IF(B353&gt;0,C353-'Real Analysis'!$B$14,0)</f>
        <v>-2.2056523714262255E-3</v>
      </c>
      <c r="F353">
        <f t="shared" ca="1" si="29"/>
        <v>-2.6889369896537989E-2</v>
      </c>
      <c r="G353">
        <f t="shared" ref="G353:G416" ca="1" si="30">IF(B353&gt;0,G352+F353*$D353,0)</f>
        <v>-0.13012396417275454</v>
      </c>
      <c r="H353">
        <f ca="1">IF(AND(B353&gt;'Real Analysis'!$B$31,B353&lt;'Real Analysis'!$B$32),FilterInput(E353,'Real Analysis'!$B$26,'Real Analysis'!$B$27),0)</f>
        <v>0</v>
      </c>
      <c r="I353" t="e">
        <f>MEDIAN2("Real Values",H353,'Real Analysis'!$B$5,2)</f>
        <v>#VALUE!</v>
      </c>
      <c r="J353" t="e">
        <f>AVERAGE2("Real Values",I353,'Real Analysis'!$B$6,2)</f>
        <v>#VALUE!</v>
      </c>
      <c r="K353" t="e">
        <f>INTEGRAL2(J353,$B353,K352,J352,$B352,'Real Analysis'!$B$19)</f>
        <v>#VALUE!</v>
      </c>
      <c r="L353" t="e">
        <f>IF(AND(B353&lt;'Real Analysis'!$B$32,B353&gt;0),INTEGRAL2(K353,$B353,L352,K352,$B352,'Real Analysis'!$B$20),0)</f>
        <v>#VALUE!</v>
      </c>
      <c r="N353">
        <f>'Real Analysis'!$B$28*'Real Input'!U353+IF('Real Input'!U353 &gt; 0,'Real Analysis'!$B$29,0)</f>
        <v>0</v>
      </c>
      <c r="O353" t="e">
        <f t="shared" si="27"/>
        <v>#VALUE!</v>
      </c>
      <c r="P353" t="e">
        <f t="shared" si="28"/>
        <v>#VALUE!</v>
      </c>
    </row>
    <row r="354" spans="1:16" x14ac:dyDescent="0.3">
      <c r="A354">
        <v>352</v>
      </c>
      <c r="B354">
        <f>'Real Input'!M354</f>
        <v>7.0911889999988489</v>
      </c>
      <c r="C354">
        <f ca="1">INDIRECT(CONCATENATE("'Real Input'!",'Real Analysis'!$B$2,A354+2))</f>
        <v>9.8507997899999999</v>
      </c>
      <c r="D354">
        <f t="shared" si="26"/>
        <v>2.0237999997334555E-2</v>
      </c>
      <c r="E354">
        <f ca="1">IF(B354&gt;0,C354-'Real Analysis'!$B$14,0)</f>
        <v>-5.6980123714271969E-3</v>
      </c>
      <c r="F354">
        <f t="shared" ca="1" si="29"/>
        <v>-2.7004686270895747E-2</v>
      </c>
      <c r="G354">
        <f t="shared" ca="1" si="30"/>
        <v>-0.13067048501343295</v>
      </c>
      <c r="H354">
        <f ca="1">IF(AND(B354&gt;'Real Analysis'!$B$31,B354&lt;'Real Analysis'!$B$32),FilterInput(E354,'Real Analysis'!$B$26,'Real Analysis'!$B$27),0)</f>
        <v>0</v>
      </c>
      <c r="I354" t="e">
        <f>MEDIAN2("Real Values",H354,'Real Analysis'!$B$5,2)</f>
        <v>#VALUE!</v>
      </c>
      <c r="J354" t="e">
        <f>AVERAGE2("Real Values",I354,'Real Analysis'!$B$6,2)</f>
        <v>#VALUE!</v>
      </c>
      <c r="K354" t="e">
        <f>INTEGRAL2(J354,$B354,K353,J353,$B353,'Real Analysis'!$B$19)</f>
        <v>#VALUE!</v>
      </c>
      <c r="L354" t="e">
        <f>IF(AND(B354&lt;'Real Analysis'!$B$32,B354&gt;0),INTEGRAL2(K354,$B354,L353,K353,$B353,'Real Analysis'!$B$20),0)</f>
        <v>#VALUE!</v>
      </c>
      <c r="N354">
        <f>'Real Analysis'!$B$28*'Real Input'!U354+IF('Real Input'!U354 &gt; 0,'Real Analysis'!$B$29,0)</f>
        <v>0</v>
      </c>
      <c r="O354" t="e">
        <f t="shared" si="27"/>
        <v>#VALUE!</v>
      </c>
      <c r="P354" t="e">
        <f t="shared" si="28"/>
        <v>#VALUE!</v>
      </c>
    </row>
    <row r="355" spans="1:16" x14ac:dyDescent="0.3">
      <c r="A355">
        <v>353</v>
      </c>
      <c r="B355">
        <f>'Real Input'!M355</f>
        <v>7.1107849999971222</v>
      </c>
      <c r="C355">
        <f ca="1">INDIRECT(CONCATENATE("'Real Input'!",'Real Analysis'!$B$2,A355+2))</f>
        <v>9.8509273200000003</v>
      </c>
      <c r="D355">
        <f t="shared" si="26"/>
        <v>1.9595999998273328E-2</v>
      </c>
      <c r="E355">
        <f ca="1">IF(B355&gt;0,C355-'Real Analysis'!$B$14,0)</f>
        <v>-5.570482371426877E-3</v>
      </c>
      <c r="F355">
        <f t="shared" ca="1" si="29"/>
        <v>-2.7113845443436608E-2</v>
      </c>
      <c r="G355">
        <f t="shared" ca="1" si="30"/>
        <v>-0.13120180792869571</v>
      </c>
      <c r="H355">
        <f ca="1">IF(AND(B355&gt;'Real Analysis'!$B$31,B355&lt;'Real Analysis'!$B$32),FilterInput(E355,'Real Analysis'!$B$26,'Real Analysis'!$B$27),0)</f>
        <v>0</v>
      </c>
      <c r="I355" t="e">
        <f>MEDIAN2("Real Values",H355,'Real Analysis'!$B$5,2)</f>
        <v>#VALUE!</v>
      </c>
      <c r="J355" t="e">
        <f>AVERAGE2("Real Values",I355,'Real Analysis'!$B$6,2)</f>
        <v>#VALUE!</v>
      </c>
      <c r="K355" t="e">
        <f>INTEGRAL2(J355,$B355,K354,J354,$B354,'Real Analysis'!$B$19)</f>
        <v>#VALUE!</v>
      </c>
      <c r="L355" t="e">
        <f>IF(AND(B355&lt;'Real Analysis'!$B$32,B355&gt;0),INTEGRAL2(K355,$B355,L354,K354,$B354,'Real Analysis'!$B$20),0)</f>
        <v>#VALUE!</v>
      </c>
      <c r="N355">
        <f>'Real Analysis'!$B$28*'Real Input'!U355+IF('Real Input'!U355 &gt; 0,'Real Analysis'!$B$29,0)</f>
        <v>0</v>
      </c>
      <c r="O355" t="e">
        <f t="shared" si="27"/>
        <v>#VALUE!</v>
      </c>
      <c r="P355" t="e">
        <f t="shared" si="28"/>
        <v>#VALUE!</v>
      </c>
    </row>
    <row r="356" spans="1:16" x14ac:dyDescent="0.3">
      <c r="A356">
        <v>354</v>
      </c>
      <c r="B356">
        <f>'Real Input'!M356</f>
        <v>7.129413000002387</v>
      </c>
      <c r="C356">
        <f ca="1">INDIRECT(CONCATENATE("'Real Input'!",'Real Analysis'!$B$2,A356+2))</f>
        <v>9.8502896700000004</v>
      </c>
      <c r="D356">
        <f t="shared" si="26"/>
        <v>1.8628000005264767E-2</v>
      </c>
      <c r="E356">
        <f ca="1">IF(B356&gt;0,C356-'Real Analysis'!$B$14,0)</f>
        <v>-6.2081323714267E-3</v>
      </c>
      <c r="F356">
        <f t="shared" ca="1" si="29"/>
        <v>-2.7229490533284228E-2</v>
      </c>
      <c r="G356">
        <f t="shared" ca="1" si="30"/>
        <v>-0.13170903887849308</v>
      </c>
      <c r="H356">
        <f ca="1">IF(AND(B356&gt;'Real Analysis'!$B$31,B356&lt;'Real Analysis'!$B$32),FilterInput(E356,'Real Analysis'!$B$26,'Real Analysis'!$B$27),0)</f>
        <v>0</v>
      </c>
      <c r="I356" t="e">
        <f>MEDIAN2("Real Values",H356,'Real Analysis'!$B$5,2)</f>
        <v>#VALUE!</v>
      </c>
      <c r="J356" t="e">
        <f>AVERAGE2("Real Values",I356,'Real Analysis'!$B$6,2)</f>
        <v>#VALUE!</v>
      </c>
      <c r="K356" t="e">
        <f>INTEGRAL2(J356,$B356,K355,J355,$B355,'Real Analysis'!$B$19)</f>
        <v>#VALUE!</v>
      </c>
      <c r="L356" t="e">
        <f>IF(AND(B356&lt;'Real Analysis'!$B$32,B356&gt;0),INTEGRAL2(K356,$B356,L355,K355,$B355,'Real Analysis'!$B$20),0)</f>
        <v>#VALUE!</v>
      </c>
      <c r="N356">
        <f>'Real Analysis'!$B$28*'Real Input'!U356+IF('Real Input'!U356 &gt; 0,'Real Analysis'!$B$29,0)</f>
        <v>0</v>
      </c>
      <c r="O356" t="e">
        <f t="shared" si="27"/>
        <v>#VALUE!</v>
      </c>
      <c r="P356" t="e">
        <f t="shared" si="28"/>
        <v>#VALUE!</v>
      </c>
    </row>
    <row r="357" spans="1:16" x14ac:dyDescent="0.3">
      <c r="A357">
        <v>355</v>
      </c>
      <c r="B357">
        <f>'Real Input'!M357</f>
        <v>7.1513030000060098</v>
      </c>
      <c r="C357">
        <f ca="1">INDIRECT(CONCATENATE("'Real Input'!",'Real Analysis'!$B$2,A357+2))</f>
        <v>9.8505054900000015</v>
      </c>
      <c r="D357">
        <f t="shared" si="26"/>
        <v>2.1890000003622845E-2</v>
      </c>
      <c r="E357">
        <f ca="1">IF(B357&gt;0,C357-'Real Analysis'!$B$14,0)</f>
        <v>-5.9923123714256121E-3</v>
      </c>
      <c r="F357">
        <f t="shared" ca="1" si="29"/>
        <v>-2.7360662251116444E-2</v>
      </c>
      <c r="G357">
        <f t="shared" ca="1" si="30"/>
        <v>-0.13230796377526916</v>
      </c>
      <c r="H357">
        <f ca="1">IF(AND(B357&gt;'Real Analysis'!$B$31,B357&lt;'Real Analysis'!$B$32),FilterInput(E357,'Real Analysis'!$B$26,'Real Analysis'!$B$27),0)</f>
        <v>0</v>
      </c>
      <c r="I357" t="e">
        <f>MEDIAN2("Real Values",H357,'Real Analysis'!$B$5,2)</f>
        <v>#VALUE!</v>
      </c>
      <c r="J357" t="e">
        <f>AVERAGE2("Real Values",I357,'Real Analysis'!$B$6,2)</f>
        <v>#VALUE!</v>
      </c>
      <c r="K357" t="e">
        <f>INTEGRAL2(J357,$B357,K356,J356,$B356,'Real Analysis'!$B$19)</f>
        <v>#VALUE!</v>
      </c>
      <c r="L357" t="e">
        <f>IF(AND(B357&lt;'Real Analysis'!$B$32,B357&gt;0),INTEGRAL2(K357,$B357,L356,K356,$B356,'Real Analysis'!$B$20),0)</f>
        <v>#VALUE!</v>
      </c>
      <c r="N357">
        <f>'Real Analysis'!$B$28*'Real Input'!U357+IF('Real Input'!U357 &gt; 0,'Real Analysis'!$B$29,0)</f>
        <v>0</v>
      </c>
      <c r="O357" t="e">
        <f t="shared" si="27"/>
        <v>#VALUE!</v>
      </c>
      <c r="P357" t="e">
        <f t="shared" si="28"/>
        <v>#VALUE!</v>
      </c>
    </row>
    <row r="358" spans="1:16" x14ac:dyDescent="0.3">
      <c r="A358">
        <v>356</v>
      </c>
      <c r="B358">
        <f>'Real Input'!M358</f>
        <v>7.1711340000038035</v>
      </c>
      <c r="C358">
        <f ca="1">INDIRECT(CONCATENATE("'Real Input'!",'Real Analysis'!$B$2,A358+2))</f>
        <v>9.8506526399999998</v>
      </c>
      <c r="D358">
        <f t="shared" si="26"/>
        <v>1.9830999997793697E-2</v>
      </c>
      <c r="E358">
        <f ca="1">IF(B358&gt;0,C358-'Real Analysis'!$B$14,0)</f>
        <v>-5.8451623714272927E-3</v>
      </c>
      <c r="F358">
        <f t="shared" ca="1" si="29"/>
        <v>-2.7476577666091323E-2</v>
      </c>
      <c r="G358">
        <f t="shared" ca="1" si="30"/>
        <v>-0.13285285178690479</v>
      </c>
      <c r="H358">
        <f ca="1">IF(AND(B358&gt;'Real Analysis'!$B$31,B358&lt;'Real Analysis'!$B$32),FilterInput(E358,'Real Analysis'!$B$26,'Real Analysis'!$B$27),0)</f>
        <v>0</v>
      </c>
      <c r="I358" t="e">
        <f>MEDIAN2("Real Values",H358,'Real Analysis'!$B$5,2)</f>
        <v>#VALUE!</v>
      </c>
      <c r="J358" t="e">
        <f>AVERAGE2("Real Values",I358,'Real Analysis'!$B$6,2)</f>
        <v>#VALUE!</v>
      </c>
      <c r="K358" t="e">
        <f>INTEGRAL2(J358,$B358,K357,J357,$B357,'Real Analysis'!$B$19)</f>
        <v>#VALUE!</v>
      </c>
      <c r="L358" t="e">
        <f>IF(AND(B358&lt;'Real Analysis'!$B$32,B358&gt;0),INTEGRAL2(K358,$B358,L357,K357,$B357,'Real Analysis'!$B$20),0)</f>
        <v>#VALUE!</v>
      </c>
      <c r="N358">
        <f>'Real Analysis'!$B$28*'Real Input'!U358+IF('Real Input'!U358 &gt; 0,'Real Analysis'!$B$29,0)</f>
        <v>0</v>
      </c>
      <c r="O358" t="e">
        <f t="shared" si="27"/>
        <v>#VALUE!</v>
      </c>
      <c r="P358" t="e">
        <f t="shared" si="28"/>
        <v>#VALUE!</v>
      </c>
    </row>
    <row r="359" spans="1:16" x14ac:dyDescent="0.3">
      <c r="A359">
        <v>357</v>
      </c>
      <c r="B359">
        <f>'Real Input'!M359</f>
        <v>7.1819510000059381</v>
      </c>
      <c r="C359">
        <f ca="1">INDIRECT(CONCATENATE("'Real Input'!",'Real Analysis'!$B$2,A359+2))</f>
        <v>9.850574159999999</v>
      </c>
      <c r="D359">
        <f t="shared" si="26"/>
        <v>1.0817000002134591E-2</v>
      </c>
      <c r="E359">
        <f ca="1">IF(B359&gt;0,C359-'Real Analysis'!$B$14,0)</f>
        <v>-5.9236423714281727E-3</v>
      </c>
      <c r="F359">
        <f t="shared" ca="1" si="29"/>
        <v>-2.7540653705635704E-2</v>
      </c>
      <c r="G359">
        <f t="shared" ca="1" si="30"/>
        <v>-0.13315075903809742</v>
      </c>
      <c r="H359">
        <f ca="1">IF(AND(B359&gt;'Real Analysis'!$B$31,B359&lt;'Real Analysis'!$B$32),FilterInput(E359,'Real Analysis'!$B$26,'Real Analysis'!$B$27),0)</f>
        <v>0</v>
      </c>
      <c r="I359" t="e">
        <f>MEDIAN2("Real Values",H359,'Real Analysis'!$B$5,2)</f>
        <v>#VALUE!</v>
      </c>
      <c r="J359" t="e">
        <f>AVERAGE2("Real Values",I359,'Real Analysis'!$B$6,2)</f>
        <v>#VALUE!</v>
      </c>
      <c r="K359" t="e">
        <f>INTEGRAL2(J359,$B359,K358,J358,$B358,'Real Analysis'!$B$19)</f>
        <v>#VALUE!</v>
      </c>
      <c r="L359" t="e">
        <f>IF(AND(B359&lt;'Real Analysis'!$B$32,B359&gt;0),INTEGRAL2(K359,$B359,L358,K358,$B358,'Real Analysis'!$B$20),0)</f>
        <v>#VALUE!</v>
      </c>
      <c r="N359">
        <f>'Real Analysis'!$B$28*'Real Input'!U359+IF('Real Input'!U359 &gt; 0,'Real Analysis'!$B$29,0)</f>
        <v>0</v>
      </c>
      <c r="O359" t="e">
        <f t="shared" si="27"/>
        <v>#VALUE!</v>
      </c>
      <c r="P359" t="e">
        <f t="shared" si="28"/>
        <v>#VALUE!</v>
      </c>
    </row>
    <row r="360" spans="1:16" x14ac:dyDescent="0.3">
      <c r="A360">
        <v>358</v>
      </c>
      <c r="B360">
        <f>'Real Input'!M360</f>
        <v>7.2112820000038482</v>
      </c>
      <c r="C360">
        <f ca="1">INDIRECT(CONCATENATE("'Real Input'!",'Real Analysis'!$B$2,A360+2))</f>
        <v>9.8537624100000016</v>
      </c>
      <c r="D360">
        <f t="shared" si="26"/>
        <v>2.9330999997910112E-2</v>
      </c>
      <c r="E360">
        <f ca="1">IF(B360&gt;0,C360-'Real Analysis'!$B$14,0)</f>
        <v>-2.7353923714255046E-3</v>
      </c>
      <c r="F360">
        <f t="shared" ca="1" si="29"/>
        <v>-2.7620885499276271E-2</v>
      </c>
      <c r="G360">
        <f t="shared" ca="1" si="30"/>
        <v>-0.13396090723061896</v>
      </c>
      <c r="H360">
        <f ca="1">IF(AND(B360&gt;'Real Analysis'!$B$31,B360&lt;'Real Analysis'!$B$32),FilterInput(E360,'Real Analysis'!$B$26,'Real Analysis'!$B$27),0)</f>
        <v>0</v>
      </c>
      <c r="I360" t="e">
        <f>MEDIAN2("Real Values",H360,'Real Analysis'!$B$5,2)</f>
        <v>#VALUE!</v>
      </c>
      <c r="J360" t="e">
        <f>AVERAGE2("Real Values",I360,'Real Analysis'!$B$6,2)</f>
        <v>#VALUE!</v>
      </c>
      <c r="K360" t="e">
        <f>INTEGRAL2(J360,$B360,K359,J359,$B359,'Real Analysis'!$B$19)</f>
        <v>#VALUE!</v>
      </c>
      <c r="L360" t="e">
        <f>IF(AND(B360&lt;'Real Analysis'!$B$32,B360&gt;0),INTEGRAL2(K360,$B360,L359,K359,$B359,'Real Analysis'!$B$20),0)</f>
        <v>#VALUE!</v>
      </c>
      <c r="N360">
        <f>'Real Analysis'!$B$28*'Real Input'!U360+IF('Real Input'!U360 &gt; 0,'Real Analysis'!$B$29,0)</f>
        <v>0</v>
      </c>
      <c r="O360" t="e">
        <f t="shared" si="27"/>
        <v>#VALUE!</v>
      </c>
      <c r="P360" t="e">
        <f t="shared" si="28"/>
        <v>#VALUE!</v>
      </c>
    </row>
    <row r="361" spans="1:16" x14ac:dyDescent="0.3">
      <c r="A361">
        <v>359</v>
      </c>
      <c r="B361">
        <f>'Real Input'!M361</f>
        <v>7.2316540000028908</v>
      </c>
      <c r="C361">
        <f ca="1">INDIRECT(CONCATENATE("'Real Input'!",'Real Analysis'!$B$2,A361+2))</f>
        <v>9.86884038</v>
      </c>
      <c r="D361">
        <f t="shared" si="26"/>
        <v>2.03719999990426E-2</v>
      </c>
      <c r="E361">
        <f ca="1">IF(B361&gt;0,C361-'Real Analysis'!$B$14,0)</f>
        <v>1.2342577628572826E-2</v>
      </c>
      <c r="F361">
        <f t="shared" ca="1" si="29"/>
        <v>-2.7369442507838803E-2</v>
      </c>
      <c r="G361">
        <f t="shared" ca="1" si="30"/>
        <v>-0.13451847751336243</v>
      </c>
      <c r="H361">
        <f ca="1">IF(AND(B361&gt;'Real Analysis'!$B$31,B361&lt;'Real Analysis'!$B$32),FilterInput(E361,'Real Analysis'!$B$26,'Real Analysis'!$B$27),0)</f>
        <v>0</v>
      </c>
      <c r="I361" t="e">
        <f>MEDIAN2("Real Values",H361,'Real Analysis'!$B$5,2)</f>
        <v>#VALUE!</v>
      </c>
      <c r="J361" t="e">
        <f>AVERAGE2("Real Values",I361,'Real Analysis'!$B$6,2)</f>
        <v>#VALUE!</v>
      </c>
      <c r="K361" t="e">
        <f>INTEGRAL2(J361,$B361,K360,J360,$B360,'Real Analysis'!$B$19)</f>
        <v>#VALUE!</v>
      </c>
      <c r="L361" t="e">
        <f>IF(AND(B361&lt;'Real Analysis'!$B$32,B361&gt;0),INTEGRAL2(K361,$B361,L360,K360,$B360,'Real Analysis'!$B$20),0)</f>
        <v>#VALUE!</v>
      </c>
      <c r="N361">
        <f>'Real Analysis'!$B$28*'Real Input'!U361+IF('Real Input'!U361 &gt; 0,'Real Analysis'!$B$29,0)</f>
        <v>0</v>
      </c>
      <c r="O361" t="e">
        <f t="shared" si="27"/>
        <v>#VALUE!</v>
      </c>
      <c r="P361" t="e">
        <f t="shared" si="28"/>
        <v>#VALUE!</v>
      </c>
    </row>
    <row r="362" spans="1:16" x14ac:dyDescent="0.3">
      <c r="A362">
        <v>360</v>
      </c>
      <c r="B362">
        <f>'Real Input'!M362</f>
        <v>7.249498000004678</v>
      </c>
      <c r="C362">
        <f ca="1">INDIRECT(CONCATENATE("'Real Input'!",'Real Analysis'!$B$2,A362+2))</f>
        <v>9.9384619500000007</v>
      </c>
      <c r="D362">
        <f t="shared" si="26"/>
        <v>1.7844000001787208E-2</v>
      </c>
      <c r="E362">
        <f ca="1">IF(B362&gt;0,C362-'Real Analysis'!$B$14,0)</f>
        <v>8.1964147628573514E-2</v>
      </c>
      <c r="F362">
        <f t="shared" ca="1" si="29"/>
        <v>-2.590687425740805E-2</v>
      </c>
      <c r="G362">
        <f t="shared" ca="1" si="30"/>
        <v>-0.13498075977765792</v>
      </c>
      <c r="H362">
        <f ca="1">IF(AND(B362&gt;'Real Analysis'!$B$31,B362&lt;'Real Analysis'!$B$32),FilterInput(E362,'Real Analysis'!$B$26,'Real Analysis'!$B$27),0)</f>
        <v>0</v>
      </c>
      <c r="I362" t="e">
        <f>MEDIAN2("Real Values",H362,'Real Analysis'!$B$5,2)</f>
        <v>#VALUE!</v>
      </c>
      <c r="J362" t="e">
        <f>AVERAGE2("Real Values",I362,'Real Analysis'!$B$6,2)</f>
        <v>#VALUE!</v>
      </c>
      <c r="K362" t="e">
        <f>INTEGRAL2(J362,$B362,K361,J361,$B361,'Real Analysis'!$B$19)</f>
        <v>#VALUE!</v>
      </c>
      <c r="L362" t="e">
        <f>IF(AND(B362&lt;'Real Analysis'!$B$32,B362&gt;0),INTEGRAL2(K362,$B362,L361,K361,$B361,'Real Analysis'!$B$20),0)</f>
        <v>#VALUE!</v>
      </c>
      <c r="N362">
        <f>'Real Analysis'!$B$28*'Real Input'!U362+IF('Real Input'!U362 &gt; 0,'Real Analysis'!$B$29,0)</f>
        <v>0</v>
      </c>
      <c r="O362" t="e">
        <f t="shared" si="27"/>
        <v>#VALUE!</v>
      </c>
      <c r="P362" t="e">
        <f t="shared" si="28"/>
        <v>#VALUE!</v>
      </c>
    </row>
    <row r="363" spans="1:16" x14ac:dyDescent="0.3">
      <c r="A363">
        <v>361</v>
      </c>
      <c r="B363">
        <f>'Real Input'!M363</f>
        <v>7.2723109999933513</v>
      </c>
      <c r="C363">
        <f ca="1">INDIRECT(CONCATENATE("'Real Input'!",'Real Analysis'!$B$2,A363+2))</f>
        <v>9.9274943699999998</v>
      </c>
      <c r="D363">
        <f t="shared" si="26"/>
        <v>2.2812999988673255E-2</v>
      </c>
      <c r="E363">
        <f ca="1">IF(B363&gt;0,C363-'Real Analysis'!$B$14,0)</f>
        <v>7.0996567628572649E-2</v>
      </c>
      <c r="F363">
        <f t="shared" ca="1" si="29"/>
        <v>-2.4287229560901583E-2</v>
      </c>
      <c r="G363">
        <f t="shared" ca="1" si="30"/>
        <v>-0.13553482434535566</v>
      </c>
      <c r="H363">
        <f ca="1">IF(AND(B363&gt;'Real Analysis'!$B$31,B363&lt;'Real Analysis'!$B$32),FilterInput(E363,'Real Analysis'!$B$26,'Real Analysis'!$B$27),0)</f>
        <v>0</v>
      </c>
      <c r="I363" t="e">
        <f>MEDIAN2("Real Values",H363,'Real Analysis'!$B$5,2)</f>
        <v>#VALUE!</v>
      </c>
      <c r="J363" t="e">
        <f>AVERAGE2("Real Values",I363,'Real Analysis'!$B$6,2)</f>
        <v>#VALUE!</v>
      </c>
      <c r="K363" t="e">
        <f>INTEGRAL2(J363,$B363,K362,J362,$B362,'Real Analysis'!$B$19)</f>
        <v>#VALUE!</v>
      </c>
      <c r="L363" t="e">
        <f>IF(AND(B363&lt;'Real Analysis'!$B$32,B363&gt;0),INTEGRAL2(K363,$B363,L362,K362,$B362,'Real Analysis'!$B$20),0)</f>
        <v>#VALUE!</v>
      </c>
      <c r="N363">
        <f>'Real Analysis'!$B$28*'Real Input'!U363+IF('Real Input'!U363 &gt; 0,'Real Analysis'!$B$29,0)</f>
        <v>0</v>
      </c>
      <c r="O363" t="e">
        <f t="shared" si="27"/>
        <v>#VALUE!</v>
      </c>
      <c r="P363" t="e">
        <f t="shared" si="28"/>
        <v>#VALUE!</v>
      </c>
    </row>
    <row r="364" spans="1:16" x14ac:dyDescent="0.3">
      <c r="A364">
        <v>362</v>
      </c>
      <c r="B364">
        <f>'Real Input'!M364</f>
        <v>7.2877690000022994</v>
      </c>
      <c r="C364">
        <f ca="1">INDIRECT(CONCATENATE("'Real Input'!",'Real Analysis'!$B$2,A364+2))</f>
        <v>9.862532550000001</v>
      </c>
      <c r="D364">
        <f t="shared" si="26"/>
        <v>1.5458000008948147E-2</v>
      </c>
      <c r="E364">
        <f ca="1">IF(B364&gt;0,C364-'Real Analysis'!$B$14,0)</f>
        <v>6.0347476285738111E-3</v>
      </c>
      <c r="F364">
        <f t="shared" ca="1" si="29"/>
        <v>-2.419394443200509E-2</v>
      </c>
      <c r="G364">
        <f t="shared" ca="1" si="30"/>
        <v>-0.13590881433860208</v>
      </c>
      <c r="H364">
        <f ca="1">IF(AND(B364&gt;'Real Analysis'!$B$31,B364&lt;'Real Analysis'!$B$32),FilterInput(E364,'Real Analysis'!$B$26,'Real Analysis'!$B$27),0)</f>
        <v>0</v>
      </c>
      <c r="I364" t="e">
        <f>MEDIAN2("Real Values",H364,'Real Analysis'!$B$5,2)</f>
        <v>#VALUE!</v>
      </c>
      <c r="J364" t="e">
        <f>AVERAGE2("Real Values",I364,'Real Analysis'!$B$6,2)</f>
        <v>#VALUE!</v>
      </c>
      <c r="K364" t="e">
        <f>INTEGRAL2(J364,$B364,K363,J363,$B363,'Real Analysis'!$B$19)</f>
        <v>#VALUE!</v>
      </c>
      <c r="L364" t="e">
        <f>IF(AND(B364&lt;'Real Analysis'!$B$32,B364&gt;0),INTEGRAL2(K364,$B364,L363,K363,$B363,'Real Analysis'!$B$20),0)</f>
        <v>#VALUE!</v>
      </c>
      <c r="N364">
        <f>'Real Analysis'!$B$28*'Real Input'!U364+IF('Real Input'!U364 &gt; 0,'Real Analysis'!$B$29,0)</f>
        <v>0</v>
      </c>
      <c r="O364" t="e">
        <f t="shared" si="27"/>
        <v>#VALUE!</v>
      </c>
      <c r="P364" t="e">
        <f t="shared" si="28"/>
        <v>#VALUE!</v>
      </c>
    </row>
    <row r="365" spans="1:16" x14ac:dyDescent="0.3">
      <c r="A365">
        <v>363</v>
      </c>
      <c r="B365">
        <f>'Real Input'!M365</f>
        <v>7.3076699999946868</v>
      </c>
      <c r="C365">
        <f ca="1">INDIRECT(CONCATENATE("'Real Input'!",'Real Analysis'!$B$2,A365+2))</f>
        <v>9.8615025000000003</v>
      </c>
      <c r="D365">
        <f t="shared" si="26"/>
        <v>1.9900999992387369E-2</v>
      </c>
      <c r="E365">
        <f ca="1">IF(B365&gt;0,C365-'Real Analysis'!$B$14,0)</f>
        <v>5.0046976285731404E-3</v>
      </c>
      <c r="F365">
        <f t="shared" ca="1" si="29"/>
        <v>-2.4094345944536955E-2</v>
      </c>
      <c r="G365">
        <f t="shared" ca="1" si="30"/>
        <v>-0.13638831591706088</v>
      </c>
      <c r="H365">
        <f ca="1">IF(AND(B365&gt;'Real Analysis'!$B$31,B365&lt;'Real Analysis'!$B$32),FilterInput(E365,'Real Analysis'!$B$26,'Real Analysis'!$B$27),0)</f>
        <v>0</v>
      </c>
      <c r="I365" t="e">
        <f>MEDIAN2("Real Values",H365,'Real Analysis'!$B$5,2)</f>
        <v>#VALUE!</v>
      </c>
      <c r="J365" t="e">
        <f>AVERAGE2("Real Values",I365,'Real Analysis'!$B$6,2)</f>
        <v>#VALUE!</v>
      </c>
      <c r="K365" t="e">
        <f>INTEGRAL2(J365,$B365,K364,J364,$B364,'Real Analysis'!$B$19)</f>
        <v>#VALUE!</v>
      </c>
      <c r="L365" t="e">
        <f>IF(AND(B365&lt;'Real Analysis'!$B$32,B365&gt;0),INTEGRAL2(K365,$B365,L364,K364,$B364,'Real Analysis'!$B$20),0)</f>
        <v>#VALUE!</v>
      </c>
      <c r="N365">
        <f>'Real Analysis'!$B$28*'Real Input'!U365+IF('Real Input'!U365 &gt; 0,'Real Analysis'!$B$29,0)</f>
        <v>0</v>
      </c>
      <c r="O365" t="e">
        <f t="shared" si="27"/>
        <v>#VALUE!</v>
      </c>
      <c r="P365" t="e">
        <f t="shared" si="28"/>
        <v>#VALUE!</v>
      </c>
    </row>
    <row r="366" spans="1:16" x14ac:dyDescent="0.3">
      <c r="A366">
        <v>364</v>
      </c>
      <c r="B366">
        <f>'Real Input'!M366</f>
        <v>7.3309580000059213</v>
      </c>
      <c r="C366">
        <f ca="1">INDIRECT(CONCATENATE("'Real Input'!",'Real Analysis'!$B$2,A366+2))</f>
        <v>9.8680163400000005</v>
      </c>
      <c r="D366">
        <f t="shared" si="26"/>
        <v>2.3288000011234544E-2</v>
      </c>
      <c r="E366">
        <f ca="1">IF(B366&gt;0,C366-'Real Analysis'!$B$14,0)</f>
        <v>1.1518537628573355E-2</v>
      </c>
      <c r="F366">
        <f t="shared" ca="1" si="29"/>
        <v>-2.3826102240113334E-2</v>
      </c>
      <c r="G366">
        <f t="shared" ca="1" si="30"/>
        <v>-0.13694317818629631</v>
      </c>
      <c r="H366">
        <f ca="1">IF(AND(B366&gt;'Real Analysis'!$B$31,B366&lt;'Real Analysis'!$B$32),FilterInput(E366,'Real Analysis'!$B$26,'Real Analysis'!$B$27),0)</f>
        <v>0</v>
      </c>
      <c r="I366" t="e">
        <f>MEDIAN2("Real Values",H366,'Real Analysis'!$B$5,2)</f>
        <v>#VALUE!</v>
      </c>
      <c r="J366" t="e">
        <f>AVERAGE2("Real Values",I366,'Real Analysis'!$B$6,2)</f>
        <v>#VALUE!</v>
      </c>
      <c r="K366" t="e">
        <f>INTEGRAL2(J366,$B366,K365,J365,$B365,'Real Analysis'!$B$19)</f>
        <v>#VALUE!</v>
      </c>
      <c r="L366" t="e">
        <f>IF(AND(B366&lt;'Real Analysis'!$B$32,B366&gt;0),INTEGRAL2(K366,$B366,L365,K365,$B365,'Real Analysis'!$B$20),0)</f>
        <v>#VALUE!</v>
      </c>
      <c r="N366">
        <f>'Real Analysis'!$B$28*'Real Input'!U366+IF('Real Input'!U366 &gt; 0,'Real Analysis'!$B$29,0)</f>
        <v>0</v>
      </c>
      <c r="O366" t="e">
        <f t="shared" si="27"/>
        <v>#VALUE!</v>
      </c>
      <c r="P366" t="e">
        <f t="shared" si="28"/>
        <v>#VALUE!</v>
      </c>
    </row>
    <row r="367" spans="1:16" x14ac:dyDescent="0.3">
      <c r="A367">
        <v>365</v>
      </c>
      <c r="B367">
        <f>'Real Input'!M367</f>
        <v>7.3470830000005662</v>
      </c>
      <c r="C367">
        <f ca="1">INDIRECT(CONCATENATE("'Real Input'!",'Real Analysis'!$B$2,A367+2))</f>
        <v>9.8743045500000015</v>
      </c>
      <c r="D367">
        <f t="shared" si="26"/>
        <v>1.6124999994644895E-2</v>
      </c>
      <c r="E367">
        <f ca="1">IF(B367&gt;0,C367-'Real Analysis'!$B$14,0)</f>
        <v>1.7806747628574371E-2</v>
      </c>
      <c r="F367">
        <f t="shared" ca="1" si="29"/>
        <v>-2.3538968434697927E-2</v>
      </c>
      <c r="G367">
        <f t="shared" ca="1" si="30"/>
        <v>-0.13732274405217976</v>
      </c>
      <c r="H367">
        <f ca="1">IF(AND(B367&gt;'Real Analysis'!$B$31,B367&lt;'Real Analysis'!$B$32),FilterInput(E367,'Real Analysis'!$B$26,'Real Analysis'!$B$27),0)</f>
        <v>0</v>
      </c>
      <c r="I367" t="e">
        <f>MEDIAN2("Real Values",H367,'Real Analysis'!$B$5,2)</f>
        <v>#VALUE!</v>
      </c>
      <c r="J367" t="e">
        <f>AVERAGE2("Real Values",I367,'Real Analysis'!$B$6,2)</f>
        <v>#VALUE!</v>
      </c>
      <c r="K367" t="e">
        <f>INTEGRAL2(J367,$B367,K366,J366,$B366,'Real Analysis'!$B$19)</f>
        <v>#VALUE!</v>
      </c>
      <c r="L367" t="e">
        <f>IF(AND(B367&lt;'Real Analysis'!$B$32,B367&gt;0),INTEGRAL2(K367,$B367,L366,K366,$B366,'Real Analysis'!$B$20),0)</f>
        <v>#VALUE!</v>
      </c>
      <c r="N367">
        <f>'Real Analysis'!$B$28*'Real Input'!U367+IF('Real Input'!U367 &gt; 0,'Real Analysis'!$B$29,0)</f>
        <v>0</v>
      </c>
      <c r="O367" t="e">
        <f t="shared" si="27"/>
        <v>#VALUE!</v>
      </c>
      <c r="P367" t="e">
        <f t="shared" si="28"/>
        <v>#VALUE!</v>
      </c>
    </row>
    <row r="368" spans="1:16" x14ac:dyDescent="0.3">
      <c r="A368">
        <v>366</v>
      </c>
      <c r="B368">
        <f>'Real Input'!M368</f>
        <v>7.3723239999962971</v>
      </c>
      <c r="C368">
        <f ca="1">INDIRECT(CONCATENATE("'Real Input'!",'Real Analysis'!$B$2,A368+2))</f>
        <v>9.8594325900000008</v>
      </c>
      <c r="D368">
        <f t="shared" si="26"/>
        <v>2.5240999995730817E-2</v>
      </c>
      <c r="E368">
        <f ca="1">IF(B368&gt;0,C368-'Real Analysis'!$B$14,0)</f>
        <v>2.9347876285736874E-3</v>
      </c>
      <c r="F368">
        <f t="shared" ca="1" si="29"/>
        <v>-2.3464891460177627E-2</v>
      </c>
      <c r="G368">
        <f t="shared" ca="1" si="30"/>
        <v>-0.13791502137742592</v>
      </c>
      <c r="H368">
        <f ca="1">IF(AND(B368&gt;'Real Analysis'!$B$31,B368&lt;'Real Analysis'!$B$32),FilterInput(E368,'Real Analysis'!$B$26,'Real Analysis'!$B$27),0)</f>
        <v>0</v>
      </c>
      <c r="I368" t="e">
        <f>MEDIAN2("Real Values",H368,'Real Analysis'!$B$5,2)</f>
        <v>#VALUE!</v>
      </c>
      <c r="J368" t="e">
        <f>AVERAGE2("Real Values",I368,'Real Analysis'!$B$6,2)</f>
        <v>#VALUE!</v>
      </c>
      <c r="K368" t="e">
        <f>INTEGRAL2(J368,$B368,K367,J367,$B367,'Real Analysis'!$B$19)</f>
        <v>#VALUE!</v>
      </c>
      <c r="L368" t="e">
        <f>IF(AND(B368&lt;'Real Analysis'!$B$32,B368&gt;0),INTEGRAL2(K368,$B368,L367,K367,$B367,'Real Analysis'!$B$20),0)</f>
        <v>#VALUE!</v>
      </c>
      <c r="N368">
        <f>'Real Analysis'!$B$28*'Real Input'!U368+IF('Real Input'!U368 &gt; 0,'Real Analysis'!$B$29,0)</f>
        <v>0</v>
      </c>
      <c r="O368" t="e">
        <f t="shared" si="27"/>
        <v>#VALUE!</v>
      </c>
      <c r="P368" t="e">
        <f t="shared" si="28"/>
        <v>#VALUE!</v>
      </c>
    </row>
    <row r="369" spans="1:16" x14ac:dyDescent="0.3">
      <c r="A369">
        <v>367</v>
      </c>
      <c r="B369">
        <f>'Real Input'!M369</f>
        <v>7.388491999998223</v>
      </c>
      <c r="C369">
        <f ca="1">INDIRECT(CONCATENATE("'Real Input'!",'Real Analysis'!$B$2,A369+2))</f>
        <v>9.8497305000000015</v>
      </c>
      <c r="D369">
        <f t="shared" si="26"/>
        <v>1.6168000001925975E-2</v>
      </c>
      <c r="E369">
        <f ca="1">IF(B369&gt;0,C369-'Real Analysis'!$B$14,0)</f>
        <v>-6.7673023714256431E-3</v>
      </c>
      <c r="F369">
        <f t="shared" ca="1" si="29"/>
        <v>-2.357430520493187E-2</v>
      </c>
      <c r="G369">
        <f t="shared" ca="1" si="30"/>
        <v>-0.13829617074402467</v>
      </c>
      <c r="H369">
        <f ca="1">IF(AND(B369&gt;'Real Analysis'!$B$31,B369&lt;'Real Analysis'!$B$32),FilterInput(E369,'Real Analysis'!$B$26,'Real Analysis'!$B$27),0)</f>
        <v>0</v>
      </c>
      <c r="I369" t="e">
        <f>MEDIAN2("Real Values",H369,'Real Analysis'!$B$5,2)</f>
        <v>#VALUE!</v>
      </c>
      <c r="J369" t="e">
        <f>AVERAGE2("Real Values",I369,'Real Analysis'!$B$6,2)</f>
        <v>#VALUE!</v>
      </c>
      <c r="K369" t="e">
        <f>INTEGRAL2(J369,$B369,K368,J368,$B368,'Real Analysis'!$B$19)</f>
        <v>#VALUE!</v>
      </c>
      <c r="L369" t="e">
        <f>IF(AND(B369&lt;'Real Analysis'!$B$32,B369&gt;0),INTEGRAL2(K369,$B369,L368,K368,$B368,'Real Analysis'!$B$20),0)</f>
        <v>#VALUE!</v>
      </c>
      <c r="N369">
        <f>'Real Analysis'!$B$28*'Real Input'!U369+IF('Real Input'!U369 &gt; 0,'Real Analysis'!$B$29,0)</f>
        <v>0</v>
      </c>
      <c r="O369" t="e">
        <f t="shared" si="27"/>
        <v>#VALUE!</v>
      </c>
      <c r="P369" t="e">
        <f t="shared" si="28"/>
        <v>#VALUE!</v>
      </c>
    </row>
    <row r="370" spans="1:16" x14ac:dyDescent="0.3">
      <c r="A370">
        <v>368</v>
      </c>
      <c r="B370">
        <f>'Real Input'!M370</f>
        <v>7.4141660000022966</v>
      </c>
      <c r="C370">
        <f ca="1">INDIRECT(CONCATENATE("'Real Input'!",'Real Analysis'!$B$2,A370+2))</f>
        <v>9.849328289999999</v>
      </c>
      <c r="D370">
        <f t="shared" si="26"/>
        <v>2.5674000004073605E-2</v>
      </c>
      <c r="E370">
        <f ca="1">IF(B370&gt;0,C370-'Real Analysis'!$B$14,0)</f>
        <v>-7.169512371428155E-3</v>
      </c>
      <c r="F370">
        <f t="shared" ca="1" si="29"/>
        <v>-2.3758375265585122E-2</v>
      </c>
      <c r="G370">
        <f t="shared" ca="1" si="30"/>
        <v>-0.13890614327069009</v>
      </c>
      <c r="H370">
        <f ca="1">IF(AND(B370&gt;'Real Analysis'!$B$31,B370&lt;'Real Analysis'!$B$32),FilterInput(E370,'Real Analysis'!$B$26,'Real Analysis'!$B$27),0)</f>
        <v>0</v>
      </c>
      <c r="I370" t="e">
        <f>MEDIAN2("Real Values",H370,'Real Analysis'!$B$5,2)</f>
        <v>#VALUE!</v>
      </c>
      <c r="J370" t="e">
        <f>AVERAGE2("Real Values",I370,'Real Analysis'!$B$6,2)</f>
        <v>#VALUE!</v>
      </c>
      <c r="K370" t="e">
        <f>INTEGRAL2(J370,$B370,K369,J369,$B369,'Real Analysis'!$B$19)</f>
        <v>#VALUE!</v>
      </c>
      <c r="L370" t="e">
        <f>IF(AND(B370&lt;'Real Analysis'!$B$32,B370&gt;0),INTEGRAL2(K370,$B370,L369,K369,$B369,'Real Analysis'!$B$20),0)</f>
        <v>#VALUE!</v>
      </c>
      <c r="N370">
        <f>'Real Analysis'!$B$28*'Real Input'!U370+IF('Real Input'!U370 &gt; 0,'Real Analysis'!$B$29,0)</f>
        <v>0</v>
      </c>
      <c r="O370" t="e">
        <f t="shared" si="27"/>
        <v>#VALUE!</v>
      </c>
      <c r="P370" t="e">
        <f t="shared" si="28"/>
        <v>#VALUE!</v>
      </c>
    </row>
    <row r="371" spans="1:16" x14ac:dyDescent="0.3">
      <c r="A371">
        <v>369</v>
      </c>
      <c r="B371">
        <f>'Real Input'!M371</f>
        <v>7.4282570000068517</v>
      </c>
      <c r="C371">
        <f ca="1">INDIRECT(CONCATENATE("'Real Input'!",'Real Analysis'!$B$2,A371+2))</f>
        <v>9.847925459999999</v>
      </c>
      <c r="D371">
        <f t="shared" si="26"/>
        <v>1.4091000004555099E-2</v>
      </c>
      <c r="E371">
        <f ca="1">IF(B371&gt;0,C371-'Real Analysis'!$B$14,0)</f>
        <v>-8.5723423714281211E-3</v>
      </c>
      <c r="F371">
        <f t="shared" ca="1" si="29"/>
        <v>-2.3879168141979962E-2</v>
      </c>
      <c r="G371">
        <f t="shared" ca="1" si="30"/>
        <v>-0.13924262462908751</v>
      </c>
      <c r="H371">
        <f ca="1">IF(AND(B371&gt;'Real Analysis'!$B$31,B371&lt;'Real Analysis'!$B$32),FilterInput(E371,'Real Analysis'!$B$26,'Real Analysis'!$B$27),0)</f>
        <v>0</v>
      </c>
      <c r="I371" t="e">
        <f>MEDIAN2("Real Values",H371,'Real Analysis'!$B$5,2)</f>
        <v>#VALUE!</v>
      </c>
      <c r="J371" t="e">
        <f>AVERAGE2("Real Values",I371,'Real Analysis'!$B$6,2)</f>
        <v>#VALUE!</v>
      </c>
      <c r="K371" t="e">
        <f>INTEGRAL2(J371,$B371,K370,J370,$B370,'Real Analysis'!$B$19)</f>
        <v>#VALUE!</v>
      </c>
      <c r="L371" t="e">
        <f>IF(AND(B371&lt;'Real Analysis'!$B$32,B371&gt;0),INTEGRAL2(K371,$B371,L370,K370,$B370,'Real Analysis'!$B$20),0)</f>
        <v>#VALUE!</v>
      </c>
      <c r="N371">
        <f>'Real Analysis'!$B$28*'Real Input'!U371+IF('Real Input'!U371 &gt; 0,'Real Analysis'!$B$29,0)</f>
        <v>0</v>
      </c>
      <c r="O371" t="e">
        <f t="shared" si="27"/>
        <v>#VALUE!</v>
      </c>
      <c r="P371" t="e">
        <f t="shared" si="28"/>
        <v>#VALUE!</v>
      </c>
    </row>
    <row r="372" spans="1:16" x14ac:dyDescent="0.3">
      <c r="A372">
        <v>370</v>
      </c>
      <c r="B372">
        <f>'Real Input'!M372</f>
        <v>7.4526329999935115</v>
      </c>
      <c r="C372">
        <f ca="1">INDIRECT(CONCATENATE("'Real Input'!",'Real Analysis'!$B$2,A372+2))</f>
        <v>9.8508684599999992</v>
      </c>
      <c r="D372">
        <f t="shared" si="26"/>
        <v>2.4375999986659735E-2</v>
      </c>
      <c r="E372">
        <f ca="1">IF(B372&gt;0,C372-'Real Analysis'!$B$14,0)</f>
        <v>-5.6293423714279811E-3</v>
      </c>
      <c r="F372">
        <f t="shared" ca="1" si="29"/>
        <v>-2.4016388991550792E-2</v>
      </c>
      <c r="G372">
        <f t="shared" ca="1" si="30"/>
        <v>-0.13982804812682517</v>
      </c>
      <c r="H372">
        <f ca="1">IF(AND(B372&gt;'Real Analysis'!$B$31,B372&lt;'Real Analysis'!$B$32),FilterInput(E372,'Real Analysis'!$B$26,'Real Analysis'!$B$27),0)</f>
        <v>0</v>
      </c>
      <c r="I372" t="e">
        <f>MEDIAN2("Real Values",H372,'Real Analysis'!$B$5,2)</f>
        <v>#VALUE!</v>
      </c>
      <c r="J372" t="e">
        <f>AVERAGE2("Real Values",I372,'Real Analysis'!$B$6,2)</f>
        <v>#VALUE!</v>
      </c>
      <c r="K372" t="e">
        <f>INTEGRAL2(J372,$B372,K371,J371,$B371,'Real Analysis'!$B$19)</f>
        <v>#VALUE!</v>
      </c>
      <c r="L372" t="e">
        <f>IF(AND(B372&lt;'Real Analysis'!$B$32,B372&gt;0),INTEGRAL2(K372,$B372,L371,K371,$B371,'Real Analysis'!$B$20),0)</f>
        <v>#VALUE!</v>
      </c>
      <c r="N372">
        <f>'Real Analysis'!$B$28*'Real Input'!U372+IF('Real Input'!U372 &gt; 0,'Real Analysis'!$B$29,0)</f>
        <v>0</v>
      </c>
      <c r="O372" t="e">
        <f t="shared" si="27"/>
        <v>#VALUE!</v>
      </c>
      <c r="P372" t="e">
        <f t="shared" si="28"/>
        <v>#VALUE!</v>
      </c>
    </row>
    <row r="373" spans="1:16" x14ac:dyDescent="0.3">
      <c r="A373">
        <v>371</v>
      </c>
      <c r="B373">
        <f>'Real Input'!M373</f>
        <v>7.4675129999959609</v>
      </c>
      <c r="C373">
        <f ca="1">INDIRECT(CONCATENATE("'Real Input'!",'Real Analysis'!$B$2,A373+2))</f>
        <v>9.8502896700000004</v>
      </c>
      <c r="D373">
        <f t="shared" si="26"/>
        <v>1.4880000002449378E-2</v>
      </c>
      <c r="E373">
        <f ca="1">IF(B373&gt;0,C373-'Real Analysis'!$B$14,0)</f>
        <v>-6.2081323714267E-3</v>
      </c>
      <c r="F373">
        <f t="shared" ca="1" si="29"/>
        <v>-2.4108766001252828E-2</v>
      </c>
      <c r="G373">
        <f t="shared" ca="1" si="30"/>
        <v>-0.14018678656498287</v>
      </c>
      <c r="H373">
        <f ca="1">IF(AND(B373&gt;'Real Analysis'!$B$31,B373&lt;'Real Analysis'!$B$32),FilterInput(E373,'Real Analysis'!$B$26,'Real Analysis'!$B$27),0)</f>
        <v>0</v>
      </c>
      <c r="I373" t="e">
        <f>MEDIAN2("Real Values",H373,'Real Analysis'!$B$5,2)</f>
        <v>#VALUE!</v>
      </c>
      <c r="J373" t="e">
        <f>AVERAGE2("Real Values",I373,'Real Analysis'!$B$6,2)</f>
        <v>#VALUE!</v>
      </c>
      <c r="K373" t="e">
        <f>INTEGRAL2(J373,$B373,K372,J372,$B372,'Real Analysis'!$B$19)</f>
        <v>#VALUE!</v>
      </c>
      <c r="L373" t="e">
        <f>IF(AND(B373&lt;'Real Analysis'!$B$32,B373&gt;0),INTEGRAL2(K373,$B373,L372,K372,$B372,'Real Analysis'!$B$20),0)</f>
        <v>#VALUE!</v>
      </c>
      <c r="N373">
        <f>'Real Analysis'!$B$28*'Real Input'!U373+IF('Real Input'!U373 &gt; 0,'Real Analysis'!$B$29,0)</f>
        <v>0</v>
      </c>
      <c r="O373" t="e">
        <f t="shared" si="27"/>
        <v>#VALUE!</v>
      </c>
      <c r="P373" t="e">
        <f t="shared" si="28"/>
        <v>#VALUE!</v>
      </c>
    </row>
    <row r="374" spans="1:16" x14ac:dyDescent="0.3">
      <c r="A374">
        <v>372</v>
      </c>
      <c r="B374">
        <f>'Real Input'!M374</f>
        <v>7.4838699999963865</v>
      </c>
      <c r="C374">
        <f ca="1">INDIRECT(CONCATENATE("'Real Input'!",'Real Analysis'!$B$2,A374+2))</f>
        <v>9.8532915299999999</v>
      </c>
      <c r="D374">
        <f t="shared" si="26"/>
        <v>1.6357000000425614E-2</v>
      </c>
      <c r="E374">
        <f ca="1">IF(B374&gt;0,C374-'Real Analysis'!$B$14,0)</f>
        <v>-3.2062723714272323E-3</v>
      </c>
      <c r="F374">
        <f t="shared" ca="1" si="29"/>
        <v>-2.4161210998433626E-2</v>
      </c>
      <c r="G374">
        <f t="shared" ca="1" si="30"/>
        <v>-0.14058199149329453</v>
      </c>
      <c r="H374">
        <f ca="1">IF(AND(B374&gt;'Real Analysis'!$B$31,B374&lt;'Real Analysis'!$B$32),FilterInput(E374,'Real Analysis'!$B$26,'Real Analysis'!$B$27),0)</f>
        <v>0</v>
      </c>
      <c r="I374" t="e">
        <f>MEDIAN2("Real Values",H374,'Real Analysis'!$B$5,2)</f>
        <v>#VALUE!</v>
      </c>
      <c r="J374" t="e">
        <f>AVERAGE2("Real Values",I374,'Real Analysis'!$B$6,2)</f>
        <v>#VALUE!</v>
      </c>
      <c r="K374" t="e">
        <f>INTEGRAL2(J374,$B374,K373,J373,$B373,'Real Analysis'!$B$19)</f>
        <v>#VALUE!</v>
      </c>
      <c r="L374" t="e">
        <f>IF(AND(B374&lt;'Real Analysis'!$B$32,B374&gt;0),INTEGRAL2(K374,$B374,L373,K373,$B373,'Real Analysis'!$B$20),0)</f>
        <v>#VALUE!</v>
      </c>
      <c r="N374">
        <f>'Real Analysis'!$B$28*'Real Input'!U374+IF('Real Input'!U374 &gt; 0,'Real Analysis'!$B$29,0)</f>
        <v>0</v>
      </c>
      <c r="O374" t="e">
        <f t="shared" si="27"/>
        <v>#VALUE!</v>
      </c>
      <c r="P374" t="e">
        <f t="shared" si="28"/>
        <v>#VALUE!</v>
      </c>
    </row>
    <row r="375" spans="1:16" x14ac:dyDescent="0.3">
      <c r="A375">
        <v>373</v>
      </c>
      <c r="B375">
        <f>'Real Input'!M375</f>
        <v>7.5100749999983236</v>
      </c>
      <c r="C375">
        <f ca="1">INDIRECT(CONCATENATE("'Real Input'!",'Real Analysis'!$B$2,A375+2))</f>
        <v>9.8537427900000001</v>
      </c>
      <c r="D375">
        <f t="shared" si="26"/>
        <v>2.6205000001937151E-2</v>
      </c>
      <c r="E375">
        <f ca="1">IF(B375&gt;0,C375-'Real Analysis'!$B$14,0)</f>
        <v>-2.7550123714270569E-3</v>
      </c>
      <c r="F375">
        <f t="shared" ca="1" si="29"/>
        <v>-2.423340609763221E-2</v>
      </c>
      <c r="G375">
        <f t="shared" ca="1" si="30"/>
        <v>-0.14121702790012994</v>
      </c>
      <c r="H375">
        <f ca="1">IF(AND(B375&gt;'Real Analysis'!$B$31,B375&lt;'Real Analysis'!$B$32),FilterInput(E375,'Real Analysis'!$B$26,'Real Analysis'!$B$27),0)</f>
        <v>0</v>
      </c>
      <c r="I375" t="e">
        <f>MEDIAN2("Real Values",H375,'Real Analysis'!$B$5,2)</f>
        <v>#VALUE!</v>
      </c>
      <c r="J375" t="e">
        <f>AVERAGE2("Real Values",I375,'Real Analysis'!$B$6,2)</f>
        <v>#VALUE!</v>
      </c>
      <c r="K375" t="e">
        <f>INTEGRAL2(J375,$B375,K374,J374,$B374,'Real Analysis'!$B$19)</f>
        <v>#VALUE!</v>
      </c>
      <c r="L375" t="e">
        <f>IF(AND(B375&lt;'Real Analysis'!$B$32,B375&gt;0),INTEGRAL2(K375,$B375,L374,K374,$B374,'Real Analysis'!$B$20),0)</f>
        <v>#VALUE!</v>
      </c>
      <c r="N375">
        <f>'Real Analysis'!$B$28*'Real Input'!U375+IF('Real Input'!U375 &gt; 0,'Real Analysis'!$B$29,0)</f>
        <v>0</v>
      </c>
      <c r="O375" t="e">
        <f t="shared" si="27"/>
        <v>#VALUE!</v>
      </c>
      <c r="P375" t="e">
        <f t="shared" si="28"/>
        <v>#VALUE!</v>
      </c>
    </row>
    <row r="376" spans="1:16" x14ac:dyDescent="0.3">
      <c r="A376">
        <v>374</v>
      </c>
      <c r="B376">
        <f>'Real Input'!M376</f>
        <v>7.528613000002224</v>
      </c>
      <c r="C376">
        <f ca="1">INDIRECT(CONCATENATE("'Real Input'!",'Real Analysis'!$B$2,A376+2))</f>
        <v>9.8522026199999999</v>
      </c>
      <c r="D376">
        <f t="shared" si="26"/>
        <v>1.8538000003900379E-2</v>
      </c>
      <c r="E376">
        <f ca="1">IF(B376&gt;0,C376-'Real Analysis'!$B$14,0)</f>
        <v>-4.2951823714272308E-3</v>
      </c>
      <c r="F376">
        <f t="shared" ca="1" si="29"/>
        <v>-2.431303018845048E-2</v>
      </c>
      <c r="G376">
        <f t="shared" ca="1" si="30"/>
        <v>-0.14166774285385828</v>
      </c>
      <c r="H376">
        <f ca="1">IF(AND(B376&gt;'Real Analysis'!$B$31,B376&lt;'Real Analysis'!$B$32),FilterInput(E376,'Real Analysis'!$B$26,'Real Analysis'!$B$27),0)</f>
        <v>0</v>
      </c>
      <c r="I376" t="e">
        <f>MEDIAN2("Real Values",H376,'Real Analysis'!$B$5,2)</f>
        <v>#VALUE!</v>
      </c>
      <c r="J376" t="e">
        <f>AVERAGE2("Real Values",I376,'Real Analysis'!$B$6,2)</f>
        <v>#VALUE!</v>
      </c>
      <c r="K376" t="e">
        <f>INTEGRAL2(J376,$B376,K375,J375,$B375,'Real Analysis'!$B$19)</f>
        <v>#VALUE!</v>
      </c>
      <c r="L376" t="e">
        <f>IF(AND(B376&lt;'Real Analysis'!$B$32,B376&gt;0),INTEGRAL2(K376,$B376,L375,K375,$B375,'Real Analysis'!$B$20),0)</f>
        <v>#VALUE!</v>
      </c>
      <c r="N376">
        <f>'Real Analysis'!$B$28*'Real Input'!U376+IF('Real Input'!U376 &gt; 0,'Real Analysis'!$B$29,0)</f>
        <v>0</v>
      </c>
      <c r="O376" t="e">
        <f t="shared" si="27"/>
        <v>#VALUE!</v>
      </c>
      <c r="P376" t="e">
        <f t="shared" si="28"/>
        <v>#VALUE!</v>
      </c>
    </row>
    <row r="377" spans="1:16" x14ac:dyDescent="0.3">
      <c r="A377">
        <v>375</v>
      </c>
      <c r="B377">
        <f>'Real Input'!M377</f>
        <v>7.5522110000019893</v>
      </c>
      <c r="C377">
        <f ca="1">INDIRECT(CONCATENATE("'Real Input'!",'Real Analysis'!$B$2,A377+2))</f>
        <v>9.850397580000001</v>
      </c>
      <c r="D377">
        <f t="shared" si="26"/>
        <v>2.3597999999765307E-2</v>
      </c>
      <c r="E377">
        <f ca="1">IF(B377&gt;0,C377-'Real Analysis'!$B$14,0)</f>
        <v>-6.1002223714261561E-3</v>
      </c>
      <c r="F377">
        <f t="shared" ca="1" si="29"/>
        <v>-2.4456983235969964E-2</v>
      </c>
      <c r="G377">
        <f t="shared" ca="1" si="30"/>
        <v>-0.14224487874425495</v>
      </c>
      <c r="H377">
        <f ca="1">IF(AND(B377&gt;'Real Analysis'!$B$31,B377&lt;'Real Analysis'!$B$32),FilterInput(E377,'Real Analysis'!$B$26,'Real Analysis'!$B$27),0)</f>
        <v>0</v>
      </c>
      <c r="I377" t="e">
        <f>MEDIAN2("Real Values",H377,'Real Analysis'!$B$5,2)</f>
        <v>#VALUE!</v>
      </c>
      <c r="J377" t="e">
        <f>AVERAGE2("Real Values",I377,'Real Analysis'!$B$6,2)</f>
        <v>#VALUE!</v>
      </c>
      <c r="K377" t="e">
        <f>INTEGRAL2(J377,$B377,K376,J376,$B376,'Real Analysis'!$B$19)</f>
        <v>#VALUE!</v>
      </c>
      <c r="L377" t="e">
        <f>IF(AND(B377&lt;'Real Analysis'!$B$32,B377&gt;0),INTEGRAL2(K377,$B377,L376,K376,$B376,'Real Analysis'!$B$20),0)</f>
        <v>#VALUE!</v>
      </c>
      <c r="N377">
        <f>'Real Analysis'!$B$28*'Real Input'!U377+IF('Real Input'!U377 &gt; 0,'Real Analysis'!$B$29,0)</f>
        <v>0</v>
      </c>
      <c r="O377" t="e">
        <f t="shared" si="27"/>
        <v>#VALUE!</v>
      </c>
      <c r="P377" t="e">
        <f t="shared" si="28"/>
        <v>#VALUE!</v>
      </c>
    </row>
    <row r="378" spans="1:16" x14ac:dyDescent="0.3">
      <c r="A378">
        <v>376</v>
      </c>
      <c r="B378">
        <f>'Real Input'!M378</f>
        <v>7.5683180000050925</v>
      </c>
      <c r="C378">
        <f ca="1">INDIRECT(CONCATENATE("'Real Input'!",'Real Analysis'!$B$2,A378+2))</f>
        <v>9.8504073900000009</v>
      </c>
      <c r="D378">
        <f t="shared" si="26"/>
        <v>1.6107000003103167E-2</v>
      </c>
      <c r="E378">
        <f ca="1">IF(B378&gt;0,C378-'Real Analysis'!$B$14,0)</f>
        <v>-6.0904123714262681E-3</v>
      </c>
      <c r="F378">
        <f t="shared" ca="1" si="29"/>
        <v>-2.4555081508055427E-2</v>
      </c>
      <c r="G378">
        <f t="shared" ca="1" si="30"/>
        <v>-0.14264038744218141</v>
      </c>
      <c r="H378">
        <f ca="1">IF(AND(B378&gt;'Real Analysis'!$B$31,B378&lt;'Real Analysis'!$B$32),FilterInput(E378,'Real Analysis'!$B$26,'Real Analysis'!$B$27),0)</f>
        <v>0</v>
      </c>
      <c r="I378" t="e">
        <f>MEDIAN2("Real Values",H378,'Real Analysis'!$B$5,2)</f>
        <v>#VALUE!</v>
      </c>
      <c r="J378" t="e">
        <f>AVERAGE2("Real Values",I378,'Real Analysis'!$B$6,2)</f>
        <v>#VALUE!</v>
      </c>
      <c r="K378" t="e">
        <f>INTEGRAL2(J378,$B378,K377,J377,$B377,'Real Analysis'!$B$19)</f>
        <v>#VALUE!</v>
      </c>
      <c r="L378" t="e">
        <f>IF(AND(B378&lt;'Real Analysis'!$B$32,B378&gt;0),INTEGRAL2(K378,$B378,L377,K377,$B377,'Real Analysis'!$B$20),0)</f>
        <v>#VALUE!</v>
      </c>
      <c r="N378">
        <f>'Real Analysis'!$B$28*'Real Input'!U378+IF('Real Input'!U378 &gt; 0,'Real Analysis'!$B$29,0)</f>
        <v>0</v>
      </c>
      <c r="O378" t="e">
        <f t="shared" si="27"/>
        <v>#VALUE!</v>
      </c>
      <c r="P378" t="e">
        <f t="shared" si="28"/>
        <v>#VALUE!</v>
      </c>
    </row>
    <row r="379" spans="1:16" x14ac:dyDescent="0.3">
      <c r="A379">
        <v>377</v>
      </c>
      <c r="B379">
        <f>'Real Input'!M379</f>
        <v>7.5886889999965206</v>
      </c>
      <c r="C379">
        <f ca="1">INDIRECT(CONCATENATE("'Real Input'!",'Real Analysis'!$B$2,A379+2))</f>
        <v>9.8849091599999994</v>
      </c>
      <c r="D379">
        <f t="shared" si="26"/>
        <v>2.0370999991428107E-2</v>
      </c>
      <c r="E379">
        <f ca="1">IF(B379&gt;0,C379-'Real Analysis'!$B$14,0)</f>
        <v>2.8411357628572276E-2</v>
      </c>
      <c r="F379">
        <f t="shared" ca="1" si="29"/>
        <v>-2.3976313742047322E-2</v>
      </c>
      <c r="G379">
        <f t="shared" ca="1" si="30"/>
        <v>-0.14312880892921515</v>
      </c>
      <c r="H379">
        <f ca="1">IF(AND(B379&gt;'Real Analysis'!$B$31,B379&lt;'Real Analysis'!$B$32),FilterInput(E379,'Real Analysis'!$B$26,'Real Analysis'!$B$27),0)</f>
        <v>0</v>
      </c>
      <c r="I379" t="e">
        <f>MEDIAN2("Real Values",H379,'Real Analysis'!$B$5,2)</f>
        <v>#VALUE!</v>
      </c>
      <c r="J379" t="e">
        <f>AVERAGE2("Real Values",I379,'Real Analysis'!$B$6,2)</f>
        <v>#VALUE!</v>
      </c>
      <c r="K379" t="e">
        <f>INTEGRAL2(J379,$B379,K378,J378,$B378,'Real Analysis'!$B$19)</f>
        <v>#VALUE!</v>
      </c>
      <c r="L379" t="e">
        <f>IF(AND(B379&lt;'Real Analysis'!$B$32,B379&gt;0),INTEGRAL2(K379,$B379,L378,K378,$B378,'Real Analysis'!$B$20),0)</f>
        <v>#VALUE!</v>
      </c>
      <c r="N379">
        <f>'Real Analysis'!$B$28*'Real Input'!U379+IF('Real Input'!U379 &gt; 0,'Real Analysis'!$B$29,0)</f>
        <v>0</v>
      </c>
      <c r="O379" t="e">
        <f t="shared" si="27"/>
        <v>#VALUE!</v>
      </c>
      <c r="P379" t="e">
        <f t="shared" si="28"/>
        <v>#VALUE!</v>
      </c>
    </row>
    <row r="380" spans="1:16" x14ac:dyDescent="0.3">
      <c r="A380">
        <v>378</v>
      </c>
      <c r="B380">
        <f>'Real Input'!M380</f>
        <v>7.6127379999961704</v>
      </c>
      <c r="C380">
        <f ca="1">INDIRECT(CONCATENATE("'Real Input'!",'Real Analysis'!$B$2,A380+2))</f>
        <v>9.8500542300000014</v>
      </c>
      <c r="D380">
        <f t="shared" si="26"/>
        <v>2.4048999999649823E-2</v>
      </c>
      <c r="E380">
        <f ca="1">IF(B380&gt;0,C380-'Real Analysis'!$B$14,0)</f>
        <v>-6.4435723714257875E-3</v>
      </c>
      <c r="F380">
        <f t="shared" ca="1" si="29"/>
        <v>-2.4131275214005484E-2</v>
      </c>
      <c r="G380">
        <f t="shared" ca="1" si="30"/>
        <v>-0.14370914196682832</v>
      </c>
      <c r="H380">
        <f ca="1">IF(AND(B380&gt;'Real Analysis'!$B$31,B380&lt;'Real Analysis'!$B$32),FilterInput(E380,'Real Analysis'!$B$26,'Real Analysis'!$B$27),0)</f>
        <v>0</v>
      </c>
      <c r="I380" t="e">
        <f>MEDIAN2("Real Values",H380,'Real Analysis'!$B$5,2)</f>
        <v>#VALUE!</v>
      </c>
      <c r="J380" t="e">
        <f>AVERAGE2("Real Values",I380,'Real Analysis'!$B$6,2)</f>
        <v>#VALUE!</v>
      </c>
      <c r="K380" t="e">
        <f>INTEGRAL2(J380,$B380,K379,J379,$B379,'Real Analysis'!$B$19)</f>
        <v>#VALUE!</v>
      </c>
      <c r="L380" t="e">
        <f>IF(AND(B380&lt;'Real Analysis'!$B$32,B380&gt;0),INTEGRAL2(K380,$B380,L379,K379,$B379,'Real Analysis'!$B$20),0)</f>
        <v>#VALUE!</v>
      </c>
      <c r="N380">
        <f>'Real Analysis'!$B$28*'Real Input'!U380+IF('Real Input'!U380 &gt; 0,'Real Analysis'!$B$29,0)</f>
        <v>0</v>
      </c>
      <c r="O380" t="e">
        <f t="shared" si="27"/>
        <v>#VALUE!</v>
      </c>
      <c r="P380" t="e">
        <f t="shared" si="28"/>
        <v>#VALUE!</v>
      </c>
    </row>
    <row r="381" spans="1:16" x14ac:dyDescent="0.3">
      <c r="A381">
        <v>379</v>
      </c>
      <c r="B381">
        <f>'Real Input'!M381</f>
        <v>7.6298700000043027</v>
      </c>
      <c r="C381">
        <f ca="1">INDIRECT(CONCATENATE("'Real Input'!",'Real Analysis'!$B$2,A381+2))</f>
        <v>9.8431283700000005</v>
      </c>
      <c r="D381">
        <f t="shared" si="26"/>
        <v>1.7132000008132309E-2</v>
      </c>
      <c r="E381">
        <f ca="1">IF(B381&gt;0,C381-'Real Analysis'!$B$14,0)</f>
        <v>-1.3369432371426626E-2</v>
      </c>
      <c r="F381">
        <f t="shared" ca="1" si="29"/>
        <v>-2.436032032950149E-2</v>
      </c>
      <c r="G381">
        <f t="shared" ca="1" si="30"/>
        <v>-0.14412648297491146</v>
      </c>
      <c r="H381">
        <f ca="1">IF(AND(B381&gt;'Real Analysis'!$B$31,B381&lt;'Real Analysis'!$B$32),FilterInput(E381,'Real Analysis'!$B$26,'Real Analysis'!$B$27),0)</f>
        <v>0</v>
      </c>
      <c r="I381" t="e">
        <f>MEDIAN2("Real Values",H381,'Real Analysis'!$B$5,2)</f>
        <v>#VALUE!</v>
      </c>
      <c r="J381" t="e">
        <f>AVERAGE2("Real Values",I381,'Real Analysis'!$B$6,2)</f>
        <v>#VALUE!</v>
      </c>
      <c r="K381" t="e">
        <f>INTEGRAL2(J381,$B381,K380,J380,$B380,'Real Analysis'!$B$19)</f>
        <v>#VALUE!</v>
      </c>
      <c r="L381" t="e">
        <f>IF(AND(B381&lt;'Real Analysis'!$B$32,B381&gt;0),INTEGRAL2(K381,$B381,L380,K380,$B380,'Real Analysis'!$B$20),0)</f>
        <v>#VALUE!</v>
      </c>
      <c r="N381">
        <f>'Real Analysis'!$B$28*'Real Input'!U381+IF('Real Input'!U381 &gt; 0,'Real Analysis'!$B$29,0)</f>
        <v>0</v>
      </c>
      <c r="O381" t="e">
        <f t="shared" si="27"/>
        <v>#VALUE!</v>
      </c>
      <c r="P381" t="e">
        <f t="shared" si="28"/>
        <v>#VALUE!</v>
      </c>
    </row>
    <row r="382" spans="1:16" x14ac:dyDescent="0.3">
      <c r="A382">
        <v>380</v>
      </c>
      <c r="B382">
        <f>'Real Input'!M382</f>
        <v>7.6484230000060052</v>
      </c>
      <c r="C382">
        <f ca="1">INDIRECT(CONCATENATE("'Real Input'!",'Real Analysis'!$B$2,A382+2))</f>
        <v>9.8275697100000023</v>
      </c>
      <c r="D382">
        <f t="shared" si="26"/>
        <v>1.8553000001702458E-2</v>
      </c>
      <c r="E382">
        <f ca="1">IF(B382&gt;0,C382-'Real Analysis'!$B$14,0)</f>
        <v>-2.8928092371424796E-2</v>
      </c>
      <c r="F382">
        <f t="shared" ca="1" si="29"/>
        <v>-2.4897023227317783E-2</v>
      </c>
      <c r="G382">
        <f t="shared" ca="1" si="30"/>
        <v>-0.14458839744689028</v>
      </c>
      <c r="H382">
        <f ca="1">IF(AND(B382&gt;'Real Analysis'!$B$31,B382&lt;'Real Analysis'!$B$32),FilterInput(E382,'Real Analysis'!$B$26,'Real Analysis'!$B$27),0)</f>
        <v>0</v>
      </c>
      <c r="I382" t="e">
        <f>MEDIAN2("Real Values",H382,'Real Analysis'!$B$5,2)</f>
        <v>#VALUE!</v>
      </c>
      <c r="J382" t="e">
        <f>AVERAGE2("Real Values",I382,'Real Analysis'!$B$6,2)</f>
        <v>#VALUE!</v>
      </c>
      <c r="K382" t="e">
        <f>INTEGRAL2(J382,$B382,K381,J381,$B381,'Real Analysis'!$B$19)</f>
        <v>#VALUE!</v>
      </c>
      <c r="L382" t="e">
        <f>IF(AND(B382&lt;'Real Analysis'!$B$32,B382&gt;0),INTEGRAL2(K382,$B382,L381,K381,$B381,'Real Analysis'!$B$20),0)</f>
        <v>#VALUE!</v>
      </c>
      <c r="N382">
        <f>'Real Analysis'!$B$28*'Real Input'!U382+IF('Real Input'!U382 &gt; 0,'Real Analysis'!$B$29,0)</f>
        <v>0</v>
      </c>
      <c r="O382" t="e">
        <f t="shared" si="27"/>
        <v>#VALUE!</v>
      </c>
      <c r="P382" t="e">
        <f t="shared" si="28"/>
        <v>#VALUE!</v>
      </c>
    </row>
    <row r="383" spans="1:16" x14ac:dyDescent="0.3">
      <c r="A383">
        <v>381</v>
      </c>
      <c r="B383">
        <f>'Real Input'!M383</f>
        <v>7.6698239999968791</v>
      </c>
      <c r="C383">
        <f ca="1">INDIRECT(CONCATENATE("'Real Input'!",'Real Analysis'!$B$2,A383+2))</f>
        <v>9.8461596600000014</v>
      </c>
      <c r="D383">
        <f t="shared" si="26"/>
        <v>2.140099999087397E-2</v>
      </c>
      <c r="E383">
        <f ca="1">IF(B383&gt;0,C383-'Real Analysis'!$B$14,0)</f>
        <v>-1.0338142371425718E-2</v>
      </c>
      <c r="F383">
        <f t="shared" ca="1" si="29"/>
        <v>-2.5118269812114319E-2</v>
      </c>
      <c r="G383">
        <f t="shared" ca="1" si="30"/>
        <v>-0.14512595353891011</v>
      </c>
      <c r="H383">
        <f ca="1">IF(AND(B383&gt;'Real Analysis'!$B$31,B383&lt;'Real Analysis'!$B$32),FilterInput(E383,'Real Analysis'!$B$26,'Real Analysis'!$B$27),0)</f>
        <v>0</v>
      </c>
      <c r="I383" t="e">
        <f>MEDIAN2("Real Values",H383,'Real Analysis'!$B$5,2)</f>
        <v>#VALUE!</v>
      </c>
      <c r="J383" t="e">
        <f>AVERAGE2("Real Values",I383,'Real Analysis'!$B$6,2)</f>
        <v>#VALUE!</v>
      </c>
      <c r="K383" t="e">
        <f>INTEGRAL2(J383,$B383,K382,J382,$B382,'Real Analysis'!$B$19)</f>
        <v>#VALUE!</v>
      </c>
      <c r="L383" t="e">
        <f>IF(AND(B383&lt;'Real Analysis'!$B$32,B383&gt;0),INTEGRAL2(K383,$B383,L382,K382,$B382,'Real Analysis'!$B$20),0)</f>
        <v>#VALUE!</v>
      </c>
      <c r="N383">
        <f>'Real Analysis'!$B$28*'Real Input'!U383+IF('Real Input'!U383 &gt; 0,'Real Analysis'!$B$29,0)</f>
        <v>0</v>
      </c>
      <c r="O383" t="e">
        <f t="shared" si="27"/>
        <v>#VALUE!</v>
      </c>
      <c r="P383" t="e">
        <f t="shared" si="28"/>
        <v>#VALUE!</v>
      </c>
    </row>
    <row r="384" spans="1:16" x14ac:dyDescent="0.3">
      <c r="A384">
        <v>382</v>
      </c>
      <c r="B384">
        <f>'Real Input'!M384</f>
        <v>7.6921860000002198</v>
      </c>
      <c r="C384">
        <f ca="1">INDIRECT(CONCATENATE("'Real Input'!",'Real Analysis'!$B$2,A384+2))</f>
        <v>9.8360357399999998</v>
      </c>
      <c r="D384">
        <f t="shared" si="26"/>
        <v>2.2362000003340654E-2</v>
      </c>
      <c r="E384">
        <f ca="1">IF(B384&gt;0,C384-'Real Analysis'!$B$14,0)</f>
        <v>-2.0462062371427336E-2</v>
      </c>
      <c r="F384">
        <f t="shared" ca="1" si="29"/>
        <v>-2.5575842450932532E-2</v>
      </c>
      <c r="G384">
        <f t="shared" ca="1" si="30"/>
        <v>-0.14569788052788329</v>
      </c>
      <c r="H384">
        <f ca="1">IF(AND(B384&gt;'Real Analysis'!$B$31,B384&lt;'Real Analysis'!$B$32),FilterInput(E384,'Real Analysis'!$B$26,'Real Analysis'!$B$27),0)</f>
        <v>0</v>
      </c>
      <c r="I384" t="e">
        <f>MEDIAN2("Real Values",H384,'Real Analysis'!$B$5,2)</f>
        <v>#VALUE!</v>
      </c>
      <c r="J384" t="e">
        <f>AVERAGE2("Real Values",I384,'Real Analysis'!$B$6,2)</f>
        <v>#VALUE!</v>
      </c>
      <c r="K384" t="e">
        <f>INTEGRAL2(J384,$B384,K383,J383,$B383,'Real Analysis'!$B$19)</f>
        <v>#VALUE!</v>
      </c>
      <c r="L384" t="e">
        <f>IF(AND(B384&lt;'Real Analysis'!$B$32,B384&gt;0),INTEGRAL2(K384,$B384,L383,K383,$B383,'Real Analysis'!$B$20),0)</f>
        <v>#VALUE!</v>
      </c>
      <c r="N384">
        <f>'Real Analysis'!$B$28*'Real Input'!U384+IF('Real Input'!U384 &gt; 0,'Real Analysis'!$B$29,0)</f>
        <v>0</v>
      </c>
      <c r="O384" t="e">
        <f t="shared" si="27"/>
        <v>#VALUE!</v>
      </c>
      <c r="P384" t="e">
        <f t="shared" si="28"/>
        <v>#VALUE!</v>
      </c>
    </row>
    <row r="385" spans="1:16" x14ac:dyDescent="0.3">
      <c r="A385">
        <v>383</v>
      </c>
      <c r="B385">
        <f>'Real Input'!M385</f>
        <v>7.7091660000005504</v>
      </c>
      <c r="C385">
        <f ca="1">INDIRECT(CONCATENATE("'Real Input'!",'Real Analysis'!$B$2,A385+2))</f>
        <v>9.7945786800000008</v>
      </c>
      <c r="D385">
        <f t="shared" si="26"/>
        <v>1.698000000033062E-2</v>
      </c>
      <c r="E385">
        <f ca="1">IF(B385&gt;0,C385-'Real Analysis'!$B$14,0)</f>
        <v>-6.1919122371426383E-2</v>
      </c>
      <c r="F385">
        <f t="shared" ca="1" si="29"/>
        <v>-2.6627229148819823E-2</v>
      </c>
      <c r="G385">
        <f t="shared" ca="1" si="30"/>
        <v>-0.14615001087883905</v>
      </c>
      <c r="H385">
        <f ca="1">IF(AND(B385&gt;'Real Analysis'!$B$31,B385&lt;'Real Analysis'!$B$32),FilterInput(E385,'Real Analysis'!$B$26,'Real Analysis'!$B$27),0)</f>
        <v>0</v>
      </c>
      <c r="I385" t="e">
        <f>MEDIAN2("Real Values",H385,'Real Analysis'!$B$5,2)</f>
        <v>#VALUE!</v>
      </c>
      <c r="J385" t="e">
        <f>AVERAGE2("Real Values",I385,'Real Analysis'!$B$6,2)</f>
        <v>#VALUE!</v>
      </c>
      <c r="K385" t="e">
        <f>INTEGRAL2(J385,$B385,K384,J384,$B384,'Real Analysis'!$B$19)</f>
        <v>#VALUE!</v>
      </c>
      <c r="L385" t="e">
        <f>IF(AND(B385&lt;'Real Analysis'!$B$32,B385&gt;0),INTEGRAL2(K385,$B385,L384,K384,$B384,'Real Analysis'!$B$20),0)</f>
        <v>#VALUE!</v>
      </c>
      <c r="N385">
        <f>'Real Analysis'!$B$28*'Real Input'!U385+IF('Real Input'!U385 &gt; 0,'Real Analysis'!$B$29,0)</f>
        <v>0</v>
      </c>
      <c r="O385" t="e">
        <f t="shared" si="27"/>
        <v>#VALUE!</v>
      </c>
      <c r="P385" t="e">
        <f t="shared" si="28"/>
        <v>#VALUE!</v>
      </c>
    </row>
    <row r="386" spans="1:16" x14ac:dyDescent="0.3">
      <c r="A386">
        <v>384</v>
      </c>
      <c r="B386">
        <f>'Real Input'!M386</f>
        <v>7.7291450000047917</v>
      </c>
      <c r="C386">
        <f ca="1">INDIRECT(CONCATENATE("'Real Input'!",'Real Analysis'!$B$2,A386+2))</f>
        <v>9.8592265799999996</v>
      </c>
      <c r="D386">
        <f t="shared" si="26"/>
        <v>1.9979000004241243E-2</v>
      </c>
      <c r="E386">
        <f ca="1">IF(B386&gt;0,C386-'Real Analysis'!$B$14,0)</f>
        <v>2.7287776285724874E-3</v>
      </c>
      <c r="F386">
        <f t="shared" ca="1" si="29"/>
        <v>-2.6572710900566999E-2</v>
      </c>
      <c r="G386">
        <f t="shared" ca="1" si="30"/>
        <v>-0.14668090707003417</v>
      </c>
      <c r="H386">
        <f ca="1">IF(AND(B386&gt;'Real Analysis'!$B$31,B386&lt;'Real Analysis'!$B$32),FilterInput(E386,'Real Analysis'!$B$26,'Real Analysis'!$B$27),0)</f>
        <v>0</v>
      </c>
      <c r="I386" t="e">
        <f>MEDIAN2("Real Values",H386,'Real Analysis'!$B$5,2)</f>
        <v>#VALUE!</v>
      </c>
      <c r="J386" t="e">
        <f>AVERAGE2("Real Values",I386,'Real Analysis'!$B$6,2)</f>
        <v>#VALUE!</v>
      </c>
      <c r="K386" t="e">
        <f>INTEGRAL2(J386,$B386,K385,J385,$B385,'Real Analysis'!$B$19)</f>
        <v>#VALUE!</v>
      </c>
      <c r="L386" t="e">
        <f>IF(AND(B386&lt;'Real Analysis'!$B$32,B386&gt;0),INTEGRAL2(K386,$B386,L385,K385,$B385,'Real Analysis'!$B$20),0)</f>
        <v>#VALUE!</v>
      </c>
      <c r="N386">
        <f>'Real Analysis'!$B$28*'Real Input'!U386+IF('Real Input'!U386 &gt; 0,'Real Analysis'!$B$29,0)</f>
        <v>0</v>
      </c>
      <c r="O386" t="e">
        <f t="shared" si="27"/>
        <v>#VALUE!</v>
      </c>
      <c r="P386" t="e">
        <f t="shared" si="28"/>
        <v>#VALUE!</v>
      </c>
    </row>
    <row r="387" spans="1:16" x14ac:dyDescent="0.3">
      <c r="A387">
        <v>385</v>
      </c>
      <c r="B387">
        <f>'Real Input'!M387</f>
        <v>7.7497719999955734</v>
      </c>
      <c r="C387">
        <f ca="1">INDIRECT(CONCATENATE("'Real Input'!",'Real Analysis'!$B$2,A387+2))</f>
        <v>9.8551554299999999</v>
      </c>
      <c r="D387">
        <f t="shared" ref="D387:D450" si="31">B387-B386</f>
        <v>2.0626999990781769E-2</v>
      </c>
      <c r="E387">
        <f ca="1">IF(B387&gt;0,C387-'Real Analysis'!$B$14,0)</f>
        <v>-1.3423723714272029E-3</v>
      </c>
      <c r="F387">
        <f t="shared" ca="1" si="29"/>
        <v>-2.6600400015460053E-2</v>
      </c>
      <c r="G387">
        <f t="shared" ca="1" si="30"/>
        <v>-0.14722959352090786</v>
      </c>
      <c r="H387">
        <f ca="1">IF(AND(B387&gt;'Real Analysis'!$B$31,B387&lt;'Real Analysis'!$B$32),FilterInput(E387,'Real Analysis'!$B$26,'Real Analysis'!$B$27),0)</f>
        <v>0</v>
      </c>
      <c r="I387" t="e">
        <f>MEDIAN2("Real Values",H387,'Real Analysis'!$B$5,2)</f>
        <v>#VALUE!</v>
      </c>
      <c r="J387" t="e">
        <f>AVERAGE2("Real Values",I387,'Real Analysis'!$B$6,2)</f>
        <v>#VALUE!</v>
      </c>
      <c r="K387" t="e">
        <f>INTEGRAL2(J387,$B387,K386,J386,$B386,'Real Analysis'!$B$19)</f>
        <v>#VALUE!</v>
      </c>
      <c r="L387" t="e">
        <f>IF(AND(B387&lt;'Real Analysis'!$B$32,B387&gt;0),INTEGRAL2(K387,$B387,L386,K386,$B386,'Real Analysis'!$B$20),0)</f>
        <v>#VALUE!</v>
      </c>
      <c r="N387">
        <f>'Real Analysis'!$B$28*'Real Input'!U387+IF('Real Input'!U387 &gt; 0,'Real Analysis'!$B$29,0)</f>
        <v>0</v>
      </c>
      <c r="O387" t="e">
        <f t="shared" ref="O387:O450" si="32">_xlfn.COVARIANCE.P($L$102:$L$1200,N387:N1485)</f>
        <v>#VALUE!</v>
      </c>
      <c r="P387" t="e">
        <f t="shared" ref="P387:P450" si="33">N387-L387</f>
        <v>#VALUE!</v>
      </c>
    </row>
    <row r="388" spans="1:16" x14ac:dyDescent="0.3">
      <c r="A388">
        <v>386</v>
      </c>
      <c r="B388">
        <f>'Real Input'!M388</f>
        <v>7.7715639999951236</v>
      </c>
      <c r="C388">
        <f ca="1">INDIRECT(CONCATENATE("'Real Input'!",'Real Analysis'!$B$2,A388+2))</f>
        <v>9.8494263899999996</v>
      </c>
      <c r="D388">
        <f t="shared" si="31"/>
        <v>2.1791999999550171E-2</v>
      </c>
      <c r="E388">
        <f ca="1">IF(B388&gt;0,C388-'Real Analysis'!$B$14,0)</f>
        <v>-7.071412371427499E-3</v>
      </c>
      <c r="F388">
        <f t="shared" ref="F388:F451" ca="1" si="34">IF(B388&gt;0,F387+E388*$D388,0)</f>
        <v>-2.6754500233855019E-2</v>
      </c>
      <c r="G388">
        <f t="shared" ca="1" si="30"/>
        <v>-0.147812627589992</v>
      </c>
      <c r="H388">
        <f ca="1">IF(AND(B388&gt;'Real Analysis'!$B$31,B388&lt;'Real Analysis'!$B$32),FilterInput(E388,'Real Analysis'!$B$26,'Real Analysis'!$B$27),0)</f>
        <v>0</v>
      </c>
      <c r="I388" t="e">
        <f>MEDIAN2("Real Values",H388,'Real Analysis'!$B$5,2)</f>
        <v>#VALUE!</v>
      </c>
      <c r="J388" t="e">
        <f>AVERAGE2("Real Values",I388,'Real Analysis'!$B$6,2)</f>
        <v>#VALUE!</v>
      </c>
      <c r="K388" t="e">
        <f>INTEGRAL2(J388,$B388,K387,J387,$B387,'Real Analysis'!$B$19)</f>
        <v>#VALUE!</v>
      </c>
      <c r="L388" t="e">
        <f>IF(AND(B388&lt;'Real Analysis'!$B$32,B388&gt;0),INTEGRAL2(K388,$B388,L387,K387,$B387,'Real Analysis'!$B$20),0)</f>
        <v>#VALUE!</v>
      </c>
      <c r="N388">
        <f>'Real Analysis'!$B$28*'Real Input'!U388+IF('Real Input'!U388 &gt; 0,'Real Analysis'!$B$29,0)</f>
        <v>0</v>
      </c>
      <c r="O388" t="e">
        <f t="shared" si="32"/>
        <v>#VALUE!</v>
      </c>
      <c r="P388" t="e">
        <f t="shared" si="33"/>
        <v>#VALUE!</v>
      </c>
    </row>
    <row r="389" spans="1:16" x14ac:dyDescent="0.3">
      <c r="A389">
        <v>387</v>
      </c>
      <c r="B389">
        <f>'Real Input'!M389</f>
        <v>7.7911140000069281</v>
      </c>
      <c r="C389">
        <f ca="1">INDIRECT(CONCATENATE("'Real Input'!",'Real Analysis'!$B$2,A389+2))</f>
        <v>9.8507016899999993</v>
      </c>
      <c r="D389">
        <f t="shared" si="31"/>
        <v>1.9550000011804514E-2</v>
      </c>
      <c r="E389">
        <f ca="1">IF(B389&gt;0,C389-'Real Analysis'!$B$14,0)</f>
        <v>-5.7961123714278528E-3</v>
      </c>
      <c r="F389">
        <f t="shared" ca="1" si="34"/>
        <v>-2.6867814230784853E-2</v>
      </c>
      <c r="G389">
        <f t="shared" ca="1" si="30"/>
        <v>-0.14833789335852102</v>
      </c>
      <c r="H389">
        <f ca="1">IF(AND(B389&gt;'Real Analysis'!$B$31,B389&lt;'Real Analysis'!$B$32),FilterInput(E389,'Real Analysis'!$B$26,'Real Analysis'!$B$27),0)</f>
        <v>0</v>
      </c>
      <c r="I389" t="e">
        <f>MEDIAN2("Real Values",H389,'Real Analysis'!$B$5,2)</f>
        <v>#VALUE!</v>
      </c>
      <c r="J389" t="e">
        <f>AVERAGE2("Real Values",I389,'Real Analysis'!$B$6,2)</f>
        <v>#VALUE!</v>
      </c>
      <c r="K389" t="e">
        <f>INTEGRAL2(J389,$B389,K388,J388,$B388,'Real Analysis'!$B$19)</f>
        <v>#VALUE!</v>
      </c>
      <c r="L389" t="e">
        <f>IF(AND(B389&lt;'Real Analysis'!$B$32,B389&gt;0),INTEGRAL2(K389,$B389,L388,K388,$B388,'Real Analysis'!$B$20),0)</f>
        <v>#VALUE!</v>
      </c>
      <c r="N389">
        <f>'Real Analysis'!$B$28*'Real Input'!U389+IF('Real Input'!U389 &gt; 0,'Real Analysis'!$B$29,0)</f>
        <v>0</v>
      </c>
      <c r="O389" t="e">
        <f t="shared" si="32"/>
        <v>#VALUE!</v>
      </c>
      <c r="P389" t="e">
        <f t="shared" si="33"/>
        <v>#VALUE!</v>
      </c>
    </row>
    <row r="390" spans="1:16" x14ac:dyDescent="0.3">
      <c r="A390">
        <v>388</v>
      </c>
      <c r="B390">
        <f>'Real Input'!M390</f>
        <v>7.8119900000019697</v>
      </c>
      <c r="C390">
        <f ca="1">INDIRECT(CONCATENATE("'Real Input'!",'Real Analysis'!$B$2,A390+2))</f>
        <v>9.8504368200000005</v>
      </c>
      <c r="D390">
        <f t="shared" si="31"/>
        <v>2.0875999995041639E-2</v>
      </c>
      <c r="E390">
        <f ca="1">IF(B390&gt;0,C390-'Real Analysis'!$B$14,0)</f>
        <v>-6.0609823714266042E-3</v>
      </c>
      <c r="F390">
        <f t="shared" ca="1" si="34"/>
        <v>-2.6994343298740703E-2</v>
      </c>
      <c r="G390">
        <f t="shared" ca="1" si="30"/>
        <v>-0.14890142726909167</v>
      </c>
      <c r="H390">
        <f ca="1">IF(AND(B390&gt;'Real Analysis'!$B$31,B390&lt;'Real Analysis'!$B$32),FilterInput(E390,'Real Analysis'!$B$26,'Real Analysis'!$B$27),0)</f>
        <v>0</v>
      </c>
      <c r="I390" t="e">
        <f>MEDIAN2("Real Values",H390,'Real Analysis'!$B$5,2)</f>
        <v>#VALUE!</v>
      </c>
      <c r="J390" t="e">
        <f>AVERAGE2("Real Values",I390,'Real Analysis'!$B$6,2)</f>
        <v>#VALUE!</v>
      </c>
      <c r="K390" t="e">
        <f>INTEGRAL2(J390,$B390,K389,J389,$B389,'Real Analysis'!$B$19)</f>
        <v>#VALUE!</v>
      </c>
      <c r="L390" t="e">
        <f>IF(AND(B390&lt;'Real Analysis'!$B$32,B390&gt;0),INTEGRAL2(K390,$B390,L389,K389,$B389,'Real Analysis'!$B$20),0)</f>
        <v>#VALUE!</v>
      </c>
      <c r="N390">
        <f>'Real Analysis'!$B$28*'Real Input'!U390+IF('Real Input'!U390 &gt; 0,'Real Analysis'!$B$29,0)</f>
        <v>0</v>
      </c>
      <c r="O390" t="e">
        <f t="shared" si="32"/>
        <v>#VALUE!</v>
      </c>
      <c r="P390" t="e">
        <f t="shared" si="33"/>
        <v>#VALUE!</v>
      </c>
    </row>
    <row r="391" spans="1:16" x14ac:dyDescent="0.3">
      <c r="A391">
        <v>389</v>
      </c>
      <c r="B391">
        <f>'Real Input'!M391</f>
        <v>7.8302689999982249</v>
      </c>
      <c r="C391">
        <f ca="1">INDIRECT(CONCATENATE("'Real Input'!",'Real Analysis'!$B$2,A391+2))</f>
        <v>9.8506624500000015</v>
      </c>
      <c r="D391">
        <f t="shared" si="31"/>
        <v>1.8278999996255152E-2</v>
      </c>
      <c r="E391">
        <f ca="1">IF(B391&gt;0,C391-'Real Analysis'!$B$14,0)</f>
        <v>-5.8353523714256283E-3</v>
      </c>
      <c r="F391">
        <f t="shared" ca="1" si="34"/>
        <v>-2.7101007704716139E-2</v>
      </c>
      <c r="G391">
        <f t="shared" ca="1" si="30"/>
        <v>-0.14939680658882468</v>
      </c>
      <c r="H391">
        <f ca="1">IF(AND(B391&gt;'Real Analysis'!$B$31,B391&lt;'Real Analysis'!$B$32),FilterInput(E391,'Real Analysis'!$B$26,'Real Analysis'!$B$27),0)</f>
        <v>0</v>
      </c>
      <c r="I391" t="e">
        <f>MEDIAN2("Real Values",H391,'Real Analysis'!$B$5,2)</f>
        <v>#VALUE!</v>
      </c>
      <c r="J391" t="e">
        <f>AVERAGE2("Real Values",I391,'Real Analysis'!$B$6,2)</f>
        <v>#VALUE!</v>
      </c>
      <c r="K391" t="e">
        <f>INTEGRAL2(J391,$B391,K390,J390,$B390,'Real Analysis'!$B$19)</f>
        <v>#VALUE!</v>
      </c>
      <c r="L391" t="e">
        <f>IF(AND(B391&lt;'Real Analysis'!$B$32,B391&gt;0),INTEGRAL2(K391,$B391,L390,K390,$B390,'Real Analysis'!$B$20),0)</f>
        <v>#VALUE!</v>
      </c>
      <c r="N391">
        <f>'Real Analysis'!$B$28*'Real Input'!U391+IF('Real Input'!U391 &gt; 0,'Real Analysis'!$B$29,0)</f>
        <v>0</v>
      </c>
      <c r="O391" t="e">
        <f t="shared" si="32"/>
        <v>#VALUE!</v>
      </c>
      <c r="P391" t="e">
        <f t="shared" si="33"/>
        <v>#VALUE!</v>
      </c>
    </row>
    <row r="392" spans="1:16" x14ac:dyDescent="0.3">
      <c r="A392">
        <v>390</v>
      </c>
      <c r="B392">
        <f>'Real Input'!M392</f>
        <v>7.8519539999979315</v>
      </c>
      <c r="C392">
        <f ca="1">INDIRECT(CONCATENATE("'Real Input'!",'Real Analysis'!$B$2,A392+2))</f>
        <v>9.8506134000000003</v>
      </c>
      <c r="D392">
        <f t="shared" si="31"/>
        <v>2.1684999999706633E-2</v>
      </c>
      <c r="E392">
        <f ca="1">IF(B392&gt;0,C392-'Real Analysis'!$B$14,0)</f>
        <v>-5.8844023714268445E-3</v>
      </c>
      <c r="F392">
        <f t="shared" ca="1" si="34"/>
        <v>-2.7228610970138803E-2</v>
      </c>
      <c r="G392">
        <f t="shared" ca="1" si="30"/>
        <v>-0.14998725901770416</v>
      </c>
      <c r="H392">
        <f ca="1">IF(AND(B392&gt;'Real Analysis'!$B$31,B392&lt;'Real Analysis'!$B$32),FilterInput(E392,'Real Analysis'!$B$26,'Real Analysis'!$B$27),0)</f>
        <v>0</v>
      </c>
      <c r="I392" t="e">
        <f>MEDIAN2("Real Values",H392,'Real Analysis'!$B$5,2)</f>
        <v>#VALUE!</v>
      </c>
      <c r="J392" t="e">
        <f>AVERAGE2("Real Values",I392,'Real Analysis'!$B$6,2)</f>
        <v>#VALUE!</v>
      </c>
      <c r="K392" t="e">
        <f>INTEGRAL2(J392,$B392,K391,J391,$B391,'Real Analysis'!$B$19)</f>
        <v>#VALUE!</v>
      </c>
      <c r="L392" t="e">
        <f>IF(AND(B392&lt;'Real Analysis'!$B$32,B392&gt;0),INTEGRAL2(K392,$B392,L391,K391,$B391,'Real Analysis'!$B$20),0)</f>
        <v>#VALUE!</v>
      </c>
      <c r="N392">
        <f>'Real Analysis'!$B$28*'Real Input'!U392+IF('Real Input'!U392 &gt; 0,'Real Analysis'!$B$29,0)</f>
        <v>0</v>
      </c>
      <c r="O392" t="e">
        <f t="shared" si="32"/>
        <v>#VALUE!</v>
      </c>
      <c r="P392" t="e">
        <f t="shared" si="33"/>
        <v>#VALUE!</v>
      </c>
    </row>
    <row r="393" spans="1:16" x14ac:dyDescent="0.3">
      <c r="A393">
        <v>391</v>
      </c>
      <c r="B393">
        <f>'Real Input'!M393</f>
        <v>7.8683909999963362</v>
      </c>
      <c r="C393">
        <f ca="1">INDIRECT(CONCATENATE("'Real Input'!",'Real Analysis'!$B$2,A393+2))</f>
        <v>9.8506526399999998</v>
      </c>
      <c r="D393">
        <f t="shared" si="31"/>
        <v>1.6436999998404644E-2</v>
      </c>
      <c r="E393">
        <f ca="1">IF(B393&gt;0,C393-'Real Analysis'!$B$14,0)</f>
        <v>-5.8451623714272927E-3</v>
      </c>
      <c r="F393">
        <f t="shared" ca="1" si="34"/>
        <v>-2.7324687904028627E-2</v>
      </c>
      <c r="G393">
        <f t="shared" ca="1" si="30"/>
        <v>-0.15043639491273908</v>
      </c>
      <c r="H393">
        <f ca="1">IF(AND(B393&gt;'Real Analysis'!$B$31,B393&lt;'Real Analysis'!$B$32),FilterInput(E393,'Real Analysis'!$B$26,'Real Analysis'!$B$27),0)</f>
        <v>0</v>
      </c>
      <c r="I393" t="e">
        <f>MEDIAN2("Real Values",H393,'Real Analysis'!$B$5,2)</f>
        <v>#VALUE!</v>
      </c>
      <c r="J393" t="e">
        <f>AVERAGE2("Real Values",I393,'Real Analysis'!$B$6,2)</f>
        <v>#VALUE!</v>
      </c>
      <c r="K393" t="e">
        <f>INTEGRAL2(J393,$B393,K392,J392,$B392,'Real Analysis'!$B$19)</f>
        <v>#VALUE!</v>
      </c>
      <c r="L393" t="e">
        <f>IF(AND(B393&lt;'Real Analysis'!$B$32,B393&gt;0),INTEGRAL2(K393,$B393,L392,K392,$B392,'Real Analysis'!$B$20),0)</f>
        <v>#VALUE!</v>
      </c>
      <c r="N393">
        <f>'Real Analysis'!$B$28*'Real Input'!U393+IF('Real Input'!U393 &gt; 0,'Real Analysis'!$B$29,0)</f>
        <v>0</v>
      </c>
      <c r="O393" t="e">
        <f t="shared" si="32"/>
        <v>#VALUE!</v>
      </c>
      <c r="P393" t="e">
        <f t="shared" si="33"/>
        <v>#VALUE!</v>
      </c>
    </row>
    <row r="394" spans="1:16" x14ac:dyDescent="0.3">
      <c r="A394">
        <v>392</v>
      </c>
      <c r="B394">
        <f>'Real Input'!M394</f>
        <v>7.8853410000010626</v>
      </c>
      <c r="C394">
        <f ca="1">INDIRECT(CONCATENATE("'Real Input'!",'Real Analysis'!$B$2,A394+2))</f>
        <v>9.850554540000001</v>
      </c>
      <c r="D394">
        <f t="shared" si="31"/>
        <v>1.6950000004726462E-2</v>
      </c>
      <c r="E394">
        <f ca="1">IF(B394&gt;0,C394-'Real Analysis'!$B$14,0)</f>
        <v>-5.9432623714261723E-3</v>
      </c>
      <c r="F394">
        <f t="shared" ca="1" si="34"/>
        <v>-2.7425426201252392E-2</v>
      </c>
      <c r="G394">
        <f t="shared" ca="1" si="30"/>
        <v>-0.15090125588697995</v>
      </c>
      <c r="H394">
        <f ca="1">IF(AND(B394&gt;'Real Analysis'!$B$31,B394&lt;'Real Analysis'!$B$32),FilterInput(E394,'Real Analysis'!$B$26,'Real Analysis'!$B$27),0)</f>
        <v>0</v>
      </c>
      <c r="I394" t="e">
        <f>MEDIAN2("Real Values",H394,'Real Analysis'!$B$5,2)</f>
        <v>#VALUE!</v>
      </c>
      <c r="J394" t="e">
        <f>AVERAGE2("Real Values",I394,'Real Analysis'!$B$6,2)</f>
        <v>#VALUE!</v>
      </c>
      <c r="K394" t="e">
        <f>INTEGRAL2(J394,$B394,K393,J393,$B393,'Real Analysis'!$B$19)</f>
        <v>#VALUE!</v>
      </c>
      <c r="L394" t="e">
        <f>IF(AND(B394&lt;'Real Analysis'!$B$32,B394&gt;0),INTEGRAL2(K394,$B394,L393,K393,$B393,'Real Analysis'!$B$20),0)</f>
        <v>#VALUE!</v>
      </c>
      <c r="N394">
        <f>'Real Analysis'!$B$28*'Real Input'!U394+IF('Real Input'!U394 &gt; 0,'Real Analysis'!$B$29,0)</f>
        <v>0</v>
      </c>
      <c r="O394" t="e">
        <f t="shared" si="32"/>
        <v>#VALUE!</v>
      </c>
      <c r="P394" t="e">
        <f t="shared" si="33"/>
        <v>#VALUE!</v>
      </c>
    </row>
    <row r="395" spans="1:16" x14ac:dyDescent="0.3">
      <c r="A395">
        <v>393</v>
      </c>
      <c r="B395">
        <f>'Real Input'!M395</f>
        <v>7.912956000000122</v>
      </c>
      <c r="C395">
        <f ca="1">INDIRECT(CONCATENATE("'Real Input'!",'Real Analysis'!$B$2,A395+2))</f>
        <v>9.8518494600000022</v>
      </c>
      <c r="D395">
        <f t="shared" si="31"/>
        <v>2.7614999999059364E-2</v>
      </c>
      <c r="E395">
        <f ca="1">IF(B395&gt;0,C395-'Real Analysis'!$B$14,0)</f>
        <v>-4.6483423714249739E-3</v>
      </c>
      <c r="F395">
        <f t="shared" ca="1" si="34"/>
        <v>-2.7553790175834921E-2</v>
      </c>
      <c r="G395">
        <f t="shared" ca="1" si="30"/>
        <v>-0.15166215380265971</v>
      </c>
      <c r="H395">
        <f ca="1">IF(AND(B395&gt;'Real Analysis'!$B$31,B395&lt;'Real Analysis'!$B$32),FilterInput(E395,'Real Analysis'!$B$26,'Real Analysis'!$B$27),0)</f>
        <v>0</v>
      </c>
      <c r="I395" t="e">
        <f>MEDIAN2("Real Values",H395,'Real Analysis'!$B$5,2)</f>
        <v>#VALUE!</v>
      </c>
      <c r="J395" t="e">
        <f>AVERAGE2("Real Values",I395,'Real Analysis'!$B$6,2)</f>
        <v>#VALUE!</v>
      </c>
      <c r="K395" t="e">
        <f>INTEGRAL2(J395,$B395,K394,J394,$B394,'Real Analysis'!$B$19)</f>
        <v>#VALUE!</v>
      </c>
      <c r="L395" t="e">
        <f>IF(AND(B395&lt;'Real Analysis'!$B$32,B395&gt;0),INTEGRAL2(K395,$B395,L394,K394,$B394,'Real Analysis'!$B$20),0)</f>
        <v>#VALUE!</v>
      </c>
      <c r="N395">
        <f>'Real Analysis'!$B$28*'Real Input'!U395+IF('Real Input'!U395 &gt; 0,'Real Analysis'!$B$29,0)</f>
        <v>0</v>
      </c>
      <c r="O395" t="e">
        <f t="shared" si="32"/>
        <v>#VALUE!</v>
      </c>
      <c r="P395" t="e">
        <f t="shared" si="33"/>
        <v>#VALUE!</v>
      </c>
    </row>
    <row r="396" spans="1:16" x14ac:dyDescent="0.3">
      <c r="A396">
        <v>394</v>
      </c>
      <c r="B396">
        <f>'Real Input'!M396</f>
        <v>7.9313450000045123</v>
      </c>
      <c r="C396">
        <f ca="1">INDIRECT(CONCATENATE("'Real Input'!",'Real Analysis'!$B$2,A396+2))</f>
        <v>9.8530462800000009</v>
      </c>
      <c r="D396">
        <f t="shared" si="31"/>
        <v>1.8389000004390255E-2</v>
      </c>
      <c r="E396">
        <f ca="1">IF(B396&gt;0,C396-'Real Analysis'!$B$14,0)</f>
        <v>-3.4515223714262078E-3</v>
      </c>
      <c r="F396">
        <f t="shared" ca="1" si="34"/>
        <v>-2.7617260220738231E-2</v>
      </c>
      <c r="G396">
        <f t="shared" ca="1" si="30"/>
        <v>-0.15217000760098012</v>
      </c>
      <c r="H396">
        <f ca="1">IF(AND(B396&gt;'Real Analysis'!$B$31,B396&lt;'Real Analysis'!$B$32),FilterInput(E396,'Real Analysis'!$B$26,'Real Analysis'!$B$27),0)</f>
        <v>0</v>
      </c>
      <c r="I396" t="e">
        <f>MEDIAN2("Real Values",H396,'Real Analysis'!$B$5,2)</f>
        <v>#VALUE!</v>
      </c>
      <c r="J396" t="e">
        <f>AVERAGE2("Real Values",I396,'Real Analysis'!$B$6,2)</f>
        <v>#VALUE!</v>
      </c>
      <c r="K396" t="e">
        <f>INTEGRAL2(J396,$B396,K395,J395,$B395,'Real Analysis'!$B$19)</f>
        <v>#VALUE!</v>
      </c>
      <c r="L396" t="e">
        <f>IF(AND(B396&lt;'Real Analysis'!$B$32,B396&gt;0),INTEGRAL2(K396,$B396,L395,K395,$B395,'Real Analysis'!$B$20),0)</f>
        <v>#VALUE!</v>
      </c>
      <c r="N396">
        <f>'Real Analysis'!$B$28*'Real Input'!U396+IF('Real Input'!U396 &gt; 0,'Real Analysis'!$B$29,0)</f>
        <v>0</v>
      </c>
      <c r="O396" t="e">
        <f t="shared" si="32"/>
        <v>#VALUE!</v>
      </c>
      <c r="P396" t="e">
        <f t="shared" si="33"/>
        <v>#VALUE!</v>
      </c>
    </row>
    <row r="397" spans="1:16" x14ac:dyDescent="0.3">
      <c r="A397">
        <v>395</v>
      </c>
      <c r="B397">
        <f>'Real Input'!M397</f>
        <v>7.9516210000001593</v>
      </c>
      <c r="C397">
        <f ca="1">INDIRECT(CONCATENATE("'Real Input'!",'Real Analysis'!$B$2,A397+2))</f>
        <v>9.8539586099999994</v>
      </c>
      <c r="D397">
        <f t="shared" si="31"/>
        <v>2.0275999995646998E-2</v>
      </c>
      <c r="E397">
        <f ca="1">IF(B397&gt;0,C397-'Real Analysis'!$B$14,0)</f>
        <v>-2.5391923714277453E-3</v>
      </c>
      <c r="F397">
        <f t="shared" ca="1" si="34"/>
        <v>-2.7668744885250247E-2</v>
      </c>
      <c r="G397">
        <f t="shared" ca="1" si="30"/>
        <v>-0.152731019072153</v>
      </c>
      <c r="H397">
        <f ca="1">IF(AND(B397&gt;'Real Analysis'!$B$31,B397&lt;'Real Analysis'!$B$32),FilterInput(E397,'Real Analysis'!$B$26,'Real Analysis'!$B$27),0)</f>
        <v>0</v>
      </c>
      <c r="I397" t="e">
        <f>MEDIAN2("Real Values",H397,'Real Analysis'!$B$5,2)</f>
        <v>#VALUE!</v>
      </c>
      <c r="J397" t="e">
        <f>AVERAGE2("Real Values",I397,'Real Analysis'!$B$6,2)</f>
        <v>#VALUE!</v>
      </c>
      <c r="K397" t="e">
        <f>INTEGRAL2(J397,$B397,K396,J396,$B396,'Real Analysis'!$B$19)</f>
        <v>#VALUE!</v>
      </c>
      <c r="L397" t="e">
        <f>IF(AND(B397&lt;'Real Analysis'!$B$32,B397&gt;0),INTEGRAL2(K397,$B397,L396,K396,$B396,'Real Analysis'!$B$20),0)</f>
        <v>#VALUE!</v>
      </c>
      <c r="N397">
        <f>'Real Analysis'!$B$28*'Real Input'!U397+IF('Real Input'!U397 &gt; 0,'Real Analysis'!$B$29,0)</f>
        <v>0</v>
      </c>
      <c r="O397" t="e">
        <f t="shared" si="32"/>
        <v>#VALUE!</v>
      </c>
      <c r="P397" t="e">
        <f t="shared" si="33"/>
        <v>#VALUE!</v>
      </c>
    </row>
    <row r="398" spans="1:16" x14ac:dyDescent="0.3">
      <c r="A398">
        <v>396</v>
      </c>
      <c r="B398">
        <f>'Real Input'!M398</f>
        <v>7.9659260000044014</v>
      </c>
      <c r="C398">
        <f ca="1">INDIRECT(CONCATENATE("'Real Input'!",'Real Analysis'!$B$2,A398+2))</f>
        <v>9.8536152599999998</v>
      </c>
      <c r="D398">
        <f t="shared" si="31"/>
        <v>1.4305000004242174E-2</v>
      </c>
      <c r="E398">
        <f ca="1">IF(B398&gt;0,C398-'Real Analysis'!$B$14,0)</f>
        <v>-2.8825423714273768E-3</v>
      </c>
      <c r="F398">
        <f t="shared" ca="1" si="34"/>
        <v>-2.7709979653885743E-2</v>
      </c>
      <c r="G398">
        <f t="shared" ca="1" si="30"/>
        <v>-0.15312741033121938</v>
      </c>
      <c r="H398">
        <f ca="1">IF(AND(B398&gt;'Real Analysis'!$B$31,B398&lt;'Real Analysis'!$B$32),FilterInput(E398,'Real Analysis'!$B$26,'Real Analysis'!$B$27),0)</f>
        <v>0</v>
      </c>
      <c r="I398" t="e">
        <f>MEDIAN2("Real Values",H398,'Real Analysis'!$B$5,2)</f>
        <v>#VALUE!</v>
      </c>
      <c r="J398" t="e">
        <f>AVERAGE2("Real Values",I398,'Real Analysis'!$B$6,2)</f>
        <v>#VALUE!</v>
      </c>
      <c r="K398" t="e">
        <f>INTEGRAL2(J398,$B398,K397,J397,$B397,'Real Analysis'!$B$19)</f>
        <v>#VALUE!</v>
      </c>
      <c r="L398" t="e">
        <f>IF(AND(B398&lt;'Real Analysis'!$B$32,B398&gt;0),INTEGRAL2(K398,$B398,L397,K397,$B397,'Real Analysis'!$B$20),0)</f>
        <v>#VALUE!</v>
      </c>
      <c r="N398">
        <f>'Real Analysis'!$B$28*'Real Input'!U398+IF('Real Input'!U398 &gt; 0,'Real Analysis'!$B$29,0)</f>
        <v>0</v>
      </c>
      <c r="O398" t="e">
        <f t="shared" si="32"/>
        <v>#VALUE!</v>
      </c>
      <c r="P398" t="e">
        <f t="shared" si="33"/>
        <v>#VALUE!</v>
      </c>
    </row>
    <row r="399" spans="1:16" x14ac:dyDescent="0.3">
      <c r="A399">
        <v>397</v>
      </c>
      <c r="B399">
        <f>'Real Input'!M399</f>
        <v>7.9909760000009555</v>
      </c>
      <c r="C399">
        <f ca="1">INDIRECT(CONCATENATE("'Real Input'!",'Real Analysis'!$B$2,A399+2))</f>
        <v>9.8504073900000009</v>
      </c>
      <c r="D399">
        <f t="shared" si="31"/>
        <v>2.5049999996554106E-2</v>
      </c>
      <c r="E399">
        <f ca="1">IF(B399&gt;0,C399-'Real Analysis'!$B$14,0)</f>
        <v>-6.0904123714262681E-3</v>
      </c>
      <c r="F399">
        <f t="shared" ca="1" si="34"/>
        <v>-2.7862544483768983E-2</v>
      </c>
      <c r="G399">
        <f t="shared" ca="1" si="30"/>
        <v>-0.15382536707044178</v>
      </c>
      <c r="H399">
        <f ca="1">IF(AND(B399&gt;'Real Analysis'!$B$31,B399&lt;'Real Analysis'!$B$32),FilterInput(E399,'Real Analysis'!$B$26,'Real Analysis'!$B$27),0)</f>
        <v>0</v>
      </c>
      <c r="I399" t="e">
        <f>MEDIAN2("Real Values",H399,'Real Analysis'!$B$5,2)</f>
        <v>#VALUE!</v>
      </c>
      <c r="J399" t="e">
        <f>AVERAGE2("Real Values",I399,'Real Analysis'!$B$6,2)</f>
        <v>#VALUE!</v>
      </c>
      <c r="K399" t="e">
        <f>INTEGRAL2(J399,$B399,K398,J398,$B398,'Real Analysis'!$B$19)</f>
        <v>#VALUE!</v>
      </c>
      <c r="L399" t="e">
        <f>IF(AND(B399&lt;'Real Analysis'!$B$32,B399&gt;0),INTEGRAL2(K399,$B399,L398,K398,$B398,'Real Analysis'!$B$20),0)</f>
        <v>#VALUE!</v>
      </c>
      <c r="N399">
        <f>'Real Analysis'!$B$28*'Real Input'!U399+IF('Real Input'!U399 &gt; 0,'Real Analysis'!$B$29,0)</f>
        <v>0</v>
      </c>
      <c r="O399" t="e">
        <f t="shared" si="32"/>
        <v>#VALUE!</v>
      </c>
      <c r="P399" t="e">
        <f t="shared" si="33"/>
        <v>#VALUE!</v>
      </c>
    </row>
    <row r="400" spans="1:16" x14ac:dyDescent="0.3">
      <c r="A400">
        <v>398</v>
      </c>
      <c r="B400">
        <f>'Real Input'!M400</f>
        <v>8.01231099999859</v>
      </c>
      <c r="C400">
        <f ca="1">INDIRECT(CONCATENATE("'Real Input'!",'Real Analysis'!$B$2,A400+2))</f>
        <v>9.8513001000000013</v>
      </c>
      <c r="D400">
        <f t="shared" si="31"/>
        <v>2.1334999997634441E-2</v>
      </c>
      <c r="E400">
        <f ca="1">IF(B400&gt;0,C400-'Real Analysis'!$B$14,0)</f>
        <v>-5.1977023714258053E-3</v>
      </c>
      <c r="F400">
        <f t="shared" ca="1" si="34"/>
        <v>-2.7973437463851055E-2</v>
      </c>
      <c r="G400">
        <f t="shared" ca="1" si="30"/>
        <v>-0.15442218035866687</v>
      </c>
      <c r="H400">
        <f ca="1">IF(AND(B400&gt;'Real Analysis'!$B$31,B400&lt;'Real Analysis'!$B$32),FilterInput(E400,'Real Analysis'!$B$26,'Real Analysis'!$B$27),0)</f>
        <v>0</v>
      </c>
      <c r="I400" t="e">
        <f>MEDIAN2("Real Values",H400,'Real Analysis'!$B$5,2)</f>
        <v>#VALUE!</v>
      </c>
      <c r="J400" t="e">
        <f>AVERAGE2("Real Values",I400,'Real Analysis'!$B$6,2)</f>
        <v>#VALUE!</v>
      </c>
      <c r="K400" t="e">
        <f>INTEGRAL2(J400,$B400,K399,J399,$B399,'Real Analysis'!$B$19)</f>
        <v>#VALUE!</v>
      </c>
      <c r="L400" t="e">
        <f>IF(AND(B400&lt;'Real Analysis'!$B$32,B400&gt;0),INTEGRAL2(K400,$B400,L399,K399,$B399,'Real Analysis'!$B$20),0)</f>
        <v>#VALUE!</v>
      </c>
      <c r="N400">
        <f>'Real Analysis'!$B$28*'Real Input'!U400+IF('Real Input'!U400 &gt; 0,'Real Analysis'!$B$29,0)</f>
        <v>0</v>
      </c>
      <c r="O400" t="e">
        <f t="shared" si="32"/>
        <v>#VALUE!</v>
      </c>
      <c r="P400" t="e">
        <f t="shared" si="33"/>
        <v>#VALUE!</v>
      </c>
    </row>
    <row r="401" spans="1:16" x14ac:dyDescent="0.3">
      <c r="A401">
        <v>399</v>
      </c>
      <c r="B401">
        <f>'Real Input'!M401</f>
        <v>8.0322259999957168</v>
      </c>
      <c r="C401">
        <f ca="1">INDIRECT(CONCATENATE("'Real Input'!",'Real Analysis'!$B$2,A401+2))</f>
        <v>9.8540959499999996</v>
      </c>
      <c r="D401">
        <f t="shared" si="31"/>
        <v>1.991499999712687E-2</v>
      </c>
      <c r="E401">
        <f ca="1">IF(B401&gt;0,C401-'Real Analysis'!$B$14,0)</f>
        <v>-2.4018523714275375E-3</v>
      </c>
      <c r="F401">
        <f t="shared" ca="1" si="34"/>
        <v>-2.8021270353821133E-2</v>
      </c>
      <c r="G401">
        <f t="shared" ca="1" si="30"/>
        <v>-0.15498022395768271</v>
      </c>
      <c r="H401">
        <f ca="1">IF(AND(B401&gt;'Real Analysis'!$B$31,B401&lt;'Real Analysis'!$B$32),FilterInput(E401,'Real Analysis'!$B$26,'Real Analysis'!$B$27),0)</f>
        <v>0</v>
      </c>
      <c r="I401" t="e">
        <f>MEDIAN2("Real Values",H401,'Real Analysis'!$B$5,2)</f>
        <v>#VALUE!</v>
      </c>
      <c r="J401" t="e">
        <f>AVERAGE2("Real Values",I401,'Real Analysis'!$B$6,2)</f>
        <v>#VALUE!</v>
      </c>
      <c r="K401" t="e">
        <f>INTEGRAL2(J401,$B401,K400,J400,$B400,'Real Analysis'!$B$19)</f>
        <v>#VALUE!</v>
      </c>
      <c r="L401" t="e">
        <f>IF(AND(B401&lt;'Real Analysis'!$B$32,B401&gt;0),INTEGRAL2(K401,$B401,L400,K400,$B400,'Real Analysis'!$B$20),0)</f>
        <v>#VALUE!</v>
      </c>
      <c r="N401">
        <f>'Real Analysis'!$B$28*'Real Input'!U401+IF('Real Input'!U401 &gt; 0,'Real Analysis'!$B$29,0)</f>
        <v>0</v>
      </c>
      <c r="O401" t="e">
        <f t="shared" si="32"/>
        <v>#VALUE!</v>
      </c>
      <c r="P401" t="e">
        <f t="shared" si="33"/>
        <v>#VALUE!</v>
      </c>
    </row>
    <row r="402" spans="1:16" x14ac:dyDescent="0.3">
      <c r="A402">
        <v>400</v>
      </c>
      <c r="B402">
        <f>'Real Input'!M402</f>
        <v>8.0511189999961061</v>
      </c>
      <c r="C402">
        <f ca="1">INDIRECT(CONCATENATE("'Real Input'!",'Real Analysis'!$B$2,A402+2))</f>
        <v>9.8502994800000003</v>
      </c>
      <c r="D402">
        <f t="shared" si="31"/>
        <v>1.8893000000389293E-2</v>
      </c>
      <c r="E402">
        <f ca="1">IF(B402&gt;0,C402-'Real Analysis'!$B$14,0)</f>
        <v>-6.1983223714268121E-3</v>
      </c>
      <c r="F402">
        <f t="shared" ca="1" si="34"/>
        <v>-2.8138375258386913E-2</v>
      </c>
      <c r="G402">
        <f t="shared" ca="1" si="30"/>
        <v>-0.15551184228145037</v>
      </c>
      <c r="H402">
        <f ca="1">IF(AND(B402&gt;'Real Analysis'!$B$31,B402&lt;'Real Analysis'!$B$32),FilterInput(E402,'Real Analysis'!$B$26,'Real Analysis'!$B$27),0)</f>
        <v>0</v>
      </c>
      <c r="I402" t="e">
        <f>MEDIAN2("Real Values",H402,'Real Analysis'!$B$5,2)</f>
        <v>#VALUE!</v>
      </c>
      <c r="J402" t="e">
        <f>AVERAGE2("Real Values",I402,'Real Analysis'!$B$6,2)</f>
        <v>#VALUE!</v>
      </c>
      <c r="K402" t="e">
        <f>INTEGRAL2(J402,$B402,K401,J401,$B401,'Real Analysis'!$B$19)</f>
        <v>#VALUE!</v>
      </c>
      <c r="L402" t="e">
        <f>IF(AND(B402&lt;'Real Analysis'!$B$32,B402&gt;0),INTEGRAL2(K402,$B402,L401,K401,$B401,'Real Analysis'!$B$20),0)</f>
        <v>#VALUE!</v>
      </c>
      <c r="N402">
        <f>'Real Analysis'!$B$28*'Real Input'!U402+IF('Real Input'!U402 &gt; 0,'Real Analysis'!$B$29,0)</f>
        <v>0</v>
      </c>
      <c r="O402" t="e">
        <f t="shared" si="32"/>
        <v>#VALUE!</v>
      </c>
      <c r="P402" t="e">
        <f t="shared" si="33"/>
        <v>#VALUE!</v>
      </c>
    </row>
    <row r="403" spans="1:16" x14ac:dyDescent="0.3">
      <c r="A403">
        <v>401</v>
      </c>
      <c r="B403">
        <f>'Real Input'!M403</f>
        <v>8.0714940000034403</v>
      </c>
      <c r="C403">
        <f ca="1">INDIRECT(CONCATENATE("'Real Input'!",'Real Analysis'!$B$2,A403+2))</f>
        <v>9.8494558200000011</v>
      </c>
      <c r="D403">
        <f t="shared" si="31"/>
        <v>2.0375000007334165E-2</v>
      </c>
      <c r="E403">
        <f ca="1">IF(B403&gt;0,C403-'Real Analysis'!$B$14,0)</f>
        <v>-7.0419823714260588E-3</v>
      </c>
      <c r="F403">
        <f t="shared" ca="1" si="34"/>
        <v>-2.8281855649256366E-2</v>
      </c>
      <c r="G403">
        <f t="shared" ca="1" si="30"/>
        <v>-0.15608808509051139</v>
      </c>
      <c r="H403">
        <f ca="1">IF(AND(B403&gt;'Real Analysis'!$B$31,B403&lt;'Real Analysis'!$B$32),FilterInput(E403,'Real Analysis'!$B$26,'Real Analysis'!$B$27),0)</f>
        <v>0</v>
      </c>
      <c r="I403" t="e">
        <f>MEDIAN2("Real Values",H403,'Real Analysis'!$B$5,2)</f>
        <v>#VALUE!</v>
      </c>
      <c r="J403" t="e">
        <f>AVERAGE2("Real Values",I403,'Real Analysis'!$B$6,2)</f>
        <v>#VALUE!</v>
      </c>
      <c r="K403" t="e">
        <f>INTEGRAL2(J403,$B403,K402,J402,$B402,'Real Analysis'!$B$19)</f>
        <v>#VALUE!</v>
      </c>
      <c r="L403" t="e">
        <f>IF(AND(B403&lt;'Real Analysis'!$B$32,B403&gt;0),INTEGRAL2(K403,$B403,L402,K402,$B402,'Real Analysis'!$B$20),0)</f>
        <v>#VALUE!</v>
      </c>
      <c r="N403">
        <f>'Real Analysis'!$B$28*'Real Input'!U403+IF('Real Input'!U403 &gt; 0,'Real Analysis'!$B$29,0)</f>
        <v>0</v>
      </c>
      <c r="O403" t="e">
        <f t="shared" si="32"/>
        <v>#VALUE!</v>
      </c>
      <c r="P403" t="e">
        <f t="shared" si="33"/>
        <v>#VALUE!</v>
      </c>
    </row>
    <row r="404" spans="1:16" x14ac:dyDescent="0.3">
      <c r="A404">
        <v>402</v>
      </c>
      <c r="B404">
        <f>'Real Input'!M404</f>
        <v>8.0898069999966538</v>
      </c>
      <c r="C404">
        <f ca="1">INDIRECT(CONCATENATE("'Real Input'!",'Real Analysis'!$B$2,A404+2))</f>
        <v>9.850417199999999</v>
      </c>
      <c r="D404">
        <f t="shared" si="31"/>
        <v>1.8312999993213452E-2</v>
      </c>
      <c r="E404">
        <f ca="1">IF(B404&gt;0,C404-'Real Analysis'!$B$14,0)</f>
        <v>-6.0806023714281565E-3</v>
      </c>
      <c r="F404">
        <f t="shared" ca="1" si="34"/>
        <v>-2.8393209720443062E-2</v>
      </c>
      <c r="G404">
        <f t="shared" ca="1" si="30"/>
        <v>-0.15660804993992916</v>
      </c>
      <c r="H404">
        <f ca="1">IF(AND(B404&gt;'Real Analysis'!$B$31,B404&lt;'Real Analysis'!$B$32),FilterInput(E404,'Real Analysis'!$B$26,'Real Analysis'!$B$27),0)</f>
        <v>0</v>
      </c>
      <c r="I404" t="e">
        <f>MEDIAN2("Real Values",H404,'Real Analysis'!$B$5,2)</f>
        <v>#VALUE!</v>
      </c>
      <c r="J404" t="e">
        <f>AVERAGE2("Real Values",I404,'Real Analysis'!$B$6,2)</f>
        <v>#VALUE!</v>
      </c>
      <c r="K404" t="e">
        <f>INTEGRAL2(J404,$B404,K403,J403,$B403,'Real Analysis'!$B$19)</f>
        <v>#VALUE!</v>
      </c>
      <c r="L404" t="e">
        <f>IF(AND(B404&lt;'Real Analysis'!$B$32,B404&gt;0),INTEGRAL2(K404,$B404,L403,K403,$B403,'Real Analysis'!$B$20),0)</f>
        <v>#VALUE!</v>
      </c>
      <c r="N404">
        <f>'Real Analysis'!$B$28*'Real Input'!U404+IF('Real Input'!U404 &gt; 0,'Real Analysis'!$B$29,0)</f>
        <v>0</v>
      </c>
      <c r="O404" t="e">
        <f t="shared" si="32"/>
        <v>#VALUE!</v>
      </c>
      <c r="P404" t="e">
        <f t="shared" si="33"/>
        <v>#VALUE!</v>
      </c>
    </row>
    <row r="405" spans="1:16" x14ac:dyDescent="0.3">
      <c r="A405">
        <v>403</v>
      </c>
      <c r="B405">
        <f>'Real Input'!M405</f>
        <v>8.1068789999990258</v>
      </c>
      <c r="C405">
        <f ca="1">INDIRECT(CONCATENATE("'Real Input'!",'Real Analysis'!$B$2,A405+2))</f>
        <v>9.8478175500000003</v>
      </c>
      <c r="D405">
        <f t="shared" si="31"/>
        <v>1.7072000002372079E-2</v>
      </c>
      <c r="E405">
        <f ca="1">IF(B405&gt;0,C405-'Real Analysis'!$B$14,0)</f>
        <v>-8.6802523714268887E-3</v>
      </c>
      <c r="F405">
        <f t="shared" ca="1" si="34"/>
        <v>-2.8541398988948651E-2</v>
      </c>
      <c r="G405">
        <f t="shared" ca="1" si="30"/>
        <v>-0.15709530870353619</v>
      </c>
      <c r="H405">
        <f ca="1">IF(AND(B405&gt;'Real Analysis'!$B$31,B405&lt;'Real Analysis'!$B$32),FilterInput(E405,'Real Analysis'!$B$26,'Real Analysis'!$B$27),0)</f>
        <v>0</v>
      </c>
      <c r="I405" t="e">
        <f>MEDIAN2("Real Values",H405,'Real Analysis'!$B$5,2)</f>
        <v>#VALUE!</v>
      </c>
      <c r="J405" t="e">
        <f>AVERAGE2("Real Values",I405,'Real Analysis'!$B$6,2)</f>
        <v>#VALUE!</v>
      </c>
      <c r="K405" t="e">
        <f>INTEGRAL2(J405,$B405,K404,J404,$B404,'Real Analysis'!$B$19)</f>
        <v>#VALUE!</v>
      </c>
      <c r="L405" t="e">
        <f>IF(AND(B405&lt;'Real Analysis'!$B$32,B405&gt;0),INTEGRAL2(K405,$B405,L404,K404,$B404,'Real Analysis'!$B$20),0)</f>
        <v>#VALUE!</v>
      </c>
      <c r="N405">
        <f>'Real Analysis'!$B$28*'Real Input'!U405+IF('Real Input'!U405 &gt; 0,'Real Analysis'!$B$29,0)</f>
        <v>0</v>
      </c>
      <c r="O405" t="e">
        <f t="shared" si="32"/>
        <v>#VALUE!</v>
      </c>
      <c r="P405" t="e">
        <f t="shared" si="33"/>
        <v>#VALUE!</v>
      </c>
    </row>
    <row r="406" spans="1:16" x14ac:dyDescent="0.3">
      <c r="A406">
        <v>404</v>
      </c>
      <c r="B406">
        <f>'Real Input'!M406</f>
        <v>8.1312029999971855</v>
      </c>
      <c r="C406">
        <f ca="1">INDIRECT(CONCATENATE("'Real Input'!",'Real Analysis'!$B$2,A406+2))</f>
        <v>9.8476213500000007</v>
      </c>
      <c r="D406">
        <f t="shared" si="31"/>
        <v>2.4323999998159707E-2</v>
      </c>
      <c r="E406">
        <f ca="1">IF(B406&gt;0,C406-'Real Analysis'!$B$14,0)</f>
        <v>-8.8764523714264243E-3</v>
      </c>
      <c r="F406">
        <f t="shared" ca="1" si="34"/>
        <v>-2.8757309816414892E-2</v>
      </c>
      <c r="G406">
        <f t="shared" ca="1" si="30"/>
        <v>-0.15779480150745775</v>
      </c>
      <c r="H406">
        <f ca="1">IF(AND(B406&gt;'Real Analysis'!$B$31,B406&lt;'Real Analysis'!$B$32),FilterInput(E406,'Real Analysis'!$B$26,'Real Analysis'!$B$27),0)</f>
        <v>0</v>
      </c>
      <c r="I406" t="e">
        <f>MEDIAN2("Real Values",H406,'Real Analysis'!$B$5,2)</f>
        <v>#VALUE!</v>
      </c>
      <c r="J406" t="e">
        <f>AVERAGE2("Real Values",I406,'Real Analysis'!$B$6,2)</f>
        <v>#VALUE!</v>
      </c>
      <c r="K406" t="e">
        <f>INTEGRAL2(J406,$B406,K405,J405,$B405,'Real Analysis'!$B$19)</f>
        <v>#VALUE!</v>
      </c>
      <c r="L406" t="e">
        <f>IF(AND(B406&lt;'Real Analysis'!$B$32,B406&gt;0),INTEGRAL2(K406,$B406,L405,K405,$B405,'Real Analysis'!$B$20),0)</f>
        <v>#VALUE!</v>
      </c>
      <c r="N406">
        <f>'Real Analysis'!$B$28*'Real Input'!U406+IF('Real Input'!U406 &gt; 0,'Real Analysis'!$B$29,0)</f>
        <v>0</v>
      </c>
      <c r="O406" t="e">
        <f t="shared" si="32"/>
        <v>#VALUE!</v>
      </c>
      <c r="P406" t="e">
        <f t="shared" si="33"/>
        <v>#VALUE!</v>
      </c>
    </row>
    <row r="407" spans="1:16" x14ac:dyDescent="0.3">
      <c r="A407">
        <v>405</v>
      </c>
      <c r="B407">
        <f>'Real Input'!M407</f>
        <v>8.151650999992853</v>
      </c>
      <c r="C407">
        <f ca="1">INDIRECT(CONCATENATE("'Real Input'!",'Real Analysis'!$B$2,A407+2))</f>
        <v>9.8490928499999999</v>
      </c>
      <c r="D407">
        <f t="shared" si="31"/>
        <v>2.0447999995667487E-2</v>
      </c>
      <c r="E407">
        <f ca="1">IF(B407&gt;0,C407-'Real Analysis'!$B$14,0)</f>
        <v>-7.4049523714272425E-3</v>
      </c>
      <c r="F407">
        <f t="shared" ca="1" si="34"/>
        <v>-2.8908726282473755E-2</v>
      </c>
      <c r="G407">
        <f t="shared" ca="1" si="30"/>
        <v>-0.15838592714235653</v>
      </c>
      <c r="H407">
        <f ca="1">IF(AND(B407&gt;'Real Analysis'!$B$31,B407&lt;'Real Analysis'!$B$32),FilterInput(E407,'Real Analysis'!$B$26,'Real Analysis'!$B$27),0)</f>
        <v>0</v>
      </c>
      <c r="I407" t="e">
        <f>MEDIAN2("Real Values",H407,'Real Analysis'!$B$5,2)</f>
        <v>#VALUE!</v>
      </c>
      <c r="J407" t="e">
        <f>AVERAGE2("Real Values",I407,'Real Analysis'!$B$6,2)</f>
        <v>#VALUE!</v>
      </c>
      <c r="K407" t="e">
        <f>INTEGRAL2(J407,$B407,K406,J406,$B406,'Real Analysis'!$B$19)</f>
        <v>#VALUE!</v>
      </c>
      <c r="L407" t="e">
        <f>IF(AND(B407&lt;'Real Analysis'!$B$32,B407&gt;0),INTEGRAL2(K407,$B407,L406,K406,$B406,'Real Analysis'!$B$20),0)</f>
        <v>#VALUE!</v>
      </c>
      <c r="N407">
        <f>'Real Analysis'!$B$28*'Real Input'!U407+IF('Real Input'!U407 &gt; 0,'Real Analysis'!$B$29,0)</f>
        <v>0</v>
      </c>
      <c r="O407" t="e">
        <f t="shared" si="32"/>
        <v>#VALUE!</v>
      </c>
      <c r="P407" t="e">
        <f t="shared" si="33"/>
        <v>#VALUE!</v>
      </c>
    </row>
    <row r="408" spans="1:16" x14ac:dyDescent="0.3">
      <c r="A408">
        <v>406</v>
      </c>
      <c r="B408">
        <f>'Real Input'!M408</f>
        <v>8.1723490000003949</v>
      </c>
      <c r="C408">
        <f ca="1">INDIRECT(CONCATENATE("'Real Input'!",'Real Analysis'!$B$2,A408+2))</f>
        <v>9.8511627600000011</v>
      </c>
      <c r="D408">
        <f t="shared" si="31"/>
        <v>2.069800000754185E-2</v>
      </c>
      <c r="E408">
        <f ca="1">IF(B408&gt;0,C408-'Real Analysis'!$B$14,0)</f>
        <v>-5.3350423714260131E-3</v>
      </c>
      <c r="F408">
        <f t="shared" ca="1" si="34"/>
        <v>-2.9019150989517767E-2</v>
      </c>
      <c r="G408">
        <f t="shared" ca="1" si="30"/>
        <v>-0.15898656552975643</v>
      </c>
      <c r="H408">
        <f ca="1">IF(AND(B408&gt;'Real Analysis'!$B$31,B408&lt;'Real Analysis'!$B$32),FilterInput(E408,'Real Analysis'!$B$26,'Real Analysis'!$B$27),0)</f>
        <v>0</v>
      </c>
      <c r="I408" t="e">
        <f>MEDIAN2("Real Values",H408,'Real Analysis'!$B$5,2)</f>
        <v>#VALUE!</v>
      </c>
      <c r="J408" t="e">
        <f>AVERAGE2("Real Values",I408,'Real Analysis'!$B$6,2)</f>
        <v>#VALUE!</v>
      </c>
      <c r="K408" t="e">
        <f>INTEGRAL2(J408,$B408,K407,J407,$B407,'Real Analysis'!$B$19)</f>
        <v>#VALUE!</v>
      </c>
      <c r="L408" t="e">
        <f>IF(AND(B408&lt;'Real Analysis'!$B$32,B408&gt;0),INTEGRAL2(K408,$B408,L407,K407,$B407,'Real Analysis'!$B$20),0)</f>
        <v>#VALUE!</v>
      </c>
      <c r="N408">
        <f>'Real Analysis'!$B$28*'Real Input'!U408+IF('Real Input'!U408 &gt; 0,'Real Analysis'!$B$29,0)</f>
        <v>0</v>
      </c>
      <c r="O408" t="e">
        <f t="shared" si="32"/>
        <v>#VALUE!</v>
      </c>
      <c r="P408" t="e">
        <f t="shared" si="33"/>
        <v>#VALUE!</v>
      </c>
    </row>
    <row r="409" spans="1:16" x14ac:dyDescent="0.3">
      <c r="A409">
        <v>407</v>
      </c>
      <c r="B409">
        <f>'Real Input'!M409</f>
        <v>8.1932720000040717</v>
      </c>
      <c r="C409">
        <f ca="1">INDIRECT(CONCATENATE("'Real Input'!",'Real Analysis'!$B$2,A409+2))</f>
        <v>9.8328082499999994</v>
      </c>
      <c r="D409">
        <f t="shared" si="31"/>
        <v>2.0923000003676862E-2</v>
      </c>
      <c r="E409">
        <f ca="1">IF(B409&gt;0,C409-'Real Analysis'!$B$14,0)</f>
        <v>-2.368955237142778E-2</v>
      </c>
      <c r="F409">
        <f t="shared" ca="1" si="34"/>
        <v>-2.9514807493872253E-2</v>
      </c>
      <c r="G409">
        <f t="shared" ca="1" si="30"/>
        <v>-0.15960410384705925</v>
      </c>
      <c r="H409">
        <f ca="1">IF(AND(B409&gt;'Real Analysis'!$B$31,B409&lt;'Real Analysis'!$B$32),FilterInput(E409,'Real Analysis'!$B$26,'Real Analysis'!$B$27),0)</f>
        <v>0</v>
      </c>
      <c r="I409" t="e">
        <f>MEDIAN2("Real Values",H409,'Real Analysis'!$B$5,2)</f>
        <v>#VALUE!</v>
      </c>
      <c r="J409" t="e">
        <f>AVERAGE2("Real Values",I409,'Real Analysis'!$B$6,2)</f>
        <v>#VALUE!</v>
      </c>
      <c r="K409" t="e">
        <f>INTEGRAL2(J409,$B409,K408,J408,$B408,'Real Analysis'!$B$19)</f>
        <v>#VALUE!</v>
      </c>
      <c r="L409" t="e">
        <f>IF(AND(B409&lt;'Real Analysis'!$B$32,B409&gt;0),INTEGRAL2(K409,$B409,L408,K408,$B408,'Real Analysis'!$B$20),0)</f>
        <v>#VALUE!</v>
      </c>
      <c r="N409">
        <f>'Real Analysis'!$B$28*'Real Input'!U409+IF('Real Input'!U409 &gt; 0,'Real Analysis'!$B$29,0)</f>
        <v>0</v>
      </c>
      <c r="O409" t="e">
        <f t="shared" si="32"/>
        <v>#VALUE!</v>
      </c>
      <c r="P409" t="e">
        <f t="shared" si="33"/>
        <v>#VALUE!</v>
      </c>
    </row>
    <row r="410" spans="1:16" x14ac:dyDescent="0.3">
      <c r="A410">
        <v>408</v>
      </c>
      <c r="B410">
        <f>'Real Input'!M410</f>
        <v>8.209526000006008</v>
      </c>
      <c r="C410">
        <f ca="1">INDIRECT(CONCATENATE("'Real Input'!",'Real Analysis'!$B$2,A410+2))</f>
        <v>9.7965897300000009</v>
      </c>
      <c r="D410">
        <f t="shared" si="31"/>
        <v>1.625400000193622E-2</v>
      </c>
      <c r="E410">
        <f ca="1">IF(B410&gt;0,C410-'Real Analysis'!$B$14,0)</f>
        <v>-5.9908072371426258E-2</v>
      </c>
      <c r="F410">
        <f t="shared" ca="1" si="34"/>
        <v>-3.0488553302313412E-2</v>
      </c>
      <c r="G410">
        <f t="shared" ca="1" si="30"/>
        <v>-0.1600996647924941</v>
      </c>
      <c r="H410">
        <f ca="1">IF(AND(B410&gt;'Real Analysis'!$B$31,B410&lt;'Real Analysis'!$B$32),FilterInput(E410,'Real Analysis'!$B$26,'Real Analysis'!$B$27),0)</f>
        <v>0</v>
      </c>
      <c r="I410" t="e">
        <f>MEDIAN2("Real Values",H410,'Real Analysis'!$B$5,2)</f>
        <v>#VALUE!</v>
      </c>
      <c r="J410" t="e">
        <f>AVERAGE2("Real Values",I410,'Real Analysis'!$B$6,2)</f>
        <v>#VALUE!</v>
      </c>
      <c r="K410" t="e">
        <f>INTEGRAL2(J410,$B410,K409,J409,$B409,'Real Analysis'!$B$19)</f>
        <v>#VALUE!</v>
      </c>
      <c r="L410" t="e">
        <f>IF(AND(B410&lt;'Real Analysis'!$B$32,B410&gt;0),INTEGRAL2(K410,$B410,L409,K409,$B409,'Real Analysis'!$B$20),0)</f>
        <v>#VALUE!</v>
      </c>
      <c r="N410">
        <f>'Real Analysis'!$B$28*'Real Input'!U410+IF('Real Input'!U410 &gt; 0,'Real Analysis'!$B$29,0)</f>
        <v>0</v>
      </c>
      <c r="O410" t="e">
        <f t="shared" si="32"/>
        <v>#VALUE!</v>
      </c>
      <c r="P410" t="e">
        <f t="shared" si="33"/>
        <v>#VALUE!</v>
      </c>
    </row>
    <row r="411" spans="1:16" x14ac:dyDescent="0.3">
      <c r="A411">
        <v>409</v>
      </c>
      <c r="B411">
        <f>'Real Input'!M411</f>
        <v>8.2299679999996442</v>
      </c>
      <c r="C411">
        <f ca="1">INDIRECT(CONCATENATE("'Real Input'!",'Real Analysis'!$B$2,A411+2))</f>
        <v>9.8576766000000013</v>
      </c>
      <c r="D411">
        <f t="shared" si="31"/>
        <v>2.0441999993636273E-2</v>
      </c>
      <c r="E411">
        <f ca="1">IF(B411&gt;0,C411-'Real Analysis'!$B$14,0)</f>
        <v>1.1787976285742019E-3</v>
      </c>
      <c r="F411">
        <f t="shared" ca="1" si="34"/>
        <v>-3.0464456321197601E-2</v>
      </c>
      <c r="G411">
        <f t="shared" ca="1" si="30"/>
        <v>-0.16072241920841815</v>
      </c>
      <c r="H411">
        <f ca="1">IF(AND(B411&gt;'Real Analysis'!$B$31,B411&lt;'Real Analysis'!$B$32),FilterInput(E411,'Real Analysis'!$B$26,'Real Analysis'!$B$27),0)</f>
        <v>0</v>
      </c>
      <c r="I411" t="e">
        <f>MEDIAN2("Real Values",H411,'Real Analysis'!$B$5,2)</f>
        <v>#VALUE!</v>
      </c>
      <c r="J411" t="e">
        <f>AVERAGE2("Real Values",I411,'Real Analysis'!$B$6,2)</f>
        <v>#VALUE!</v>
      </c>
      <c r="K411" t="e">
        <f>INTEGRAL2(J411,$B411,K410,J410,$B410,'Real Analysis'!$B$19)</f>
        <v>#VALUE!</v>
      </c>
      <c r="L411" t="e">
        <f>IF(AND(B411&lt;'Real Analysis'!$B$32,B411&gt;0),INTEGRAL2(K411,$B411,L410,K410,$B410,'Real Analysis'!$B$20),0)</f>
        <v>#VALUE!</v>
      </c>
      <c r="N411">
        <f>'Real Analysis'!$B$28*'Real Input'!U411+IF('Real Input'!U411 &gt; 0,'Real Analysis'!$B$29,0)</f>
        <v>0</v>
      </c>
      <c r="O411" t="e">
        <f t="shared" si="32"/>
        <v>#VALUE!</v>
      </c>
      <c r="P411" t="e">
        <f t="shared" si="33"/>
        <v>#VALUE!</v>
      </c>
    </row>
    <row r="412" spans="1:16" x14ac:dyDescent="0.3">
      <c r="A412">
        <v>410</v>
      </c>
      <c r="B412">
        <f>'Real Input'!M412</f>
        <v>8.2472580000030575</v>
      </c>
      <c r="C412">
        <f ca="1">INDIRECT(CONCATENATE("'Real Input'!",'Real Analysis'!$B$2,A412+2))</f>
        <v>9.856617120000001</v>
      </c>
      <c r="D412">
        <f t="shared" si="31"/>
        <v>1.7290000003413297E-2</v>
      </c>
      <c r="E412">
        <f ca="1">IF(B412&gt;0,C412-'Real Analysis'!$B$14,0)</f>
        <v>1.193176285738673E-4</v>
      </c>
      <c r="F412">
        <f t="shared" ca="1" si="34"/>
        <v>-3.046239331939915E-2</v>
      </c>
      <c r="G412">
        <f t="shared" ca="1" si="30"/>
        <v>-0.16124911398901454</v>
      </c>
      <c r="H412">
        <f ca="1">IF(AND(B412&gt;'Real Analysis'!$B$31,B412&lt;'Real Analysis'!$B$32),FilterInput(E412,'Real Analysis'!$B$26,'Real Analysis'!$B$27),0)</f>
        <v>0</v>
      </c>
      <c r="I412" t="e">
        <f>MEDIAN2("Real Values",H412,'Real Analysis'!$B$5,2)</f>
        <v>#VALUE!</v>
      </c>
      <c r="J412" t="e">
        <f>AVERAGE2("Real Values",I412,'Real Analysis'!$B$6,2)</f>
        <v>#VALUE!</v>
      </c>
      <c r="K412" t="e">
        <f>INTEGRAL2(J412,$B412,K411,J411,$B411,'Real Analysis'!$B$19)</f>
        <v>#VALUE!</v>
      </c>
      <c r="L412" t="e">
        <f>IF(AND(B412&lt;'Real Analysis'!$B$32,B412&gt;0),INTEGRAL2(K412,$B412,L411,K411,$B411,'Real Analysis'!$B$20),0)</f>
        <v>#VALUE!</v>
      </c>
      <c r="N412">
        <f>'Real Analysis'!$B$28*'Real Input'!U412+IF('Real Input'!U412 &gt; 0,'Real Analysis'!$B$29,0)</f>
        <v>0</v>
      </c>
      <c r="O412" t="e">
        <f t="shared" si="32"/>
        <v>#VALUE!</v>
      </c>
      <c r="P412" t="e">
        <f t="shared" si="33"/>
        <v>#VALUE!</v>
      </c>
    </row>
    <row r="413" spans="1:16" x14ac:dyDescent="0.3">
      <c r="A413">
        <v>411</v>
      </c>
      <c r="B413">
        <f>'Real Input'!M413</f>
        <v>8.2727100000047358</v>
      </c>
      <c r="C413">
        <f ca="1">INDIRECT(CONCATENATE("'Real Input'!",'Real Analysis'!$B$2,A413+2))</f>
        <v>9.8525655900000011</v>
      </c>
      <c r="D413">
        <f t="shared" si="31"/>
        <v>2.5452000001678243E-2</v>
      </c>
      <c r="E413">
        <f ca="1">IF(B413&gt;0,C413-'Real Analysis'!$B$14,0)</f>
        <v>-3.9322123714260471E-3</v>
      </c>
      <c r="F413">
        <f t="shared" ca="1" si="34"/>
        <v>-3.0562475988683287E-2</v>
      </c>
      <c r="G413">
        <f t="shared" ca="1" si="30"/>
        <v>-0.16202699012792979</v>
      </c>
      <c r="H413">
        <f ca="1">IF(AND(B413&gt;'Real Analysis'!$B$31,B413&lt;'Real Analysis'!$B$32),FilterInput(E413,'Real Analysis'!$B$26,'Real Analysis'!$B$27),0)</f>
        <v>0</v>
      </c>
      <c r="I413" t="e">
        <f>MEDIAN2("Real Values",H413,'Real Analysis'!$B$5,2)</f>
        <v>#VALUE!</v>
      </c>
      <c r="J413" t="e">
        <f>AVERAGE2("Real Values",I413,'Real Analysis'!$B$6,2)</f>
        <v>#VALUE!</v>
      </c>
      <c r="K413" t="e">
        <f>INTEGRAL2(J413,$B413,K412,J412,$B412,'Real Analysis'!$B$19)</f>
        <v>#VALUE!</v>
      </c>
      <c r="L413" t="e">
        <f>IF(AND(B413&lt;'Real Analysis'!$B$32,B413&gt;0),INTEGRAL2(K413,$B413,L412,K412,$B412,'Real Analysis'!$B$20),0)</f>
        <v>#VALUE!</v>
      </c>
      <c r="N413">
        <f>'Real Analysis'!$B$28*'Real Input'!U413+IF('Real Input'!U413 &gt; 0,'Real Analysis'!$B$29,0)</f>
        <v>0</v>
      </c>
      <c r="O413" t="e">
        <f t="shared" si="32"/>
        <v>#VALUE!</v>
      </c>
      <c r="P413" t="e">
        <f t="shared" si="33"/>
        <v>#VALUE!</v>
      </c>
    </row>
    <row r="414" spans="1:16" x14ac:dyDescent="0.3">
      <c r="A414">
        <v>412</v>
      </c>
      <c r="B414">
        <f>'Real Input'!M414</f>
        <v>8.2902400000020862</v>
      </c>
      <c r="C414">
        <f ca="1">INDIRECT(CONCATENATE("'Real Input'!",'Real Analysis'!$B$2,A414+2))</f>
        <v>9.8517219300000018</v>
      </c>
      <c r="D414">
        <f t="shared" si="31"/>
        <v>1.7529999997350387E-2</v>
      </c>
      <c r="E414">
        <f ca="1">IF(B414&gt;0,C414-'Real Analysis'!$B$14,0)</f>
        <v>-4.7758723714252937E-3</v>
      </c>
      <c r="F414">
        <f t="shared" ca="1" si="34"/>
        <v>-3.0646197031341717E-2</v>
      </c>
      <c r="G414">
        <f t="shared" ca="1" si="30"/>
        <v>-0.16256421796180801</v>
      </c>
      <c r="H414">
        <f ca="1">IF(AND(B414&gt;'Real Analysis'!$B$31,B414&lt;'Real Analysis'!$B$32),FilterInput(E414,'Real Analysis'!$B$26,'Real Analysis'!$B$27),0)</f>
        <v>0</v>
      </c>
      <c r="I414" t="e">
        <f>MEDIAN2("Real Values",H414,'Real Analysis'!$B$5,2)</f>
        <v>#VALUE!</v>
      </c>
      <c r="J414" t="e">
        <f>AVERAGE2("Real Values",I414,'Real Analysis'!$B$6,2)</f>
        <v>#VALUE!</v>
      </c>
      <c r="K414" t="e">
        <f>INTEGRAL2(J414,$B414,K413,J413,$B413,'Real Analysis'!$B$19)</f>
        <v>#VALUE!</v>
      </c>
      <c r="L414" t="e">
        <f>IF(AND(B414&lt;'Real Analysis'!$B$32,B414&gt;0),INTEGRAL2(K414,$B414,L413,K413,$B413,'Real Analysis'!$B$20),0)</f>
        <v>#VALUE!</v>
      </c>
      <c r="N414">
        <f>'Real Analysis'!$B$28*'Real Input'!U414+IF('Real Input'!U414 &gt; 0,'Real Analysis'!$B$29,0)</f>
        <v>0</v>
      </c>
      <c r="O414" t="e">
        <f t="shared" si="32"/>
        <v>#VALUE!</v>
      </c>
      <c r="P414" t="e">
        <f t="shared" si="33"/>
        <v>#VALUE!</v>
      </c>
    </row>
    <row r="415" spans="1:16" x14ac:dyDescent="0.3">
      <c r="A415">
        <v>413</v>
      </c>
      <c r="B415">
        <f>'Real Input'!M415</f>
        <v>8.3125600000057602</v>
      </c>
      <c r="C415">
        <f ca="1">INDIRECT(CONCATENATE("'Real Input'!",'Real Analysis'!$B$2,A415+2))</f>
        <v>9.8537133600000004</v>
      </c>
      <c r="D415">
        <f t="shared" si="31"/>
        <v>2.2320000003674068E-2</v>
      </c>
      <c r="E415">
        <f ca="1">IF(B415&gt;0,C415-'Real Analysis'!$B$14,0)</f>
        <v>-2.7844423714267208E-3</v>
      </c>
      <c r="F415">
        <f t="shared" ca="1" si="34"/>
        <v>-3.0708345785082192E-2</v>
      </c>
      <c r="G415">
        <f t="shared" ca="1" si="30"/>
        <v>-0.16324962823984387</v>
      </c>
      <c r="H415">
        <f ca="1">IF(AND(B415&gt;'Real Analysis'!$B$31,B415&lt;'Real Analysis'!$B$32),FilterInput(E415,'Real Analysis'!$B$26,'Real Analysis'!$B$27),0)</f>
        <v>0</v>
      </c>
      <c r="I415" t="e">
        <f>MEDIAN2("Real Values",H415,'Real Analysis'!$B$5,2)</f>
        <v>#VALUE!</v>
      </c>
      <c r="J415" t="e">
        <f>AVERAGE2("Real Values",I415,'Real Analysis'!$B$6,2)</f>
        <v>#VALUE!</v>
      </c>
      <c r="K415" t="e">
        <f>INTEGRAL2(J415,$B415,K414,J414,$B414,'Real Analysis'!$B$19)</f>
        <v>#VALUE!</v>
      </c>
      <c r="L415" t="e">
        <f>IF(AND(B415&lt;'Real Analysis'!$B$32,B415&gt;0),INTEGRAL2(K415,$B415,L414,K414,$B414,'Real Analysis'!$B$20),0)</f>
        <v>#VALUE!</v>
      </c>
      <c r="N415">
        <f>'Real Analysis'!$B$28*'Real Input'!U415+IF('Real Input'!U415 &gt; 0,'Real Analysis'!$B$29,0)</f>
        <v>0</v>
      </c>
      <c r="O415" t="e">
        <f t="shared" si="32"/>
        <v>#VALUE!</v>
      </c>
      <c r="P415" t="e">
        <f t="shared" si="33"/>
        <v>#VALUE!</v>
      </c>
    </row>
    <row r="416" spans="1:16" x14ac:dyDescent="0.3">
      <c r="A416">
        <v>414</v>
      </c>
      <c r="B416">
        <f>'Real Input'!M416</f>
        <v>8.32836299999326</v>
      </c>
      <c r="C416">
        <f ca="1">INDIRECT(CONCATENATE("'Real Input'!",'Real Analysis'!$B$2,A416+2))</f>
        <v>9.8532719100000001</v>
      </c>
      <c r="D416">
        <f t="shared" si="31"/>
        <v>1.5802999987499788E-2</v>
      </c>
      <c r="E416">
        <f ca="1">IF(B416&gt;0,C416-'Real Analysis'!$B$14,0)</f>
        <v>-3.2258923714270082E-3</v>
      </c>
      <c r="F416">
        <f t="shared" ca="1" si="34"/>
        <v>-3.0759324562187527E-2</v>
      </c>
      <c r="G416">
        <f t="shared" ca="1" si="30"/>
        <v>-0.16373571784551563</v>
      </c>
      <c r="H416">
        <f ca="1">IF(AND(B416&gt;'Real Analysis'!$B$31,B416&lt;'Real Analysis'!$B$32),FilterInput(E416,'Real Analysis'!$B$26,'Real Analysis'!$B$27),0)</f>
        <v>0</v>
      </c>
      <c r="I416" t="e">
        <f>MEDIAN2("Real Values",H416,'Real Analysis'!$B$5,2)</f>
        <v>#VALUE!</v>
      </c>
      <c r="J416" t="e">
        <f>AVERAGE2("Real Values",I416,'Real Analysis'!$B$6,2)</f>
        <v>#VALUE!</v>
      </c>
      <c r="K416" t="e">
        <f>INTEGRAL2(J416,$B416,K415,J415,$B415,'Real Analysis'!$B$19)</f>
        <v>#VALUE!</v>
      </c>
      <c r="L416" t="e">
        <f>IF(AND(B416&lt;'Real Analysis'!$B$32,B416&gt;0),INTEGRAL2(K416,$B416,L415,K415,$B415,'Real Analysis'!$B$20),0)</f>
        <v>#VALUE!</v>
      </c>
      <c r="N416">
        <f>'Real Analysis'!$B$28*'Real Input'!U416+IF('Real Input'!U416 &gt; 0,'Real Analysis'!$B$29,0)</f>
        <v>0</v>
      </c>
      <c r="O416" t="e">
        <f t="shared" si="32"/>
        <v>#VALUE!</v>
      </c>
      <c r="P416" t="e">
        <f t="shared" si="33"/>
        <v>#VALUE!</v>
      </c>
    </row>
    <row r="417" spans="1:16" x14ac:dyDescent="0.3">
      <c r="A417">
        <v>415</v>
      </c>
      <c r="B417">
        <f>'Real Input'!M417</f>
        <v>8.3478409999952419</v>
      </c>
      <c r="C417">
        <f ca="1">INDIRECT(CONCATENATE("'Real Input'!",'Real Analysis'!$B$2,A417+2))</f>
        <v>9.8516728800000006</v>
      </c>
      <c r="D417">
        <f t="shared" si="31"/>
        <v>1.9478000001981854E-2</v>
      </c>
      <c r="E417">
        <f ca="1">IF(B417&gt;0,C417-'Real Analysis'!$B$14,0)</f>
        <v>-4.8249223714265099E-3</v>
      </c>
      <c r="F417">
        <f t="shared" ca="1" si="34"/>
        <v>-3.0853304400147736E-2</v>
      </c>
      <c r="G417">
        <f t="shared" ref="G417:G480" ca="1" si="35">IF(B417&gt;0,G416+F417*$D417,0)</f>
        <v>-0.16433667850868286</v>
      </c>
      <c r="H417">
        <f ca="1">IF(AND(B417&gt;'Real Analysis'!$B$31,B417&lt;'Real Analysis'!$B$32),FilterInput(E417,'Real Analysis'!$B$26,'Real Analysis'!$B$27),0)</f>
        <v>0</v>
      </c>
      <c r="I417" t="e">
        <f>MEDIAN2("Real Values",H417,'Real Analysis'!$B$5,2)</f>
        <v>#VALUE!</v>
      </c>
      <c r="J417" t="e">
        <f>AVERAGE2("Real Values",I417,'Real Analysis'!$B$6,2)</f>
        <v>#VALUE!</v>
      </c>
      <c r="K417" t="e">
        <f>INTEGRAL2(J417,$B417,K416,J416,$B416,'Real Analysis'!$B$19)</f>
        <v>#VALUE!</v>
      </c>
      <c r="L417" t="e">
        <f>IF(AND(B417&lt;'Real Analysis'!$B$32,B417&gt;0),INTEGRAL2(K417,$B417,L416,K416,$B416,'Real Analysis'!$B$20),0)</f>
        <v>#VALUE!</v>
      </c>
      <c r="N417">
        <f>'Real Analysis'!$B$28*'Real Input'!U417+IF('Real Input'!U417 &gt; 0,'Real Analysis'!$B$29,0)</f>
        <v>0</v>
      </c>
      <c r="O417" t="e">
        <f t="shared" si="32"/>
        <v>#VALUE!</v>
      </c>
      <c r="P417" t="e">
        <f t="shared" si="33"/>
        <v>#VALUE!</v>
      </c>
    </row>
    <row r="418" spans="1:16" x14ac:dyDescent="0.3">
      <c r="A418">
        <v>416</v>
      </c>
      <c r="B418">
        <f>'Real Input'!M418</f>
        <v>8.3705970000009984</v>
      </c>
      <c r="C418">
        <f ca="1">INDIRECT(CONCATENATE("'Real Input'!",'Real Analysis'!$B$2,A418+2))</f>
        <v>9.8518886999999999</v>
      </c>
      <c r="D418">
        <f t="shared" si="31"/>
        <v>2.2756000005756505E-2</v>
      </c>
      <c r="E418">
        <f ca="1">IF(B418&gt;0,C418-'Real Analysis'!$B$14,0)</f>
        <v>-4.6091023714271984E-3</v>
      </c>
      <c r="F418">
        <f t="shared" ca="1" si="34"/>
        <v>-3.0958189133738465E-2</v>
      </c>
      <c r="G418">
        <f t="shared" ca="1" si="35"/>
        <v>-0.16504116306078842</v>
      </c>
      <c r="H418">
        <f ca="1">IF(AND(B418&gt;'Real Analysis'!$B$31,B418&lt;'Real Analysis'!$B$32),FilterInput(E418,'Real Analysis'!$B$26,'Real Analysis'!$B$27),0)</f>
        <v>0</v>
      </c>
      <c r="I418" t="e">
        <f>MEDIAN2("Real Values",H418,'Real Analysis'!$B$5,2)</f>
        <v>#VALUE!</v>
      </c>
      <c r="J418" t="e">
        <f>AVERAGE2("Real Values",I418,'Real Analysis'!$B$6,2)</f>
        <v>#VALUE!</v>
      </c>
      <c r="K418" t="e">
        <f>INTEGRAL2(J418,$B418,K417,J417,$B417,'Real Analysis'!$B$19)</f>
        <v>#VALUE!</v>
      </c>
      <c r="L418" t="e">
        <f>IF(AND(B418&lt;'Real Analysis'!$B$32,B418&gt;0),INTEGRAL2(K418,$B418,L417,K417,$B417,'Real Analysis'!$B$20),0)</f>
        <v>#VALUE!</v>
      </c>
      <c r="N418">
        <f>'Real Analysis'!$B$28*'Real Input'!U418+IF('Real Input'!U418 &gt; 0,'Real Analysis'!$B$29,0)</f>
        <v>0</v>
      </c>
      <c r="O418" t="e">
        <f t="shared" si="32"/>
        <v>#VALUE!</v>
      </c>
      <c r="P418" t="e">
        <f t="shared" si="33"/>
        <v>#VALUE!</v>
      </c>
    </row>
    <row r="419" spans="1:16" x14ac:dyDescent="0.3">
      <c r="A419">
        <v>417</v>
      </c>
      <c r="B419">
        <f>'Real Input'!M419</f>
        <v>8.3892280000000028</v>
      </c>
      <c r="C419">
        <f ca="1">INDIRECT(CONCATENATE("'Real Input'!",'Real Analysis'!$B$2,A419+2))</f>
        <v>9.8386550100000001</v>
      </c>
      <c r="D419">
        <f t="shared" si="31"/>
        <v>1.8630999999004416E-2</v>
      </c>
      <c r="E419">
        <f ca="1">IF(B419&gt;0,C419-'Real Analysis'!$B$14,0)</f>
        <v>-1.7842792371427052E-2</v>
      </c>
      <c r="F419">
        <f t="shared" ca="1" si="34"/>
        <v>-3.129061819839276E-2</v>
      </c>
      <c r="G419">
        <f t="shared" ca="1" si="35"/>
        <v>-0.16562413856841152</v>
      </c>
      <c r="H419">
        <f ca="1">IF(AND(B419&gt;'Real Analysis'!$B$31,B419&lt;'Real Analysis'!$B$32),FilterInput(E419,'Real Analysis'!$B$26,'Real Analysis'!$B$27),0)</f>
        <v>0</v>
      </c>
      <c r="I419" t="e">
        <f>MEDIAN2("Real Values",H419,'Real Analysis'!$B$5,2)</f>
        <v>#VALUE!</v>
      </c>
      <c r="J419" t="e">
        <f>AVERAGE2("Real Values",I419,'Real Analysis'!$B$6,2)</f>
        <v>#VALUE!</v>
      </c>
      <c r="K419" t="e">
        <f>INTEGRAL2(J419,$B419,K418,J418,$B418,'Real Analysis'!$B$19)</f>
        <v>#VALUE!</v>
      </c>
      <c r="L419" t="e">
        <f>IF(AND(B419&lt;'Real Analysis'!$B$32,B419&gt;0),INTEGRAL2(K419,$B419,L418,K418,$B418,'Real Analysis'!$B$20),0)</f>
        <v>#VALUE!</v>
      </c>
      <c r="N419">
        <f>'Real Analysis'!$B$28*'Real Input'!U419+IF('Real Input'!U419 &gt; 0,'Real Analysis'!$B$29,0)</f>
        <v>0</v>
      </c>
      <c r="O419" t="e">
        <f t="shared" si="32"/>
        <v>#VALUE!</v>
      </c>
      <c r="P419" t="e">
        <f t="shared" si="33"/>
        <v>#VALUE!</v>
      </c>
    </row>
    <row r="420" spans="1:16" x14ac:dyDescent="0.3">
      <c r="A420">
        <v>418</v>
      </c>
      <c r="B420">
        <f>'Real Input'!M420</f>
        <v>8.4092459999956191</v>
      </c>
      <c r="C420">
        <f ca="1">INDIRECT(CONCATENATE("'Real Input'!",'Real Analysis'!$B$2,A420+2))</f>
        <v>9.77908869</v>
      </c>
      <c r="D420">
        <f t="shared" si="31"/>
        <v>2.0017999995616265E-2</v>
      </c>
      <c r="E420">
        <f ca="1">IF(B420&gt;0,C420-'Real Analysis'!$B$14,0)</f>
        <v>-7.7409112371427113E-2</v>
      </c>
      <c r="F420">
        <f t="shared" ca="1" si="34"/>
        <v>-3.2840193809504648E-2</v>
      </c>
      <c r="G420">
        <f t="shared" ca="1" si="35"/>
        <v>-0.16628153356794623</v>
      </c>
      <c r="H420">
        <f ca="1">IF(AND(B420&gt;'Real Analysis'!$B$31,B420&lt;'Real Analysis'!$B$32),FilterInput(E420,'Real Analysis'!$B$26,'Real Analysis'!$B$27),0)</f>
        <v>0</v>
      </c>
      <c r="I420" t="e">
        <f>MEDIAN2("Real Values",H420,'Real Analysis'!$B$5,2)</f>
        <v>#VALUE!</v>
      </c>
      <c r="J420" t="e">
        <f>AVERAGE2("Real Values",I420,'Real Analysis'!$B$6,2)</f>
        <v>#VALUE!</v>
      </c>
      <c r="K420" t="e">
        <f>INTEGRAL2(J420,$B420,K419,J419,$B419,'Real Analysis'!$B$19)</f>
        <v>#VALUE!</v>
      </c>
      <c r="L420" t="e">
        <f>IF(AND(B420&lt;'Real Analysis'!$B$32,B420&gt;0),INTEGRAL2(K420,$B420,L419,K419,$B419,'Real Analysis'!$B$20),0)</f>
        <v>#VALUE!</v>
      </c>
      <c r="N420">
        <f>'Real Analysis'!$B$28*'Real Input'!U420+IF('Real Input'!U420 &gt; 0,'Real Analysis'!$B$29,0)</f>
        <v>0</v>
      </c>
      <c r="O420" t="e">
        <f t="shared" si="32"/>
        <v>#VALUE!</v>
      </c>
      <c r="P420" t="e">
        <f t="shared" si="33"/>
        <v>#VALUE!</v>
      </c>
    </row>
    <row r="421" spans="1:16" x14ac:dyDescent="0.3">
      <c r="A421">
        <v>419</v>
      </c>
      <c r="B421">
        <f>'Real Input'!M421</f>
        <v>8.4297820000065258</v>
      </c>
      <c r="C421">
        <f ca="1">INDIRECT(CONCATENATE("'Real Input'!",'Real Analysis'!$B$2,A421+2))</f>
        <v>9.8535171600000009</v>
      </c>
      <c r="D421">
        <f t="shared" si="31"/>
        <v>2.0536000010906719E-2</v>
      </c>
      <c r="E421">
        <f ca="1">IF(B421&gt;0,C421-'Real Analysis'!$B$14,0)</f>
        <v>-2.9806423714262564E-3</v>
      </c>
      <c r="F421">
        <f t="shared" ca="1" si="34"/>
        <v>-3.2901404281276768E-2</v>
      </c>
      <c r="G421">
        <f t="shared" ca="1" si="35"/>
        <v>-0.16695719680662538</v>
      </c>
      <c r="H421">
        <f ca="1">IF(AND(B421&gt;'Real Analysis'!$B$31,B421&lt;'Real Analysis'!$B$32),FilterInput(E421,'Real Analysis'!$B$26,'Real Analysis'!$B$27),0)</f>
        <v>0</v>
      </c>
      <c r="I421" t="e">
        <f>MEDIAN2("Real Values",H421,'Real Analysis'!$B$5,2)</f>
        <v>#VALUE!</v>
      </c>
      <c r="J421" t="e">
        <f>AVERAGE2("Real Values",I421,'Real Analysis'!$B$6,2)</f>
        <v>#VALUE!</v>
      </c>
      <c r="K421" t="e">
        <f>INTEGRAL2(J421,$B421,K420,J420,$B420,'Real Analysis'!$B$19)</f>
        <v>#VALUE!</v>
      </c>
      <c r="L421" t="e">
        <f>IF(AND(B421&lt;'Real Analysis'!$B$32,B421&gt;0),INTEGRAL2(K421,$B421,L420,K420,$B420,'Real Analysis'!$B$20),0)</f>
        <v>#VALUE!</v>
      </c>
      <c r="N421">
        <f>'Real Analysis'!$B$28*'Real Input'!U421+IF('Real Input'!U421 &gt; 0,'Real Analysis'!$B$29,0)</f>
        <v>0</v>
      </c>
      <c r="O421" t="e">
        <f t="shared" si="32"/>
        <v>#VALUE!</v>
      </c>
      <c r="P421" t="e">
        <f t="shared" si="33"/>
        <v>#VALUE!</v>
      </c>
    </row>
    <row r="422" spans="1:16" x14ac:dyDescent="0.3">
      <c r="A422">
        <v>420</v>
      </c>
      <c r="B422">
        <f>'Real Input'!M422</f>
        <v>8.4489529999991646</v>
      </c>
      <c r="C422">
        <f ca="1">INDIRECT(CONCATENATE("'Real Input'!",'Real Analysis'!$B$2,A422+2))</f>
        <v>9.8574804</v>
      </c>
      <c r="D422">
        <f t="shared" si="31"/>
        <v>1.9170999992638826E-2</v>
      </c>
      <c r="E422">
        <f ca="1">IF(B422&gt;0,C422-'Real Analysis'!$B$14,0)</f>
        <v>9.825976285728899E-4</v>
      </c>
      <c r="F422">
        <f t="shared" ca="1" si="34"/>
        <v>-3.288256690214663E-2</v>
      </c>
      <c r="G422">
        <f t="shared" ca="1" si="35"/>
        <v>-0.16758758849646438</v>
      </c>
      <c r="H422">
        <f ca="1">IF(AND(B422&gt;'Real Analysis'!$B$31,B422&lt;'Real Analysis'!$B$32),FilterInput(E422,'Real Analysis'!$B$26,'Real Analysis'!$B$27),0)</f>
        <v>0</v>
      </c>
      <c r="I422" t="e">
        <f>MEDIAN2("Real Values",H422,'Real Analysis'!$B$5,2)</f>
        <v>#VALUE!</v>
      </c>
      <c r="J422" t="e">
        <f>AVERAGE2("Real Values",I422,'Real Analysis'!$B$6,2)</f>
        <v>#VALUE!</v>
      </c>
      <c r="K422" t="e">
        <f>INTEGRAL2(J422,$B422,K421,J421,$B421,'Real Analysis'!$B$19)</f>
        <v>#VALUE!</v>
      </c>
      <c r="L422" t="e">
        <f>IF(AND(B422&lt;'Real Analysis'!$B$32,B422&gt;0),INTEGRAL2(K422,$B422,L421,K421,$B421,'Real Analysis'!$B$20),0)</f>
        <v>#VALUE!</v>
      </c>
      <c r="N422">
        <f>'Real Analysis'!$B$28*'Real Input'!U422+IF('Real Input'!U422 &gt; 0,'Real Analysis'!$B$29,0)</f>
        <v>0</v>
      </c>
      <c r="O422" t="e">
        <f t="shared" si="32"/>
        <v>#VALUE!</v>
      </c>
      <c r="P422" t="e">
        <f t="shared" si="33"/>
        <v>#VALUE!</v>
      </c>
    </row>
    <row r="423" spans="1:16" x14ac:dyDescent="0.3">
      <c r="A423">
        <v>421</v>
      </c>
      <c r="B423">
        <f>'Real Input'!M423</f>
        <v>8.4718020000000251</v>
      </c>
      <c r="C423">
        <f ca="1">INDIRECT(CONCATENATE("'Real Input'!",'Real Analysis'!$B$2,A423+2))</f>
        <v>9.9110429999999994</v>
      </c>
      <c r="D423">
        <f t="shared" si="31"/>
        <v>2.2849000000860542E-2</v>
      </c>
      <c r="E423">
        <f ca="1">IF(B423&gt;0,C423-'Real Analysis'!$B$14,0)</f>
        <v>5.454519762857224E-2</v>
      </c>
      <c r="F423">
        <f t="shared" ca="1" si="34"/>
        <v>-3.1636263681484443E-2</v>
      </c>
      <c r="G423">
        <f t="shared" ca="1" si="35"/>
        <v>-0.16831044548534985</v>
      </c>
      <c r="H423">
        <f ca="1">IF(AND(B423&gt;'Real Analysis'!$B$31,B423&lt;'Real Analysis'!$B$32),FilterInput(E423,'Real Analysis'!$B$26,'Real Analysis'!$B$27),0)</f>
        <v>0</v>
      </c>
      <c r="I423" t="e">
        <f>MEDIAN2("Real Values",H423,'Real Analysis'!$B$5,2)</f>
        <v>#VALUE!</v>
      </c>
      <c r="J423" t="e">
        <f>AVERAGE2("Real Values",I423,'Real Analysis'!$B$6,2)</f>
        <v>#VALUE!</v>
      </c>
      <c r="K423" t="e">
        <f>INTEGRAL2(J423,$B423,K422,J422,$B422,'Real Analysis'!$B$19)</f>
        <v>#VALUE!</v>
      </c>
      <c r="L423" t="e">
        <f>IF(AND(B423&lt;'Real Analysis'!$B$32,B423&gt;0),INTEGRAL2(K423,$B423,L422,K422,$B422,'Real Analysis'!$B$20),0)</f>
        <v>#VALUE!</v>
      </c>
      <c r="N423">
        <f>'Real Analysis'!$B$28*'Real Input'!U423+IF('Real Input'!U423 &gt; 0,'Real Analysis'!$B$29,0)</f>
        <v>0</v>
      </c>
      <c r="O423" t="e">
        <f t="shared" si="32"/>
        <v>#VALUE!</v>
      </c>
      <c r="P423" t="e">
        <f t="shared" si="33"/>
        <v>#VALUE!</v>
      </c>
    </row>
    <row r="424" spans="1:16" x14ac:dyDescent="0.3">
      <c r="A424">
        <v>422</v>
      </c>
      <c r="B424">
        <f>'Real Input'!M424</f>
        <v>8.4891919999936363</v>
      </c>
      <c r="C424">
        <f ca="1">INDIRECT(CONCATENATE("'Real Input'!",'Real Analysis'!$B$2,A424+2))</f>
        <v>9.8432362799999993</v>
      </c>
      <c r="D424">
        <f t="shared" si="31"/>
        <v>1.7389999993611127E-2</v>
      </c>
      <c r="E424">
        <f ca="1">IF(B424&gt;0,C424-'Real Analysis'!$B$14,0)</f>
        <v>-1.3261522371427859E-2</v>
      </c>
      <c r="F424">
        <f t="shared" ca="1" si="34"/>
        <v>-3.1866881555438847E-2</v>
      </c>
      <c r="G424">
        <f t="shared" ca="1" si="35"/>
        <v>-0.16886461055539534</v>
      </c>
      <c r="H424">
        <f ca="1">IF(AND(B424&gt;'Real Analysis'!$B$31,B424&lt;'Real Analysis'!$B$32),FilterInput(E424,'Real Analysis'!$B$26,'Real Analysis'!$B$27),0)</f>
        <v>0</v>
      </c>
      <c r="I424" t="e">
        <f>MEDIAN2("Real Values",H424,'Real Analysis'!$B$5,2)</f>
        <v>#VALUE!</v>
      </c>
      <c r="J424" t="e">
        <f>AVERAGE2("Real Values",I424,'Real Analysis'!$B$6,2)</f>
        <v>#VALUE!</v>
      </c>
      <c r="K424" t="e">
        <f>INTEGRAL2(J424,$B424,K423,J423,$B423,'Real Analysis'!$B$19)</f>
        <v>#VALUE!</v>
      </c>
      <c r="L424" t="e">
        <f>IF(AND(B424&lt;'Real Analysis'!$B$32,B424&gt;0),INTEGRAL2(K424,$B424,L423,K423,$B423,'Real Analysis'!$B$20),0)</f>
        <v>#VALUE!</v>
      </c>
      <c r="N424">
        <f>'Real Analysis'!$B$28*'Real Input'!U424+IF('Real Input'!U424 &gt; 0,'Real Analysis'!$B$29,0)</f>
        <v>0</v>
      </c>
      <c r="O424" t="e">
        <f t="shared" si="32"/>
        <v>#VALUE!</v>
      </c>
      <c r="P424" t="e">
        <f t="shared" si="33"/>
        <v>#VALUE!</v>
      </c>
    </row>
    <row r="425" spans="1:16" x14ac:dyDescent="0.3">
      <c r="A425">
        <v>423</v>
      </c>
      <c r="B425">
        <f>'Real Input'!M425</f>
        <v>8.5079549999936717</v>
      </c>
      <c r="C425">
        <f ca="1">INDIRECT(CONCATENATE("'Real Input'!",'Real Analysis'!$B$2,A425+2))</f>
        <v>9.8542627200000013</v>
      </c>
      <c r="D425">
        <f t="shared" si="31"/>
        <v>1.876300000003539E-2</v>
      </c>
      <c r="E425">
        <f ca="1">IF(B425&gt;0,C425-'Real Analysis'!$B$14,0)</f>
        <v>-2.2350823714258894E-3</v>
      </c>
      <c r="F425">
        <f t="shared" ca="1" si="34"/>
        <v>-3.1908818405973989E-2</v>
      </c>
      <c r="G425">
        <f t="shared" ca="1" si="35"/>
        <v>-0.16946331571514775</v>
      </c>
      <c r="H425">
        <f ca="1">IF(AND(B425&gt;'Real Analysis'!$B$31,B425&lt;'Real Analysis'!$B$32),FilterInput(E425,'Real Analysis'!$B$26,'Real Analysis'!$B$27),0)</f>
        <v>0</v>
      </c>
      <c r="I425" t="e">
        <f>MEDIAN2("Real Values",H425,'Real Analysis'!$B$5,2)</f>
        <v>#VALUE!</v>
      </c>
      <c r="J425" t="e">
        <f>AVERAGE2("Real Values",I425,'Real Analysis'!$B$6,2)</f>
        <v>#VALUE!</v>
      </c>
      <c r="K425" t="e">
        <f>INTEGRAL2(J425,$B425,K424,J424,$B424,'Real Analysis'!$B$19)</f>
        <v>#VALUE!</v>
      </c>
      <c r="L425" t="e">
        <f>IF(AND(B425&lt;'Real Analysis'!$B$32,B425&gt;0),INTEGRAL2(K425,$B425,L424,K424,$B424,'Real Analysis'!$B$20),0)</f>
        <v>#VALUE!</v>
      </c>
      <c r="N425">
        <f>'Real Analysis'!$B$28*'Real Input'!U425+IF('Real Input'!U425 &gt; 0,'Real Analysis'!$B$29,0)</f>
        <v>0</v>
      </c>
      <c r="O425" t="e">
        <f t="shared" si="32"/>
        <v>#VALUE!</v>
      </c>
      <c r="P425" t="e">
        <f t="shared" si="33"/>
        <v>#VALUE!</v>
      </c>
    </row>
    <row r="426" spans="1:16" x14ac:dyDescent="0.3">
      <c r="A426">
        <v>424</v>
      </c>
      <c r="B426">
        <f>'Real Input'!M426</f>
        <v>8.5307969999994384</v>
      </c>
      <c r="C426">
        <f ca="1">INDIRECT(CONCATENATE("'Real Input'!",'Real Analysis'!$B$2,A426+2))</f>
        <v>9.8211932100000006</v>
      </c>
      <c r="D426">
        <f t="shared" si="31"/>
        <v>2.2842000005766749E-2</v>
      </c>
      <c r="E426">
        <f ca="1">IF(B426&gt;0,C426-'Real Analysis'!$B$14,0)</f>
        <v>-3.530459237142658E-2</v>
      </c>
      <c r="F426">
        <f t="shared" ca="1" si="34"/>
        <v>-3.2715245905125707E-2</v>
      </c>
      <c r="G426">
        <f t="shared" ca="1" si="35"/>
        <v>-0.17021059736230129</v>
      </c>
      <c r="H426">
        <f ca="1">IF(AND(B426&gt;'Real Analysis'!$B$31,B426&lt;'Real Analysis'!$B$32),FilterInput(E426,'Real Analysis'!$B$26,'Real Analysis'!$B$27),0)</f>
        <v>0</v>
      </c>
      <c r="I426" t="e">
        <f>MEDIAN2("Real Values",H426,'Real Analysis'!$B$5,2)</f>
        <v>#VALUE!</v>
      </c>
      <c r="J426" t="e">
        <f>AVERAGE2("Real Values",I426,'Real Analysis'!$B$6,2)</f>
        <v>#VALUE!</v>
      </c>
      <c r="K426" t="e">
        <f>INTEGRAL2(J426,$B426,K425,J425,$B425,'Real Analysis'!$B$19)</f>
        <v>#VALUE!</v>
      </c>
      <c r="L426" t="e">
        <f>IF(AND(B426&lt;'Real Analysis'!$B$32,B426&gt;0),INTEGRAL2(K426,$B426,L425,K425,$B425,'Real Analysis'!$B$20),0)</f>
        <v>#VALUE!</v>
      </c>
      <c r="N426">
        <f>'Real Analysis'!$B$28*'Real Input'!U426+IF('Real Input'!U426 &gt; 0,'Real Analysis'!$B$29,0)</f>
        <v>0</v>
      </c>
      <c r="O426" t="e">
        <f t="shared" si="32"/>
        <v>#VALUE!</v>
      </c>
      <c r="P426" t="e">
        <f t="shared" si="33"/>
        <v>#VALUE!</v>
      </c>
    </row>
    <row r="427" spans="1:16" x14ac:dyDescent="0.3">
      <c r="A427">
        <v>425</v>
      </c>
      <c r="B427">
        <f>'Real Input'!M427</f>
        <v>8.5492760000051931</v>
      </c>
      <c r="C427">
        <f ca="1">INDIRECT(CONCATENATE("'Real Input'!",'Real Analysis'!$B$2,A427+2))</f>
        <v>9.8387727300000005</v>
      </c>
      <c r="D427">
        <f t="shared" si="31"/>
        <v>1.8479000005754642E-2</v>
      </c>
      <c r="E427">
        <f ca="1">IF(B427&gt;0,C427-'Real Analysis'!$B$14,0)</f>
        <v>-1.772507237142662E-2</v>
      </c>
      <c r="F427">
        <f t="shared" ca="1" si="34"/>
        <v>-3.3042787517579303E-2</v>
      </c>
      <c r="G427">
        <f t="shared" ca="1" si="35"/>
        <v>-0.17082119503302878</v>
      </c>
      <c r="H427">
        <f ca="1">IF(AND(B427&gt;'Real Analysis'!$B$31,B427&lt;'Real Analysis'!$B$32),FilterInput(E427,'Real Analysis'!$B$26,'Real Analysis'!$B$27),0)</f>
        <v>0</v>
      </c>
      <c r="I427" t="e">
        <f>MEDIAN2("Real Values",H427,'Real Analysis'!$B$5,2)</f>
        <v>#VALUE!</v>
      </c>
      <c r="J427" t="e">
        <f>AVERAGE2("Real Values",I427,'Real Analysis'!$B$6,2)</f>
        <v>#VALUE!</v>
      </c>
      <c r="K427" t="e">
        <f>INTEGRAL2(J427,$B427,K426,J426,$B426,'Real Analysis'!$B$19)</f>
        <v>#VALUE!</v>
      </c>
      <c r="L427" t="e">
        <f>IF(AND(B427&lt;'Real Analysis'!$B$32,B427&gt;0),INTEGRAL2(K427,$B427,L426,K426,$B426,'Real Analysis'!$B$20),0)</f>
        <v>#VALUE!</v>
      </c>
      <c r="N427">
        <f>'Real Analysis'!$B$28*'Real Input'!U427+IF('Real Input'!U427 &gt; 0,'Real Analysis'!$B$29,0)</f>
        <v>0</v>
      </c>
      <c r="O427" t="e">
        <f t="shared" si="32"/>
        <v>#VALUE!</v>
      </c>
      <c r="P427" t="e">
        <f t="shared" si="33"/>
        <v>#VALUE!</v>
      </c>
    </row>
    <row r="428" spans="1:16" x14ac:dyDescent="0.3">
      <c r="A428">
        <v>426</v>
      </c>
      <c r="B428">
        <f>'Real Input'!M428</f>
        <v>8.5697260000015376</v>
      </c>
      <c r="C428">
        <f ca="1">INDIRECT(CONCATENATE("'Real Input'!",'Real Analysis'!$B$2,A428+2))</f>
        <v>9.8294041800000009</v>
      </c>
      <c r="D428">
        <f t="shared" si="31"/>
        <v>2.0449999996344559E-2</v>
      </c>
      <c r="E428">
        <f ca="1">IF(B428&gt;0,C428-'Real Analysis'!$B$14,0)</f>
        <v>-2.7093622371426207E-2</v>
      </c>
      <c r="F428">
        <f t="shared" ca="1" si="34"/>
        <v>-3.3596852094975926E-2</v>
      </c>
      <c r="G428">
        <f t="shared" ca="1" si="35"/>
        <v>-0.17150825065824823</v>
      </c>
      <c r="H428">
        <f ca="1">IF(AND(B428&gt;'Real Analysis'!$B$31,B428&lt;'Real Analysis'!$B$32),FilterInput(E428,'Real Analysis'!$B$26,'Real Analysis'!$B$27),0)</f>
        <v>0</v>
      </c>
      <c r="I428" t="e">
        <f>MEDIAN2("Real Values",H428,'Real Analysis'!$B$5,2)</f>
        <v>#VALUE!</v>
      </c>
      <c r="J428" t="e">
        <f>AVERAGE2("Real Values",I428,'Real Analysis'!$B$6,2)</f>
        <v>#VALUE!</v>
      </c>
      <c r="K428" t="e">
        <f>INTEGRAL2(J428,$B428,K427,J427,$B427,'Real Analysis'!$B$19)</f>
        <v>#VALUE!</v>
      </c>
      <c r="L428" t="e">
        <f>IF(AND(B428&lt;'Real Analysis'!$B$32,B428&gt;0),INTEGRAL2(K428,$B428,L427,K427,$B427,'Real Analysis'!$B$20),0)</f>
        <v>#VALUE!</v>
      </c>
      <c r="N428">
        <f>'Real Analysis'!$B$28*'Real Input'!U428+IF('Real Input'!U428 &gt; 0,'Real Analysis'!$B$29,0)</f>
        <v>0</v>
      </c>
      <c r="O428" t="e">
        <f t="shared" si="32"/>
        <v>#VALUE!</v>
      </c>
      <c r="P428" t="e">
        <f t="shared" si="33"/>
        <v>#VALUE!</v>
      </c>
    </row>
    <row r="429" spans="1:16" x14ac:dyDescent="0.3">
      <c r="A429">
        <v>427</v>
      </c>
      <c r="B429">
        <f>'Real Input'!M429</f>
        <v>8.5921099999977741</v>
      </c>
      <c r="C429">
        <f ca="1">INDIRECT(CONCATENATE("'Real Input'!",'Real Analysis'!$B$2,A429+2))</f>
        <v>9.8530757100000006</v>
      </c>
      <c r="D429">
        <f t="shared" si="31"/>
        <v>2.2383999996236525E-2</v>
      </c>
      <c r="E429">
        <f ca="1">IF(B429&gt;0,C429-'Real Analysis'!$B$14,0)</f>
        <v>-3.4220923714265439E-3</v>
      </c>
      <c r="F429">
        <f t="shared" ca="1" si="34"/>
        <v>-3.3673452210605061E-2</v>
      </c>
      <c r="G429">
        <f t="shared" ca="1" si="35"/>
        <v>-0.17226199721240368</v>
      </c>
      <c r="H429">
        <f ca="1">IF(AND(B429&gt;'Real Analysis'!$B$31,B429&lt;'Real Analysis'!$B$32),FilterInput(E429,'Real Analysis'!$B$26,'Real Analysis'!$B$27),0)</f>
        <v>0</v>
      </c>
      <c r="I429" t="e">
        <f>MEDIAN2("Real Values",H429,'Real Analysis'!$B$5,2)</f>
        <v>#VALUE!</v>
      </c>
      <c r="J429" t="e">
        <f>AVERAGE2("Real Values",I429,'Real Analysis'!$B$6,2)</f>
        <v>#VALUE!</v>
      </c>
      <c r="K429" t="e">
        <f>INTEGRAL2(J429,$B429,K428,J428,$B428,'Real Analysis'!$B$19)</f>
        <v>#VALUE!</v>
      </c>
      <c r="L429" t="e">
        <f>IF(AND(B429&lt;'Real Analysis'!$B$32,B429&gt;0),INTEGRAL2(K429,$B429,L428,K428,$B428,'Real Analysis'!$B$20),0)</f>
        <v>#VALUE!</v>
      </c>
      <c r="N429">
        <f>'Real Analysis'!$B$28*'Real Input'!U429+IF('Real Input'!U429 &gt; 0,'Real Analysis'!$B$29,0)</f>
        <v>0</v>
      </c>
      <c r="O429" t="e">
        <f t="shared" si="32"/>
        <v>#VALUE!</v>
      </c>
      <c r="P429" t="e">
        <f t="shared" si="33"/>
        <v>#VALUE!</v>
      </c>
    </row>
    <row r="430" spans="1:16" x14ac:dyDescent="0.3">
      <c r="A430">
        <v>428</v>
      </c>
      <c r="B430">
        <f>'Real Input'!M430</f>
        <v>8.6114609999931417</v>
      </c>
      <c r="C430">
        <f ca="1">INDIRECT(CONCATENATE("'Real Input'!",'Real Analysis'!$B$2,A430+2))</f>
        <v>9.8340443099999995</v>
      </c>
      <c r="D430">
        <f t="shared" si="31"/>
        <v>1.9350999995367602E-2</v>
      </c>
      <c r="E430">
        <f ca="1">IF(B430&gt;0,C430-'Real Analysis'!$B$14,0)</f>
        <v>-2.2453492371427686E-2</v>
      </c>
      <c r="F430">
        <f t="shared" ca="1" si="34"/>
        <v>-3.4107949741380546E-2</v>
      </c>
      <c r="G430">
        <f t="shared" ca="1" si="35"/>
        <v>-0.17292202014769112</v>
      </c>
      <c r="H430">
        <f ca="1">IF(AND(B430&gt;'Real Analysis'!$B$31,B430&lt;'Real Analysis'!$B$32),FilterInput(E430,'Real Analysis'!$B$26,'Real Analysis'!$B$27),0)</f>
        <v>0</v>
      </c>
      <c r="I430" t="e">
        <f>MEDIAN2("Real Values",H430,'Real Analysis'!$B$5,2)</f>
        <v>#VALUE!</v>
      </c>
      <c r="J430" t="e">
        <f>AVERAGE2("Real Values",I430,'Real Analysis'!$B$6,2)</f>
        <v>#VALUE!</v>
      </c>
      <c r="K430" t="e">
        <f>INTEGRAL2(J430,$B430,K429,J429,$B429,'Real Analysis'!$B$19)</f>
        <v>#VALUE!</v>
      </c>
      <c r="L430" t="e">
        <f>IF(AND(B430&lt;'Real Analysis'!$B$32,B430&gt;0),INTEGRAL2(K430,$B430,L429,K429,$B429,'Real Analysis'!$B$20),0)</f>
        <v>#VALUE!</v>
      </c>
      <c r="N430">
        <f>'Real Analysis'!$B$28*'Real Input'!U430+IF('Real Input'!U430 &gt; 0,'Real Analysis'!$B$29,0)</f>
        <v>0</v>
      </c>
      <c r="O430" t="e">
        <f t="shared" si="32"/>
        <v>#VALUE!</v>
      </c>
      <c r="P430" t="e">
        <f t="shared" si="33"/>
        <v>#VALUE!</v>
      </c>
    </row>
    <row r="431" spans="1:16" x14ac:dyDescent="0.3">
      <c r="A431">
        <v>429</v>
      </c>
      <c r="B431">
        <f>'Real Input'!M431</f>
        <v>8.6322240000008605</v>
      </c>
      <c r="C431">
        <f ca="1">INDIRECT(CONCATENATE("'Real Input'!",'Real Analysis'!$B$2,A431+2))</f>
        <v>9.794716020000001</v>
      </c>
      <c r="D431">
        <f t="shared" si="31"/>
        <v>2.0763000007718801E-2</v>
      </c>
      <c r="E431">
        <f ca="1">IF(B431&gt;0,C431-'Real Analysis'!$B$14,0)</f>
        <v>-6.1781782371426175E-2</v>
      </c>
      <c r="F431">
        <f t="shared" ca="1" si="34"/>
        <v>-3.539072488923535E-2</v>
      </c>
      <c r="G431">
        <f t="shared" ca="1" si="35"/>
        <v>-0.1736568377688395</v>
      </c>
      <c r="H431">
        <f ca="1">IF(AND(B431&gt;'Real Analysis'!$B$31,B431&lt;'Real Analysis'!$B$32),FilterInput(E431,'Real Analysis'!$B$26,'Real Analysis'!$B$27),0)</f>
        <v>0</v>
      </c>
      <c r="I431" t="e">
        <f>MEDIAN2("Real Values",H431,'Real Analysis'!$B$5,2)</f>
        <v>#VALUE!</v>
      </c>
      <c r="J431" t="e">
        <f>AVERAGE2("Real Values",I431,'Real Analysis'!$B$6,2)</f>
        <v>#VALUE!</v>
      </c>
      <c r="K431" t="e">
        <f>INTEGRAL2(J431,$B431,K430,J430,$B430,'Real Analysis'!$B$19)</f>
        <v>#VALUE!</v>
      </c>
      <c r="L431" t="e">
        <f>IF(AND(B431&lt;'Real Analysis'!$B$32,B431&gt;0),INTEGRAL2(K431,$B431,L430,K430,$B430,'Real Analysis'!$B$20),0)</f>
        <v>#VALUE!</v>
      </c>
      <c r="N431">
        <f>'Real Analysis'!$B$28*'Real Input'!U431+IF('Real Input'!U431 &gt; 0,'Real Analysis'!$B$29,0)</f>
        <v>0</v>
      </c>
      <c r="O431" t="e">
        <f t="shared" si="32"/>
        <v>#VALUE!</v>
      </c>
      <c r="P431" t="e">
        <f t="shared" si="33"/>
        <v>#VALUE!</v>
      </c>
    </row>
    <row r="432" spans="1:16" x14ac:dyDescent="0.3">
      <c r="A432">
        <v>430</v>
      </c>
      <c r="B432">
        <f>'Real Input'!M432</f>
        <v>8.6513730000006035</v>
      </c>
      <c r="C432">
        <f ca="1">INDIRECT(CONCATENATE("'Real Input'!",'Real Analysis'!$B$2,A432+2))</f>
        <v>9.8608550400000006</v>
      </c>
      <c r="D432">
        <f t="shared" si="31"/>
        <v>1.9148999999742955E-2</v>
      </c>
      <c r="E432">
        <f ca="1">IF(B432&gt;0,C432-'Real Analysis'!$B$14,0)</f>
        <v>4.3572376285734293E-3</v>
      </c>
      <c r="F432">
        <f t="shared" ca="1" si="34"/>
        <v>-3.530728814588692E-2</v>
      </c>
      <c r="G432">
        <f t="shared" ca="1" si="35"/>
        <v>-0.17433293702953601</v>
      </c>
      <c r="H432">
        <f ca="1">IF(AND(B432&gt;'Real Analysis'!$B$31,B432&lt;'Real Analysis'!$B$32),FilterInput(E432,'Real Analysis'!$B$26,'Real Analysis'!$B$27),0)</f>
        <v>0</v>
      </c>
      <c r="I432" t="e">
        <f>MEDIAN2("Real Values",H432,'Real Analysis'!$B$5,2)</f>
        <v>#VALUE!</v>
      </c>
      <c r="J432" t="e">
        <f>AVERAGE2("Real Values",I432,'Real Analysis'!$B$6,2)</f>
        <v>#VALUE!</v>
      </c>
      <c r="K432" t="e">
        <f>INTEGRAL2(J432,$B432,K431,J431,$B431,'Real Analysis'!$B$19)</f>
        <v>#VALUE!</v>
      </c>
      <c r="L432" t="e">
        <f>IF(AND(B432&lt;'Real Analysis'!$B$32,B432&gt;0),INTEGRAL2(K432,$B432,L431,K431,$B431,'Real Analysis'!$B$20),0)</f>
        <v>#VALUE!</v>
      </c>
      <c r="N432">
        <f>'Real Analysis'!$B$28*'Real Input'!U432+IF('Real Input'!U432 &gt; 0,'Real Analysis'!$B$29,0)</f>
        <v>0</v>
      </c>
      <c r="O432" t="e">
        <f t="shared" si="32"/>
        <v>#VALUE!</v>
      </c>
      <c r="P432" t="e">
        <f t="shared" si="33"/>
        <v>#VALUE!</v>
      </c>
    </row>
    <row r="433" spans="1:16" x14ac:dyDescent="0.3">
      <c r="A433">
        <v>431</v>
      </c>
      <c r="B433">
        <f>'Real Input'!M433</f>
        <v>8.6656849999999395</v>
      </c>
      <c r="C433">
        <f ca="1">INDIRECT(CONCATENATE("'Real Input'!",'Real Analysis'!$B$2,A433+2))</f>
        <v>9.8520750899999996</v>
      </c>
      <c r="D433">
        <f t="shared" si="31"/>
        <v>1.4311999999335967E-2</v>
      </c>
      <c r="E433">
        <f ca="1">IF(B433&gt;0,C433-'Real Analysis'!$B$14,0)</f>
        <v>-4.4227123714275507E-3</v>
      </c>
      <c r="F433">
        <f t="shared" ca="1" si="34"/>
        <v>-3.5370586005343853E-2</v>
      </c>
      <c r="G433">
        <f t="shared" ca="1" si="35"/>
        <v>-0.17483916085642101</v>
      </c>
      <c r="H433">
        <f ca="1">IF(AND(B433&gt;'Real Analysis'!$B$31,B433&lt;'Real Analysis'!$B$32),FilterInput(E433,'Real Analysis'!$B$26,'Real Analysis'!$B$27),0)</f>
        <v>0</v>
      </c>
      <c r="I433" t="e">
        <f>MEDIAN2("Real Values",H433,'Real Analysis'!$B$5,2)</f>
        <v>#VALUE!</v>
      </c>
      <c r="J433" t="e">
        <f>AVERAGE2("Real Values",I433,'Real Analysis'!$B$6,2)</f>
        <v>#VALUE!</v>
      </c>
      <c r="K433" t="e">
        <f>INTEGRAL2(J433,$B433,K432,J432,$B432,'Real Analysis'!$B$19)</f>
        <v>#VALUE!</v>
      </c>
      <c r="L433" t="e">
        <f>IF(AND(B433&lt;'Real Analysis'!$B$32,B433&gt;0),INTEGRAL2(K433,$B433,L432,K432,$B432,'Real Analysis'!$B$20),0)</f>
        <v>#VALUE!</v>
      </c>
      <c r="N433">
        <f>'Real Analysis'!$B$28*'Real Input'!U433+IF('Real Input'!U433 &gt; 0,'Real Analysis'!$B$29,0)</f>
        <v>0</v>
      </c>
      <c r="O433" t="e">
        <f t="shared" si="32"/>
        <v>#VALUE!</v>
      </c>
      <c r="P433" t="e">
        <f t="shared" si="33"/>
        <v>#VALUE!</v>
      </c>
    </row>
    <row r="434" spans="1:16" x14ac:dyDescent="0.3">
      <c r="A434">
        <v>432</v>
      </c>
      <c r="B434">
        <f>'Real Input'!M434</f>
        <v>8.6921200000069803</v>
      </c>
      <c r="C434">
        <f ca="1">INDIRECT(CONCATENATE("'Real Input'!",'Real Analysis'!$B$2,A434+2))</f>
        <v>9.8513197200000011</v>
      </c>
      <c r="D434">
        <f t="shared" si="31"/>
        <v>2.6435000007040799E-2</v>
      </c>
      <c r="E434">
        <f ca="1">IF(B434&gt;0,C434-'Real Analysis'!$B$14,0)</f>
        <v>-5.1780823714260293E-3</v>
      </c>
      <c r="F434">
        <f t="shared" ca="1" si="34"/>
        <v>-3.5507468612868957E-2</v>
      </c>
      <c r="G434">
        <f t="shared" ca="1" si="35"/>
        <v>-0.17577780078945221</v>
      </c>
      <c r="H434">
        <f ca="1">IF(AND(B434&gt;'Real Analysis'!$B$31,B434&lt;'Real Analysis'!$B$32),FilterInput(E434,'Real Analysis'!$B$26,'Real Analysis'!$B$27),0)</f>
        <v>0</v>
      </c>
      <c r="I434" t="e">
        <f>MEDIAN2("Real Values",H434,'Real Analysis'!$B$5,2)</f>
        <v>#VALUE!</v>
      </c>
      <c r="J434" t="e">
        <f>AVERAGE2("Real Values",I434,'Real Analysis'!$B$6,2)</f>
        <v>#VALUE!</v>
      </c>
      <c r="K434" t="e">
        <f>INTEGRAL2(J434,$B434,K433,J433,$B433,'Real Analysis'!$B$19)</f>
        <v>#VALUE!</v>
      </c>
      <c r="L434" t="e">
        <f>IF(AND(B434&lt;'Real Analysis'!$B$32,B434&gt;0),INTEGRAL2(K434,$B434,L433,K433,$B433,'Real Analysis'!$B$20),0)</f>
        <v>#VALUE!</v>
      </c>
      <c r="N434">
        <f>'Real Analysis'!$B$28*'Real Input'!U434+IF('Real Input'!U434 &gt; 0,'Real Analysis'!$B$29,0)</f>
        <v>0</v>
      </c>
      <c r="O434" t="e">
        <f t="shared" si="32"/>
        <v>#VALUE!</v>
      </c>
      <c r="P434" t="e">
        <f t="shared" si="33"/>
        <v>#VALUE!</v>
      </c>
    </row>
    <row r="435" spans="1:16" x14ac:dyDescent="0.3">
      <c r="A435">
        <v>433</v>
      </c>
      <c r="B435">
        <f>'Real Input'!M435</f>
        <v>8.7099770000058925</v>
      </c>
      <c r="C435">
        <f ca="1">INDIRECT(CONCATENATE("'Real Input'!",'Real Analysis'!$B$2,A435+2))</f>
        <v>9.8524478700000007</v>
      </c>
      <c r="D435">
        <f t="shared" si="31"/>
        <v>1.7856999998912215E-2</v>
      </c>
      <c r="E435">
        <f ca="1">IF(B435&gt;0,C435-'Real Analysis'!$B$14,0)</f>
        <v>-4.049932371426479E-3</v>
      </c>
      <c r="F435">
        <f t="shared" ca="1" si="34"/>
        <v>-3.5579788255221116E-2</v>
      </c>
      <c r="G435">
        <f t="shared" ca="1" si="35"/>
        <v>-0.17641314906828698</v>
      </c>
      <c r="H435">
        <f ca="1">IF(AND(B435&gt;'Real Analysis'!$B$31,B435&lt;'Real Analysis'!$B$32),FilterInput(E435,'Real Analysis'!$B$26,'Real Analysis'!$B$27),0)</f>
        <v>0</v>
      </c>
      <c r="I435" t="e">
        <f>MEDIAN2("Real Values",H435,'Real Analysis'!$B$5,2)</f>
        <v>#VALUE!</v>
      </c>
      <c r="J435" t="e">
        <f>AVERAGE2("Real Values",I435,'Real Analysis'!$B$6,2)</f>
        <v>#VALUE!</v>
      </c>
      <c r="K435" t="e">
        <f>INTEGRAL2(J435,$B435,K434,J434,$B434,'Real Analysis'!$B$19)</f>
        <v>#VALUE!</v>
      </c>
      <c r="L435" t="e">
        <f>IF(AND(B435&lt;'Real Analysis'!$B$32,B435&gt;0),INTEGRAL2(K435,$B435,L434,K434,$B434,'Real Analysis'!$B$20),0)</f>
        <v>#VALUE!</v>
      </c>
      <c r="N435">
        <f>'Real Analysis'!$B$28*'Real Input'!U435+IF('Real Input'!U435 &gt; 0,'Real Analysis'!$B$29,0)</f>
        <v>0</v>
      </c>
      <c r="O435" t="e">
        <f t="shared" si="32"/>
        <v>#VALUE!</v>
      </c>
      <c r="P435" t="e">
        <f t="shared" si="33"/>
        <v>#VALUE!</v>
      </c>
    </row>
    <row r="436" spans="1:16" x14ac:dyDescent="0.3">
      <c r="A436">
        <v>434</v>
      </c>
      <c r="B436">
        <f>'Real Input'!M436</f>
        <v>8.7308309999934863</v>
      </c>
      <c r="C436">
        <f ca="1">INDIRECT(CONCATENATE("'Real Input'!",'Real Analysis'!$B$2,A436+2))</f>
        <v>9.8509567500000017</v>
      </c>
      <c r="D436">
        <f t="shared" si="31"/>
        <v>2.0853999987593852E-2</v>
      </c>
      <c r="E436">
        <f ca="1">IF(B436&gt;0,C436-'Real Analysis'!$B$14,0)</f>
        <v>-5.5410523714254367E-3</v>
      </c>
      <c r="F436">
        <f t="shared" ca="1" si="34"/>
        <v>-3.5695341361306081E-2</v>
      </c>
      <c r="G436">
        <f t="shared" ca="1" si="35"/>
        <v>-0.17715753971659282</v>
      </c>
      <c r="H436">
        <f ca="1">IF(AND(B436&gt;'Real Analysis'!$B$31,B436&lt;'Real Analysis'!$B$32),FilterInput(E436,'Real Analysis'!$B$26,'Real Analysis'!$B$27),0)</f>
        <v>0</v>
      </c>
      <c r="I436" t="e">
        <f>MEDIAN2("Real Values",H436,'Real Analysis'!$B$5,2)</f>
        <v>#VALUE!</v>
      </c>
      <c r="J436" t="e">
        <f>AVERAGE2("Real Values",I436,'Real Analysis'!$B$6,2)</f>
        <v>#VALUE!</v>
      </c>
      <c r="K436" t="e">
        <f>INTEGRAL2(J436,$B436,K435,J435,$B435,'Real Analysis'!$B$19)</f>
        <v>#VALUE!</v>
      </c>
      <c r="L436" t="e">
        <f>IF(AND(B436&lt;'Real Analysis'!$B$32,B436&gt;0),INTEGRAL2(K436,$B436,L435,K435,$B435,'Real Analysis'!$B$20),0)</f>
        <v>#VALUE!</v>
      </c>
      <c r="N436">
        <f>'Real Analysis'!$B$28*'Real Input'!U436+IF('Real Input'!U436 &gt; 0,'Real Analysis'!$B$29,0)</f>
        <v>0</v>
      </c>
      <c r="O436" t="e">
        <f t="shared" si="32"/>
        <v>#VALUE!</v>
      </c>
      <c r="P436" t="e">
        <f t="shared" si="33"/>
        <v>#VALUE!</v>
      </c>
    </row>
    <row r="437" spans="1:16" x14ac:dyDescent="0.3">
      <c r="A437">
        <v>435</v>
      </c>
      <c r="B437">
        <f>'Real Input'!M437</f>
        <v>8.7502260000037495</v>
      </c>
      <c r="C437">
        <f ca="1">INDIRECT(CONCATENATE("'Real Input'!",'Real Analysis'!$B$2,A437+2))</f>
        <v>9.8511137100000017</v>
      </c>
      <c r="D437">
        <f t="shared" si="31"/>
        <v>1.9395000010263175E-2</v>
      </c>
      <c r="E437">
        <f ca="1">IF(B437&gt;0,C437-'Real Analysis'!$B$14,0)</f>
        <v>-5.3840923714254529E-3</v>
      </c>
      <c r="F437">
        <f t="shared" ca="1" si="34"/>
        <v>-3.5799765832905138E-2</v>
      </c>
      <c r="G437">
        <f t="shared" ca="1" si="35"/>
        <v>-0.17785187617528944</v>
      </c>
      <c r="H437">
        <f ca="1">IF(AND(B437&gt;'Real Analysis'!$B$31,B437&lt;'Real Analysis'!$B$32),FilterInput(E437,'Real Analysis'!$B$26,'Real Analysis'!$B$27),0)</f>
        <v>0</v>
      </c>
      <c r="I437" t="e">
        <f>MEDIAN2("Real Values",H437,'Real Analysis'!$B$5,2)</f>
        <v>#VALUE!</v>
      </c>
      <c r="J437" t="e">
        <f>AVERAGE2("Real Values",I437,'Real Analysis'!$B$6,2)</f>
        <v>#VALUE!</v>
      </c>
      <c r="K437" t="e">
        <f>INTEGRAL2(J437,$B437,K436,J436,$B436,'Real Analysis'!$B$19)</f>
        <v>#VALUE!</v>
      </c>
      <c r="L437" t="e">
        <f>IF(AND(B437&lt;'Real Analysis'!$B$32,B437&gt;0),INTEGRAL2(K437,$B437,L436,K436,$B436,'Real Analysis'!$B$20),0)</f>
        <v>#VALUE!</v>
      </c>
      <c r="N437">
        <f>'Real Analysis'!$B$28*'Real Input'!U437+IF('Real Input'!U437 &gt; 0,'Real Analysis'!$B$29,0)</f>
        <v>0</v>
      </c>
      <c r="O437" t="e">
        <f t="shared" si="32"/>
        <v>#VALUE!</v>
      </c>
      <c r="P437" t="e">
        <f t="shared" si="33"/>
        <v>#VALUE!</v>
      </c>
    </row>
    <row r="438" spans="1:16" x14ac:dyDescent="0.3">
      <c r="A438">
        <v>436</v>
      </c>
      <c r="B438">
        <f>'Real Input'!M438</f>
        <v>8.7707749999972293</v>
      </c>
      <c r="C438">
        <f ca="1">INDIRECT(CONCATENATE("'Real Input'!",'Real Analysis'!$B$2,A438+2))</f>
        <v>9.8505251100000013</v>
      </c>
      <c r="D438">
        <f t="shared" si="31"/>
        <v>2.0548999993479811E-2</v>
      </c>
      <c r="E438">
        <f ca="1">IF(B438&gt;0,C438-'Real Analysis'!$B$14,0)</f>
        <v>-5.9726923714258362E-3</v>
      </c>
      <c r="F438">
        <f t="shared" ca="1" si="34"/>
        <v>-3.5922498688406627E-2</v>
      </c>
      <c r="G438">
        <f t="shared" ca="1" si="35"/>
        <v>-0.17859004760060329</v>
      </c>
      <c r="H438">
        <f ca="1">IF(AND(B438&gt;'Real Analysis'!$B$31,B438&lt;'Real Analysis'!$B$32),FilterInput(E438,'Real Analysis'!$B$26,'Real Analysis'!$B$27),0)</f>
        <v>0</v>
      </c>
      <c r="I438" t="e">
        <f>MEDIAN2("Real Values",H438,'Real Analysis'!$B$5,2)</f>
        <v>#VALUE!</v>
      </c>
      <c r="J438" t="e">
        <f>AVERAGE2("Real Values",I438,'Real Analysis'!$B$6,2)</f>
        <v>#VALUE!</v>
      </c>
      <c r="K438" t="e">
        <f>INTEGRAL2(J438,$B438,K437,J437,$B437,'Real Analysis'!$B$19)</f>
        <v>#VALUE!</v>
      </c>
      <c r="L438" t="e">
        <f>IF(AND(B438&lt;'Real Analysis'!$B$32,B438&gt;0),INTEGRAL2(K438,$B438,L437,K437,$B437,'Real Analysis'!$B$20),0)</f>
        <v>#VALUE!</v>
      </c>
      <c r="N438">
        <f>'Real Analysis'!$B$28*'Real Input'!U438+IF('Real Input'!U438 &gt; 0,'Real Analysis'!$B$29,0)</f>
        <v>0</v>
      </c>
      <c r="O438" t="e">
        <f t="shared" si="32"/>
        <v>#VALUE!</v>
      </c>
      <c r="P438" t="e">
        <f t="shared" si="33"/>
        <v>#VALUE!</v>
      </c>
    </row>
    <row r="439" spans="1:16" x14ac:dyDescent="0.3">
      <c r="A439">
        <v>437</v>
      </c>
      <c r="B439">
        <f>'Real Input'!M439</f>
        <v>8.7914420000015525</v>
      </c>
      <c r="C439">
        <f ca="1">INDIRECT(CONCATENATE("'Real Input'!",'Real Analysis'!$B$2,A439+2))</f>
        <v>9.8506134000000003</v>
      </c>
      <c r="D439">
        <f t="shared" si="31"/>
        <v>2.0667000004323199E-2</v>
      </c>
      <c r="E439">
        <f ca="1">IF(B439&gt;0,C439-'Real Analysis'!$B$14,0)</f>
        <v>-5.8844023714268445E-3</v>
      </c>
      <c r="F439">
        <f t="shared" ca="1" si="34"/>
        <v>-3.6044111632242345E-2</v>
      </c>
      <c r="G439">
        <f t="shared" ca="1" si="35"/>
        <v>-0.17933497125586267</v>
      </c>
      <c r="H439">
        <f ca="1">IF(AND(B439&gt;'Real Analysis'!$B$31,B439&lt;'Real Analysis'!$B$32),FilterInput(E439,'Real Analysis'!$B$26,'Real Analysis'!$B$27),0)</f>
        <v>0</v>
      </c>
      <c r="I439" t="e">
        <f>MEDIAN2("Real Values",H439,'Real Analysis'!$B$5,2)</f>
        <v>#VALUE!</v>
      </c>
      <c r="J439" t="e">
        <f>AVERAGE2("Real Values",I439,'Real Analysis'!$B$6,2)</f>
        <v>#VALUE!</v>
      </c>
      <c r="K439" t="e">
        <f>INTEGRAL2(J439,$B439,K438,J438,$B438,'Real Analysis'!$B$19)</f>
        <v>#VALUE!</v>
      </c>
      <c r="L439" t="e">
        <f>IF(AND(B439&lt;'Real Analysis'!$B$32,B439&gt;0),INTEGRAL2(K439,$B439,L438,K438,$B438,'Real Analysis'!$B$20),0)</f>
        <v>#VALUE!</v>
      </c>
      <c r="N439">
        <f>'Real Analysis'!$B$28*'Real Input'!U439+IF('Real Input'!U439 &gt; 0,'Real Analysis'!$B$29,0)</f>
        <v>0</v>
      </c>
      <c r="O439" t="e">
        <f t="shared" si="32"/>
        <v>#VALUE!</v>
      </c>
      <c r="P439" t="e">
        <f t="shared" si="33"/>
        <v>#VALUE!</v>
      </c>
    </row>
    <row r="440" spans="1:16" x14ac:dyDescent="0.3">
      <c r="A440">
        <v>438</v>
      </c>
      <c r="B440">
        <f>'Real Input'!M440</f>
        <v>8.8122889999940526</v>
      </c>
      <c r="C440">
        <f ca="1">INDIRECT(CONCATENATE("'Real Input'!",'Real Analysis'!$B$2,A440+2))</f>
        <v>9.850574159999999</v>
      </c>
      <c r="D440">
        <f t="shared" si="31"/>
        <v>2.0846999992500059E-2</v>
      </c>
      <c r="E440">
        <f ca="1">IF(B440&gt;0,C440-'Real Analysis'!$B$14,0)</f>
        <v>-5.9236423714281727E-3</v>
      </c>
      <c r="F440">
        <f t="shared" ca="1" si="34"/>
        <v>-3.616760180471508E-2</v>
      </c>
      <c r="G440">
        <f t="shared" ca="1" si="35"/>
        <v>-0.18008895725041432</v>
      </c>
      <c r="H440">
        <f ca="1">IF(AND(B440&gt;'Real Analysis'!$B$31,B440&lt;'Real Analysis'!$B$32),FilterInput(E440,'Real Analysis'!$B$26,'Real Analysis'!$B$27),0)</f>
        <v>0</v>
      </c>
      <c r="I440" t="e">
        <f>MEDIAN2("Real Values",H440,'Real Analysis'!$B$5,2)</f>
        <v>#VALUE!</v>
      </c>
      <c r="J440" t="e">
        <f>AVERAGE2("Real Values",I440,'Real Analysis'!$B$6,2)</f>
        <v>#VALUE!</v>
      </c>
      <c r="K440" t="e">
        <f>INTEGRAL2(J440,$B440,K439,J439,$B439,'Real Analysis'!$B$19)</f>
        <v>#VALUE!</v>
      </c>
      <c r="L440" t="e">
        <f>IF(AND(B440&lt;'Real Analysis'!$B$32,B440&gt;0),INTEGRAL2(K440,$B440,L439,K439,$B439,'Real Analysis'!$B$20),0)</f>
        <v>#VALUE!</v>
      </c>
      <c r="N440">
        <f>'Real Analysis'!$B$28*'Real Input'!U440+IF('Real Input'!U440 &gt; 0,'Real Analysis'!$B$29,0)</f>
        <v>0</v>
      </c>
      <c r="O440" t="e">
        <f t="shared" si="32"/>
        <v>#VALUE!</v>
      </c>
      <c r="P440" t="e">
        <f t="shared" si="33"/>
        <v>#VALUE!</v>
      </c>
    </row>
    <row r="441" spans="1:16" x14ac:dyDescent="0.3">
      <c r="A441">
        <v>439</v>
      </c>
      <c r="B441">
        <f>'Real Input'!M441</f>
        <v>8.8308479999977862</v>
      </c>
      <c r="C441">
        <f ca="1">INDIRECT(CONCATENATE("'Real Input'!",'Real Analysis'!$B$2,A441+2))</f>
        <v>9.85126086</v>
      </c>
      <c r="D441">
        <f t="shared" si="31"/>
        <v>1.8559000003733672E-2</v>
      </c>
      <c r="E441">
        <f ca="1">IF(B441&gt;0,C441-'Real Analysis'!$B$14,0)</f>
        <v>-5.2369423714271335E-3</v>
      </c>
      <c r="F441">
        <f t="shared" ca="1" si="34"/>
        <v>-3.6264794218205949E-2</v>
      </c>
      <c r="G441">
        <f t="shared" ca="1" si="35"/>
        <v>-0.1807619955664454</v>
      </c>
      <c r="H441">
        <f ca="1">IF(AND(B441&gt;'Real Analysis'!$B$31,B441&lt;'Real Analysis'!$B$32),FilterInput(E441,'Real Analysis'!$B$26,'Real Analysis'!$B$27),0)</f>
        <v>0</v>
      </c>
      <c r="I441" t="e">
        <f>MEDIAN2("Real Values",H441,'Real Analysis'!$B$5,2)</f>
        <v>#VALUE!</v>
      </c>
      <c r="J441" t="e">
        <f>AVERAGE2("Real Values",I441,'Real Analysis'!$B$6,2)</f>
        <v>#VALUE!</v>
      </c>
      <c r="K441" t="e">
        <f>INTEGRAL2(J441,$B441,K440,J440,$B440,'Real Analysis'!$B$19)</f>
        <v>#VALUE!</v>
      </c>
      <c r="L441" t="e">
        <f>IF(AND(B441&lt;'Real Analysis'!$B$32,B441&gt;0),INTEGRAL2(K441,$B441,L440,K440,$B440,'Real Analysis'!$B$20),0)</f>
        <v>#VALUE!</v>
      </c>
      <c r="N441">
        <f>'Real Analysis'!$B$28*'Real Input'!U441+IF('Real Input'!U441 &gt; 0,'Real Analysis'!$B$29,0)</f>
        <v>0</v>
      </c>
      <c r="O441" t="e">
        <f t="shared" si="32"/>
        <v>#VALUE!</v>
      </c>
      <c r="P441" t="e">
        <f t="shared" si="33"/>
        <v>#VALUE!</v>
      </c>
    </row>
    <row r="442" spans="1:16" x14ac:dyDescent="0.3">
      <c r="A442">
        <v>440</v>
      </c>
      <c r="B442">
        <f>'Real Input'!M442</f>
        <v>8.8516930000041611</v>
      </c>
      <c r="C442">
        <f ca="1">INDIRECT(CONCATENATE("'Real Input'!",'Real Analysis'!$B$2,A442+2))</f>
        <v>9.8516042099999996</v>
      </c>
      <c r="D442">
        <f t="shared" si="31"/>
        <v>2.0845000006374903E-2</v>
      </c>
      <c r="E442">
        <f ca="1">IF(B442&gt;0,C442-'Real Analysis'!$B$14,0)</f>
        <v>-4.893592371427502E-3</v>
      </c>
      <c r="F442">
        <f t="shared" ca="1" si="34"/>
        <v>-3.6366801151219555E-2</v>
      </c>
      <c r="G442">
        <f t="shared" ca="1" si="35"/>
        <v>-0.18152006153667441</v>
      </c>
      <c r="H442">
        <f ca="1">IF(AND(B442&gt;'Real Analysis'!$B$31,B442&lt;'Real Analysis'!$B$32),FilterInput(E442,'Real Analysis'!$B$26,'Real Analysis'!$B$27),0)</f>
        <v>0</v>
      </c>
      <c r="I442" t="e">
        <f>MEDIAN2("Real Values",H442,'Real Analysis'!$B$5,2)</f>
        <v>#VALUE!</v>
      </c>
      <c r="J442" t="e">
        <f>AVERAGE2("Real Values",I442,'Real Analysis'!$B$6,2)</f>
        <v>#VALUE!</v>
      </c>
      <c r="K442" t="e">
        <f>INTEGRAL2(J442,$B442,K441,J441,$B441,'Real Analysis'!$B$19)</f>
        <v>#VALUE!</v>
      </c>
      <c r="L442" t="e">
        <f>IF(AND(B442&lt;'Real Analysis'!$B$32,B442&gt;0),INTEGRAL2(K442,$B442,L441,K441,$B441,'Real Analysis'!$B$20),0)</f>
        <v>#VALUE!</v>
      </c>
      <c r="N442">
        <f>'Real Analysis'!$B$28*'Real Input'!U442+IF('Real Input'!U442 &gt; 0,'Real Analysis'!$B$29,0)</f>
        <v>0</v>
      </c>
      <c r="O442" t="e">
        <f t="shared" si="32"/>
        <v>#VALUE!</v>
      </c>
      <c r="P442" t="e">
        <f t="shared" si="33"/>
        <v>#VALUE!</v>
      </c>
    </row>
    <row r="443" spans="1:16" x14ac:dyDescent="0.3">
      <c r="A443">
        <v>441</v>
      </c>
      <c r="B443">
        <f>'Real Input'!M443</f>
        <v>8.8710469999932684</v>
      </c>
      <c r="C443">
        <f ca="1">INDIRECT(CONCATENATE("'Real Input'!",'Real Analysis'!$B$2,A443+2))</f>
        <v>9.8541155699999994</v>
      </c>
      <c r="D443">
        <f t="shared" si="31"/>
        <v>1.9353999989107251E-2</v>
      </c>
      <c r="E443">
        <f ca="1">IF(B443&gt;0,C443-'Real Analysis'!$B$14,0)</f>
        <v>-2.3822323714277616E-3</v>
      </c>
      <c r="F443">
        <f t="shared" ca="1" si="34"/>
        <v>-3.641290687651022E-2</v>
      </c>
      <c r="G443">
        <f t="shared" ca="1" si="35"/>
        <v>-0.18222479693596574</v>
      </c>
      <c r="H443">
        <f ca="1">IF(AND(B443&gt;'Real Analysis'!$B$31,B443&lt;'Real Analysis'!$B$32),FilterInput(E443,'Real Analysis'!$B$26,'Real Analysis'!$B$27),0)</f>
        <v>0</v>
      </c>
      <c r="I443" t="e">
        <f>MEDIAN2("Real Values",H443,'Real Analysis'!$B$5,2)</f>
        <v>#VALUE!</v>
      </c>
      <c r="J443" t="e">
        <f>AVERAGE2("Real Values",I443,'Real Analysis'!$B$6,2)</f>
        <v>#VALUE!</v>
      </c>
      <c r="K443" t="e">
        <f>INTEGRAL2(J443,$B443,K442,J442,$B442,'Real Analysis'!$B$19)</f>
        <v>#VALUE!</v>
      </c>
      <c r="L443" t="e">
        <f>IF(AND(B443&lt;'Real Analysis'!$B$32,B443&gt;0),INTEGRAL2(K443,$B443,L442,K442,$B442,'Real Analysis'!$B$20),0)</f>
        <v>#VALUE!</v>
      </c>
      <c r="N443">
        <f>'Real Analysis'!$B$28*'Real Input'!U443+IF('Real Input'!U443 &gt; 0,'Real Analysis'!$B$29,0)</f>
        <v>0</v>
      </c>
      <c r="O443" t="e">
        <f t="shared" si="32"/>
        <v>#VALUE!</v>
      </c>
      <c r="P443" t="e">
        <f t="shared" si="33"/>
        <v>#VALUE!</v>
      </c>
    </row>
    <row r="444" spans="1:16" x14ac:dyDescent="0.3">
      <c r="A444">
        <v>442</v>
      </c>
      <c r="B444">
        <f>'Real Input'!M444</f>
        <v>8.8911879999941448</v>
      </c>
      <c r="C444">
        <f ca="1">INDIRECT(CONCATENATE("'Real Input'!",'Real Analysis'!$B$2,A444+2))</f>
        <v>9.8531051400000003</v>
      </c>
      <c r="D444">
        <f t="shared" si="31"/>
        <v>2.0141000000876375E-2</v>
      </c>
      <c r="E444">
        <f ca="1">IF(B444&gt;0,C444-'Real Analysis'!$B$14,0)</f>
        <v>-3.39266237142688E-3</v>
      </c>
      <c r="F444">
        <f t="shared" ca="1" si="34"/>
        <v>-3.6481238489336106E-2</v>
      </c>
      <c r="G444">
        <f t="shared" ca="1" si="35"/>
        <v>-0.18295956556041143</v>
      </c>
      <c r="H444">
        <f ca="1">IF(AND(B444&gt;'Real Analysis'!$B$31,B444&lt;'Real Analysis'!$B$32),FilterInput(E444,'Real Analysis'!$B$26,'Real Analysis'!$B$27),0)</f>
        <v>0</v>
      </c>
      <c r="I444" t="e">
        <f>MEDIAN2("Real Values",H444,'Real Analysis'!$B$5,2)</f>
        <v>#VALUE!</v>
      </c>
      <c r="J444" t="e">
        <f>AVERAGE2("Real Values",I444,'Real Analysis'!$B$6,2)</f>
        <v>#VALUE!</v>
      </c>
      <c r="K444" t="e">
        <f>INTEGRAL2(J444,$B444,K443,J443,$B443,'Real Analysis'!$B$19)</f>
        <v>#VALUE!</v>
      </c>
      <c r="L444" t="e">
        <f>IF(AND(B444&lt;'Real Analysis'!$B$32,B444&gt;0),INTEGRAL2(K444,$B444,L443,K443,$B443,'Real Analysis'!$B$20),0)</f>
        <v>#VALUE!</v>
      </c>
      <c r="N444">
        <f>'Real Analysis'!$B$28*'Real Input'!U444+IF('Real Input'!U444 &gt; 0,'Real Analysis'!$B$29,0)</f>
        <v>0</v>
      </c>
      <c r="O444" t="e">
        <f t="shared" si="32"/>
        <v>#VALUE!</v>
      </c>
      <c r="P444" t="e">
        <f t="shared" si="33"/>
        <v>#VALUE!</v>
      </c>
    </row>
    <row r="445" spans="1:16" x14ac:dyDescent="0.3">
      <c r="A445">
        <v>443</v>
      </c>
      <c r="B445">
        <f>'Real Input'!M445</f>
        <v>8.9112809999933233</v>
      </c>
      <c r="C445">
        <f ca="1">INDIRECT(CONCATENATE("'Real Input'!",'Real Analysis'!$B$2,A445+2))</f>
        <v>9.850083660000001</v>
      </c>
      <c r="D445">
        <f t="shared" si="31"/>
        <v>2.0092999999178573E-2</v>
      </c>
      <c r="E445">
        <f ca="1">IF(B445&gt;0,C445-'Real Analysis'!$B$14,0)</f>
        <v>-6.4141423714261236E-3</v>
      </c>
      <c r="F445">
        <f t="shared" ca="1" si="34"/>
        <v>-3.6610117851999899E-2</v>
      </c>
      <c r="G445">
        <f t="shared" ca="1" si="35"/>
        <v>-0.18369517265838159</v>
      </c>
      <c r="H445">
        <f ca="1">IF(AND(B445&gt;'Real Analysis'!$B$31,B445&lt;'Real Analysis'!$B$32),FilterInput(E445,'Real Analysis'!$B$26,'Real Analysis'!$B$27),0)</f>
        <v>0</v>
      </c>
      <c r="I445" t="e">
        <f>MEDIAN2("Real Values",H445,'Real Analysis'!$B$5,2)</f>
        <v>#VALUE!</v>
      </c>
      <c r="J445" t="e">
        <f>AVERAGE2("Real Values",I445,'Real Analysis'!$B$6,2)</f>
        <v>#VALUE!</v>
      </c>
      <c r="K445" t="e">
        <f>INTEGRAL2(J445,$B445,K444,J444,$B444,'Real Analysis'!$B$19)</f>
        <v>#VALUE!</v>
      </c>
      <c r="L445" t="e">
        <f>IF(AND(B445&lt;'Real Analysis'!$B$32,B445&gt;0),INTEGRAL2(K445,$B445,L444,K444,$B444,'Real Analysis'!$B$20),0)</f>
        <v>#VALUE!</v>
      </c>
      <c r="N445">
        <f>'Real Analysis'!$B$28*'Real Input'!U445+IF('Real Input'!U445 &gt; 0,'Real Analysis'!$B$29,0)</f>
        <v>0</v>
      </c>
      <c r="O445" t="e">
        <f t="shared" si="32"/>
        <v>#VALUE!</v>
      </c>
      <c r="P445" t="e">
        <f t="shared" si="33"/>
        <v>#VALUE!</v>
      </c>
    </row>
    <row r="446" spans="1:16" x14ac:dyDescent="0.3">
      <c r="A446">
        <v>444</v>
      </c>
      <c r="B446">
        <f>'Real Input'!M446</f>
        <v>8.9323690000019269</v>
      </c>
      <c r="C446">
        <f ca="1">INDIRECT(CONCATENATE("'Real Input'!",'Real Analysis'!$B$2,A446+2))</f>
        <v>9.8507409300000006</v>
      </c>
      <c r="D446">
        <f t="shared" si="31"/>
        <v>2.1088000008603558E-2</v>
      </c>
      <c r="E446">
        <f ca="1">IF(B446&gt;0,C446-'Real Analysis'!$B$14,0)</f>
        <v>-5.7568723714265246E-3</v>
      </c>
      <c r="F446">
        <f t="shared" ca="1" si="34"/>
        <v>-3.6731518776618073E-2</v>
      </c>
      <c r="G446">
        <f t="shared" ca="1" si="35"/>
        <v>-0.18446976692665892</v>
      </c>
      <c r="H446">
        <f ca="1">IF(AND(B446&gt;'Real Analysis'!$B$31,B446&lt;'Real Analysis'!$B$32),FilterInput(E446,'Real Analysis'!$B$26,'Real Analysis'!$B$27),0)</f>
        <v>0</v>
      </c>
      <c r="I446" t="e">
        <f>MEDIAN2("Real Values",H446,'Real Analysis'!$B$5,2)</f>
        <v>#VALUE!</v>
      </c>
      <c r="J446" t="e">
        <f>AVERAGE2("Real Values",I446,'Real Analysis'!$B$6,2)</f>
        <v>#VALUE!</v>
      </c>
      <c r="K446" t="e">
        <f>INTEGRAL2(J446,$B446,K445,J445,$B445,'Real Analysis'!$B$19)</f>
        <v>#VALUE!</v>
      </c>
      <c r="L446" t="e">
        <f>IF(AND(B446&lt;'Real Analysis'!$B$32,B446&gt;0),INTEGRAL2(K446,$B446,L445,K445,$B445,'Real Analysis'!$B$20),0)</f>
        <v>#VALUE!</v>
      </c>
      <c r="N446">
        <f>'Real Analysis'!$B$28*'Real Input'!U446+IF('Real Input'!U446 &gt; 0,'Real Analysis'!$B$29,0)</f>
        <v>0</v>
      </c>
      <c r="O446" t="e">
        <f t="shared" si="32"/>
        <v>#VALUE!</v>
      </c>
      <c r="P446" t="e">
        <f t="shared" si="33"/>
        <v>#VALUE!</v>
      </c>
    </row>
    <row r="447" spans="1:16" x14ac:dyDescent="0.3">
      <c r="A447">
        <v>445</v>
      </c>
      <c r="B447">
        <f>'Real Input'!M447</f>
        <v>8.9531209999986459</v>
      </c>
      <c r="C447">
        <f ca="1">INDIRECT(CONCATENATE("'Real Input'!",'Real Analysis'!$B$2,A447+2))</f>
        <v>9.8506232100000002</v>
      </c>
      <c r="D447">
        <f t="shared" si="31"/>
        <v>2.0751999996718951E-2</v>
      </c>
      <c r="E447">
        <f ca="1">IF(B447&gt;0,C447-'Real Analysis'!$B$14,0)</f>
        <v>-5.8745923714269566E-3</v>
      </c>
      <c r="F447">
        <f t="shared" ca="1" si="34"/>
        <v>-3.6853428317490652E-2</v>
      </c>
      <c r="G447">
        <f t="shared" ca="1" si="35"/>
        <v>-0.18523454927098257</v>
      </c>
      <c r="H447">
        <f ca="1">IF(AND(B447&gt;'Real Analysis'!$B$31,B447&lt;'Real Analysis'!$B$32),FilterInput(E447,'Real Analysis'!$B$26,'Real Analysis'!$B$27),0)</f>
        <v>0</v>
      </c>
      <c r="I447" t="e">
        <f>MEDIAN2("Real Values",H447,'Real Analysis'!$B$5,2)</f>
        <v>#VALUE!</v>
      </c>
      <c r="J447" t="e">
        <f>AVERAGE2("Real Values",I447,'Real Analysis'!$B$6,2)</f>
        <v>#VALUE!</v>
      </c>
      <c r="K447" t="e">
        <f>INTEGRAL2(J447,$B447,K446,J446,$B446,'Real Analysis'!$B$19)</f>
        <v>#VALUE!</v>
      </c>
      <c r="L447" t="e">
        <f>IF(AND(B447&lt;'Real Analysis'!$B$32,B447&gt;0),INTEGRAL2(K447,$B447,L446,K446,$B446,'Real Analysis'!$B$20),0)</f>
        <v>#VALUE!</v>
      </c>
      <c r="N447">
        <f>'Real Analysis'!$B$28*'Real Input'!U447+IF('Real Input'!U447 &gt; 0,'Real Analysis'!$B$29,0)</f>
        <v>0</v>
      </c>
      <c r="O447" t="e">
        <f t="shared" si="32"/>
        <v>#VALUE!</v>
      </c>
      <c r="P447" t="e">
        <f t="shared" si="33"/>
        <v>#VALUE!</v>
      </c>
    </row>
    <row r="448" spans="1:16" x14ac:dyDescent="0.3">
      <c r="A448">
        <v>446</v>
      </c>
      <c r="B448">
        <f>'Real Input'!M448</f>
        <v>8.9713460000057239</v>
      </c>
      <c r="C448">
        <f ca="1">INDIRECT(CONCATENATE("'Real Input'!",'Real Analysis'!$B$2,A448+2))</f>
        <v>9.8519573700000009</v>
      </c>
      <c r="D448">
        <f t="shared" si="31"/>
        <v>1.8225000007078052E-2</v>
      </c>
      <c r="E448">
        <f ca="1">IF(B448&gt;0,C448-'Real Analysis'!$B$14,0)</f>
        <v>-4.5404323714262063E-3</v>
      </c>
      <c r="F448">
        <f t="shared" ca="1" si="34"/>
        <v>-3.693617769749203E-2</v>
      </c>
      <c r="G448">
        <f t="shared" ca="1" si="35"/>
        <v>-0.1859077111097808</v>
      </c>
      <c r="H448">
        <f ca="1">IF(AND(B448&gt;'Real Analysis'!$B$31,B448&lt;'Real Analysis'!$B$32),FilterInput(E448,'Real Analysis'!$B$26,'Real Analysis'!$B$27),0)</f>
        <v>0</v>
      </c>
      <c r="I448" t="e">
        <f>MEDIAN2("Real Values",H448,'Real Analysis'!$B$5,2)</f>
        <v>#VALUE!</v>
      </c>
      <c r="J448" t="e">
        <f>AVERAGE2("Real Values",I448,'Real Analysis'!$B$6,2)</f>
        <v>#VALUE!</v>
      </c>
      <c r="K448" t="e">
        <f>INTEGRAL2(J448,$B448,K447,J447,$B447,'Real Analysis'!$B$19)</f>
        <v>#VALUE!</v>
      </c>
      <c r="L448" t="e">
        <f>IF(AND(B448&lt;'Real Analysis'!$B$32,B448&gt;0),INTEGRAL2(K448,$B448,L447,K447,$B447,'Real Analysis'!$B$20),0)</f>
        <v>#VALUE!</v>
      </c>
      <c r="N448">
        <f>'Real Analysis'!$B$28*'Real Input'!U448+IF('Real Input'!U448 &gt; 0,'Real Analysis'!$B$29,0)</f>
        <v>0</v>
      </c>
      <c r="O448" t="e">
        <f t="shared" si="32"/>
        <v>#VALUE!</v>
      </c>
      <c r="P448" t="e">
        <f t="shared" si="33"/>
        <v>#VALUE!</v>
      </c>
    </row>
    <row r="449" spans="1:16" x14ac:dyDescent="0.3">
      <c r="A449">
        <v>447</v>
      </c>
      <c r="B449">
        <f>'Real Input'!M449</f>
        <v>8.9924549999996088</v>
      </c>
      <c r="C449">
        <f ca="1">INDIRECT(CONCATENATE("'Real Input'!",'Real Analysis'!$B$2,A449+2))</f>
        <v>9.8511529499999995</v>
      </c>
      <c r="D449">
        <f t="shared" si="31"/>
        <v>2.1108999993884936E-2</v>
      </c>
      <c r="E449">
        <f ca="1">IF(B449&gt;0,C449-'Real Analysis'!$B$14,0)</f>
        <v>-5.3448523714276774E-3</v>
      </c>
      <c r="F449">
        <f t="shared" ca="1" si="34"/>
        <v>-3.7049002186167815E-2</v>
      </c>
      <c r="G449">
        <f t="shared" ca="1" si="35"/>
        <v>-0.18668977849670207</v>
      </c>
      <c r="H449">
        <f ca="1">IF(AND(B449&gt;'Real Analysis'!$B$31,B449&lt;'Real Analysis'!$B$32),FilterInput(E449,'Real Analysis'!$B$26,'Real Analysis'!$B$27),0)</f>
        <v>0</v>
      </c>
      <c r="I449" t="e">
        <f>MEDIAN2("Real Values",H449,'Real Analysis'!$B$5,2)</f>
        <v>#VALUE!</v>
      </c>
      <c r="J449" t="e">
        <f>AVERAGE2("Real Values",I449,'Real Analysis'!$B$6,2)</f>
        <v>#VALUE!</v>
      </c>
      <c r="K449" t="e">
        <f>INTEGRAL2(J449,$B449,K448,J448,$B448,'Real Analysis'!$B$19)</f>
        <v>#VALUE!</v>
      </c>
      <c r="L449" t="e">
        <f>IF(AND(B449&lt;'Real Analysis'!$B$32,B449&gt;0),INTEGRAL2(K449,$B449,L448,K448,$B448,'Real Analysis'!$B$20),0)</f>
        <v>#VALUE!</v>
      </c>
      <c r="N449">
        <f>'Real Analysis'!$B$28*'Real Input'!U449+IF('Real Input'!U449 &gt; 0,'Real Analysis'!$B$29,0)</f>
        <v>0</v>
      </c>
      <c r="O449" t="e">
        <f t="shared" si="32"/>
        <v>#VALUE!</v>
      </c>
      <c r="P449" t="e">
        <f t="shared" si="33"/>
        <v>#VALUE!</v>
      </c>
    </row>
    <row r="450" spans="1:16" x14ac:dyDescent="0.3">
      <c r="A450">
        <v>448</v>
      </c>
      <c r="B450">
        <f>'Real Input'!M450</f>
        <v>9.0075380000052974</v>
      </c>
      <c r="C450">
        <f ca="1">INDIRECT(CONCATENATE("'Real Input'!",'Real Analysis'!$B$2,A450+2))</f>
        <v>9.8503387199999999</v>
      </c>
      <c r="D450">
        <f t="shared" si="31"/>
        <v>1.5083000005688518E-2</v>
      </c>
      <c r="E450">
        <f ca="1">IF(B450&gt;0,C450-'Real Analysis'!$B$14,0)</f>
        <v>-6.1590823714272602E-3</v>
      </c>
      <c r="F450">
        <f t="shared" ca="1" si="34"/>
        <v>-3.714189962561109E-2</v>
      </c>
      <c r="G450">
        <f t="shared" ca="1" si="35"/>
        <v>-0.18724998976896645</v>
      </c>
      <c r="H450">
        <f ca="1">IF(AND(B450&gt;'Real Analysis'!$B$31,B450&lt;'Real Analysis'!$B$32),FilterInput(E450,'Real Analysis'!$B$26,'Real Analysis'!$B$27),0)</f>
        <v>0</v>
      </c>
      <c r="I450" t="e">
        <f>MEDIAN2("Real Values",H450,'Real Analysis'!$B$5,2)</f>
        <v>#VALUE!</v>
      </c>
      <c r="J450" t="e">
        <f>AVERAGE2("Real Values",I450,'Real Analysis'!$B$6,2)</f>
        <v>#VALUE!</v>
      </c>
      <c r="K450" t="e">
        <f>INTEGRAL2(J450,$B450,K449,J449,$B449,'Real Analysis'!$B$19)</f>
        <v>#VALUE!</v>
      </c>
      <c r="L450" t="e">
        <f>IF(AND(B450&lt;'Real Analysis'!$B$32,B450&gt;0),INTEGRAL2(K450,$B450,L449,K449,$B449,'Real Analysis'!$B$20),0)</f>
        <v>#VALUE!</v>
      </c>
      <c r="N450">
        <f>'Real Analysis'!$B$28*'Real Input'!U450+IF('Real Input'!U450 &gt; 0,'Real Analysis'!$B$29,0)</f>
        <v>0</v>
      </c>
      <c r="O450" t="e">
        <f t="shared" si="32"/>
        <v>#VALUE!</v>
      </c>
      <c r="P450" t="e">
        <f t="shared" si="33"/>
        <v>#VALUE!</v>
      </c>
    </row>
    <row r="451" spans="1:16" x14ac:dyDescent="0.3">
      <c r="A451">
        <v>449</v>
      </c>
      <c r="B451">
        <f>'Real Input'!M451</f>
        <v>9.0278510000061942</v>
      </c>
      <c r="C451">
        <f ca="1">INDIRECT(CONCATENATE("'Real Input'!",'Real Analysis'!$B$2,A451+2))</f>
        <v>9.8537231700000003</v>
      </c>
      <c r="D451">
        <f t="shared" ref="D451:D514" si="36">B451-B450</f>
        <v>2.0313000000896864E-2</v>
      </c>
      <c r="E451">
        <f ca="1">IF(B451&gt;0,C451-'Real Analysis'!$B$14,0)</f>
        <v>-2.7746323714268328E-3</v>
      </c>
      <c r="F451">
        <f t="shared" ca="1" si="34"/>
        <v>-3.7198260732974373E-2</v>
      </c>
      <c r="G451">
        <f t="shared" ca="1" si="35"/>
        <v>-0.18800559803926872</v>
      </c>
      <c r="H451">
        <f ca="1">IF(AND(B451&gt;'Real Analysis'!$B$31,B451&lt;'Real Analysis'!$B$32),FilterInput(E451,'Real Analysis'!$B$26,'Real Analysis'!$B$27),0)</f>
        <v>0</v>
      </c>
      <c r="I451" t="e">
        <f>MEDIAN2("Real Values",H451,'Real Analysis'!$B$5,2)</f>
        <v>#VALUE!</v>
      </c>
      <c r="J451" t="e">
        <f>AVERAGE2("Real Values",I451,'Real Analysis'!$B$6,2)</f>
        <v>#VALUE!</v>
      </c>
      <c r="K451" t="e">
        <f>INTEGRAL2(J451,$B451,K450,J450,$B450,'Real Analysis'!$B$19)</f>
        <v>#VALUE!</v>
      </c>
      <c r="L451" t="e">
        <f>IF(AND(B451&lt;'Real Analysis'!$B$32,B451&gt;0),INTEGRAL2(K451,$B451,L450,K450,$B450,'Real Analysis'!$B$20),0)</f>
        <v>#VALUE!</v>
      </c>
      <c r="N451">
        <f>'Real Analysis'!$B$28*'Real Input'!U451+IF('Real Input'!U451 &gt; 0,'Real Analysis'!$B$29,0)</f>
        <v>0</v>
      </c>
      <c r="O451" t="e">
        <f t="shared" ref="O451:O514" si="37">_xlfn.COVARIANCE.P($L$102:$L$1200,N451:N1549)</f>
        <v>#VALUE!</v>
      </c>
      <c r="P451" t="e">
        <f t="shared" ref="P451:P514" si="38">N451-L451</f>
        <v>#VALUE!</v>
      </c>
    </row>
    <row r="452" spans="1:16" x14ac:dyDescent="0.3">
      <c r="A452">
        <v>450</v>
      </c>
      <c r="B452">
        <f>'Real Input'!M452</f>
        <v>9.0519409999978961</v>
      </c>
      <c r="C452">
        <f ca="1">INDIRECT(CONCATENATE("'Real Input'!",'Real Analysis'!$B$2,A452+2))</f>
        <v>9.8534484899999999</v>
      </c>
      <c r="D452">
        <f t="shared" si="36"/>
        <v>2.4089999991701916E-2</v>
      </c>
      <c r="E452">
        <f ca="1">IF(B452&gt;0,C452-'Real Analysis'!$B$14,0)</f>
        <v>-3.0493123714272485E-3</v>
      </c>
      <c r="F452">
        <f t="shared" ref="F452:F515" ca="1" si="39">IF(B452&gt;0,F451+E452*$D452,0)</f>
        <v>-3.7271718667976753E-2</v>
      </c>
      <c r="G452">
        <f t="shared" ca="1" si="35"/>
        <v>-0.18890347374167099</v>
      </c>
      <c r="H452">
        <f ca="1">IF(AND(B452&gt;'Real Analysis'!$B$31,B452&lt;'Real Analysis'!$B$32),FilterInput(E452,'Real Analysis'!$B$26,'Real Analysis'!$B$27),0)</f>
        <v>0</v>
      </c>
      <c r="I452" t="e">
        <f>MEDIAN2("Real Values",H452,'Real Analysis'!$B$5,2)</f>
        <v>#VALUE!</v>
      </c>
      <c r="J452" t="e">
        <f>AVERAGE2("Real Values",I452,'Real Analysis'!$B$6,2)</f>
        <v>#VALUE!</v>
      </c>
      <c r="K452" t="e">
        <f>INTEGRAL2(J452,$B452,K451,J451,$B451,'Real Analysis'!$B$19)</f>
        <v>#VALUE!</v>
      </c>
      <c r="L452" t="e">
        <f>IF(AND(B452&lt;'Real Analysis'!$B$32,B452&gt;0),INTEGRAL2(K452,$B452,L451,K451,$B451,'Real Analysis'!$B$20),0)</f>
        <v>#VALUE!</v>
      </c>
      <c r="N452">
        <f>'Real Analysis'!$B$28*'Real Input'!U452+IF('Real Input'!U452 &gt; 0,'Real Analysis'!$B$29,0)</f>
        <v>0</v>
      </c>
      <c r="O452" t="e">
        <f t="shared" si="37"/>
        <v>#VALUE!</v>
      </c>
      <c r="P452" t="e">
        <f t="shared" si="38"/>
        <v>#VALUE!</v>
      </c>
    </row>
    <row r="453" spans="1:16" x14ac:dyDescent="0.3">
      <c r="A453">
        <v>451</v>
      </c>
      <c r="B453">
        <f>'Real Input'!M453</f>
        <v>9.068316999997478</v>
      </c>
      <c r="C453">
        <f ca="1">INDIRECT(CONCATENATE("'Real Input'!",'Real Analysis'!$B$2,A453+2))</f>
        <v>9.85359564</v>
      </c>
      <c r="D453">
        <f t="shared" si="36"/>
        <v>1.6375999999581836E-2</v>
      </c>
      <c r="E453">
        <f ca="1">IF(B453&gt;0,C453-'Real Analysis'!$B$14,0)</f>
        <v>-2.9021623714271527E-3</v>
      </c>
      <c r="F453">
        <f t="shared" ca="1" si="39"/>
        <v>-3.7319244478970032E-2</v>
      </c>
      <c r="G453">
        <f t="shared" ca="1" si="35"/>
        <v>-0.18951461368924299</v>
      </c>
      <c r="H453">
        <f ca="1">IF(AND(B453&gt;'Real Analysis'!$B$31,B453&lt;'Real Analysis'!$B$32),FilterInput(E453,'Real Analysis'!$B$26,'Real Analysis'!$B$27),0)</f>
        <v>0</v>
      </c>
      <c r="I453" t="e">
        <f>MEDIAN2("Real Values",H453,'Real Analysis'!$B$5,2)</f>
        <v>#VALUE!</v>
      </c>
      <c r="J453" t="e">
        <f>AVERAGE2("Real Values",I453,'Real Analysis'!$B$6,2)</f>
        <v>#VALUE!</v>
      </c>
      <c r="K453" t="e">
        <f>INTEGRAL2(J453,$B453,K452,J452,$B452,'Real Analysis'!$B$19)</f>
        <v>#VALUE!</v>
      </c>
      <c r="L453" t="e">
        <f>IF(AND(B453&lt;'Real Analysis'!$B$32,B453&gt;0),INTEGRAL2(K453,$B453,L452,K452,$B452,'Real Analysis'!$B$20),0)</f>
        <v>#VALUE!</v>
      </c>
      <c r="N453">
        <f>'Real Analysis'!$B$28*'Real Input'!U453+IF('Real Input'!U453 &gt; 0,'Real Analysis'!$B$29,0)</f>
        <v>0</v>
      </c>
      <c r="O453" t="e">
        <f t="shared" si="37"/>
        <v>#VALUE!</v>
      </c>
      <c r="P453" t="e">
        <f t="shared" si="38"/>
        <v>#VALUE!</v>
      </c>
    </row>
    <row r="454" spans="1:16" x14ac:dyDescent="0.3">
      <c r="A454">
        <v>452</v>
      </c>
      <c r="B454">
        <f>'Real Input'!M454</f>
        <v>9.0950299999967683</v>
      </c>
      <c r="C454">
        <f ca="1">INDIRECT(CONCATENATE("'Real Input'!",'Real Analysis'!$B$2,A454+2))</f>
        <v>9.8536054500000017</v>
      </c>
      <c r="D454">
        <f t="shared" si="36"/>
        <v>2.6712999999290332E-2</v>
      </c>
      <c r="E454">
        <f ca="1">IF(B454&gt;0,C454-'Real Analysis'!$B$14,0)</f>
        <v>-2.8923523714254884E-3</v>
      </c>
      <c r="F454">
        <f t="shared" ca="1" si="39"/>
        <v>-3.7396507887865867E-2</v>
      </c>
      <c r="G454">
        <f t="shared" ca="1" si="35"/>
        <v>-0.19051358660442502</v>
      </c>
      <c r="H454">
        <f ca="1">IF(AND(B454&gt;'Real Analysis'!$B$31,B454&lt;'Real Analysis'!$B$32),FilterInput(E454,'Real Analysis'!$B$26,'Real Analysis'!$B$27),0)</f>
        <v>0</v>
      </c>
      <c r="I454" t="e">
        <f>MEDIAN2("Real Values",H454,'Real Analysis'!$B$5,2)</f>
        <v>#VALUE!</v>
      </c>
      <c r="J454" t="e">
        <f>AVERAGE2("Real Values",I454,'Real Analysis'!$B$6,2)</f>
        <v>#VALUE!</v>
      </c>
      <c r="K454" t="e">
        <f>INTEGRAL2(J454,$B454,K453,J453,$B453,'Real Analysis'!$B$19)</f>
        <v>#VALUE!</v>
      </c>
      <c r="L454" t="e">
        <f>IF(AND(B454&lt;'Real Analysis'!$B$32,B454&gt;0),INTEGRAL2(K454,$B454,L453,K453,$B453,'Real Analysis'!$B$20),0)</f>
        <v>#VALUE!</v>
      </c>
      <c r="N454">
        <f>'Real Analysis'!$B$28*'Real Input'!U454+IF('Real Input'!U454 &gt; 0,'Real Analysis'!$B$29,0)</f>
        <v>0</v>
      </c>
      <c r="O454" t="e">
        <f t="shared" si="37"/>
        <v>#VALUE!</v>
      </c>
      <c r="P454" t="e">
        <f t="shared" si="38"/>
        <v>#VALUE!</v>
      </c>
    </row>
    <row r="455" spans="1:16" x14ac:dyDescent="0.3">
      <c r="A455">
        <v>453</v>
      </c>
      <c r="B455">
        <f>'Real Input'!M455</f>
        <v>9.1123260000022128</v>
      </c>
      <c r="C455">
        <f ca="1">INDIRECT(CONCATENATE("'Real Input'!",'Real Analysis'!$B$2,A455+2))</f>
        <v>9.8529776099999999</v>
      </c>
      <c r="D455">
        <f t="shared" si="36"/>
        <v>1.7296000005444512E-2</v>
      </c>
      <c r="E455">
        <f ca="1">IF(B455&gt;0,C455-'Real Analysis'!$B$14,0)</f>
        <v>-3.5201923714271999E-3</v>
      </c>
      <c r="F455">
        <f t="shared" ca="1" si="39"/>
        <v>-3.7457393135141237E-2</v>
      </c>
      <c r="G455">
        <f t="shared" ca="1" si="35"/>
        <v>-0.19116144967629436</v>
      </c>
      <c r="H455">
        <f ca="1">IF(AND(B455&gt;'Real Analysis'!$B$31,B455&lt;'Real Analysis'!$B$32),FilterInput(E455,'Real Analysis'!$B$26,'Real Analysis'!$B$27),0)</f>
        <v>0</v>
      </c>
      <c r="I455" t="e">
        <f>MEDIAN2("Real Values",H455,'Real Analysis'!$B$5,2)</f>
        <v>#VALUE!</v>
      </c>
      <c r="J455" t="e">
        <f>AVERAGE2("Real Values",I455,'Real Analysis'!$B$6,2)</f>
        <v>#VALUE!</v>
      </c>
      <c r="K455" t="e">
        <f>INTEGRAL2(J455,$B455,K454,J454,$B454,'Real Analysis'!$B$19)</f>
        <v>#VALUE!</v>
      </c>
      <c r="L455" t="e">
        <f>IF(AND(B455&lt;'Real Analysis'!$B$32,B455&gt;0),INTEGRAL2(K455,$B455,L454,K454,$B454,'Real Analysis'!$B$20),0)</f>
        <v>#VALUE!</v>
      </c>
      <c r="N455">
        <f>'Real Analysis'!$B$28*'Real Input'!U455+IF('Real Input'!U455 &gt; 0,'Real Analysis'!$B$29,0)</f>
        <v>0</v>
      </c>
      <c r="O455" t="e">
        <f t="shared" si="37"/>
        <v>#VALUE!</v>
      </c>
      <c r="P455" t="e">
        <f t="shared" si="38"/>
        <v>#VALUE!</v>
      </c>
    </row>
    <row r="456" spans="1:16" x14ac:dyDescent="0.3">
      <c r="A456">
        <v>454</v>
      </c>
      <c r="B456">
        <f>'Real Input'!M456</f>
        <v>9.132448000003933</v>
      </c>
      <c r="C456">
        <f ca="1">INDIRECT(CONCATENATE("'Real Input'!",'Real Analysis'!$B$2,A456+2))</f>
        <v>9.8507605500000004</v>
      </c>
      <c r="D456">
        <f t="shared" si="36"/>
        <v>2.0122000001720153E-2</v>
      </c>
      <c r="E456">
        <f ca="1">IF(B456&gt;0,C456-'Real Analysis'!$B$14,0)</f>
        <v>-5.7372523714267487E-3</v>
      </c>
      <c r="F456">
        <f t="shared" ca="1" si="39"/>
        <v>-3.7572838127368953E-2</v>
      </c>
      <c r="G456">
        <f t="shared" ca="1" si="35"/>
        <v>-0.19191749032515792</v>
      </c>
      <c r="H456">
        <f ca="1">IF(AND(B456&gt;'Real Analysis'!$B$31,B456&lt;'Real Analysis'!$B$32),FilterInput(E456,'Real Analysis'!$B$26,'Real Analysis'!$B$27),0)</f>
        <v>0</v>
      </c>
      <c r="I456" t="e">
        <f>MEDIAN2("Real Values",H456,'Real Analysis'!$B$5,2)</f>
        <v>#VALUE!</v>
      </c>
      <c r="J456" t="e">
        <f>AVERAGE2("Real Values",I456,'Real Analysis'!$B$6,2)</f>
        <v>#VALUE!</v>
      </c>
      <c r="K456" t="e">
        <f>INTEGRAL2(J456,$B456,K455,J455,$B455,'Real Analysis'!$B$19)</f>
        <v>#VALUE!</v>
      </c>
      <c r="L456" t="e">
        <f>IF(AND(B456&lt;'Real Analysis'!$B$32,B456&gt;0),INTEGRAL2(K456,$B456,L455,K455,$B455,'Real Analysis'!$B$20),0)</f>
        <v>#VALUE!</v>
      </c>
      <c r="N456">
        <f>'Real Analysis'!$B$28*'Real Input'!U456+IF('Real Input'!U456 &gt; 0,'Real Analysis'!$B$29,0)</f>
        <v>0</v>
      </c>
      <c r="O456" t="e">
        <f t="shared" si="37"/>
        <v>#VALUE!</v>
      </c>
      <c r="P456" t="e">
        <f t="shared" si="38"/>
        <v>#VALUE!</v>
      </c>
    </row>
    <row r="457" spans="1:16" x14ac:dyDescent="0.3">
      <c r="A457">
        <v>455</v>
      </c>
      <c r="B457">
        <f>'Real Input'!M457</f>
        <v>9.1494289999973262</v>
      </c>
      <c r="C457">
        <f ca="1">INDIRECT(CONCATENATE("'Real Input'!",'Real Analysis'!$B$2,A457+2))</f>
        <v>9.8501229000000006</v>
      </c>
      <c r="D457">
        <f t="shared" si="36"/>
        <v>1.6980999993393198E-2</v>
      </c>
      <c r="E457">
        <f ca="1">IF(B457&gt;0,C457-'Real Analysis'!$B$14,0)</f>
        <v>-6.3749023714265718E-3</v>
      </c>
      <c r="F457">
        <f t="shared" ca="1" si="39"/>
        <v>-3.7681090344496029E-2</v>
      </c>
      <c r="G457">
        <f t="shared" ca="1" si="35"/>
        <v>-0.19255735292004886</v>
      </c>
      <c r="H457">
        <f ca="1">IF(AND(B457&gt;'Real Analysis'!$B$31,B457&lt;'Real Analysis'!$B$32),FilterInput(E457,'Real Analysis'!$B$26,'Real Analysis'!$B$27),0)</f>
        <v>0</v>
      </c>
      <c r="I457" t="e">
        <f>MEDIAN2("Real Values",H457,'Real Analysis'!$B$5,2)</f>
        <v>#VALUE!</v>
      </c>
      <c r="J457" t="e">
        <f>AVERAGE2("Real Values",I457,'Real Analysis'!$B$6,2)</f>
        <v>#VALUE!</v>
      </c>
      <c r="K457" t="e">
        <f>INTEGRAL2(J457,$B457,K456,J456,$B456,'Real Analysis'!$B$19)</f>
        <v>#VALUE!</v>
      </c>
      <c r="L457" t="e">
        <f>IF(AND(B457&lt;'Real Analysis'!$B$32,B457&gt;0),INTEGRAL2(K457,$B457,L456,K456,$B456,'Real Analysis'!$B$20),0)</f>
        <v>#VALUE!</v>
      </c>
      <c r="N457">
        <f>'Real Analysis'!$B$28*'Real Input'!U457+IF('Real Input'!U457 &gt; 0,'Real Analysis'!$B$29,0)</f>
        <v>0</v>
      </c>
      <c r="O457" t="e">
        <f t="shared" si="37"/>
        <v>#VALUE!</v>
      </c>
      <c r="P457" t="e">
        <f t="shared" si="38"/>
        <v>#VALUE!</v>
      </c>
    </row>
    <row r="458" spans="1:16" x14ac:dyDescent="0.3">
      <c r="A458">
        <v>456</v>
      </c>
      <c r="B458">
        <f>'Real Input'!M458</f>
        <v>9.1725169999990612</v>
      </c>
      <c r="C458">
        <f ca="1">INDIRECT(CONCATENATE("'Real Input'!",'Real Analysis'!$B$2,A458+2))</f>
        <v>9.850554540000001</v>
      </c>
      <c r="D458">
        <f t="shared" si="36"/>
        <v>2.3088000001735054E-2</v>
      </c>
      <c r="E458">
        <f ca="1">IF(B458&gt;0,C458-'Real Analysis'!$B$14,0)</f>
        <v>-5.9432623714261723E-3</v>
      </c>
      <c r="F458">
        <f t="shared" ca="1" si="39"/>
        <v>-3.7818308386137832E-2</v>
      </c>
      <c r="G458">
        <f t="shared" ca="1" si="35"/>
        <v>-0.19343050202413362</v>
      </c>
      <c r="H458">
        <f ca="1">IF(AND(B458&gt;'Real Analysis'!$B$31,B458&lt;'Real Analysis'!$B$32),FilterInput(E458,'Real Analysis'!$B$26,'Real Analysis'!$B$27),0)</f>
        <v>0</v>
      </c>
      <c r="I458" t="e">
        <f>MEDIAN2("Real Values",H458,'Real Analysis'!$B$5,2)</f>
        <v>#VALUE!</v>
      </c>
      <c r="J458" t="e">
        <f>AVERAGE2("Real Values",I458,'Real Analysis'!$B$6,2)</f>
        <v>#VALUE!</v>
      </c>
      <c r="K458" t="e">
        <f>INTEGRAL2(J458,$B458,K457,J457,$B457,'Real Analysis'!$B$19)</f>
        <v>#VALUE!</v>
      </c>
      <c r="L458" t="e">
        <f>IF(AND(B458&lt;'Real Analysis'!$B$32,B458&gt;0),INTEGRAL2(K458,$B458,L457,K457,$B457,'Real Analysis'!$B$20),0)</f>
        <v>#VALUE!</v>
      </c>
      <c r="N458">
        <f>'Real Analysis'!$B$28*'Real Input'!U458+IF('Real Input'!U458 &gt; 0,'Real Analysis'!$B$29,0)</f>
        <v>0</v>
      </c>
      <c r="O458" t="e">
        <f t="shared" si="37"/>
        <v>#VALUE!</v>
      </c>
      <c r="P458" t="e">
        <f t="shared" si="38"/>
        <v>#VALUE!</v>
      </c>
    </row>
    <row r="459" spans="1:16" x14ac:dyDescent="0.3">
      <c r="A459">
        <v>457</v>
      </c>
      <c r="B459">
        <f>'Real Input'!M459</f>
        <v>9.1901320000033593</v>
      </c>
      <c r="C459">
        <f ca="1">INDIRECT(CONCATENATE("'Real Input'!",'Real Analysis'!$B$2,A459+2))</f>
        <v>9.8513883900000003</v>
      </c>
      <c r="D459">
        <f t="shared" si="36"/>
        <v>1.7615000004298054E-2</v>
      </c>
      <c r="E459">
        <f ca="1">IF(B459&gt;0,C459-'Real Analysis'!$B$14,0)</f>
        <v>-5.1094123714268136E-3</v>
      </c>
      <c r="F459">
        <f t="shared" ca="1" si="39"/>
        <v>-3.7908310685082477E-2</v>
      </c>
      <c r="G459">
        <f t="shared" ca="1" si="35"/>
        <v>-0.19409825691701427</v>
      </c>
      <c r="H459">
        <f ca="1">IF(AND(B459&gt;'Real Analysis'!$B$31,B459&lt;'Real Analysis'!$B$32),FilterInput(E459,'Real Analysis'!$B$26,'Real Analysis'!$B$27),0)</f>
        <v>0</v>
      </c>
      <c r="I459" t="e">
        <f>MEDIAN2("Real Values",H459,'Real Analysis'!$B$5,2)</f>
        <v>#VALUE!</v>
      </c>
      <c r="J459" t="e">
        <f>AVERAGE2("Real Values",I459,'Real Analysis'!$B$6,2)</f>
        <v>#VALUE!</v>
      </c>
      <c r="K459" t="e">
        <f>INTEGRAL2(J459,$B459,K458,J458,$B458,'Real Analysis'!$B$19)</f>
        <v>#VALUE!</v>
      </c>
      <c r="L459" t="e">
        <f>IF(AND(B459&lt;'Real Analysis'!$B$32,B459&gt;0),INTEGRAL2(K459,$B459,L458,K458,$B458,'Real Analysis'!$B$20),0)</f>
        <v>#VALUE!</v>
      </c>
      <c r="N459">
        <f>'Real Analysis'!$B$28*'Real Input'!U459+IF('Real Input'!U459 &gt; 0,'Real Analysis'!$B$29,0)</f>
        <v>0</v>
      </c>
      <c r="O459" t="e">
        <f t="shared" si="37"/>
        <v>#VALUE!</v>
      </c>
      <c r="P459" t="e">
        <f t="shared" si="38"/>
        <v>#VALUE!</v>
      </c>
    </row>
    <row r="460" spans="1:16" x14ac:dyDescent="0.3">
      <c r="A460">
        <v>458</v>
      </c>
      <c r="B460">
        <f>'Real Input'!M460</f>
        <v>9.2093480000039563</v>
      </c>
      <c r="C460">
        <f ca="1">INDIRECT(CONCATENATE("'Real Input'!",'Real Analysis'!$B$2,A460+2))</f>
        <v>9.8508782700000008</v>
      </c>
      <c r="D460">
        <f t="shared" si="36"/>
        <v>1.9216000000596978E-2</v>
      </c>
      <c r="E460">
        <f ca="1">IF(B460&gt;0,C460-'Real Analysis'!$B$14,0)</f>
        <v>-5.6195323714263168E-3</v>
      </c>
      <c r="F460">
        <f t="shared" ca="1" si="39"/>
        <v>-3.8016295619135158E-2</v>
      </c>
      <c r="G460">
        <f t="shared" ca="1" si="35"/>
        <v>-0.19482877805365426</v>
      </c>
      <c r="H460">
        <f ca="1">IF(AND(B460&gt;'Real Analysis'!$B$31,B460&lt;'Real Analysis'!$B$32),FilterInput(E460,'Real Analysis'!$B$26,'Real Analysis'!$B$27),0)</f>
        <v>0</v>
      </c>
      <c r="I460" t="e">
        <f>MEDIAN2("Real Values",H460,'Real Analysis'!$B$5,2)</f>
        <v>#VALUE!</v>
      </c>
      <c r="J460" t="e">
        <f>AVERAGE2("Real Values",I460,'Real Analysis'!$B$6,2)</f>
        <v>#VALUE!</v>
      </c>
      <c r="K460" t="e">
        <f>INTEGRAL2(J460,$B460,K459,J459,$B459,'Real Analysis'!$B$19)</f>
        <v>#VALUE!</v>
      </c>
      <c r="L460" t="e">
        <f>IF(AND(B460&lt;'Real Analysis'!$B$32,B460&gt;0),INTEGRAL2(K460,$B460,L459,K459,$B459,'Real Analysis'!$B$20),0)</f>
        <v>#VALUE!</v>
      </c>
      <c r="N460">
        <f>'Real Analysis'!$B$28*'Real Input'!U460+IF('Real Input'!U460 &gt; 0,'Real Analysis'!$B$29,0)</f>
        <v>0</v>
      </c>
      <c r="O460" t="e">
        <f t="shared" si="37"/>
        <v>#VALUE!</v>
      </c>
      <c r="P460" t="e">
        <f t="shared" si="38"/>
        <v>#VALUE!</v>
      </c>
    </row>
    <row r="461" spans="1:16" x14ac:dyDescent="0.3">
      <c r="A461">
        <v>459</v>
      </c>
      <c r="B461">
        <f>'Real Input'!M461</f>
        <v>9.2288129999942612</v>
      </c>
      <c r="C461">
        <f ca="1">INDIRECT(CONCATENATE("'Real Input'!",'Real Analysis'!$B$2,A461+2))</f>
        <v>9.8504956799999999</v>
      </c>
      <c r="D461">
        <f t="shared" si="36"/>
        <v>1.9464999990304932E-2</v>
      </c>
      <c r="E461">
        <f ca="1">IF(B461&gt;0,C461-'Real Analysis'!$B$14,0)</f>
        <v>-6.0021223714272764E-3</v>
      </c>
      <c r="F461">
        <f t="shared" ca="1" si="39"/>
        <v>-3.81331269310368E-2</v>
      </c>
      <c r="G461">
        <f t="shared" ca="1" si="35"/>
        <v>-0.1955710393689972</v>
      </c>
      <c r="H461">
        <f ca="1">IF(AND(B461&gt;'Real Analysis'!$B$31,B461&lt;'Real Analysis'!$B$32),FilterInput(E461,'Real Analysis'!$B$26,'Real Analysis'!$B$27),0)</f>
        <v>0</v>
      </c>
      <c r="I461" t="e">
        <f>MEDIAN2("Real Values",H461,'Real Analysis'!$B$5,2)</f>
        <v>#VALUE!</v>
      </c>
      <c r="J461" t="e">
        <f>AVERAGE2("Real Values",I461,'Real Analysis'!$B$6,2)</f>
        <v>#VALUE!</v>
      </c>
      <c r="K461" t="e">
        <f>INTEGRAL2(J461,$B461,K460,J460,$B460,'Real Analysis'!$B$19)</f>
        <v>#VALUE!</v>
      </c>
      <c r="L461" t="e">
        <f>IF(AND(B461&lt;'Real Analysis'!$B$32,B461&gt;0),INTEGRAL2(K461,$B461,L460,K460,$B460,'Real Analysis'!$B$20),0)</f>
        <v>#VALUE!</v>
      </c>
      <c r="N461">
        <f>'Real Analysis'!$B$28*'Real Input'!U461+IF('Real Input'!U461 &gt; 0,'Real Analysis'!$B$29,0)</f>
        <v>0</v>
      </c>
      <c r="O461" t="e">
        <f t="shared" si="37"/>
        <v>#VALUE!</v>
      </c>
      <c r="P461" t="e">
        <f t="shared" si="38"/>
        <v>#VALUE!</v>
      </c>
    </row>
    <row r="462" spans="1:16" x14ac:dyDescent="0.3">
      <c r="A462">
        <v>460</v>
      </c>
      <c r="B462">
        <f>'Real Input'!M462</f>
        <v>9.2517269999952987</v>
      </c>
      <c r="C462">
        <f ca="1">INDIRECT(CONCATENATE("'Real Input'!",'Real Analysis'!$B$2,A462+2))</f>
        <v>9.85064283</v>
      </c>
      <c r="D462">
        <f t="shared" si="36"/>
        <v>2.2914000001037493E-2</v>
      </c>
      <c r="E462">
        <f ca="1">IF(B462&gt;0,C462-'Real Analysis'!$B$14,0)</f>
        <v>-5.8549723714271806E-3</v>
      </c>
      <c r="F462">
        <f t="shared" ca="1" si="39"/>
        <v>-3.8267287767961754E-2</v>
      </c>
      <c r="G462">
        <f t="shared" ca="1" si="35"/>
        <v>-0.19644789600095197</v>
      </c>
      <c r="H462">
        <f ca="1">IF(AND(B462&gt;'Real Analysis'!$B$31,B462&lt;'Real Analysis'!$B$32),FilterInput(E462,'Real Analysis'!$B$26,'Real Analysis'!$B$27),0)</f>
        <v>0</v>
      </c>
      <c r="I462" t="e">
        <f>MEDIAN2("Real Values",H462,'Real Analysis'!$B$5,2)</f>
        <v>#VALUE!</v>
      </c>
      <c r="J462" t="e">
        <f>AVERAGE2("Real Values",I462,'Real Analysis'!$B$6,2)</f>
        <v>#VALUE!</v>
      </c>
      <c r="K462" t="e">
        <f>INTEGRAL2(J462,$B462,K461,J461,$B461,'Real Analysis'!$B$19)</f>
        <v>#VALUE!</v>
      </c>
      <c r="L462" t="e">
        <f>IF(AND(B462&lt;'Real Analysis'!$B$32,B462&gt;0),INTEGRAL2(K462,$B462,L461,K461,$B461,'Real Analysis'!$B$20),0)</f>
        <v>#VALUE!</v>
      </c>
      <c r="N462">
        <f>'Real Analysis'!$B$28*'Real Input'!U462+IF('Real Input'!U462 &gt; 0,'Real Analysis'!$B$29,0)</f>
        <v>0</v>
      </c>
      <c r="O462" t="e">
        <f t="shared" si="37"/>
        <v>#VALUE!</v>
      </c>
      <c r="P462" t="e">
        <f t="shared" si="38"/>
        <v>#VALUE!</v>
      </c>
    </row>
    <row r="463" spans="1:16" x14ac:dyDescent="0.3">
      <c r="A463">
        <v>461</v>
      </c>
      <c r="B463">
        <f>'Real Input'!M463</f>
        <v>9.2573379999957979</v>
      </c>
      <c r="C463">
        <f ca="1">INDIRECT(CONCATENATE("'Real Input'!",'Real Analysis'!$B$2,A463+2))</f>
        <v>9.8505152999999996</v>
      </c>
      <c r="D463">
        <f t="shared" si="36"/>
        <v>5.6110000004991889E-3</v>
      </c>
      <c r="E463">
        <f ca="1">IF(B463&gt;0,C463-'Real Analysis'!$B$14,0)</f>
        <v>-5.9825023714275005E-3</v>
      </c>
      <c r="F463">
        <f t="shared" ca="1" si="39"/>
        <v>-3.8300855588770819E-2</v>
      </c>
      <c r="G463">
        <f t="shared" ca="1" si="35"/>
        <v>-0.19666280210167969</v>
      </c>
      <c r="H463">
        <f ca="1">IF(AND(B463&gt;'Real Analysis'!$B$31,B463&lt;'Real Analysis'!$B$32),FilterInput(E463,'Real Analysis'!$B$26,'Real Analysis'!$B$27),0)</f>
        <v>0</v>
      </c>
      <c r="I463" t="e">
        <f>MEDIAN2("Real Values",H463,'Real Analysis'!$B$5,2)</f>
        <v>#VALUE!</v>
      </c>
      <c r="J463" t="e">
        <f>AVERAGE2("Real Values",I463,'Real Analysis'!$B$6,2)</f>
        <v>#VALUE!</v>
      </c>
      <c r="K463" t="e">
        <f>INTEGRAL2(J463,$B463,K462,J462,$B462,'Real Analysis'!$B$19)</f>
        <v>#VALUE!</v>
      </c>
      <c r="L463" t="e">
        <f>IF(AND(B463&lt;'Real Analysis'!$B$32,B463&gt;0),INTEGRAL2(K463,$B463,L462,K462,$B462,'Real Analysis'!$B$20),0)</f>
        <v>#VALUE!</v>
      </c>
      <c r="N463">
        <f>'Real Analysis'!$B$28*'Real Input'!U463+IF('Real Input'!U463 &gt; 0,'Real Analysis'!$B$29,0)</f>
        <v>0</v>
      </c>
      <c r="O463" t="e">
        <f t="shared" si="37"/>
        <v>#VALUE!</v>
      </c>
      <c r="P463" t="e">
        <f t="shared" si="38"/>
        <v>#VALUE!</v>
      </c>
    </row>
    <row r="464" spans="1:16" x14ac:dyDescent="0.3">
      <c r="A464">
        <v>462</v>
      </c>
      <c r="B464">
        <f>'Real Input'!M464</f>
        <v>9.2909749999962514</v>
      </c>
      <c r="C464">
        <f ca="1">INDIRECT(CONCATENATE("'Real Input'!",'Real Analysis'!$B$2,A464+2))</f>
        <v>9.850574159999999</v>
      </c>
      <c r="D464">
        <f t="shared" si="36"/>
        <v>3.3637000000453554E-2</v>
      </c>
      <c r="E464">
        <f ca="1">IF(B464&gt;0,C464-'Real Analysis'!$B$14,0)</f>
        <v>-5.9236423714281727E-3</v>
      </c>
      <c r="F464">
        <f t="shared" ca="1" si="39"/>
        <v>-3.8500109147221233E-2</v>
      </c>
      <c r="G464">
        <f t="shared" ca="1" si="35"/>
        <v>-0.19795783027308222</v>
      </c>
      <c r="H464">
        <f ca="1">IF(AND(B464&gt;'Real Analysis'!$B$31,B464&lt;'Real Analysis'!$B$32),FilterInput(E464,'Real Analysis'!$B$26,'Real Analysis'!$B$27),0)</f>
        <v>0</v>
      </c>
      <c r="I464" t="e">
        <f>MEDIAN2("Real Values",H464,'Real Analysis'!$B$5,2)</f>
        <v>#VALUE!</v>
      </c>
      <c r="J464" t="e">
        <f>AVERAGE2("Real Values",I464,'Real Analysis'!$B$6,2)</f>
        <v>#VALUE!</v>
      </c>
      <c r="K464" t="e">
        <f>INTEGRAL2(J464,$B464,K463,J463,$B463,'Real Analysis'!$B$19)</f>
        <v>#VALUE!</v>
      </c>
      <c r="L464" t="e">
        <f>IF(AND(B464&lt;'Real Analysis'!$B$32,B464&gt;0),INTEGRAL2(K464,$B464,L463,K463,$B463,'Real Analysis'!$B$20),0)</f>
        <v>#VALUE!</v>
      </c>
      <c r="N464">
        <f>'Real Analysis'!$B$28*'Real Input'!U464+IF('Real Input'!U464 &gt; 0,'Real Analysis'!$B$29,0)</f>
        <v>0</v>
      </c>
      <c r="O464" t="e">
        <f t="shared" si="37"/>
        <v>#VALUE!</v>
      </c>
      <c r="P464" t="e">
        <f t="shared" si="38"/>
        <v>#VALUE!</v>
      </c>
    </row>
    <row r="465" spans="1:16" x14ac:dyDescent="0.3">
      <c r="A465">
        <v>463</v>
      </c>
      <c r="B465">
        <f>'Real Input'!M465</f>
        <v>9.3134209999989253</v>
      </c>
      <c r="C465">
        <f ca="1">INDIRECT(CONCATENATE("'Real Input'!",'Real Analysis'!$B$2,A465+2))</f>
        <v>9.8505937800000005</v>
      </c>
      <c r="D465">
        <f t="shared" si="36"/>
        <v>2.2446000002673827E-2</v>
      </c>
      <c r="E465">
        <f ca="1">IF(B465&gt;0,C465-'Real Analysis'!$B$14,0)</f>
        <v>-5.9040223714266205E-3</v>
      </c>
      <c r="F465">
        <f t="shared" ca="1" si="39"/>
        <v>-3.8632630833386063E-2</v>
      </c>
      <c r="G465">
        <f t="shared" ca="1" si="35"/>
        <v>-0.1988249783048717</v>
      </c>
      <c r="H465">
        <f ca="1">IF(AND(B465&gt;'Real Analysis'!$B$31,B465&lt;'Real Analysis'!$B$32),FilterInput(E465,'Real Analysis'!$B$26,'Real Analysis'!$B$27),0)</f>
        <v>0</v>
      </c>
      <c r="I465" t="e">
        <f>MEDIAN2("Real Values",H465,'Real Analysis'!$B$5,2)</f>
        <v>#VALUE!</v>
      </c>
      <c r="J465" t="e">
        <f>AVERAGE2("Real Values",I465,'Real Analysis'!$B$6,2)</f>
        <v>#VALUE!</v>
      </c>
      <c r="K465" t="e">
        <f>INTEGRAL2(J465,$B465,K464,J464,$B464,'Real Analysis'!$B$19)</f>
        <v>#VALUE!</v>
      </c>
      <c r="L465" t="e">
        <f>IF(AND(B465&lt;'Real Analysis'!$B$32,B465&gt;0),INTEGRAL2(K465,$B465,L464,K464,$B464,'Real Analysis'!$B$20),0)</f>
        <v>#VALUE!</v>
      </c>
      <c r="N465">
        <f>'Real Analysis'!$B$28*'Real Input'!U465+IF('Real Input'!U465 &gt; 0,'Real Analysis'!$B$29,0)</f>
        <v>0</v>
      </c>
      <c r="O465" t="e">
        <f t="shared" si="37"/>
        <v>#VALUE!</v>
      </c>
      <c r="P465" t="e">
        <f t="shared" si="38"/>
        <v>#VALUE!</v>
      </c>
    </row>
    <row r="466" spans="1:16" x14ac:dyDescent="0.3">
      <c r="A466">
        <v>464</v>
      </c>
      <c r="B466">
        <f>'Real Input'!M466</f>
        <v>9.3283890000020619</v>
      </c>
      <c r="C466">
        <f ca="1">INDIRECT(CONCATENATE("'Real Input'!",'Real Analysis'!$B$2,A466+2))</f>
        <v>9.8512020000000007</v>
      </c>
      <c r="D466">
        <f t="shared" si="36"/>
        <v>1.4968000003136694E-2</v>
      </c>
      <c r="E466">
        <f ca="1">IF(B466&gt;0,C466-'Real Analysis'!$B$14,0)</f>
        <v>-5.2958023714264613E-3</v>
      </c>
      <c r="F466">
        <f t="shared" ca="1" si="39"/>
        <v>-3.8711898403298188E-2</v>
      </c>
      <c r="G466">
        <f t="shared" ca="1" si="35"/>
        <v>-0.19940441800029368</v>
      </c>
      <c r="H466">
        <f ca="1">IF(AND(B466&gt;'Real Analysis'!$B$31,B466&lt;'Real Analysis'!$B$32),FilterInput(E466,'Real Analysis'!$B$26,'Real Analysis'!$B$27),0)</f>
        <v>0</v>
      </c>
      <c r="I466" t="e">
        <f>MEDIAN2("Real Values",H466,'Real Analysis'!$B$5,2)</f>
        <v>#VALUE!</v>
      </c>
      <c r="J466" t="e">
        <f>AVERAGE2("Real Values",I466,'Real Analysis'!$B$6,2)</f>
        <v>#VALUE!</v>
      </c>
      <c r="K466" t="e">
        <f>INTEGRAL2(J466,$B466,K465,J465,$B465,'Real Analysis'!$B$19)</f>
        <v>#VALUE!</v>
      </c>
      <c r="L466" t="e">
        <f>IF(AND(B466&lt;'Real Analysis'!$B$32,B466&gt;0),INTEGRAL2(K466,$B466,L465,K465,$B465,'Real Analysis'!$B$20),0)</f>
        <v>#VALUE!</v>
      </c>
      <c r="N466">
        <f>'Real Analysis'!$B$28*'Real Input'!U466+IF('Real Input'!U466 &gt; 0,'Real Analysis'!$B$29,0)</f>
        <v>0</v>
      </c>
      <c r="O466" t="e">
        <f t="shared" si="37"/>
        <v>#VALUE!</v>
      </c>
      <c r="P466" t="e">
        <f t="shared" si="38"/>
        <v>#VALUE!</v>
      </c>
    </row>
    <row r="467" spans="1:16" x14ac:dyDescent="0.3">
      <c r="A467">
        <v>465</v>
      </c>
      <c r="B467">
        <f>'Real Input'!M467</f>
        <v>9.3499370000063209</v>
      </c>
      <c r="C467">
        <f ca="1">INDIRECT(CONCATENATE("'Real Input'!",'Real Analysis'!$B$2,A467+2))</f>
        <v>9.8508292199999996</v>
      </c>
      <c r="D467">
        <f t="shared" si="36"/>
        <v>2.1548000004258938E-2</v>
      </c>
      <c r="E467">
        <f ca="1">IF(B467&gt;0,C467-'Real Analysis'!$B$14,0)</f>
        <v>-5.668582371427533E-3</v>
      </c>
      <c r="F467">
        <f t="shared" ca="1" si="39"/>
        <v>-3.8834045016261851E-2</v>
      </c>
      <c r="G467">
        <f t="shared" ca="1" si="35"/>
        <v>-0.2002412140024695</v>
      </c>
      <c r="H467">
        <f ca="1">IF(AND(B467&gt;'Real Analysis'!$B$31,B467&lt;'Real Analysis'!$B$32),FilterInput(E467,'Real Analysis'!$B$26,'Real Analysis'!$B$27),0)</f>
        <v>0</v>
      </c>
      <c r="I467" t="e">
        <f>MEDIAN2("Real Values",H467,'Real Analysis'!$B$5,2)</f>
        <v>#VALUE!</v>
      </c>
      <c r="J467" t="e">
        <f>AVERAGE2("Real Values",I467,'Real Analysis'!$B$6,2)</f>
        <v>#VALUE!</v>
      </c>
      <c r="K467" t="e">
        <f>INTEGRAL2(J467,$B467,K466,J466,$B466,'Real Analysis'!$B$19)</f>
        <v>#VALUE!</v>
      </c>
      <c r="L467" t="e">
        <f>IF(AND(B467&lt;'Real Analysis'!$B$32,B467&gt;0),INTEGRAL2(K467,$B467,L466,K466,$B466,'Real Analysis'!$B$20),0)</f>
        <v>#VALUE!</v>
      </c>
      <c r="N467">
        <f>'Real Analysis'!$B$28*'Real Input'!U467+IF('Real Input'!U467 &gt; 0,'Real Analysis'!$B$29,0)</f>
        <v>0</v>
      </c>
      <c r="O467" t="e">
        <f t="shared" si="37"/>
        <v>#VALUE!</v>
      </c>
      <c r="P467" t="e">
        <f t="shared" si="38"/>
        <v>#VALUE!</v>
      </c>
    </row>
    <row r="468" spans="1:16" x14ac:dyDescent="0.3">
      <c r="A468">
        <v>466</v>
      </c>
      <c r="B468">
        <f>'Real Input'!M468</f>
        <v>9.368570999999065</v>
      </c>
      <c r="C468">
        <f ca="1">INDIRECT(CONCATENATE("'Real Input'!",'Real Analysis'!$B$2,A468+2))</f>
        <v>9.8510646600000005</v>
      </c>
      <c r="D468">
        <f t="shared" si="36"/>
        <v>1.8633999992744066E-2</v>
      </c>
      <c r="E468">
        <f ca="1">IF(B468&gt;0,C468-'Real Analysis'!$B$14,0)</f>
        <v>-5.4331423714266691E-3</v>
      </c>
      <c r="F468">
        <f t="shared" ca="1" si="39"/>
        <v>-3.8935286191171592E-2</v>
      </c>
      <c r="G468">
        <f t="shared" ca="1" si="35"/>
        <v>-0.20096673412507327</v>
      </c>
      <c r="H468">
        <f ca="1">IF(AND(B468&gt;'Real Analysis'!$B$31,B468&lt;'Real Analysis'!$B$32),FilterInput(E468,'Real Analysis'!$B$26,'Real Analysis'!$B$27),0)</f>
        <v>0</v>
      </c>
      <c r="I468" t="e">
        <f>MEDIAN2("Real Values",H468,'Real Analysis'!$B$5,2)</f>
        <v>#VALUE!</v>
      </c>
      <c r="J468" t="e">
        <f>AVERAGE2("Real Values",I468,'Real Analysis'!$B$6,2)</f>
        <v>#VALUE!</v>
      </c>
      <c r="K468" t="e">
        <f>INTEGRAL2(J468,$B468,K467,J467,$B467,'Real Analysis'!$B$19)</f>
        <v>#VALUE!</v>
      </c>
      <c r="L468" t="e">
        <f>IF(AND(B468&lt;'Real Analysis'!$B$32,B468&gt;0),INTEGRAL2(K468,$B468,L467,K467,$B467,'Real Analysis'!$B$20),0)</f>
        <v>#VALUE!</v>
      </c>
      <c r="N468">
        <f>'Real Analysis'!$B$28*'Real Input'!U468+IF('Real Input'!U468 &gt; 0,'Real Analysis'!$B$29,0)</f>
        <v>0</v>
      </c>
      <c r="O468" t="e">
        <f t="shared" si="37"/>
        <v>#VALUE!</v>
      </c>
      <c r="P468" t="e">
        <f t="shared" si="38"/>
        <v>#VALUE!</v>
      </c>
    </row>
    <row r="469" spans="1:16" x14ac:dyDescent="0.3">
      <c r="A469">
        <v>467</v>
      </c>
      <c r="B469">
        <f>'Real Input'!M469</f>
        <v>9.3888219999935245</v>
      </c>
      <c r="C469">
        <f ca="1">INDIRECT(CONCATENATE("'Real Input'!",'Real Analysis'!$B$2,A469+2))</f>
        <v>9.8539488000000013</v>
      </c>
      <c r="D469">
        <f t="shared" si="36"/>
        <v>2.0250999994459562E-2</v>
      </c>
      <c r="E469">
        <f ca="1">IF(B469&gt;0,C469-'Real Analysis'!$B$14,0)</f>
        <v>-2.5490023714258569E-3</v>
      </c>
      <c r="F469">
        <f t="shared" ca="1" si="39"/>
        <v>-3.8986906038181217E-2</v>
      </c>
      <c r="G469">
        <f t="shared" ca="1" si="35"/>
        <v>-0.20175625795903646</v>
      </c>
      <c r="H469">
        <f ca="1">IF(AND(B469&gt;'Real Analysis'!$B$31,B469&lt;'Real Analysis'!$B$32),FilterInput(E469,'Real Analysis'!$B$26,'Real Analysis'!$B$27),0)</f>
        <v>0</v>
      </c>
      <c r="I469" t="e">
        <f>MEDIAN2("Real Values",H469,'Real Analysis'!$B$5,2)</f>
        <v>#VALUE!</v>
      </c>
      <c r="J469" t="e">
        <f>AVERAGE2("Real Values",I469,'Real Analysis'!$B$6,2)</f>
        <v>#VALUE!</v>
      </c>
      <c r="K469" t="e">
        <f>INTEGRAL2(J469,$B469,K468,J468,$B468,'Real Analysis'!$B$19)</f>
        <v>#VALUE!</v>
      </c>
      <c r="L469" t="e">
        <f>IF(AND(B469&lt;'Real Analysis'!$B$32,B469&gt;0),INTEGRAL2(K469,$B469,L468,K468,$B468,'Real Analysis'!$B$20),0)</f>
        <v>#VALUE!</v>
      </c>
      <c r="N469">
        <f>'Real Analysis'!$B$28*'Real Input'!U469+IF('Real Input'!U469 &gt; 0,'Real Analysis'!$B$29,0)</f>
        <v>0</v>
      </c>
      <c r="O469" t="e">
        <f t="shared" si="37"/>
        <v>#VALUE!</v>
      </c>
      <c r="P469" t="e">
        <f t="shared" si="38"/>
        <v>#VALUE!</v>
      </c>
    </row>
    <row r="470" spans="1:16" x14ac:dyDescent="0.3">
      <c r="A470">
        <v>468</v>
      </c>
      <c r="B470">
        <f>'Real Input'!M470</f>
        <v>9.4126010000036331</v>
      </c>
      <c r="C470">
        <f ca="1">INDIRECT(CONCATENATE("'Real Input'!",'Real Analysis'!$B$2,A470+2))</f>
        <v>9.8534582999999998</v>
      </c>
      <c r="D470">
        <f t="shared" si="36"/>
        <v>2.3779000010108575E-2</v>
      </c>
      <c r="E470">
        <f ca="1">IF(B470&gt;0,C470-'Real Analysis'!$B$14,0)</f>
        <v>-3.0395023714273606E-3</v>
      </c>
      <c r="F470">
        <f t="shared" ca="1" si="39"/>
        <v>-3.9059182365102113E-2</v>
      </c>
      <c r="G470">
        <f t="shared" ca="1" si="35"/>
        <v>-0.20268504625689104</v>
      </c>
      <c r="H470">
        <f ca="1">IF(AND(B470&gt;'Real Analysis'!$B$31,B470&lt;'Real Analysis'!$B$32),FilterInput(E470,'Real Analysis'!$B$26,'Real Analysis'!$B$27),0)</f>
        <v>0</v>
      </c>
      <c r="I470" t="e">
        <f>MEDIAN2("Real Values",H470,'Real Analysis'!$B$5,2)</f>
        <v>#VALUE!</v>
      </c>
      <c r="J470" t="e">
        <f>AVERAGE2("Real Values",I470,'Real Analysis'!$B$6,2)</f>
        <v>#VALUE!</v>
      </c>
      <c r="K470" t="e">
        <f>INTEGRAL2(J470,$B470,K469,J469,$B469,'Real Analysis'!$B$19)</f>
        <v>#VALUE!</v>
      </c>
      <c r="L470" t="e">
        <f>IF(AND(B470&lt;'Real Analysis'!$B$32,B470&gt;0),INTEGRAL2(K470,$B470,L469,K469,$B469,'Real Analysis'!$B$20),0)</f>
        <v>#VALUE!</v>
      </c>
      <c r="N470">
        <f>'Real Analysis'!$B$28*'Real Input'!U470+IF('Real Input'!U470 &gt; 0,'Real Analysis'!$B$29,0)</f>
        <v>0</v>
      </c>
      <c r="O470" t="e">
        <f t="shared" si="37"/>
        <v>#VALUE!</v>
      </c>
      <c r="P470" t="e">
        <f t="shared" si="38"/>
        <v>#VALUE!</v>
      </c>
    </row>
    <row r="471" spans="1:16" x14ac:dyDescent="0.3">
      <c r="A471">
        <v>469</v>
      </c>
      <c r="B471">
        <f>'Real Input'!M471</f>
        <v>9.4302449999959208</v>
      </c>
      <c r="C471">
        <f ca="1">INDIRECT(CONCATENATE("'Real Input'!",'Real Analysis'!$B$2,A471+2))</f>
        <v>9.8503191000000019</v>
      </c>
      <c r="D471">
        <f t="shared" si="36"/>
        <v>1.7643999992287718E-2</v>
      </c>
      <c r="E471">
        <f ca="1">IF(B471&gt;0,C471-'Real Analysis'!$B$14,0)</f>
        <v>-6.1787023714252598E-3</v>
      </c>
      <c r="F471">
        <f t="shared" ca="1" si="39"/>
        <v>-3.9168199389695887E-2</v>
      </c>
      <c r="G471">
        <f t="shared" ca="1" si="35"/>
        <v>-0.20337612996662077</v>
      </c>
      <c r="H471">
        <f ca="1">IF(AND(B471&gt;'Real Analysis'!$B$31,B471&lt;'Real Analysis'!$B$32),FilterInput(E471,'Real Analysis'!$B$26,'Real Analysis'!$B$27),0)</f>
        <v>0</v>
      </c>
      <c r="I471" t="e">
        <f>MEDIAN2("Real Values",H471,'Real Analysis'!$B$5,2)</f>
        <v>#VALUE!</v>
      </c>
      <c r="J471" t="e">
        <f>AVERAGE2("Real Values",I471,'Real Analysis'!$B$6,2)</f>
        <v>#VALUE!</v>
      </c>
      <c r="K471" t="e">
        <f>INTEGRAL2(J471,$B471,K470,J470,$B470,'Real Analysis'!$B$19)</f>
        <v>#VALUE!</v>
      </c>
      <c r="L471" t="e">
        <f>IF(AND(B471&lt;'Real Analysis'!$B$32,B471&gt;0),INTEGRAL2(K471,$B471,L470,K470,$B470,'Real Analysis'!$B$20),0)</f>
        <v>#VALUE!</v>
      </c>
      <c r="N471">
        <f>'Real Analysis'!$B$28*'Real Input'!U471+IF('Real Input'!U471 &gt; 0,'Real Analysis'!$B$29,0)</f>
        <v>0</v>
      </c>
      <c r="O471" t="e">
        <f t="shared" si="37"/>
        <v>#VALUE!</v>
      </c>
      <c r="P471" t="e">
        <f t="shared" si="38"/>
        <v>#VALUE!</v>
      </c>
    </row>
    <row r="472" spans="1:16" x14ac:dyDescent="0.3">
      <c r="A472">
        <v>470</v>
      </c>
      <c r="B472">
        <f>'Real Input'!M472</f>
        <v>9.4511420000053477</v>
      </c>
      <c r="C472">
        <f ca="1">INDIRECT(CONCATENATE("'Real Input'!",'Real Analysis'!$B$2,A472+2))</f>
        <v>9.8533700100000008</v>
      </c>
      <c r="D472">
        <f t="shared" si="36"/>
        <v>2.0897000009426847E-2</v>
      </c>
      <c r="E472">
        <f ca="1">IF(B472&gt;0,C472-'Real Analysis'!$B$14,0)</f>
        <v>-3.1277923714263522E-3</v>
      </c>
      <c r="F472">
        <f t="shared" ca="1" si="39"/>
        <v>-3.9233560866911071E-2</v>
      </c>
      <c r="G472">
        <f t="shared" ca="1" si="35"/>
        <v>-0.20419599368842647</v>
      </c>
      <c r="H472">
        <f ca="1">IF(AND(B472&gt;'Real Analysis'!$B$31,B472&lt;'Real Analysis'!$B$32),FilterInput(E472,'Real Analysis'!$B$26,'Real Analysis'!$B$27),0)</f>
        <v>0</v>
      </c>
      <c r="I472" t="e">
        <f>MEDIAN2("Real Values",H472,'Real Analysis'!$B$5,2)</f>
        <v>#VALUE!</v>
      </c>
      <c r="J472" t="e">
        <f>AVERAGE2("Real Values",I472,'Real Analysis'!$B$6,2)</f>
        <v>#VALUE!</v>
      </c>
      <c r="K472" t="e">
        <f>INTEGRAL2(J472,$B472,K471,J471,$B471,'Real Analysis'!$B$19)</f>
        <v>#VALUE!</v>
      </c>
      <c r="L472" t="e">
        <f>IF(AND(B472&lt;'Real Analysis'!$B$32,B472&gt;0),INTEGRAL2(K472,$B472,L471,K471,$B471,'Real Analysis'!$B$20),0)</f>
        <v>#VALUE!</v>
      </c>
      <c r="N472">
        <f>'Real Analysis'!$B$28*'Real Input'!U472+IF('Real Input'!U472 &gt; 0,'Real Analysis'!$B$29,0)</f>
        <v>0</v>
      </c>
      <c r="O472" t="e">
        <f t="shared" si="37"/>
        <v>#VALUE!</v>
      </c>
      <c r="P472" t="e">
        <f t="shared" si="38"/>
        <v>#VALUE!</v>
      </c>
    </row>
    <row r="473" spans="1:16" x14ac:dyDescent="0.3">
      <c r="A473">
        <v>471</v>
      </c>
      <c r="B473">
        <f>'Real Input'!M473</f>
        <v>9.4722259999980452</v>
      </c>
      <c r="C473">
        <f ca="1">INDIRECT(CONCATENATE("'Real Input'!",'Real Analysis'!$B$2,A473+2))</f>
        <v>9.8527225500000011</v>
      </c>
      <c r="D473">
        <f t="shared" si="36"/>
        <v>2.10839999926975E-2</v>
      </c>
      <c r="E473">
        <f ca="1">IF(B473&gt;0,C473-'Real Analysis'!$B$14,0)</f>
        <v>-3.7752523714260633E-3</v>
      </c>
      <c r="F473">
        <f t="shared" ca="1" si="39"/>
        <v>-3.9313158287882649E-2</v>
      </c>
      <c r="G473">
        <f t="shared" ca="1" si="35"/>
        <v>-0.20502487231748112</v>
      </c>
      <c r="H473">
        <f ca="1">IF(AND(B473&gt;'Real Analysis'!$B$31,B473&lt;'Real Analysis'!$B$32),FilterInput(E473,'Real Analysis'!$B$26,'Real Analysis'!$B$27),0)</f>
        <v>0</v>
      </c>
      <c r="I473" t="e">
        <f>MEDIAN2("Real Values",H473,'Real Analysis'!$B$5,2)</f>
        <v>#VALUE!</v>
      </c>
      <c r="J473" t="e">
        <f>AVERAGE2("Real Values",I473,'Real Analysis'!$B$6,2)</f>
        <v>#VALUE!</v>
      </c>
      <c r="K473" t="e">
        <f>INTEGRAL2(J473,$B473,K472,J472,$B472,'Real Analysis'!$B$19)</f>
        <v>#VALUE!</v>
      </c>
      <c r="L473" t="e">
        <f>IF(AND(B473&lt;'Real Analysis'!$B$32,B473&gt;0),INTEGRAL2(K473,$B473,L472,K472,$B472,'Real Analysis'!$B$20),0)</f>
        <v>#VALUE!</v>
      </c>
      <c r="N473">
        <f>'Real Analysis'!$B$28*'Real Input'!U473+IF('Real Input'!U473 &gt; 0,'Real Analysis'!$B$29,0)</f>
        <v>0</v>
      </c>
      <c r="O473" t="e">
        <f t="shared" si="37"/>
        <v>#VALUE!</v>
      </c>
      <c r="P473" t="e">
        <f t="shared" si="38"/>
        <v>#VALUE!</v>
      </c>
    </row>
    <row r="474" spans="1:16" x14ac:dyDescent="0.3">
      <c r="A474">
        <v>472</v>
      </c>
      <c r="B474">
        <f>'Real Input'!M474</f>
        <v>9.4890560000058031</v>
      </c>
      <c r="C474">
        <f ca="1">INDIRECT(CONCATENATE("'Real Input'!",'Real Analysis'!$B$2,A474+2))</f>
        <v>9.8502896700000004</v>
      </c>
      <c r="D474">
        <f t="shared" si="36"/>
        <v>1.6830000007757917E-2</v>
      </c>
      <c r="E474">
        <f ca="1">IF(B474&gt;0,C474-'Real Analysis'!$B$14,0)</f>
        <v>-6.2081323714267E-3</v>
      </c>
      <c r="F474">
        <f t="shared" ca="1" si="39"/>
        <v>-3.9417641155741923E-2</v>
      </c>
      <c r="G474">
        <f t="shared" ca="1" si="35"/>
        <v>-0.20568827121843805</v>
      </c>
      <c r="H474">
        <f ca="1">IF(AND(B474&gt;'Real Analysis'!$B$31,B474&lt;'Real Analysis'!$B$32),FilterInput(E474,'Real Analysis'!$B$26,'Real Analysis'!$B$27),0)</f>
        <v>0</v>
      </c>
      <c r="I474" t="e">
        <f>MEDIAN2("Real Values",H474,'Real Analysis'!$B$5,2)</f>
        <v>#VALUE!</v>
      </c>
      <c r="J474" t="e">
        <f>AVERAGE2("Real Values",I474,'Real Analysis'!$B$6,2)</f>
        <v>#VALUE!</v>
      </c>
      <c r="K474" t="e">
        <f>INTEGRAL2(J474,$B474,K473,J473,$B473,'Real Analysis'!$B$19)</f>
        <v>#VALUE!</v>
      </c>
      <c r="L474" t="e">
        <f>IF(AND(B474&lt;'Real Analysis'!$B$32,B474&gt;0),INTEGRAL2(K474,$B474,L473,K473,$B473,'Real Analysis'!$B$20),0)</f>
        <v>#VALUE!</v>
      </c>
      <c r="N474">
        <f>'Real Analysis'!$B$28*'Real Input'!U474+IF('Real Input'!U474 &gt; 0,'Real Analysis'!$B$29,0)</f>
        <v>0</v>
      </c>
      <c r="O474" t="e">
        <f t="shared" si="37"/>
        <v>#VALUE!</v>
      </c>
      <c r="P474" t="e">
        <f t="shared" si="38"/>
        <v>#VALUE!</v>
      </c>
    </row>
    <row r="475" spans="1:16" x14ac:dyDescent="0.3">
      <c r="A475">
        <v>473</v>
      </c>
      <c r="B475">
        <f>'Real Input'!M475</f>
        <v>9.5113600000040606</v>
      </c>
      <c r="C475">
        <f ca="1">INDIRECT(CONCATENATE("'Real Input'!",'Real Analysis'!$B$2,A475+2))</f>
        <v>9.8703805500000001</v>
      </c>
      <c r="D475">
        <f t="shared" si="36"/>
        <v>2.2303999998257495E-2</v>
      </c>
      <c r="E475">
        <f ca="1">IF(B475&gt;0,C475-'Real Analysis'!$B$14,0)</f>
        <v>1.3882747628573E-2</v>
      </c>
      <c r="F475">
        <f t="shared" ca="1" si="39"/>
        <v>-3.910800035265842E-2</v>
      </c>
      <c r="G475">
        <f t="shared" ca="1" si="35"/>
        <v>-0.2065605360582356</v>
      </c>
      <c r="H475">
        <f ca="1">IF(AND(B475&gt;'Real Analysis'!$B$31,B475&lt;'Real Analysis'!$B$32),FilterInput(E475,'Real Analysis'!$B$26,'Real Analysis'!$B$27),0)</f>
        <v>0</v>
      </c>
      <c r="I475" t="e">
        <f>MEDIAN2("Real Values",H475,'Real Analysis'!$B$5,2)</f>
        <v>#VALUE!</v>
      </c>
      <c r="J475" t="e">
        <f>AVERAGE2("Real Values",I475,'Real Analysis'!$B$6,2)</f>
        <v>#VALUE!</v>
      </c>
      <c r="K475" t="e">
        <f>INTEGRAL2(J475,$B475,K474,J474,$B474,'Real Analysis'!$B$19)</f>
        <v>#VALUE!</v>
      </c>
      <c r="L475" t="e">
        <f>IF(AND(B475&lt;'Real Analysis'!$B$32,B475&gt;0),INTEGRAL2(K475,$B475,L474,K474,$B474,'Real Analysis'!$B$20),0)</f>
        <v>#VALUE!</v>
      </c>
      <c r="N475">
        <f>'Real Analysis'!$B$28*'Real Input'!U475+IF('Real Input'!U475 &gt; 0,'Real Analysis'!$B$29,0)</f>
        <v>0</v>
      </c>
      <c r="O475" t="e">
        <f t="shared" si="37"/>
        <v>#VALUE!</v>
      </c>
      <c r="P475" t="e">
        <f t="shared" si="38"/>
        <v>#VALUE!</v>
      </c>
    </row>
    <row r="476" spans="1:16" x14ac:dyDescent="0.3">
      <c r="A476">
        <v>474</v>
      </c>
      <c r="B476">
        <f>'Real Input'!M476</f>
        <v>9.5310690000042086</v>
      </c>
      <c r="C476">
        <f ca="1">INDIRECT(CONCATENATE("'Real Input'!",'Real Analysis'!$B$2,A476+2))</f>
        <v>9.8973580499999994</v>
      </c>
      <c r="D476">
        <f t="shared" si="36"/>
        <v>1.970900000014808E-2</v>
      </c>
      <c r="E476">
        <f ca="1">IF(B476&gt;0,C476-'Real Analysis'!$B$14,0)</f>
        <v>4.086024762857221E-2</v>
      </c>
      <c r="F476">
        <f t="shared" ca="1" si="39"/>
        <v>-3.8302685732140837E-2</v>
      </c>
      <c r="G476">
        <f t="shared" ca="1" si="35"/>
        <v>-0.20731544369133603</v>
      </c>
      <c r="H476">
        <f ca="1">IF(AND(B476&gt;'Real Analysis'!$B$31,B476&lt;'Real Analysis'!$B$32),FilterInput(E476,'Real Analysis'!$B$26,'Real Analysis'!$B$27),0)</f>
        <v>0</v>
      </c>
      <c r="I476" t="e">
        <f>MEDIAN2("Real Values",H476,'Real Analysis'!$B$5,2)</f>
        <v>#VALUE!</v>
      </c>
      <c r="J476" t="e">
        <f>AVERAGE2("Real Values",I476,'Real Analysis'!$B$6,2)</f>
        <v>#VALUE!</v>
      </c>
      <c r="K476" t="e">
        <f>INTEGRAL2(J476,$B476,K475,J475,$B475,'Real Analysis'!$B$19)</f>
        <v>#VALUE!</v>
      </c>
      <c r="L476" t="e">
        <f>IF(AND(B476&lt;'Real Analysis'!$B$32,B476&gt;0),INTEGRAL2(K476,$B476,L475,K475,$B475,'Real Analysis'!$B$20),0)</f>
        <v>#VALUE!</v>
      </c>
      <c r="N476">
        <f>'Real Analysis'!$B$28*'Real Input'!U476+IF('Real Input'!U476 &gt; 0,'Real Analysis'!$B$29,0)</f>
        <v>0</v>
      </c>
      <c r="O476" t="e">
        <f t="shared" si="37"/>
        <v>#VALUE!</v>
      </c>
      <c r="P476" t="e">
        <f t="shared" si="38"/>
        <v>#VALUE!</v>
      </c>
    </row>
    <row r="477" spans="1:16" x14ac:dyDescent="0.3">
      <c r="A477">
        <v>475</v>
      </c>
      <c r="B477">
        <f>'Real Input'!M477</f>
        <v>9.5521520000038436</v>
      </c>
      <c r="C477">
        <f ca="1">INDIRECT(CONCATENATE("'Real Input'!",'Real Analysis'!$B$2,A477+2))</f>
        <v>9.8471799000000004</v>
      </c>
      <c r="D477">
        <f t="shared" si="36"/>
        <v>2.1082999999634922E-2</v>
      </c>
      <c r="E477">
        <f ca="1">IF(B477&gt;0,C477-'Real Analysis'!$B$14,0)</f>
        <v>-9.3179023714267117E-3</v>
      </c>
      <c r="F477">
        <f t="shared" ca="1" si="39"/>
        <v>-3.8499135067834228E-2</v>
      </c>
      <c r="G477">
        <f t="shared" ca="1" si="35"/>
        <v>-0.20812712095595712</v>
      </c>
      <c r="H477">
        <f ca="1">IF(AND(B477&gt;'Real Analysis'!$B$31,B477&lt;'Real Analysis'!$B$32),FilterInput(E477,'Real Analysis'!$B$26,'Real Analysis'!$B$27),0)</f>
        <v>0</v>
      </c>
      <c r="I477" t="e">
        <f>MEDIAN2("Real Values",H477,'Real Analysis'!$B$5,2)</f>
        <v>#VALUE!</v>
      </c>
      <c r="J477" t="e">
        <f>AVERAGE2("Real Values",I477,'Real Analysis'!$B$6,2)</f>
        <v>#VALUE!</v>
      </c>
      <c r="K477" t="e">
        <f>INTEGRAL2(J477,$B477,K476,J476,$B476,'Real Analysis'!$B$19)</f>
        <v>#VALUE!</v>
      </c>
      <c r="L477" t="e">
        <f>IF(AND(B477&lt;'Real Analysis'!$B$32,B477&gt;0),INTEGRAL2(K477,$B477,L476,K476,$B476,'Real Analysis'!$B$20),0)</f>
        <v>#VALUE!</v>
      </c>
      <c r="N477">
        <f>'Real Analysis'!$B$28*'Real Input'!U477+IF('Real Input'!U477 &gt; 0,'Real Analysis'!$B$29,0)</f>
        <v>0</v>
      </c>
      <c r="O477" t="e">
        <f t="shared" si="37"/>
        <v>#VALUE!</v>
      </c>
      <c r="P477" t="e">
        <f t="shared" si="38"/>
        <v>#VALUE!</v>
      </c>
    </row>
    <row r="478" spans="1:16" x14ac:dyDescent="0.3">
      <c r="A478">
        <v>476</v>
      </c>
      <c r="B478">
        <f>'Real Input'!M478</f>
        <v>9.5712550000025658</v>
      </c>
      <c r="C478">
        <f ca="1">INDIRECT(CONCATENATE("'Real Input'!",'Real Analysis'!$B$2,A478+2))</f>
        <v>9.8556361200000016</v>
      </c>
      <c r="D478">
        <f t="shared" si="36"/>
        <v>1.9102999998722225E-2</v>
      </c>
      <c r="E478">
        <f ca="1">IF(B478&gt;0,C478-'Real Analysis'!$B$14,0)</f>
        <v>-8.6168237142558723E-4</v>
      </c>
      <c r="F478">
        <f t="shared" ca="1" si="39"/>
        <v>-3.8515595786174472E-2</v>
      </c>
      <c r="G478">
        <f t="shared" ca="1" si="35"/>
        <v>-0.20886288438221121</v>
      </c>
      <c r="H478">
        <f ca="1">IF(AND(B478&gt;'Real Analysis'!$B$31,B478&lt;'Real Analysis'!$B$32),FilterInput(E478,'Real Analysis'!$B$26,'Real Analysis'!$B$27),0)</f>
        <v>0</v>
      </c>
      <c r="I478" t="e">
        <f>MEDIAN2("Real Values",H478,'Real Analysis'!$B$5,2)</f>
        <v>#VALUE!</v>
      </c>
      <c r="J478" t="e">
        <f>AVERAGE2("Real Values",I478,'Real Analysis'!$B$6,2)</f>
        <v>#VALUE!</v>
      </c>
      <c r="K478" t="e">
        <f>INTEGRAL2(J478,$B478,K477,J477,$B477,'Real Analysis'!$B$19)</f>
        <v>#VALUE!</v>
      </c>
      <c r="L478" t="e">
        <f>IF(AND(B478&lt;'Real Analysis'!$B$32,B478&gt;0),INTEGRAL2(K478,$B478,L477,K477,$B477,'Real Analysis'!$B$20),0)</f>
        <v>#VALUE!</v>
      </c>
      <c r="N478">
        <f>'Real Analysis'!$B$28*'Real Input'!U478+IF('Real Input'!U478 &gt; 0,'Real Analysis'!$B$29,0)</f>
        <v>0</v>
      </c>
      <c r="O478" t="e">
        <f t="shared" si="37"/>
        <v>#VALUE!</v>
      </c>
      <c r="P478" t="e">
        <f t="shared" si="38"/>
        <v>#VALUE!</v>
      </c>
    </row>
    <row r="479" spans="1:16" x14ac:dyDescent="0.3">
      <c r="A479">
        <v>477</v>
      </c>
      <c r="B479">
        <f>'Real Input'!M479</f>
        <v>9.5938239999959478</v>
      </c>
      <c r="C479">
        <f ca="1">INDIRECT(CONCATENATE("'Real Input'!",'Real Analysis'!$B$2,A479+2))</f>
        <v>9.8523595800000017</v>
      </c>
      <c r="D479">
        <f t="shared" si="36"/>
        <v>2.2568999993382022E-2</v>
      </c>
      <c r="E479">
        <f ca="1">IF(B479&gt;0,C479-'Real Analysis'!$B$14,0)</f>
        <v>-4.1382223714254707E-3</v>
      </c>
      <c r="F479">
        <f t="shared" ca="1" si="39"/>
        <v>-3.8608991326847787E-2</v>
      </c>
      <c r="G479">
        <f t="shared" ca="1" si="35"/>
        <v>-0.20973425070721133</v>
      </c>
      <c r="H479">
        <f ca="1">IF(AND(B479&gt;'Real Analysis'!$B$31,B479&lt;'Real Analysis'!$B$32),FilterInput(E479,'Real Analysis'!$B$26,'Real Analysis'!$B$27),0)</f>
        <v>0</v>
      </c>
      <c r="I479" t="e">
        <f>MEDIAN2("Real Values",H479,'Real Analysis'!$B$5,2)</f>
        <v>#VALUE!</v>
      </c>
      <c r="J479" t="e">
        <f>AVERAGE2("Real Values",I479,'Real Analysis'!$B$6,2)</f>
        <v>#VALUE!</v>
      </c>
      <c r="K479" t="e">
        <f>INTEGRAL2(J479,$B479,K478,J478,$B478,'Real Analysis'!$B$19)</f>
        <v>#VALUE!</v>
      </c>
      <c r="L479" t="e">
        <f>IF(AND(B479&lt;'Real Analysis'!$B$32,B479&gt;0),INTEGRAL2(K479,$B479,L478,K478,$B478,'Real Analysis'!$B$20),0)</f>
        <v>#VALUE!</v>
      </c>
      <c r="N479">
        <f>'Real Analysis'!$B$28*'Real Input'!U479+IF('Real Input'!U479 &gt; 0,'Real Analysis'!$B$29,0)</f>
        <v>0</v>
      </c>
      <c r="O479" t="e">
        <f t="shared" si="37"/>
        <v>#VALUE!</v>
      </c>
      <c r="P479" t="e">
        <f t="shared" si="38"/>
        <v>#VALUE!</v>
      </c>
    </row>
    <row r="480" spans="1:16" x14ac:dyDescent="0.3">
      <c r="A480">
        <v>478</v>
      </c>
      <c r="B480">
        <f>'Real Input'!M480</f>
        <v>9.6115509999945061</v>
      </c>
      <c r="C480">
        <f ca="1">INDIRECT(CONCATENATE("'Real Input'!",'Real Analysis'!$B$2,A480+2))</f>
        <v>9.8502700500000007</v>
      </c>
      <c r="D480">
        <f t="shared" si="36"/>
        <v>1.7726999998558313E-2</v>
      </c>
      <c r="E480">
        <f ca="1">IF(B480&gt;0,C480-'Real Analysis'!$B$14,0)</f>
        <v>-6.227752371426476E-3</v>
      </c>
      <c r="F480">
        <f t="shared" ca="1" si="39"/>
        <v>-3.8719390693127083E-2</v>
      </c>
      <c r="G480">
        <f t="shared" ca="1" si="35"/>
        <v>-0.21042062934597258</v>
      </c>
      <c r="H480">
        <f ca="1">IF(AND(B480&gt;'Real Analysis'!$B$31,B480&lt;'Real Analysis'!$B$32),FilterInput(E480,'Real Analysis'!$B$26,'Real Analysis'!$B$27),0)</f>
        <v>0</v>
      </c>
      <c r="I480" t="e">
        <f>MEDIAN2("Real Values",H480,'Real Analysis'!$B$5,2)</f>
        <v>#VALUE!</v>
      </c>
      <c r="J480" t="e">
        <f>AVERAGE2("Real Values",I480,'Real Analysis'!$B$6,2)</f>
        <v>#VALUE!</v>
      </c>
      <c r="K480" t="e">
        <f>INTEGRAL2(J480,$B480,K479,J479,$B479,'Real Analysis'!$B$19)</f>
        <v>#VALUE!</v>
      </c>
      <c r="L480" t="e">
        <f>IF(AND(B480&lt;'Real Analysis'!$B$32,B480&gt;0),INTEGRAL2(K480,$B480,L479,K479,$B479,'Real Analysis'!$B$20),0)</f>
        <v>#VALUE!</v>
      </c>
      <c r="N480">
        <f>'Real Analysis'!$B$28*'Real Input'!U480+IF('Real Input'!U480 &gt; 0,'Real Analysis'!$B$29,0)</f>
        <v>0</v>
      </c>
      <c r="O480" t="e">
        <f t="shared" si="37"/>
        <v>#VALUE!</v>
      </c>
      <c r="P480" t="e">
        <f t="shared" si="38"/>
        <v>#VALUE!</v>
      </c>
    </row>
    <row r="481" spans="1:16" x14ac:dyDescent="0.3">
      <c r="A481">
        <v>479</v>
      </c>
      <c r="B481">
        <f>'Real Input'!M481</f>
        <v>9.6323450000054436</v>
      </c>
      <c r="C481">
        <f ca="1">INDIRECT(CONCATENATE("'Real Input'!",'Real Analysis'!$B$2,A481+2))</f>
        <v>9.8162587800000001</v>
      </c>
      <c r="D481">
        <f t="shared" si="36"/>
        <v>2.0794000010937452E-2</v>
      </c>
      <c r="E481">
        <f ca="1">IF(B481&gt;0,C481-'Real Analysis'!$B$14,0)</f>
        <v>-4.0239022371427069E-2</v>
      </c>
      <c r="F481">
        <f t="shared" ca="1" si="39"/>
        <v>-3.9556120924758652E-2</v>
      </c>
      <c r="G481">
        <f t="shared" ref="G481:G544" ca="1" si="40">IF(B481&gt;0,G480+F481*$D481,0)</f>
        <v>-0.21124315932491466</v>
      </c>
      <c r="H481">
        <f ca="1">IF(AND(B481&gt;'Real Analysis'!$B$31,B481&lt;'Real Analysis'!$B$32),FilterInput(E481,'Real Analysis'!$B$26,'Real Analysis'!$B$27),0)</f>
        <v>0</v>
      </c>
      <c r="I481" t="e">
        <f>MEDIAN2("Real Values",H481,'Real Analysis'!$B$5,2)</f>
        <v>#VALUE!</v>
      </c>
      <c r="J481" t="e">
        <f>AVERAGE2("Real Values",I481,'Real Analysis'!$B$6,2)</f>
        <v>#VALUE!</v>
      </c>
      <c r="K481" t="e">
        <f>INTEGRAL2(J481,$B481,K480,J480,$B480,'Real Analysis'!$B$19)</f>
        <v>#VALUE!</v>
      </c>
      <c r="L481" t="e">
        <f>IF(AND(B481&lt;'Real Analysis'!$B$32,B481&gt;0),INTEGRAL2(K481,$B481,L480,K480,$B480,'Real Analysis'!$B$20),0)</f>
        <v>#VALUE!</v>
      </c>
      <c r="N481">
        <f>'Real Analysis'!$B$28*'Real Input'!U481+IF('Real Input'!U481 &gt; 0,'Real Analysis'!$B$29,0)</f>
        <v>0</v>
      </c>
      <c r="O481" t="e">
        <f t="shared" si="37"/>
        <v>#VALUE!</v>
      </c>
      <c r="P481" t="e">
        <f t="shared" si="38"/>
        <v>#VALUE!</v>
      </c>
    </row>
    <row r="482" spans="1:16" x14ac:dyDescent="0.3">
      <c r="A482">
        <v>480</v>
      </c>
      <c r="B482">
        <f>'Real Input'!M482</f>
        <v>9.6483310000039637</v>
      </c>
      <c r="C482">
        <f ca="1">INDIRECT(CONCATENATE("'Real Input'!",'Real Analysis'!$B$2,A482+2))</f>
        <v>9.8589617100000009</v>
      </c>
      <c r="D482">
        <f t="shared" si="36"/>
        <v>1.5985999998520128E-2</v>
      </c>
      <c r="E482">
        <f ca="1">IF(B482&gt;0,C482-'Real Analysis'!$B$14,0)</f>
        <v>2.463907628573736E-3</v>
      </c>
      <c r="F482">
        <f t="shared" ca="1" si="39"/>
        <v>-3.9516732897411921E-2</v>
      </c>
      <c r="G482">
        <f t="shared" ca="1" si="40"/>
        <v>-0.21187487381695422</v>
      </c>
      <c r="H482">
        <f ca="1">IF(AND(B482&gt;'Real Analysis'!$B$31,B482&lt;'Real Analysis'!$B$32),FilterInput(E482,'Real Analysis'!$B$26,'Real Analysis'!$B$27),0)</f>
        <v>0</v>
      </c>
      <c r="I482" t="e">
        <f>MEDIAN2("Real Values",H482,'Real Analysis'!$B$5,2)</f>
        <v>#VALUE!</v>
      </c>
      <c r="J482" t="e">
        <f>AVERAGE2("Real Values",I482,'Real Analysis'!$B$6,2)</f>
        <v>#VALUE!</v>
      </c>
      <c r="K482" t="e">
        <f>INTEGRAL2(J482,$B482,K481,J481,$B481,'Real Analysis'!$B$19)</f>
        <v>#VALUE!</v>
      </c>
      <c r="L482" t="e">
        <f>IF(AND(B482&lt;'Real Analysis'!$B$32,B482&gt;0),INTEGRAL2(K482,$B482,L481,K481,$B481,'Real Analysis'!$B$20),0)</f>
        <v>#VALUE!</v>
      </c>
      <c r="N482">
        <f>'Real Analysis'!$B$28*'Real Input'!U482+IF('Real Input'!U482 &gt; 0,'Real Analysis'!$B$29,0)</f>
        <v>0</v>
      </c>
      <c r="O482" t="e">
        <f t="shared" si="37"/>
        <v>#VALUE!</v>
      </c>
      <c r="P482" t="e">
        <f t="shared" si="38"/>
        <v>#VALUE!</v>
      </c>
    </row>
    <row r="483" spans="1:16" x14ac:dyDescent="0.3">
      <c r="A483">
        <v>481</v>
      </c>
      <c r="B483">
        <f>'Real Input'!M483</f>
        <v>9.6702510000031907</v>
      </c>
      <c r="C483">
        <f ca="1">INDIRECT(CONCATENATE("'Real Input'!",'Real Analysis'!$B$2,A483+2))</f>
        <v>9.8571860999999998</v>
      </c>
      <c r="D483">
        <f t="shared" si="36"/>
        <v>2.1919999999227002E-2</v>
      </c>
      <c r="E483">
        <f ca="1">IF(B483&gt;0,C483-'Real Analysis'!$B$14,0)</f>
        <v>6.8829762857269827E-4</v>
      </c>
      <c r="F483">
        <f t="shared" ca="1" si="39"/>
        <v>-3.950164541339414E-2</v>
      </c>
      <c r="G483">
        <f t="shared" ca="1" si="40"/>
        <v>-0.21274074988438529</v>
      </c>
      <c r="H483">
        <f ca="1">IF(AND(B483&gt;'Real Analysis'!$B$31,B483&lt;'Real Analysis'!$B$32),FilterInput(E483,'Real Analysis'!$B$26,'Real Analysis'!$B$27),0)</f>
        <v>0</v>
      </c>
      <c r="I483" t="e">
        <f>MEDIAN2("Real Values",H483,'Real Analysis'!$B$5,2)</f>
        <v>#VALUE!</v>
      </c>
      <c r="J483" t="e">
        <f>AVERAGE2("Real Values",I483,'Real Analysis'!$B$6,2)</f>
        <v>#VALUE!</v>
      </c>
      <c r="K483" t="e">
        <f>INTEGRAL2(J483,$B483,K482,J482,$B482,'Real Analysis'!$B$19)</f>
        <v>#VALUE!</v>
      </c>
      <c r="L483" t="e">
        <f>IF(AND(B483&lt;'Real Analysis'!$B$32,B483&gt;0),INTEGRAL2(K483,$B483,L482,K482,$B482,'Real Analysis'!$B$20),0)</f>
        <v>#VALUE!</v>
      </c>
      <c r="N483">
        <f>'Real Analysis'!$B$28*'Real Input'!U483+IF('Real Input'!U483 &gt; 0,'Real Analysis'!$B$29,0)</f>
        <v>0</v>
      </c>
      <c r="O483" t="e">
        <f t="shared" si="37"/>
        <v>#VALUE!</v>
      </c>
      <c r="P483" t="e">
        <f t="shared" si="38"/>
        <v>#VALUE!</v>
      </c>
    </row>
    <row r="484" spans="1:16" x14ac:dyDescent="0.3">
      <c r="A484">
        <v>482</v>
      </c>
      <c r="B484">
        <f>'Real Input'!M484</f>
        <v>9.691634000002523</v>
      </c>
      <c r="C484">
        <f ca="1">INDIRECT(CONCATENATE("'Real Input'!",'Real Analysis'!$B$2,A484+2))</f>
        <v>9.8505349200000012</v>
      </c>
      <c r="D484">
        <f t="shared" si="36"/>
        <v>2.1382999999332242E-2</v>
      </c>
      <c r="E484">
        <f ca="1">IF(B484&gt;0,C484-'Real Analysis'!$B$14,0)</f>
        <v>-5.9628823714259482E-3</v>
      </c>
      <c r="F484">
        <f t="shared" ca="1" si="39"/>
        <v>-3.9629149727138359E-2</v>
      </c>
      <c r="G484">
        <f t="shared" ca="1" si="40"/>
        <v>-0.21358813999297424</v>
      </c>
      <c r="H484">
        <f ca="1">IF(AND(B484&gt;'Real Analysis'!$B$31,B484&lt;'Real Analysis'!$B$32),FilterInput(E484,'Real Analysis'!$B$26,'Real Analysis'!$B$27),0)</f>
        <v>0</v>
      </c>
      <c r="I484" t="e">
        <f>MEDIAN2("Real Values",H484,'Real Analysis'!$B$5,2)</f>
        <v>#VALUE!</v>
      </c>
      <c r="J484" t="e">
        <f>AVERAGE2("Real Values",I484,'Real Analysis'!$B$6,2)</f>
        <v>#VALUE!</v>
      </c>
      <c r="K484" t="e">
        <f>INTEGRAL2(J484,$B484,K483,J483,$B483,'Real Analysis'!$B$19)</f>
        <v>#VALUE!</v>
      </c>
      <c r="L484" t="e">
        <f>IF(AND(B484&lt;'Real Analysis'!$B$32,B484&gt;0),INTEGRAL2(K484,$B484,L483,K483,$B483,'Real Analysis'!$B$20),0)</f>
        <v>#VALUE!</v>
      </c>
      <c r="N484">
        <f>'Real Analysis'!$B$28*'Real Input'!U484+IF('Real Input'!U484 &gt; 0,'Real Analysis'!$B$29,0)</f>
        <v>0</v>
      </c>
      <c r="O484" t="e">
        <f t="shared" si="37"/>
        <v>#VALUE!</v>
      </c>
      <c r="P484" t="e">
        <f t="shared" si="38"/>
        <v>#VALUE!</v>
      </c>
    </row>
    <row r="485" spans="1:16" x14ac:dyDescent="0.3">
      <c r="A485">
        <v>483</v>
      </c>
      <c r="B485">
        <f>'Real Input'!M485</f>
        <v>9.7088930000027176</v>
      </c>
      <c r="C485">
        <f ca="1">INDIRECT(CONCATENATE("'Real Input'!",'Real Analysis'!$B$2,A485+2))</f>
        <v>9.8517807900000012</v>
      </c>
      <c r="D485">
        <f t="shared" si="36"/>
        <v>1.7259000000194646E-2</v>
      </c>
      <c r="E485">
        <f ca="1">IF(B485&gt;0,C485-'Real Analysis'!$B$14,0)</f>
        <v>-4.717012371425966E-3</v>
      </c>
      <c r="F485">
        <f t="shared" ca="1" si="39"/>
        <v>-3.9710560643657716E-2</v>
      </c>
      <c r="G485">
        <f t="shared" ca="1" si="40"/>
        <v>-0.21427350455913086</v>
      </c>
      <c r="H485">
        <f ca="1">IF(AND(B485&gt;'Real Analysis'!$B$31,B485&lt;'Real Analysis'!$B$32),FilterInput(E485,'Real Analysis'!$B$26,'Real Analysis'!$B$27),0)</f>
        <v>0</v>
      </c>
      <c r="I485" t="e">
        <f>MEDIAN2("Real Values",H485,'Real Analysis'!$B$5,2)</f>
        <v>#VALUE!</v>
      </c>
      <c r="J485" t="e">
        <f>AVERAGE2("Real Values",I485,'Real Analysis'!$B$6,2)</f>
        <v>#VALUE!</v>
      </c>
      <c r="K485" t="e">
        <f>INTEGRAL2(J485,$B485,K484,J484,$B484,'Real Analysis'!$B$19)</f>
        <v>#VALUE!</v>
      </c>
      <c r="L485" t="e">
        <f>IF(AND(B485&lt;'Real Analysis'!$B$32,B485&gt;0),INTEGRAL2(K485,$B485,L484,K484,$B484,'Real Analysis'!$B$20),0)</f>
        <v>#VALUE!</v>
      </c>
      <c r="N485">
        <f>'Real Analysis'!$B$28*'Real Input'!U485+IF('Real Input'!U485 &gt; 0,'Real Analysis'!$B$29,0)</f>
        <v>0</v>
      </c>
      <c r="O485" t="e">
        <f t="shared" si="37"/>
        <v>#VALUE!</v>
      </c>
      <c r="P485" t="e">
        <f t="shared" si="38"/>
        <v>#VALUE!</v>
      </c>
    </row>
    <row r="486" spans="1:16" x14ac:dyDescent="0.3">
      <c r="A486">
        <v>484</v>
      </c>
      <c r="B486">
        <f>'Real Input'!M486</f>
        <v>9.7308289999928093</v>
      </c>
      <c r="C486">
        <f ca="1">INDIRECT(CONCATENATE("'Real Input'!",'Real Analysis'!$B$2,A486+2))</f>
        <v>9.7650603900000004</v>
      </c>
      <c r="D486">
        <f t="shared" si="36"/>
        <v>2.1935999990091659E-2</v>
      </c>
      <c r="E486">
        <f ca="1">IF(B486&gt;0,C486-'Real Analysis'!$B$14,0)</f>
        <v>-9.1437412371426774E-2</v>
      </c>
      <c r="F486">
        <f t="shared" ca="1" si="39"/>
        <v>-4.1716331720531338E-2</v>
      </c>
      <c r="G486">
        <f t="shared" ca="1" si="40"/>
        <v>-0.21518859401133908</v>
      </c>
      <c r="H486">
        <f ca="1">IF(AND(B486&gt;'Real Analysis'!$B$31,B486&lt;'Real Analysis'!$B$32),FilterInput(E486,'Real Analysis'!$B$26,'Real Analysis'!$B$27),0)</f>
        <v>0</v>
      </c>
      <c r="I486" t="e">
        <f>MEDIAN2("Real Values",H486,'Real Analysis'!$B$5,2)</f>
        <v>#VALUE!</v>
      </c>
      <c r="J486" t="e">
        <f>AVERAGE2("Real Values",I486,'Real Analysis'!$B$6,2)</f>
        <v>#VALUE!</v>
      </c>
      <c r="K486" t="e">
        <f>INTEGRAL2(J486,$B486,K485,J485,$B485,'Real Analysis'!$B$19)</f>
        <v>#VALUE!</v>
      </c>
      <c r="L486" t="e">
        <f>IF(AND(B486&lt;'Real Analysis'!$B$32,B486&gt;0),INTEGRAL2(K486,$B486,L485,K485,$B485,'Real Analysis'!$B$20),0)</f>
        <v>#VALUE!</v>
      </c>
      <c r="N486">
        <f>'Real Analysis'!$B$28*'Real Input'!U486+IF('Real Input'!U486 &gt; 0,'Real Analysis'!$B$29,0)</f>
        <v>0</v>
      </c>
      <c r="O486" t="e">
        <f t="shared" si="37"/>
        <v>#VALUE!</v>
      </c>
      <c r="P486" t="e">
        <f t="shared" si="38"/>
        <v>#VALUE!</v>
      </c>
    </row>
    <row r="487" spans="1:16" x14ac:dyDescent="0.3">
      <c r="A487">
        <v>485</v>
      </c>
      <c r="B487">
        <f>'Real Input'!M487</f>
        <v>9.7508499999967171</v>
      </c>
      <c r="C487">
        <f ca="1">INDIRECT(CONCATENATE("'Real Input'!",'Real Analysis'!$B$2,A487+2))</f>
        <v>9.8612964899999991</v>
      </c>
      <c r="D487">
        <f t="shared" si="36"/>
        <v>2.002100000390783E-2</v>
      </c>
      <c r="E487">
        <f ca="1">IF(B487&gt;0,C487-'Real Analysis'!$B$14,0)</f>
        <v>4.7986876285719404E-3</v>
      </c>
      <c r="F487">
        <f t="shared" ca="1" si="39"/>
        <v>-4.162025719550095E-2</v>
      </c>
      <c r="G487">
        <f t="shared" ca="1" si="40"/>
        <v>-0.21602187318081284</v>
      </c>
      <c r="H487">
        <f ca="1">IF(AND(B487&gt;'Real Analysis'!$B$31,B487&lt;'Real Analysis'!$B$32),FilterInput(E487,'Real Analysis'!$B$26,'Real Analysis'!$B$27),0)</f>
        <v>0</v>
      </c>
      <c r="I487" t="e">
        <f>MEDIAN2("Real Values",H487,'Real Analysis'!$B$5,2)</f>
        <v>#VALUE!</v>
      </c>
      <c r="J487" t="e">
        <f>AVERAGE2("Real Values",I487,'Real Analysis'!$B$6,2)</f>
        <v>#VALUE!</v>
      </c>
      <c r="K487" t="e">
        <f>INTEGRAL2(J487,$B487,K486,J486,$B486,'Real Analysis'!$B$19)</f>
        <v>#VALUE!</v>
      </c>
      <c r="L487" t="e">
        <f>IF(AND(B487&lt;'Real Analysis'!$B$32,B487&gt;0),INTEGRAL2(K487,$B487,L486,K486,$B486,'Real Analysis'!$B$20),0)</f>
        <v>#VALUE!</v>
      </c>
      <c r="N487">
        <f>'Real Analysis'!$B$28*'Real Input'!U487+IF('Real Input'!U487 &gt; 0,'Real Analysis'!$B$29,0)</f>
        <v>0</v>
      </c>
      <c r="O487" t="e">
        <f t="shared" si="37"/>
        <v>#VALUE!</v>
      </c>
      <c r="P487" t="e">
        <f t="shared" si="38"/>
        <v>#VALUE!</v>
      </c>
    </row>
    <row r="488" spans="1:16" x14ac:dyDescent="0.3">
      <c r="A488">
        <v>486</v>
      </c>
      <c r="B488">
        <f>'Real Input'!M488</f>
        <v>9.7763399999967078</v>
      </c>
      <c r="C488">
        <f ca="1">INDIRECT(CONCATENATE("'Real Input'!",'Real Analysis'!$B$2,A488+2))</f>
        <v>9.8485925400000021</v>
      </c>
      <c r="D488">
        <f t="shared" si="36"/>
        <v>2.5489999999990687E-2</v>
      </c>
      <c r="E488">
        <f ca="1">IF(B488&gt;0,C488-'Real Analysis'!$B$14,0)</f>
        <v>-7.9052623714250814E-3</v>
      </c>
      <c r="F488">
        <f t="shared" ca="1" si="39"/>
        <v>-4.18217623333485E-2</v>
      </c>
      <c r="G488">
        <f t="shared" ca="1" si="40"/>
        <v>-0.2170879099026895</v>
      </c>
      <c r="H488">
        <f ca="1">IF(AND(B488&gt;'Real Analysis'!$B$31,B488&lt;'Real Analysis'!$B$32),FilterInput(E488,'Real Analysis'!$B$26,'Real Analysis'!$B$27),0)</f>
        <v>0</v>
      </c>
      <c r="I488" t="e">
        <f>MEDIAN2("Real Values",H488,'Real Analysis'!$B$5,2)</f>
        <v>#VALUE!</v>
      </c>
      <c r="J488" t="e">
        <f>AVERAGE2("Real Values",I488,'Real Analysis'!$B$6,2)</f>
        <v>#VALUE!</v>
      </c>
      <c r="K488" t="e">
        <f>INTEGRAL2(J488,$B488,K487,J487,$B487,'Real Analysis'!$B$19)</f>
        <v>#VALUE!</v>
      </c>
      <c r="L488" t="e">
        <f>IF(AND(B488&lt;'Real Analysis'!$B$32,B488&gt;0),INTEGRAL2(K488,$B488,L487,K487,$B487,'Real Analysis'!$B$20),0)</f>
        <v>#VALUE!</v>
      </c>
      <c r="N488">
        <f>'Real Analysis'!$B$28*'Real Input'!U488+IF('Real Input'!U488 &gt; 0,'Real Analysis'!$B$29,0)</f>
        <v>0</v>
      </c>
      <c r="O488" t="e">
        <f t="shared" si="37"/>
        <v>#VALUE!</v>
      </c>
      <c r="P488" t="e">
        <f t="shared" si="38"/>
        <v>#VALUE!</v>
      </c>
    </row>
    <row r="489" spans="1:16" x14ac:dyDescent="0.3">
      <c r="A489">
        <v>487</v>
      </c>
      <c r="B489">
        <f>'Real Input'!M489</f>
        <v>9.7917989999987185</v>
      </c>
      <c r="C489">
        <f ca="1">INDIRECT(CONCATENATE("'Real Input'!",'Real Analysis'!$B$2,A489+2))</f>
        <v>9.8503485300000015</v>
      </c>
      <c r="D489">
        <f t="shared" si="36"/>
        <v>1.5459000002010725E-2</v>
      </c>
      <c r="E489">
        <f ca="1">IF(B489&gt;0,C489-'Real Analysis'!$B$14,0)</f>
        <v>-6.1492723714255959E-3</v>
      </c>
      <c r="F489">
        <f t="shared" ca="1" si="39"/>
        <v>-4.1916823934950734E-2</v>
      </c>
      <c r="G489">
        <f t="shared" ca="1" si="40"/>
        <v>-0.21773590208398419</v>
      </c>
      <c r="H489">
        <f ca="1">IF(AND(B489&gt;'Real Analysis'!$B$31,B489&lt;'Real Analysis'!$B$32),FilterInput(E489,'Real Analysis'!$B$26,'Real Analysis'!$B$27),0)</f>
        <v>0</v>
      </c>
      <c r="I489" t="e">
        <f>MEDIAN2("Real Values",H489,'Real Analysis'!$B$5,2)</f>
        <v>#VALUE!</v>
      </c>
      <c r="J489" t="e">
        <f>AVERAGE2("Real Values",I489,'Real Analysis'!$B$6,2)</f>
        <v>#VALUE!</v>
      </c>
      <c r="K489" t="e">
        <f>INTEGRAL2(J489,$B489,K488,J488,$B488,'Real Analysis'!$B$19)</f>
        <v>#VALUE!</v>
      </c>
      <c r="L489" t="e">
        <f>IF(AND(B489&lt;'Real Analysis'!$B$32,B489&gt;0),INTEGRAL2(K489,$B489,L488,K488,$B488,'Real Analysis'!$B$20),0)</f>
        <v>#VALUE!</v>
      </c>
      <c r="N489">
        <f>'Real Analysis'!$B$28*'Real Input'!U489+IF('Real Input'!U489 &gt; 0,'Real Analysis'!$B$29,0)</f>
        <v>0</v>
      </c>
      <c r="O489" t="e">
        <f t="shared" si="37"/>
        <v>#VALUE!</v>
      </c>
      <c r="P489" t="e">
        <f t="shared" si="38"/>
        <v>#VALUE!</v>
      </c>
    </row>
    <row r="490" spans="1:16" x14ac:dyDescent="0.3">
      <c r="A490">
        <v>488</v>
      </c>
      <c r="B490">
        <f>'Real Input'!M490</f>
        <v>9.811400999999023</v>
      </c>
      <c r="C490">
        <f ca="1">INDIRECT(CONCATENATE("'Real Input'!",'Real Analysis'!$B$2,A490+2))</f>
        <v>9.8700568200000003</v>
      </c>
      <c r="D490">
        <f t="shared" si="36"/>
        <v>1.9602000000304542E-2</v>
      </c>
      <c r="E490">
        <f ca="1">IF(B490&gt;0,C490-'Real Analysis'!$B$14,0)</f>
        <v>1.3559017628573145E-2</v>
      </c>
      <c r="F490">
        <f t="shared" ca="1" si="39"/>
        <v>-4.1651040071391317E-2</v>
      </c>
      <c r="G490">
        <f t="shared" ca="1" si="40"/>
        <v>-0.21855234577147628</v>
      </c>
      <c r="H490">
        <f ca="1">IF(AND(B490&gt;'Real Analysis'!$B$31,B490&lt;'Real Analysis'!$B$32),FilterInput(E490,'Real Analysis'!$B$26,'Real Analysis'!$B$27),0)</f>
        <v>0</v>
      </c>
      <c r="I490" t="e">
        <f>MEDIAN2("Real Values",H490,'Real Analysis'!$B$5,2)</f>
        <v>#VALUE!</v>
      </c>
      <c r="J490" t="e">
        <f>AVERAGE2("Real Values",I490,'Real Analysis'!$B$6,2)</f>
        <v>#VALUE!</v>
      </c>
      <c r="K490" t="e">
        <f>INTEGRAL2(J490,$B490,K489,J489,$B489,'Real Analysis'!$B$19)</f>
        <v>#VALUE!</v>
      </c>
      <c r="L490" t="e">
        <f>IF(AND(B490&lt;'Real Analysis'!$B$32,B490&gt;0),INTEGRAL2(K490,$B490,L489,K489,$B489,'Real Analysis'!$B$20),0)</f>
        <v>#VALUE!</v>
      </c>
      <c r="N490">
        <f>'Real Analysis'!$B$28*'Real Input'!U490+IF('Real Input'!U490 &gt; 0,'Real Analysis'!$B$29,0)</f>
        <v>0</v>
      </c>
      <c r="O490" t="e">
        <f t="shared" si="37"/>
        <v>#VALUE!</v>
      </c>
      <c r="P490" t="e">
        <f t="shared" si="38"/>
        <v>#VALUE!</v>
      </c>
    </row>
    <row r="491" spans="1:16" x14ac:dyDescent="0.3">
      <c r="A491">
        <v>489</v>
      </c>
      <c r="B491">
        <f>'Real Input'!M491</f>
        <v>9.8322630000038771</v>
      </c>
      <c r="C491">
        <f ca="1">INDIRECT(CONCATENATE("'Real Input'!",'Real Analysis'!$B$2,A491+2))</f>
        <v>9.8623265399999998</v>
      </c>
      <c r="D491">
        <f t="shared" si="36"/>
        <v>2.0862000004854053E-2</v>
      </c>
      <c r="E491">
        <f ca="1">IF(B491&gt;0,C491-'Real Analysis'!$B$14,0)</f>
        <v>5.8287376285726111E-3</v>
      </c>
      <c r="F491">
        <f t="shared" ca="1" si="39"/>
        <v>-4.1529440946955744E-2</v>
      </c>
      <c r="G491">
        <f t="shared" ca="1" si="40"/>
        <v>-0.21941873296871325</v>
      </c>
      <c r="H491">
        <f ca="1">IF(AND(B491&gt;'Real Analysis'!$B$31,B491&lt;'Real Analysis'!$B$32),FilterInput(E491,'Real Analysis'!$B$26,'Real Analysis'!$B$27),0)</f>
        <v>0</v>
      </c>
      <c r="I491" t="e">
        <f>MEDIAN2("Real Values",H491,'Real Analysis'!$B$5,2)</f>
        <v>#VALUE!</v>
      </c>
      <c r="J491" t="e">
        <f>AVERAGE2("Real Values",I491,'Real Analysis'!$B$6,2)</f>
        <v>#VALUE!</v>
      </c>
      <c r="K491" t="e">
        <f>INTEGRAL2(J491,$B491,K490,J490,$B490,'Real Analysis'!$B$19)</f>
        <v>#VALUE!</v>
      </c>
      <c r="L491" t="e">
        <f>IF(AND(B491&lt;'Real Analysis'!$B$32,B491&gt;0),INTEGRAL2(K491,$B491,L490,K490,$B490,'Real Analysis'!$B$20),0)</f>
        <v>#VALUE!</v>
      </c>
      <c r="N491">
        <f>'Real Analysis'!$B$28*'Real Input'!U491+IF('Real Input'!U491 &gt; 0,'Real Analysis'!$B$29,0)</f>
        <v>0</v>
      </c>
      <c r="O491" t="e">
        <f t="shared" si="37"/>
        <v>#VALUE!</v>
      </c>
      <c r="P491" t="e">
        <f t="shared" si="38"/>
        <v>#VALUE!</v>
      </c>
    </row>
    <row r="492" spans="1:16" x14ac:dyDescent="0.3">
      <c r="A492">
        <v>490</v>
      </c>
      <c r="B492">
        <f>'Real Input'!M492</f>
        <v>9.8472780000010971</v>
      </c>
      <c r="C492">
        <f ca="1">INDIRECT(CONCATENATE("'Real Input'!",'Real Analysis'!$B$2,A492+2))</f>
        <v>9.8668489499999996</v>
      </c>
      <c r="D492">
        <f t="shared" si="36"/>
        <v>1.5014999997220002E-2</v>
      </c>
      <c r="E492">
        <f ca="1">IF(B492&gt;0,C492-'Real Analysis'!$B$14,0)</f>
        <v>1.0351147628572477E-2</v>
      </c>
      <c r="F492">
        <f t="shared" ca="1" si="39"/>
        <v>-4.1374018465341507E-2</v>
      </c>
      <c r="G492">
        <f t="shared" ca="1" si="40"/>
        <v>-0.22003996385585534</v>
      </c>
      <c r="H492">
        <f ca="1">IF(AND(B492&gt;'Real Analysis'!$B$31,B492&lt;'Real Analysis'!$B$32),FilterInput(E492,'Real Analysis'!$B$26,'Real Analysis'!$B$27),0)</f>
        <v>0</v>
      </c>
      <c r="I492" t="e">
        <f>MEDIAN2("Real Values",H492,'Real Analysis'!$B$5,2)</f>
        <v>#VALUE!</v>
      </c>
      <c r="J492" t="e">
        <f>AVERAGE2("Real Values",I492,'Real Analysis'!$B$6,2)</f>
        <v>#VALUE!</v>
      </c>
      <c r="K492" t="e">
        <f>INTEGRAL2(J492,$B492,K491,J491,$B491,'Real Analysis'!$B$19)</f>
        <v>#VALUE!</v>
      </c>
      <c r="L492" t="e">
        <f>IF(AND(B492&lt;'Real Analysis'!$B$32,B492&gt;0),INTEGRAL2(K492,$B492,L491,K491,$B491,'Real Analysis'!$B$20),0)</f>
        <v>#VALUE!</v>
      </c>
      <c r="N492">
        <f>'Real Analysis'!$B$28*'Real Input'!U492+IF('Real Input'!U492 &gt; 0,'Real Analysis'!$B$29,0)</f>
        <v>0</v>
      </c>
      <c r="O492" t="e">
        <f t="shared" si="37"/>
        <v>#VALUE!</v>
      </c>
      <c r="P492" t="e">
        <f t="shared" si="38"/>
        <v>#VALUE!</v>
      </c>
    </row>
    <row r="493" spans="1:16" x14ac:dyDescent="0.3">
      <c r="A493">
        <v>491</v>
      </c>
      <c r="B493">
        <f>'Real Input'!M493</f>
        <v>9.872019000002183</v>
      </c>
      <c r="C493">
        <f ca="1">INDIRECT(CONCATENATE("'Real Input'!",'Real Analysis'!$B$2,A493+2))</f>
        <v>9.8550965700000006</v>
      </c>
      <c r="D493">
        <f t="shared" si="36"/>
        <v>2.4741000001085922E-2</v>
      </c>
      <c r="E493">
        <f ca="1">IF(B493&gt;0,C493-'Real Analysis'!$B$14,0)</f>
        <v>-1.4012323714265307E-3</v>
      </c>
      <c r="F493">
        <f t="shared" ca="1" si="39"/>
        <v>-4.1408686355444493E-2</v>
      </c>
      <c r="G493">
        <f t="shared" ca="1" si="40"/>
        <v>-0.22106445616502035</v>
      </c>
      <c r="H493">
        <f ca="1">IF(AND(B493&gt;'Real Analysis'!$B$31,B493&lt;'Real Analysis'!$B$32),FilterInput(E493,'Real Analysis'!$B$26,'Real Analysis'!$B$27),0)</f>
        <v>0</v>
      </c>
      <c r="I493" t="e">
        <f>MEDIAN2("Real Values",H493,'Real Analysis'!$B$5,2)</f>
        <v>#VALUE!</v>
      </c>
      <c r="J493" t="e">
        <f>AVERAGE2("Real Values",I493,'Real Analysis'!$B$6,2)</f>
        <v>#VALUE!</v>
      </c>
      <c r="K493" t="e">
        <f>INTEGRAL2(J493,$B493,K492,J492,$B492,'Real Analysis'!$B$19)</f>
        <v>#VALUE!</v>
      </c>
      <c r="L493" t="e">
        <f>IF(AND(B493&lt;'Real Analysis'!$B$32,B493&gt;0),INTEGRAL2(K493,$B493,L492,K492,$B492,'Real Analysis'!$B$20),0)</f>
        <v>#VALUE!</v>
      </c>
      <c r="N493">
        <f>'Real Analysis'!$B$28*'Real Input'!U493+IF('Real Input'!U493 &gt; 0,'Real Analysis'!$B$29,0)</f>
        <v>0</v>
      </c>
      <c r="O493" t="e">
        <f t="shared" si="37"/>
        <v>#VALUE!</v>
      </c>
      <c r="P493" t="e">
        <f t="shared" si="38"/>
        <v>#VALUE!</v>
      </c>
    </row>
    <row r="494" spans="1:16" x14ac:dyDescent="0.3">
      <c r="A494">
        <v>492</v>
      </c>
      <c r="B494">
        <f>'Real Input'!M494</f>
        <v>9.8817750000016531</v>
      </c>
      <c r="C494">
        <f ca="1">INDIRECT(CONCATENATE("'Real Input'!",'Real Analysis'!$B$2,A494+2))</f>
        <v>9.9450444600000001</v>
      </c>
      <c r="D494">
        <f t="shared" si="36"/>
        <v>9.7559999994700775E-3</v>
      </c>
      <c r="E494">
        <f ca="1">IF(B494&gt;0,C494-'Real Analysis'!$B$14,0)</f>
        <v>8.8546657628572945E-2</v>
      </c>
      <c r="F494">
        <f t="shared" ca="1" si="39"/>
        <v>-4.0544825163667059E-2</v>
      </c>
      <c r="G494">
        <f t="shared" ca="1" si="40"/>
        <v>-0.22146001147929559</v>
      </c>
      <c r="H494">
        <f ca="1">IF(AND(B494&gt;'Real Analysis'!$B$31,B494&lt;'Real Analysis'!$B$32),FilterInput(E494,'Real Analysis'!$B$26,'Real Analysis'!$B$27),0)</f>
        <v>0</v>
      </c>
      <c r="I494" t="e">
        <f>MEDIAN2("Real Values",H494,'Real Analysis'!$B$5,2)</f>
        <v>#VALUE!</v>
      </c>
      <c r="J494" t="e">
        <f>AVERAGE2("Real Values",I494,'Real Analysis'!$B$6,2)</f>
        <v>#VALUE!</v>
      </c>
      <c r="K494" t="e">
        <f>INTEGRAL2(J494,$B494,K493,J493,$B493,'Real Analysis'!$B$19)</f>
        <v>#VALUE!</v>
      </c>
      <c r="L494" t="e">
        <f>IF(AND(B494&lt;'Real Analysis'!$B$32,B494&gt;0),INTEGRAL2(K494,$B494,L493,K493,$B493,'Real Analysis'!$B$20),0)</f>
        <v>#VALUE!</v>
      </c>
      <c r="N494">
        <f>'Real Analysis'!$B$28*'Real Input'!U494+IF('Real Input'!U494 &gt; 0,'Real Analysis'!$B$29,0)</f>
        <v>0</v>
      </c>
      <c r="O494" t="e">
        <f t="shared" si="37"/>
        <v>#VALUE!</v>
      </c>
      <c r="P494" t="e">
        <f t="shared" si="38"/>
        <v>#VALUE!</v>
      </c>
    </row>
    <row r="495" spans="1:16" x14ac:dyDescent="0.3">
      <c r="A495">
        <v>493</v>
      </c>
      <c r="B495">
        <f>'Real Input'!M495</f>
        <v>9.9077549999929033</v>
      </c>
      <c r="C495">
        <f ca="1">INDIRECT(CONCATENATE("'Real Input'!",'Real Analysis'!$B$2,A495+2))</f>
        <v>9.8298750600000009</v>
      </c>
      <c r="D495">
        <f t="shared" si="36"/>
        <v>2.5979999991250224E-2</v>
      </c>
      <c r="E495">
        <f ca="1">IF(B495&gt;0,C495-'Real Analysis'!$B$14,0)</f>
        <v>-2.6622742371426256E-2</v>
      </c>
      <c r="F495">
        <f t="shared" ca="1" si="39"/>
        <v>-4.1236484010243768E-2</v>
      </c>
      <c r="G495">
        <f t="shared" ca="1" si="40"/>
        <v>-0.2225313353335209</v>
      </c>
      <c r="H495">
        <f ca="1">IF(AND(B495&gt;'Real Analysis'!$B$31,B495&lt;'Real Analysis'!$B$32),FilterInput(E495,'Real Analysis'!$B$26,'Real Analysis'!$B$27),0)</f>
        <v>0</v>
      </c>
      <c r="I495" t="e">
        <f>MEDIAN2("Real Values",H495,'Real Analysis'!$B$5,2)</f>
        <v>#VALUE!</v>
      </c>
      <c r="J495" t="e">
        <f>AVERAGE2("Real Values",I495,'Real Analysis'!$B$6,2)</f>
        <v>#VALUE!</v>
      </c>
      <c r="K495" t="e">
        <f>INTEGRAL2(J495,$B495,K494,J494,$B494,'Real Analysis'!$B$19)</f>
        <v>#VALUE!</v>
      </c>
      <c r="L495" t="e">
        <f>IF(AND(B495&lt;'Real Analysis'!$B$32,B495&gt;0),INTEGRAL2(K495,$B495,L494,K494,$B494,'Real Analysis'!$B$20),0)</f>
        <v>#VALUE!</v>
      </c>
      <c r="N495">
        <f>'Real Analysis'!$B$28*'Real Input'!U495+IF('Real Input'!U495 &gt; 0,'Real Analysis'!$B$29,0)</f>
        <v>0</v>
      </c>
      <c r="O495" t="e">
        <f t="shared" si="37"/>
        <v>#VALUE!</v>
      </c>
      <c r="P495" t="e">
        <f t="shared" si="38"/>
        <v>#VALUE!</v>
      </c>
    </row>
    <row r="496" spans="1:16" x14ac:dyDescent="0.3">
      <c r="A496">
        <v>494</v>
      </c>
      <c r="B496">
        <f>'Real Input'!M496</f>
        <v>9.9269689999928232</v>
      </c>
      <c r="C496">
        <f ca="1">INDIRECT(CONCATENATE("'Real Input'!",'Real Analysis'!$B$2,A496+2))</f>
        <v>9.9001440899999995</v>
      </c>
      <c r="D496">
        <f t="shared" si="36"/>
        <v>1.9213999999919906E-2</v>
      </c>
      <c r="E496">
        <f ca="1">IF(B496&gt;0,C496-'Real Analysis'!$B$14,0)</f>
        <v>4.3646287628572367E-2</v>
      </c>
      <c r="F496">
        <f t="shared" ca="1" si="39"/>
        <v>-4.0397864239751877E-2</v>
      </c>
      <c r="G496">
        <f t="shared" ca="1" si="40"/>
        <v>-0.22330753989702026</v>
      </c>
      <c r="H496">
        <f ca="1">IF(AND(B496&gt;'Real Analysis'!$B$31,B496&lt;'Real Analysis'!$B$32),FilterInput(E496,'Real Analysis'!$B$26,'Real Analysis'!$B$27),0)</f>
        <v>0</v>
      </c>
      <c r="I496" t="e">
        <f>MEDIAN2("Real Values",H496,'Real Analysis'!$B$5,2)</f>
        <v>#VALUE!</v>
      </c>
      <c r="J496" t="e">
        <f>AVERAGE2("Real Values",I496,'Real Analysis'!$B$6,2)</f>
        <v>#VALUE!</v>
      </c>
      <c r="K496" t="e">
        <f>INTEGRAL2(J496,$B496,K495,J495,$B495,'Real Analysis'!$B$19)</f>
        <v>#VALUE!</v>
      </c>
      <c r="L496" t="e">
        <f>IF(AND(B496&lt;'Real Analysis'!$B$32,B496&gt;0),INTEGRAL2(K496,$B496,L495,K495,$B495,'Real Analysis'!$B$20),0)</f>
        <v>#VALUE!</v>
      </c>
      <c r="N496">
        <f>'Real Analysis'!$B$28*'Real Input'!U496+IF('Real Input'!U496 &gt; 0,'Real Analysis'!$B$29,0)</f>
        <v>0</v>
      </c>
      <c r="O496" t="e">
        <f t="shared" si="37"/>
        <v>#VALUE!</v>
      </c>
      <c r="P496" t="e">
        <f t="shared" si="38"/>
        <v>#VALUE!</v>
      </c>
    </row>
    <row r="497" spans="1:16" x14ac:dyDescent="0.3">
      <c r="A497">
        <v>495</v>
      </c>
      <c r="B497">
        <f>'Real Input'!M497</f>
        <v>9.9470339999970747</v>
      </c>
      <c r="C497">
        <f ca="1">INDIRECT(CONCATENATE("'Real Input'!",'Real Analysis'!$B$2,A497+2))</f>
        <v>9.9361860300000018</v>
      </c>
      <c r="D497">
        <f t="shared" si="36"/>
        <v>2.0065000004251488E-2</v>
      </c>
      <c r="E497">
        <f ca="1">IF(B497&gt;0,C497-'Real Analysis'!$B$14,0)</f>
        <v>7.9688227628574637E-2</v>
      </c>
      <c r="F497">
        <f t="shared" ca="1" si="39"/>
        <v>-3.8798919952045735E-2</v>
      </c>
      <c r="G497">
        <f t="shared" ca="1" si="40"/>
        <v>-0.22408604022602302</v>
      </c>
      <c r="H497">
        <f ca="1">IF(AND(B497&gt;'Real Analysis'!$B$31,B497&lt;'Real Analysis'!$B$32),FilterInput(E497,'Real Analysis'!$B$26,'Real Analysis'!$B$27),0)</f>
        <v>0</v>
      </c>
      <c r="I497" t="e">
        <f>MEDIAN2("Real Values",H497,'Real Analysis'!$B$5,2)</f>
        <v>#VALUE!</v>
      </c>
      <c r="J497" t="e">
        <f>AVERAGE2("Real Values",I497,'Real Analysis'!$B$6,2)</f>
        <v>#VALUE!</v>
      </c>
      <c r="K497" t="e">
        <f>INTEGRAL2(J497,$B497,K496,J496,$B496,'Real Analysis'!$B$19)</f>
        <v>#VALUE!</v>
      </c>
      <c r="L497" t="e">
        <f>IF(AND(B497&lt;'Real Analysis'!$B$32,B497&gt;0),INTEGRAL2(K497,$B497,L496,K496,$B496,'Real Analysis'!$B$20),0)</f>
        <v>#VALUE!</v>
      </c>
      <c r="N497">
        <f>'Real Analysis'!$B$28*'Real Input'!U497+IF('Real Input'!U497 &gt; 0,'Real Analysis'!$B$29,0)</f>
        <v>0</v>
      </c>
      <c r="O497" t="e">
        <f t="shared" si="37"/>
        <v>#VALUE!</v>
      </c>
      <c r="P497" t="e">
        <f t="shared" si="38"/>
        <v>#VALUE!</v>
      </c>
    </row>
    <row r="498" spans="1:16" x14ac:dyDescent="0.3">
      <c r="A498">
        <v>496</v>
      </c>
      <c r="B498">
        <f>'Real Input'!M498</f>
        <v>9.9727089999942109</v>
      </c>
      <c r="C498">
        <f ca="1">INDIRECT(CONCATENATE("'Real Input'!",'Real Analysis'!$B$2,A498+2))</f>
        <v>9.8804848500000002</v>
      </c>
      <c r="D498">
        <f t="shared" si="36"/>
        <v>2.5674999997136183E-2</v>
      </c>
      <c r="E498">
        <f ca="1">IF(B498&gt;0,C498-'Real Analysis'!$B$14,0)</f>
        <v>2.3987047628573066E-2</v>
      </c>
      <c r="F498">
        <f t="shared" ca="1" si="39"/>
        <v>-3.8183052504250817E-2</v>
      </c>
      <c r="G498">
        <f t="shared" ca="1" si="40"/>
        <v>-0.22506639009896032</v>
      </c>
      <c r="H498">
        <f ca="1">IF(AND(B498&gt;'Real Analysis'!$B$31,B498&lt;'Real Analysis'!$B$32),FilterInput(E498,'Real Analysis'!$B$26,'Real Analysis'!$B$27),0)</f>
        <v>0</v>
      </c>
      <c r="I498" t="e">
        <f>MEDIAN2("Real Values",H498,'Real Analysis'!$B$5,2)</f>
        <v>#VALUE!</v>
      </c>
      <c r="J498" t="e">
        <f>AVERAGE2("Real Values",I498,'Real Analysis'!$B$6,2)</f>
        <v>#VALUE!</v>
      </c>
      <c r="K498" t="e">
        <f>INTEGRAL2(J498,$B498,K497,J497,$B497,'Real Analysis'!$B$19)</f>
        <v>#VALUE!</v>
      </c>
      <c r="L498" t="e">
        <f>IF(AND(B498&lt;'Real Analysis'!$B$32,B498&gt;0),INTEGRAL2(K498,$B498,L497,K497,$B497,'Real Analysis'!$B$20),0)</f>
        <v>#VALUE!</v>
      </c>
      <c r="N498">
        <f>'Real Analysis'!$B$28*'Real Input'!U498+IF('Real Input'!U498 &gt; 0,'Real Analysis'!$B$29,0)</f>
        <v>0</v>
      </c>
      <c r="O498" t="e">
        <f t="shared" si="37"/>
        <v>#VALUE!</v>
      </c>
      <c r="P498" t="e">
        <f t="shared" si="38"/>
        <v>#VALUE!</v>
      </c>
    </row>
    <row r="499" spans="1:16" x14ac:dyDescent="0.3">
      <c r="A499">
        <v>497</v>
      </c>
      <c r="B499">
        <f>'Real Input'!M499</f>
        <v>9.9884049999964191</v>
      </c>
      <c r="C499">
        <f ca="1">INDIRECT(CONCATENATE("'Real Input'!",'Real Analysis'!$B$2,A499+2))</f>
        <v>9.8821525500000007</v>
      </c>
      <c r="D499">
        <f t="shared" si="36"/>
        <v>1.5696000002208166E-2</v>
      </c>
      <c r="E499">
        <f ca="1">IF(B499&gt;0,C499-'Real Analysis'!$B$14,0)</f>
        <v>2.565474762857356E-2</v>
      </c>
      <c r="F499">
        <f t="shared" ca="1" si="39"/>
        <v>-3.7780375585416075E-2</v>
      </c>
      <c r="G499">
        <f t="shared" ca="1" si="40"/>
        <v>-0.22565939087423242</v>
      </c>
      <c r="H499">
        <f ca="1">IF(AND(B499&gt;'Real Analysis'!$B$31,B499&lt;'Real Analysis'!$B$32),FilterInput(E499,'Real Analysis'!$B$26,'Real Analysis'!$B$27),0)</f>
        <v>0</v>
      </c>
      <c r="I499" t="e">
        <f>MEDIAN2("Real Values",H499,'Real Analysis'!$B$5,2)</f>
        <v>#VALUE!</v>
      </c>
      <c r="J499" t="e">
        <f>AVERAGE2("Real Values",I499,'Real Analysis'!$B$6,2)</f>
        <v>#VALUE!</v>
      </c>
      <c r="K499" t="e">
        <f>INTEGRAL2(J499,$B499,K498,J498,$B498,'Real Analysis'!$B$19)</f>
        <v>#VALUE!</v>
      </c>
      <c r="L499" t="e">
        <f>IF(AND(B499&lt;'Real Analysis'!$B$32,B499&gt;0),INTEGRAL2(K499,$B499,L498,K498,$B498,'Real Analysis'!$B$20),0)</f>
        <v>#VALUE!</v>
      </c>
      <c r="N499">
        <f>'Real Analysis'!$B$28*'Real Input'!U499+IF('Real Input'!U499 &gt; 0,'Real Analysis'!$B$29,0)</f>
        <v>0</v>
      </c>
      <c r="O499" t="e">
        <f t="shared" si="37"/>
        <v>#VALUE!</v>
      </c>
      <c r="P499" t="e">
        <f t="shared" si="38"/>
        <v>#VALUE!</v>
      </c>
    </row>
    <row r="500" spans="1:16" x14ac:dyDescent="0.3">
      <c r="A500">
        <v>498</v>
      </c>
      <c r="B500">
        <f>'Real Input'!M500</f>
        <v>10.013143000003765</v>
      </c>
      <c r="C500">
        <f ca="1">INDIRECT(CONCATENATE("'Real Input'!",'Real Analysis'!$B$2,A500+2))</f>
        <v>9.8587164600000001</v>
      </c>
      <c r="D500">
        <f t="shared" si="36"/>
        <v>2.4738000007346272E-2</v>
      </c>
      <c r="E500">
        <f ca="1">IF(B500&gt;0,C500-'Real Analysis'!$B$14,0)</f>
        <v>2.2186576285729842E-3</v>
      </c>
      <c r="F500">
        <f t="shared" ca="1" si="39"/>
        <v>-3.7725490432984135E-2</v>
      </c>
      <c r="G500">
        <f t="shared" ca="1" si="40"/>
        <v>-0.22659264405684074</v>
      </c>
      <c r="H500">
        <f ca="1">IF(AND(B500&gt;'Real Analysis'!$B$31,B500&lt;'Real Analysis'!$B$32),FilterInput(E500,'Real Analysis'!$B$26,'Real Analysis'!$B$27),0)</f>
        <v>0</v>
      </c>
      <c r="I500" t="e">
        <f>MEDIAN2("Real Values",H500,'Real Analysis'!$B$5,2)</f>
        <v>#VALUE!</v>
      </c>
      <c r="J500" t="e">
        <f>AVERAGE2("Real Values",I500,'Real Analysis'!$B$6,2)</f>
        <v>#VALUE!</v>
      </c>
      <c r="K500" t="e">
        <f>INTEGRAL2(J500,$B500,K499,J499,$B499,'Real Analysis'!$B$19)</f>
        <v>#VALUE!</v>
      </c>
      <c r="L500" t="e">
        <f>IF(AND(B500&lt;'Real Analysis'!$B$32,B500&gt;0),INTEGRAL2(K500,$B500,L499,K499,$B499,'Real Analysis'!$B$20),0)</f>
        <v>#VALUE!</v>
      </c>
      <c r="N500">
        <f>'Real Analysis'!$B$28*'Real Input'!U500+IF('Real Input'!U500 &gt; 0,'Real Analysis'!$B$29,0)</f>
        <v>0</v>
      </c>
      <c r="O500" t="e">
        <f t="shared" si="37"/>
        <v>#VALUE!</v>
      </c>
      <c r="P500" t="e">
        <f t="shared" si="38"/>
        <v>#VALUE!</v>
      </c>
    </row>
    <row r="501" spans="1:16" x14ac:dyDescent="0.3">
      <c r="A501">
        <v>499</v>
      </c>
      <c r="B501">
        <f>'Real Input'!M501</f>
        <v>10.027495999995153</v>
      </c>
      <c r="C501">
        <f ca="1">INDIRECT(CONCATENATE("'Real Input'!",'Real Analysis'!$B$2,A501+2))</f>
        <v>9.82808964</v>
      </c>
      <c r="D501">
        <f t="shared" si="36"/>
        <v>1.435299999138806E-2</v>
      </c>
      <c r="E501">
        <f ca="1">IF(B501&gt;0,C501-'Real Analysis'!$B$14,0)</f>
        <v>-2.8408162371427181E-2</v>
      </c>
      <c r="F501">
        <f t="shared" ca="1" si="39"/>
        <v>-3.8133232787256582E-2</v>
      </c>
      <c r="G501">
        <f t="shared" ca="1" si="40"/>
        <v>-0.22713997034670783</v>
      </c>
      <c r="H501">
        <f ca="1">IF(AND(B501&gt;'Real Analysis'!$B$31,B501&lt;'Real Analysis'!$B$32),FilterInput(E501,'Real Analysis'!$B$26,'Real Analysis'!$B$27),0)</f>
        <v>0</v>
      </c>
      <c r="I501" t="e">
        <f>MEDIAN2("Real Values",H501,'Real Analysis'!$B$5,2)</f>
        <v>#VALUE!</v>
      </c>
      <c r="J501" t="e">
        <f>AVERAGE2("Real Values",I501,'Real Analysis'!$B$6,2)</f>
        <v>#VALUE!</v>
      </c>
      <c r="K501" t="e">
        <f>INTEGRAL2(J501,$B501,K500,J500,$B500,'Real Analysis'!$B$19)</f>
        <v>#VALUE!</v>
      </c>
      <c r="L501" t="e">
        <f>IF(AND(B501&lt;'Real Analysis'!$B$32,B501&gt;0),INTEGRAL2(K501,$B501,L500,K500,$B500,'Real Analysis'!$B$20),0)</f>
        <v>#VALUE!</v>
      </c>
      <c r="N501">
        <f>'Real Analysis'!$B$28*'Real Input'!U501+IF('Real Input'!U501 &gt; 0,'Real Analysis'!$B$29,0)</f>
        <v>0</v>
      </c>
      <c r="O501" t="e">
        <f t="shared" si="37"/>
        <v>#VALUE!</v>
      </c>
      <c r="P501" t="e">
        <f t="shared" si="38"/>
        <v>#VALUE!</v>
      </c>
    </row>
    <row r="502" spans="1:16" x14ac:dyDescent="0.3">
      <c r="A502">
        <v>500</v>
      </c>
      <c r="B502">
        <f>'Real Input'!M502</f>
        <v>10.05183300000499</v>
      </c>
      <c r="C502">
        <f ca="1">INDIRECT(CONCATENATE("'Real Input'!",'Real Analysis'!$B$2,A502+2))</f>
        <v>9.8705963700000012</v>
      </c>
      <c r="D502">
        <f t="shared" si="36"/>
        <v>2.4337000009836629E-2</v>
      </c>
      <c r="E502">
        <f ca="1">IF(B502&gt;0,C502-'Real Analysis'!$B$14,0)</f>
        <v>1.4098567628574088E-2</v>
      </c>
      <c r="F502">
        <f t="shared" ca="1" si="39"/>
        <v>-3.7790115946741296E-2</v>
      </c>
      <c r="G502">
        <f t="shared" ca="1" si="40"/>
        <v>-0.2280596683988754</v>
      </c>
      <c r="H502">
        <f ca="1">IF(AND(B502&gt;'Real Analysis'!$B$31,B502&lt;'Real Analysis'!$B$32),FilterInput(E502,'Real Analysis'!$B$26,'Real Analysis'!$B$27),0)</f>
        <v>0</v>
      </c>
      <c r="I502" t="e">
        <f>MEDIAN2("Real Values",H502,'Real Analysis'!$B$5,2)</f>
        <v>#VALUE!</v>
      </c>
      <c r="J502" t="e">
        <f>AVERAGE2("Real Values",I502,'Real Analysis'!$B$6,2)</f>
        <v>#VALUE!</v>
      </c>
      <c r="K502" t="e">
        <f>INTEGRAL2(J502,$B502,K501,J501,$B501,'Real Analysis'!$B$19)</f>
        <v>#VALUE!</v>
      </c>
      <c r="L502" t="e">
        <f>IF(AND(B502&lt;'Real Analysis'!$B$32,B502&gt;0),INTEGRAL2(K502,$B502,L501,K501,$B501,'Real Analysis'!$B$20),0)</f>
        <v>#VALUE!</v>
      </c>
      <c r="N502">
        <f>'Real Analysis'!$B$28*'Real Input'!U502+IF('Real Input'!U502 &gt; 0,'Real Analysis'!$B$29,0)</f>
        <v>0</v>
      </c>
      <c r="O502" t="e">
        <f t="shared" si="37"/>
        <v>#VALUE!</v>
      </c>
      <c r="P502" t="e">
        <f t="shared" si="38"/>
        <v>#VALUE!</v>
      </c>
    </row>
    <row r="503" spans="1:16" x14ac:dyDescent="0.3">
      <c r="A503">
        <v>501</v>
      </c>
      <c r="B503">
        <f>'Real Input'!M503</f>
        <v>10.06832900000154</v>
      </c>
      <c r="C503">
        <f ca="1">INDIRECT(CONCATENATE("'Real Input'!",'Real Analysis'!$B$2,A503+2))</f>
        <v>9.9149277600000012</v>
      </c>
      <c r="D503">
        <f t="shared" si="36"/>
        <v>1.6495999996550381E-2</v>
      </c>
      <c r="E503">
        <f ca="1">IF(B503&gt;0,C503-'Real Analysis'!$B$14,0)</f>
        <v>5.8429957628574059E-2</v>
      </c>
      <c r="F503">
        <f t="shared" ca="1" si="39"/>
        <v>-3.6826255365901901E-2</v>
      </c>
      <c r="G503">
        <f t="shared" ca="1" si="40"/>
        <v>-0.22866715430726428</v>
      </c>
      <c r="H503">
        <f ca="1">IF(AND(B503&gt;'Real Analysis'!$B$31,B503&lt;'Real Analysis'!$B$32),FilterInput(E503,'Real Analysis'!$B$26,'Real Analysis'!$B$27),0)</f>
        <v>0</v>
      </c>
      <c r="I503" t="e">
        <f>MEDIAN2("Real Values",H503,'Real Analysis'!$B$5,2)</f>
        <v>#VALUE!</v>
      </c>
      <c r="J503" t="e">
        <f>AVERAGE2("Real Values",I503,'Real Analysis'!$B$6,2)</f>
        <v>#VALUE!</v>
      </c>
      <c r="K503" t="e">
        <f>INTEGRAL2(J503,$B503,K502,J502,$B502,'Real Analysis'!$B$19)</f>
        <v>#VALUE!</v>
      </c>
      <c r="L503" t="e">
        <f>IF(AND(B503&lt;'Real Analysis'!$B$32,B503&gt;0),INTEGRAL2(K503,$B503,L502,K502,$B502,'Real Analysis'!$B$20),0)</f>
        <v>#VALUE!</v>
      </c>
      <c r="N503">
        <f>'Real Analysis'!$B$28*'Real Input'!U503+IF('Real Input'!U503 &gt; 0,'Real Analysis'!$B$29,0)</f>
        <v>0</v>
      </c>
      <c r="O503" t="e">
        <f t="shared" si="37"/>
        <v>#VALUE!</v>
      </c>
      <c r="P503" t="e">
        <f t="shared" si="38"/>
        <v>#VALUE!</v>
      </c>
    </row>
    <row r="504" spans="1:16" x14ac:dyDescent="0.3">
      <c r="A504">
        <v>502</v>
      </c>
      <c r="B504">
        <f>'Real Input'!M504</f>
        <v>10.089515999992727</v>
      </c>
      <c r="C504">
        <f ca="1">INDIRECT(CONCATENATE("'Real Input'!",'Real Analysis'!$B$2,A504+2))</f>
        <v>9.9109547100000004</v>
      </c>
      <c r="D504">
        <f t="shared" si="36"/>
        <v>2.1186999991186894E-2</v>
      </c>
      <c r="E504">
        <f ca="1">IF(B504&gt;0,C504-'Real Analysis'!$B$14,0)</f>
        <v>5.4456907628573248E-2</v>
      </c>
      <c r="F504">
        <f t="shared" ca="1" si="39"/>
        <v>-3.5672476864455252E-2</v>
      </c>
      <c r="G504">
        <f t="shared" ca="1" si="40"/>
        <v>-0.2294229470742771</v>
      </c>
      <c r="H504">
        <f ca="1">IF(AND(B504&gt;'Real Analysis'!$B$31,B504&lt;'Real Analysis'!$B$32),FilterInput(E504,'Real Analysis'!$B$26,'Real Analysis'!$B$27),0)</f>
        <v>0</v>
      </c>
      <c r="I504" t="e">
        <f>MEDIAN2("Real Values",H504,'Real Analysis'!$B$5,2)</f>
        <v>#VALUE!</v>
      </c>
      <c r="J504" t="e">
        <f>AVERAGE2("Real Values",I504,'Real Analysis'!$B$6,2)</f>
        <v>#VALUE!</v>
      </c>
      <c r="K504" t="e">
        <f>INTEGRAL2(J504,$B504,K503,J503,$B503,'Real Analysis'!$B$19)</f>
        <v>#VALUE!</v>
      </c>
      <c r="L504" t="e">
        <f>IF(AND(B504&lt;'Real Analysis'!$B$32,B504&gt;0),INTEGRAL2(K504,$B504,L503,K503,$B503,'Real Analysis'!$B$20),0)</f>
        <v>#VALUE!</v>
      </c>
      <c r="N504">
        <f>'Real Analysis'!$B$28*'Real Input'!U504+IF('Real Input'!U504 &gt; 0,'Real Analysis'!$B$29,0)</f>
        <v>0</v>
      </c>
      <c r="O504" t="e">
        <f t="shared" si="37"/>
        <v>#VALUE!</v>
      </c>
      <c r="P504" t="e">
        <f t="shared" si="38"/>
        <v>#VALUE!</v>
      </c>
    </row>
    <row r="505" spans="1:16" x14ac:dyDescent="0.3">
      <c r="A505">
        <v>503</v>
      </c>
      <c r="B505">
        <f>'Real Input'!M505</f>
        <v>10.109035000001313</v>
      </c>
      <c r="C505">
        <f ca="1">INDIRECT(CONCATENATE("'Real Input'!",'Real Analysis'!$B$2,A505+2))</f>
        <v>9.9021453299999997</v>
      </c>
      <c r="D505">
        <f t="shared" si="36"/>
        <v>1.9519000008585863E-2</v>
      </c>
      <c r="E505">
        <f ca="1">IF(B505&gt;0,C505-'Real Analysis'!$B$14,0)</f>
        <v>4.5647527628572604E-2</v>
      </c>
      <c r="F505">
        <f t="shared" ca="1" si="39"/>
        <v>-3.4781482772281221E-2</v>
      </c>
      <c r="G505">
        <f t="shared" ca="1" si="40"/>
        <v>-0.2301018468368079</v>
      </c>
      <c r="H505">
        <f ca="1">IF(AND(B505&gt;'Real Analysis'!$B$31,B505&lt;'Real Analysis'!$B$32),FilterInput(E505,'Real Analysis'!$B$26,'Real Analysis'!$B$27),0)</f>
        <v>0</v>
      </c>
      <c r="I505" t="e">
        <f>MEDIAN2("Real Values",H505,'Real Analysis'!$B$5,2)</f>
        <v>#VALUE!</v>
      </c>
      <c r="J505" t="e">
        <f>AVERAGE2("Real Values",I505,'Real Analysis'!$B$6,2)</f>
        <v>#VALUE!</v>
      </c>
      <c r="K505" t="e">
        <f>INTEGRAL2(J505,$B505,K504,J504,$B504,'Real Analysis'!$B$19)</f>
        <v>#VALUE!</v>
      </c>
      <c r="L505" t="e">
        <f>IF(AND(B505&lt;'Real Analysis'!$B$32,B505&gt;0),INTEGRAL2(K505,$B505,L504,K504,$B504,'Real Analysis'!$B$20),0)</f>
        <v>#VALUE!</v>
      </c>
      <c r="N505">
        <f>'Real Analysis'!$B$28*'Real Input'!U505+IF('Real Input'!U505 &gt; 0,'Real Analysis'!$B$29,0)</f>
        <v>0</v>
      </c>
      <c r="O505" t="e">
        <f t="shared" si="37"/>
        <v>#VALUE!</v>
      </c>
      <c r="P505" t="e">
        <f t="shared" si="38"/>
        <v>#VALUE!</v>
      </c>
    </row>
    <row r="506" spans="1:16" x14ac:dyDescent="0.3">
      <c r="A506">
        <v>504</v>
      </c>
      <c r="B506">
        <f>'Real Input'!M506</f>
        <v>10.131200000003446</v>
      </c>
      <c r="C506">
        <f ca="1">INDIRECT(CONCATENATE("'Real Input'!",'Real Analysis'!$B$2,A506+2))</f>
        <v>9.8573822999999994</v>
      </c>
      <c r="D506">
        <f t="shared" si="36"/>
        <v>2.2165000002132729E-2</v>
      </c>
      <c r="E506">
        <f ca="1">IF(B506&gt;0,C506-'Real Analysis'!$B$14,0)</f>
        <v>8.8449762857223391E-4</v>
      </c>
      <c r="F506">
        <f t="shared" ca="1" si="39"/>
        <v>-3.4761877882342029E-2</v>
      </c>
      <c r="G506">
        <f t="shared" ca="1" si="40"/>
        <v>-0.23087234386014416</v>
      </c>
      <c r="H506">
        <f ca="1">IF(AND(B506&gt;'Real Analysis'!$B$31,B506&lt;'Real Analysis'!$B$32),FilterInput(E506,'Real Analysis'!$B$26,'Real Analysis'!$B$27),0)</f>
        <v>0</v>
      </c>
      <c r="I506" t="e">
        <f>MEDIAN2("Real Values",H506,'Real Analysis'!$B$5,2)</f>
        <v>#VALUE!</v>
      </c>
      <c r="J506" t="e">
        <f>AVERAGE2("Real Values",I506,'Real Analysis'!$B$6,2)</f>
        <v>#VALUE!</v>
      </c>
      <c r="K506" t="e">
        <f>INTEGRAL2(J506,$B506,K505,J505,$B505,'Real Analysis'!$B$19)</f>
        <v>#VALUE!</v>
      </c>
      <c r="L506" t="e">
        <f>IF(AND(B506&lt;'Real Analysis'!$B$32,B506&gt;0),INTEGRAL2(K506,$B506,L505,K505,$B505,'Real Analysis'!$B$20),0)</f>
        <v>#VALUE!</v>
      </c>
      <c r="N506">
        <f>'Real Analysis'!$B$28*'Real Input'!U506+IF('Real Input'!U506 &gt; 0,'Real Analysis'!$B$29,0)</f>
        <v>0</v>
      </c>
      <c r="O506" t="e">
        <f t="shared" si="37"/>
        <v>#VALUE!</v>
      </c>
      <c r="P506" t="e">
        <f t="shared" si="38"/>
        <v>#VALUE!</v>
      </c>
    </row>
    <row r="507" spans="1:16" x14ac:dyDescent="0.3">
      <c r="A507">
        <v>505</v>
      </c>
      <c r="B507">
        <f>'Real Input'!M507</f>
        <v>10.148446000006516</v>
      </c>
      <c r="C507">
        <f ca="1">INDIRECT(CONCATENATE("'Real Input'!",'Real Analysis'!$B$2,A507+2))</f>
        <v>9.8789348700000001</v>
      </c>
      <c r="D507">
        <f t="shared" si="36"/>
        <v>1.7246000003069639E-2</v>
      </c>
      <c r="E507">
        <f ca="1">IF(B507&gt;0,C507-'Real Analysis'!$B$14,0)</f>
        <v>2.2437067628573004E-2</v>
      </c>
      <c r="F507">
        <f t="shared" ca="1" si="39"/>
        <v>-3.4374928213950787E-2</v>
      </c>
      <c r="G507">
        <f t="shared" ca="1" si="40"/>
        <v>-0.23146517387222748</v>
      </c>
      <c r="H507">
        <f ca="1">IF(AND(B507&gt;'Real Analysis'!$B$31,B507&lt;'Real Analysis'!$B$32),FilterInput(E507,'Real Analysis'!$B$26,'Real Analysis'!$B$27),0)</f>
        <v>0</v>
      </c>
      <c r="I507" t="e">
        <f>MEDIAN2("Real Values",H507,'Real Analysis'!$B$5,2)</f>
        <v>#VALUE!</v>
      </c>
      <c r="J507" t="e">
        <f>AVERAGE2("Real Values",I507,'Real Analysis'!$B$6,2)</f>
        <v>#VALUE!</v>
      </c>
      <c r="K507" t="e">
        <f>INTEGRAL2(J507,$B507,K506,J506,$B506,'Real Analysis'!$B$19)</f>
        <v>#VALUE!</v>
      </c>
      <c r="L507" t="e">
        <f>IF(AND(B507&lt;'Real Analysis'!$B$32,B507&gt;0),INTEGRAL2(K507,$B507,L506,K506,$B506,'Real Analysis'!$B$20),0)</f>
        <v>#VALUE!</v>
      </c>
      <c r="N507">
        <f>'Real Analysis'!$B$28*'Real Input'!U507+IF('Real Input'!U507 &gt; 0,'Real Analysis'!$B$29,0)</f>
        <v>0</v>
      </c>
      <c r="O507" t="e">
        <f t="shared" si="37"/>
        <v>#VALUE!</v>
      </c>
      <c r="P507" t="e">
        <f t="shared" si="38"/>
        <v>#VALUE!</v>
      </c>
    </row>
    <row r="508" spans="1:16" x14ac:dyDescent="0.3">
      <c r="A508">
        <v>506</v>
      </c>
      <c r="B508">
        <f>'Real Input'!M508</f>
        <v>10.171665000001667</v>
      </c>
      <c r="C508">
        <f ca="1">INDIRECT(CONCATENATE("'Real Input'!",'Real Analysis'!$B$2,A508+2))</f>
        <v>9.8577550800000022</v>
      </c>
      <c r="D508">
        <f t="shared" si="36"/>
        <v>2.3218999995151535E-2</v>
      </c>
      <c r="E508">
        <f ca="1">IF(B508&gt;0,C508-'Real Analysis'!$B$14,0)</f>
        <v>1.257277628575082E-3</v>
      </c>
      <c r="F508">
        <f t="shared" ca="1" si="39"/>
        <v>-3.4345735484698998E-2</v>
      </c>
      <c r="G508">
        <f t="shared" ca="1" si="40"/>
        <v>-0.23226264750428019</v>
      </c>
      <c r="H508">
        <f ca="1">IF(AND(B508&gt;'Real Analysis'!$B$31,B508&lt;'Real Analysis'!$B$32),FilterInput(E508,'Real Analysis'!$B$26,'Real Analysis'!$B$27),0)</f>
        <v>0</v>
      </c>
      <c r="I508" t="e">
        <f>MEDIAN2("Real Values",H508,'Real Analysis'!$B$5,2)</f>
        <v>#VALUE!</v>
      </c>
      <c r="J508" t="e">
        <f>AVERAGE2("Real Values",I508,'Real Analysis'!$B$6,2)</f>
        <v>#VALUE!</v>
      </c>
      <c r="K508" t="e">
        <f>INTEGRAL2(J508,$B508,K507,J507,$B507,'Real Analysis'!$B$19)</f>
        <v>#VALUE!</v>
      </c>
      <c r="L508" t="e">
        <f>IF(AND(B508&lt;'Real Analysis'!$B$32,B508&gt;0),INTEGRAL2(K508,$B508,L507,K507,$B507,'Real Analysis'!$B$20),0)</f>
        <v>#VALUE!</v>
      </c>
      <c r="N508">
        <f>'Real Analysis'!$B$28*'Real Input'!U508+IF('Real Input'!U508 &gt; 0,'Real Analysis'!$B$29,0)</f>
        <v>0</v>
      </c>
      <c r="O508" t="e">
        <f t="shared" si="37"/>
        <v>#VALUE!</v>
      </c>
      <c r="P508" t="e">
        <f t="shared" si="38"/>
        <v>#VALUE!</v>
      </c>
    </row>
    <row r="509" spans="1:16" x14ac:dyDescent="0.3">
      <c r="A509">
        <v>507</v>
      </c>
      <c r="B509">
        <f>'Real Input'!M509</f>
        <v>10.192116999998689</v>
      </c>
      <c r="C509">
        <f ca="1">INDIRECT(CONCATENATE("'Real Input'!",'Real Analysis'!$B$2,A509+2))</f>
        <v>9.8989767000000004</v>
      </c>
      <c r="D509">
        <f t="shared" si="36"/>
        <v>2.045199999702163E-2</v>
      </c>
      <c r="E509">
        <f ca="1">IF(B509&gt;0,C509-'Real Analysis'!$B$14,0)</f>
        <v>4.2478897628573264E-2</v>
      </c>
      <c r="F509">
        <f t="shared" ca="1" si="39"/>
        <v>-3.3476957070525934E-2</v>
      </c>
      <c r="G509">
        <f t="shared" ca="1" si="40"/>
        <v>-0.23294731823018688</v>
      </c>
      <c r="H509">
        <f ca="1">IF(AND(B509&gt;'Real Analysis'!$B$31,B509&lt;'Real Analysis'!$B$32),FilterInput(E509,'Real Analysis'!$B$26,'Real Analysis'!$B$27),0)</f>
        <v>0</v>
      </c>
      <c r="I509" t="e">
        <f>MEDIAN2("Real Values",H509,'Real Analysis'!$B$5,2)</f>
        <v>#VALUE!</v>
      </c>
      <c r="J509" t="e">
        <f>AVERAGE2("Real Values",I509,'Real Analysis'!$B$6,2)</f>
        <v>#VALUE!</v>
      </c>
      <c r="K509" t="e">
        <f>INTEGRAL2(J509,$B509,K508,J508,$B508,'Real Analysis'!$B$19)</f>
        <v>#VALUE!</v>
      </c>
      <c r="L509" t="e">
        <f>IF(AND(B509&lt;'Real Analysis'!$B$32,B509&gt;0),INTEGRAL2(K509,$B509,L508,K508,$B508,'Real Analysis'!$B$20),0)</f>
        <v>#VALUE!</v>
      </c>
      <c r="N509">
        <f>'Real Analysis'!$B$28*'Real Input'!U509+IF('Real Input'!U509 &gt; 0,'Real Analysis'!$B$29,0)</f>
        <v>0</v>
      </c>
      <c r="O509" t="e">
        <f t="shared" si="37"/>
        <v>#VALUE!</v>
      </c>
      <c r="P509" t="e">
        <f t="shared" si="38"/>
        <v>#VALUE!</v>
      </c>
    </row>
    <row r="510" spans="1:16" x14ac:dyDescent="0.3">
      <c r="A510">
        <v>508</v>
      </c>
      <c r="B510">
        <f>'Real Input'!M510</f>
        <v>10.209465000007185</v>
      </c>
      <c r="C510">
        <f ca="1">INDIRECT(CONCATENATE("'Real Input'!",'Real Analysis'!$B$2,A510+2))</f>
        <v>9.8320528800000009</v>
      </c>
      <c r="D510">
        <f t="shared" si="36"/>
        <v>1.7348000008496456E-2</v>
      </c>
      <c r="E510">
        <f ca="1">IF(B510&gt;0,C510-'Real Analysis'!$B$14,0)</f>
        <v>-2.4444922371426259E-2</v>
      </c>
      <c r="F510">
        <f t="shared" ca="1" si="39"/>
        <v>-3.3901027584033135E-2</v>
      </c>
      <c r="G510">
        <f t="shared" ca="1" si="40"/>
        <v>-0.23353543325700274</v>
      </c>
      <c r="H510">
        <f ca="1">IF(AND(B510&gt;'Real Analysis'!$B$31,B510&lt;'Real Analysis'!$B$32),FilterInput(E510,'Real Analysis'!$B$26,'Real Analysis'!$B$27),0)</f>
        <v>0</v>
      </c>
      <c r="I510" t="e">
        <f>MEDIAN2("Real Values",H510,'Real Analysis'!$B$5,2)</f>
        <v>#VALUE!</v>
      </c>
      <c r="J510" t="e">
        <f>AVERAGE2("Real Values",I510,'Real Analysis'!$B$6,2)</f>
        <v>#VALUE!</v>
      </c>
      <c r="K510" t="e">
        <f>INTEGRAL2(J510,$B510,K509,J509,$B509,'Real Analysis'!$B$19)</f>
        <v>#VALUE!</v>
      </c>
      <c r="L510" t="e">
        <f>IF(AND(B510&lt;'Real Analysis'!$B$32,B510&gt;0),INTEGRAL2(K510,$B510,L509,K509,$B509,'Real Analysis'!$B$20),0)</f>
        <v>#VALUE!</v>
      </c>
      <c r="N510">
        <f>'Real Analysis'!$B$28*'Real Input'!U510+IF('Real Input'!U510 &gt; 0,'Real Analysis'!$B$29,0)</f>
        <v>0</v>
      </c>
      <c r="O510" t="e">
        <f t="shared" si="37"/>
        <v>#VALUE!</v>
      </c>
      <c r="P510" t="e">
        <f t="shared" si="38"/>
        <v>#VALUE!</v>
      </c>
    </row>
    <row r="511" spans="1:16" x14ac:dyDescent="0.3">
      <c r="A511">
        <v>509</v>
      </c>
      <c r="B511">
        <f>'Real Input'!M511</f>
        <v>10.229057999997167</v>
      </c>
      <c r="C511">
        <f ca="1">INDIRECT(CONCATENATE("'Real Input'!",'Real Analysis'!$B$2,A511+2))</f>
        <v>9.8454042899999994</v>
      </c>
      <c r="D511">
        <f t="shared" si="36"/>
        <v>1.9592999989981763E-2</v>
      </c>
      <c r="E511">
        <f ca="1">IF(B511&gt;0,C511-'Real Analysis'!$B$14,0)</f>
        <v>-1.1093512371427749E-2</v>
      </c>
      <c r="F511">
        <f t="shared" ca="1" si="39"/>
        <v>-3.4118382771815378E-2</v>
      </c>
      <c r="G511">
        <f t="shared" ca="1" si="40"/>
        <v>-0.2342039147303091</v>
      </c>
      <c r="H511">
        <f ca="1">IF(AND(B511&gt;'Real Analysis'!$B$31,B511&lt;'Real Analysis'!$B$32),FilterInput(E511,'Real Analysis'!$B$26,'Real Analysis'!$B$27),0)</f>
        <v>0</v>
      </c>
      <c r="I511" t="e">
        <f>MEDIAN2("Real Values",H511,'Real Analysis'!$B$5,2)</f>
        <v>#VALUE!</v>
      </c>
      <c r="J511" t="e">
        <f>AVERAGE2("Real Values",I511,'Real Analysis'!$B$6,2)</f>
        <v>#VALUE!</v>
      </c>
      <c r="K511" t="e">
        <f>INTEGRAL2(J511,$B511,K510,J510,$B510,'Real Analysis'!$B$19)</f>
        <v>#VALUE!</v>
      </c>
      <c r="L511" t="e">
        <f>IF(AND(B511&lt;'Real Analysis'!$B$32,B511&gt;0),INTEGRAL2(K511,$B511,L510,K510,$B510,'Real Analysis'!$B$20),0)</f>
        <v>#VALUE!</v>
      </c>
      <c r="N511">
        <f>'Real Analysis'!$B$28*'Real Input'!U511+IF('Real Input'!U511 &gt; 0,'Real Analysis'!$B$29,0)</f>
        <v>0</v>
      </c>
      <c r="O511" t="e">
        <f t="shared" si="37"/>
        <v>#VALUE!</v>
      </c>
      <c r="P511" t="e">
        <f t="shared" si="38"/>
        <v>#VALUE!</v>
      </c>
    </row>
    <row r="512" spans="1:16" x14ac:dyDescent="0.3">
      <c r="A512">
        <v>510</v>
      </c>
      <c r="B512">
        <f>'Real Input'!M512</f>
        <v>10.250962999998592</v>
      </c>
      <c r="C512">
        <f ca="1">INDIRECT(CONCATENATE("'Real Input'!",'Real Analysis'!$B$2,A512+2))</f>
        <v>9.8249308200000005</v>
      </c>
      <c r="D512">
        <f t="shared" si="36"/>
        <v>2.1905000001424924E-2</v>
      </c>
      <c r="E512">
        <f ca="1">IF(B512&gt;0,C512-'Real Analysis'!$B$14,0)</f>
        <v>-3.1566982371426633E-2</v>
      </c>
      <c r="F512">
        <f t="shared" ca="1" si="39"/>
        <v>-3.4809857520706457E-2</v>
      </c>
      <c r="G512">
        <f t="shared" ca="1" si="40"/>
        <v>-0.23496642465934978</v>
      </c>
      <c r="H512">
        <f ca="1">IF(AND(B512&gt;'Real Analysis'!$B$31,B512&lt;'Real Analysis'!$B$32),FilterInput(E512,'Real Analysis'!$B$26,'Real Analysis'!$B$27),0)</f>
        <v>0</v>
      </c>
      <c r="I512" t="e">
        <f>MEDIAN2("Real Values",H512,'Real Analysis'!$B$5,2)</f>
        <v>#VALUE!</v>
      </c>
      <c r="J512" t="e">
        <f>AVERAGE2("Real Values",I512,'Real Analysis'!$B$6,2)</f>
        <v>#VALUE!</v>
      </c>
      <c r="K512" t="e">
        <f>INTEGRAL2(J512,$B512,K511,J511,$B511,'Real Analysis'!$B$19)</f>
        <v>#VALUE!</v>
      </c>
      <c r="L512" t="e">
        <f>IF(AND(B512&lt;'Real Analysis'!$B$32,B512&gt;0),INTEGRAL2(K512,$B512,L511,K511,$B511,'Real Analysis'!$B$20),0)</f>
        <v>#VALUE!</v>
      </c>
      <c r="N512">
        <f>'Real Analysis'!$B$28*'Real Input'!U512+IF('Real Input'!U512 &gt; 0,'Real Analysis'!$B$29,0)</f>
        <v>0</v>
      </c>
      <c r="O512" t="e">
        <f t="shared" si="37"/>
        <v>#VALUE!</v>
      </c>
      <c r="P512" t="e">
        <f t="shared" si="38"/>
        <v>#VALUE!</v>
      </c>
    </row>
    <row r="513" spans="1:16" x14ac:dyDescent="0.3">
      <c r="A513">
        <v>511</v>
      </c>
      <c r="B513">
        <f>'Real Input'!M513</f>
        <v>10.269706000006408</v>
      </c>
      <c r="C513">
        <f ca="1">INDIRECT(CONCATENATE("'Real Input'!",'Real Analysis'!$B$2,A513+2))</f>
        <v>9.8919429300000008</v>
      </c>
      <c r="D513">
        <f t="shared" si="36"/>
        <v>1.874300000781659E-2</v>
      </c>
      <c r="E513">
        <f ca="1">IF(B513&gt;0,C513-'Real Analysis'!$B$14,0)</f>
        <v>3.5445127628573658E-2</v>
      </c>
      <c r="F513">
        <f t="shared" ca="1" si="39"/>
        <v>-3.4145509493287041E-2</v>
      </c>
      <c r="G513">
        <f t="shared" ca="1" si="40"/>
        <v>-0.23560641394404935</v>
      </c>
      <c r="H513">
        <f ca="1">IF(AND(B513&gt;'Real Analysis'!$B$31,B513&lt;'Real Analysis'!$B$32),FilterInput(E513,'Real Analysis'!$B$26,'Real Analysis'!$B$27),0)</f>
        <v>0</v>
      </c>
      <c r="I513" t="e">
        <f>MEDIAN2("Real Values",H513,'Real Analysis'!$B$5,2)</f>
        <v>#VALUE!</v>
      </c>
      <c r="J513" t="e">
        <f>AVERAGE2("Real Values",I513,'Real Analysis'!$B$6,2)</f>
        <v>#VALUE!</v>
      </c>
      <c r="K513" t="e">
        <f>INTEGRAL2(J513,$B513,K512,J512,$B512,'Real Analysis'!$B$19)</f>
        <v>#VALUE!</v>
      </c>
      <c r="L513" t="e">
        <f>IF(AND(B513&lt;'Real Analysis'!$B$32,B513&gt;0),INTEGRAL2(K513,$B513,L512,K512,$B512,'Real Analysis'!$B$20),0)</f>
        <v>#VALUE!</v>
      </c>
      <c r="N513">
        <f>'Real Analysis'!$B$28*'Real Input'!U513+IF('Real Input'!U513 &gt; 0,'Real Analysis'!$B$29,0)</f>
        <v>0</v>
      </c>
      <c r="O513" t="e">
        <f t="shared" si="37"/>
        <v>#VALUE!</v>
      </c>
      <c r="P513" t="e">
        <f t="shared" si="38"/>
        <v>#VALUE!</v>
      </c>
    </row>
    <row r="514" spans="1:16" x14ac:dyDescent="0.3">
      <c r="A514">
        <v>512</v>
      </c>
      <c r="B514">
        <f>'Real Input'!M514</f>
        <v>10.289057000001776</v>
      </c>
      <c r="C514">
        <f ca="1">INDIRECT(CONCATENATE("'Real Input'!",'Real Analysis'!$B$2,A514+2))</f>
        <v>9.7922635200000006</v>
      </c>
      <c r="D514">
        <f t="shared" si="36"/>
        <v>1.9350999995367602E-2</v>
      </c>
      <c r="E514">
        <f ca="1">IF(B514&gt;0,C514-'Real Analysis'!$B$14,0)</f>
        <v>-6.4234282371426588E-2</v>
      </c>
      <c r="F514">
        <f t="shared" ca="1" si="39"/>
        <v>-3.5388507091158955E-2</v>
      </c>
      <c r="G514">
        <f t="shared" ca="1" si="40"/>
        <v>-0.23629121694460645</v>
      </c>
      <c r="H514">
        <f ca="1">IF(AND(B514&gt;'Real Analysis'!$B$31,B514&lt;'Real Analysis'!$B$32),FilterInput(E514,'Real Analysis'!$B$26,'Real Analysis'!$B$27),0)</f>
        <v>0</v>
      </c>
      <c r="I514" t="e">
        <f>MEDIAN2("Real Values",H514,'Real Analysis'!$B$5,2)</f>
        <v>#VALUE!</v>
      </c>
      <c r="J514" t="e">
        <f>AVERAGE2("Real Values",I514,'Real Analysis'!$B$6,2)</f>
        <v>#VALUE!</v>
      </c>
      <c r="K514" t="e">
        <f>INTEGRAL2(J514,$B514,K513,J513,$B513,'Real Analysis'!$B$19)</f>
        <v>#VALUE!</v>
      </c>
      <c r="L514" t="e">
        <f>IF(AND(B514&lt;'Real Analysis'!$B$32,B514&gt;0),INTEGRAL2(K514,$B514,L513,K513,$B513,'Real Analysis'!$B$20),0)</f>
        <v>#VALUE!</v>
      </c>
      <c r="N514">
        <f>'Real Analysis'!$B$28*'Real Input'!U514+IF('Real Input'!U514 &gt; 0,'Real Analysis'!$B$29,0)</f>
        <v>0</v>
      </c>
      <c r="O514" t="e">
        <f t="shared" si="37"/>
        <v>#VALUE!</v>
      </c>
      <c r="P514" t="e">
        <f t="shared" si="38"/>
        <v>#VALUE!</v>
      </c>
    </row>
    <row r="515" spans="1:16" x14ac:dyDescent="0.3">
      <c r="A515">
        <v>513</v>
      </c>
      <c r="B515">
        <f>'Real Input'!M515</f>
        <v>10.306614999994054</v>
      </c>
      <c r="C515">
        <f ca="1">INDIRECT(CONCATENATE("'Real Input'!",'Real Analysis'!$B$2,A515+2))</f>
        <v>9.8964653400000007</v>
      </c>
      <c r="D515">
        <f t="shared" ref="D515:D578" si="41">B515-B514</f>
        <v>1.7557999992277473E-2</v>
      </c>
      <c r="E515">
        <f ca="1">IF(B515&gt;0,C515-'Real Analysis'!$B$14,0)</f>
        <v>3.9967537628573524E-2</v>
      </c>
      <c r="F515">
        <f t="shared" ca="1" si="39"/>
        <v>-3.4686757065785112E-2</v>
      </c>
      <c r="G515">
        <f t="shared" ca="1" si="40"/>
        <v>-0.23690024702489965</v>
      </c>
      <c r="H515">
        <f ca="1">IF(AND(B515&gt;'Real Analysis'!$B$31,B515&lt;'Real Analysis'!$B$32),FilterInput(E515,'Real Analysis'!$B$26,'Real Analysis'!$B$27),0)</f>
        <v>0</v>
      </c>
      <c r="I515" t="e">
        <f>MEDIAN2("Real Values",H515,'Real Analysis'!$B$5,2)</f>
        <v>#VALUE!</v>
      </c>
      <c r="J515" t="e">
        <f>AVERAGE2("Real Values",I515,'Real Analysis'!$B$6,2)</f>
        <v>#VALUE!</v>
      </c>
      <c r="K515" t="e">
        <f>INTEGRAL2(J515,$B515,K514,J514,$B514,'Real Analysis'!$B$19)</f>
        <v>#VALUE!</v>
      </c>
      <c r="L515" t="e">
        <f>IF(AND(B515&lt;'Real Analysis'!$B$32,B515&gt;0),INTEGRAL2(K515,$B515,L514,K514,$B514,'Real Analysis'!$B$20),0)</f>
        <v>#VALUE!</v>
      </c>
      <c r="N515">
        <f>'Real Analysis'!$B$28*'Real Input'!U515+IF('Real Input'!U515 &gt; 0,'Real Analysis'!$B$29,0)</f>
        <v>0</v>
      </c>
      <c r="O515" t="e">
        <f t="shared" ref="O515:O578" si="42">_xlfn.COVARIANCE.P($L$102:$L$1200,N515:N1613)</f>
        <v>#VALUE!</v>
      </c>
      <c r="P515" t="e">
        <f t="shared" ref="P515:P578" si="43">N515-L515</f>
        <v>#VALUE!</v>
      </c>
    </row>
    <row r="516" spans="1:16" x14ac:dyDescent="0.3">
      <c r="A516">
        <v>514</v>
      </c>
      <c r="B516">
        <f>'Real Input'!M516</f>
        <v>10.331304999999702</v>
      </c>
      <c r="C516">
        <f ca="1">INDIRECT(CONCATENATE("'Real Input'!",'Real Analysis'!$B$2,A516+2))</f>
        <v>9.9211473000000012</v>
      </c>
      <c r="D516">
        <f t="shared" si="41"/>
        <v>2.4690000005648471E-2</v>
      </c>
      <c r="E516">
        <f ca="1">IF(B516&gt;0,C516-'Real Analysis'!$B$14,0)</f>
        <v>6.4649497628574082E-2</v>
      </c>
      <c r="F516">
        <f t="shared" ref="F516:F579" ca="1" si="44">IF(B516&gt;0,F515+E516*$D516,0)</f>
        <v>-3.3090560968970451E-2</v>
      </c>
      <c r="G516">
        <f t="shared" ca="1" si="40"/>
        <v>-0.23771725297541044</v>
      </c>
      <c r="H516">
        <f ca="1">IF(AND(B516&gt;'Real Analysis'!$B$31,B516&lt;'Real Analysis'!$B$32),FilterInput(E516,'Real Analysis'!$B$26,'Real Analysis'!$B$27),0)</f>
        <v>0</v>
      </c>
      <c r="I516" t="e">
        <f>MEDIAN2("Real Values",H516,'Real Analysis'!$B$5,2)</f>
        <v>#VALUE!</v>
      </c>
      <c r="J516" t="e">
        <f>AVERAGE2("Real Values",I516,'Real Analysis'!$B$6,2)</f>
        <v>#VALUE!</v>
      </c>
      <c r="K516" t="e">
        <f>INTEGRAL2(J516,$B516,K515,J515,$B515,'Real Analysis'!$B$19)</f>
        <v>#VALUE!</v>
      </c>
      <c r="L516" t="e">
        <f>IF(AND(B516&lt;'Real Analysis'!$B$32,B516&gt;0),INTEGRAL2(K516,$B516,L515,K515,$B515,'Real Analysis'!$B$20),0)</f>
        <v>#VALUE!</v>
      </c>
      <c r="N516">
        <f>'Real Analysis'!$B$28*'Real Input'!U516+IF('Real Input'!U516 &gt; 0,'Real Analysis'!$B$29,0)</f>
        <v>0</v>
      </c>
      <c r="O516" t="e">
        <f t="shared" si="42"/>
        <v>#VALUE!</v>
      </c>
      <c r="P516" t="e">
        <f t="shared" si="43"/>
        <v>#VALUE!</v>
      </c>
    </row>
    <row r="517" spans="1:16" x14ac:dyDescent="0.3">
      <c r="A517">
        <v>515</v>
      </c>
      <c r="B517">
        <f>'Real Input'!M517</f>
        <v>10.351611999998568</v>
      </c>
      <c r="C517">
        <f ca="1">INDIRECT(CONCATENATE("'Real Input'!",'Real Analysis'!$B$2,A517+2))</f>
        <v>9.8845560000000017</v>
      </c>
      <c r="D517">
        <f t="shared" si="41"/>
        <v>2.0306999998865649E-2</v>
      </c>
      <c r="E517">
        <f ca="1">IF(B517&gt;0,C517-'Real Analysis'!$B$14,0)</f>
        <v>2.8058197628574533E-2</v>
      </c>
      <c r="F517">
        <f t="shared" ca="1" si="44"/>
        <v>-3.2520783149758814E-2</v>
      </c>
      <c r="G517">
        <f t="shared" ca="1" si="40"/>
        <v>-0.2383776525187957</v>
      </c>
      <c r="H517">
        <f ca="1">IF(AND(B517&gt;'Real Analysis'!$B$31,B517&lt;'Real Analysis'!$B$32),FilterInput(E517,'Real Analysis'!$B$26,'Real Analysis'!$B$27),0)</f>
        <v>0</v>
      </c>
      <c r="I517" t="e">
        <f>MEDIAN2("Real Values",H517,'Real Analysis'!$B$5,2)</f>
        <v>#VALUE!</v>
      </c>
      <c r="J517" t="e">
        <f>AVERAGE2("Real Values",I517,'Real Analysis'!$B$6,2)</f>
        <v>#VALUE!</v>
      </c>
      <c r="K517" t="e">
        <f>INTEGRAL2(J517,$B517,K516,J516,$B516,'Real Analysis'!$B$19)</f>
        <v>#VALUE!</v>
      </c>
      <c r="L517" t="e">
        <f>IF(AND(B517&lt;'Real Analysis'!$B$32,B517&gt;0),INTEGRAL2(K517,$B517,L516,K516,$B516,'Real Analysis'!$B$20),0)</f>
        <v>#VALUE!</v>
      </c>
      <c r="N517">
        <f>'Real Analysis'!$B$28*'Real Input'!U517+IF('Real Input'!U517 &gt; 0,'Real Analysis'!$B$29,0)</f>
        <v>0</v>
      </c>
      <c r="O517" t="e">
        <f t="shared" si="42"/>
        <v>#VALUE!</v>
      </c>
      <c r="P517" t="e">
        <f t="shared" si="43"/>
        <v>#VALUE!</v>
      </c>
    </row>
    <row r="518" spans="1:16" x14ac:dyDescent="0.3">
      <c r="A518">
        <v>516</v>
      </c>
      <c r="B518">
        <f>'Real Input'!M518</f>
        <v>10.3717089999991</v>
      </c>
      <c r="C518">
        <f ca="1">INDIRECT(CONCATENATE("'Real Input'!",'Real Analysis'!$B$2,A518+2))</f>
        <v>9.8813971799999987</v>
      </c>
      <c r="D518">
        <f t="shared" si="41"/>
        <v>2.0097000000532717E-2</v>
      </c>
      <c r="E518">
        <f ca="1">IF(B518&gt;0,C518-'Real Analysis'!$B$14,0)</f>
        <v>2.4899377628571528E-2</v>
      </c>
      <c r="F518">
        <f t="shared" ca="1" si="44"/>
        <v>-3.2020380357544148E-2</v>
      </c>
      <c r="G518">
        <f t="shared" ca="1" si="40"/>
        <v>-0.23902116610285831</v>
      </c>
      <c r="H518">
        <f ca="1">IF(AND(B518&gt;'Real Analysis'!$B$31,B518&lt;'Real Analysis'!$B$32),FilterInput(E518,'Real Analysis'!$B$26,'Real Analysis'!$B$27),0)</f>
        <v>0</v>
      </c>
      <c r="I518" t="e">
        <f>MEDIAN2("Real Values",H518,'Real Analysis'!$B$5,2)</f>
        <v>#VALUE!</v>
      </c>
      <c r="J518" t="e">
        <f>AVERAGE2("Real Values",I518,'Real Analysis'!$B$6,2)</f>
        <v>#VALUE!</v>
      </c>
      <c r="K518" t="e">
        <f>INTEGRAL2(J518,$B518,K517,J517,$B517,'Real Analysis'!$B$19)</f>
        <v>#VALUE!</v>
      </c>
      <c r="L518" t="e">
        <f>IF(AND(B518&lt;'Real Analysis'!$B$32,B518&gt;0),INTEGRAL2(K518,$B518,L517,K517,$B517,'Real Analysis'!$B$20),0)</f>
        <v>#VALUE!</v>
      </c>
      <c r="N518">
        <f>'Real Analysis'!$B$28*'Real Input'!U518+IF('Real Input'!U518 &gt; 0,'Real Analysis'!$B$29,0)</f>
        <v>0</v>
      </c>
      <c r="O518" t="e">
        <f t="shared" si="42"/>
        <v>#VALUE!</v>
      </c>
      <c r="P518" t="e">
        <f t="shared" si="43"/>
        <v>#VALUE!</v>
      </c>
    </row>
    <row r="519" spans="1:16" x14ac:dyDescent="0.3">
      <c r="A519">
        <v>517</v>
      </c>
      <c r="B519">
        <f>'Real Input'!M519</f>
        <v>10.391096000006655</v>
      </c>
      <c r="C519">
        <f ca="1">INDIRECT(CONCATENATE("'Real Input'!",'Real Analysis'!$B$2,A519+2))</f>
        <v>9.8320626900000008</v>
      </c>
      <c r="D519">
        <f t="shared" si="41"/>
        <v>1.9387000007554889E-2</v>
      </c>
      <c r="E519">
        <f ca="1">IF(B519&gt;0,C519-'Real Analysis'!$B$14,0)</f>
        <v>-2.4435112371426371E-2</v>
      </c>
      <c r="F519">
        <f t="shared" ca="1" si="44"/>
        <v>-3.2494103881273599E-2</v>
      </c>
      <c r="G519">
        <f t="shared" ca="1" si="40"/>
        <v>-0.23965112929505006</v>
      </c>
      <c r="H519">
        <f ca="1">IF(AND(B519&gt;'Real Analysis'!$B$31,B519&lt;'Real Analysis'!$B$32),FilterInput(E519,'Real Analysis'!$B$26,'Real Analysis'!$B$27),0)</f>
        <v>0</v>
      </c>
      <c r="I519" t="e">
        <f>MEDIAN2("Real Values",H519,'Real Analysis'!$B$5,2)</f>
        <v>#VALUE!</v>
      </c>
      <c r="J519" t="e">
        <f>AVERAGE2("Real Values",I519,'Real Analysis'!$B$6,2)</f>
        <v>#VALUE!</v>
      </c>
      <c r="K519" t="e">
        <f>INTEGRAL2(J519,$B519,K518,J518,$B518,'Real Analysis'!$B$19)</f>
        <v>#VALUE!</v>
      </c>
      <c r="L519" t="e">
        <f>IF(AND(B519&lt;'Real Analysis'!$B$32,B519&gt;0),INTEGRAL2(K519,$B519,L518,K518,$B518,'Real Analysis'!$B$20),0)</f>
        <v>#VALUE!</v>
      </c>
      <c r="N519">
        <f>'Real Analysis'!$B$28*'Real Input'!U519+IF('Real Input'!U519 &gt; 0,'Real Analysis'!$B$29,0)</f>
        <v>0</v>
      </c>
      <c r="O519" t="e">
        <f t="shared" si="42"/>
        <v>#VALUE!</v>
      </c>
      <c r="P519" t="e">
        <f t="shared" si="43"/>
        <v>#VALUE!</v>
      </c>
    </row>
    <row r="520" spans="1:16" x14ac:dyDescent="0.3">
      <c r="A520">
        <v>518</v>
      </c>
      <c r="B520">
        <f>'Real Input'!M520</f>
        <v>10.41011399999843</v>
      </c>
      <c r="C520">
        <f ca="1">INDIRECT(CONCATENATE("'Real Input'!",'Real Analysis'!$B$2,A520+2))</f>
        <v>9.7460878500000003</v>
      </c>
      <c r="D520">
        <f t="shared" si="41"/>
        <v>1.9017999991774559E-2</v>
      </c>
      <c r="E520">
        <f ca="1">IF(B520&gt;0,C520-'Real Analysis'!$B$14,0)</f>
        <v>-0.11040995237142681</v>
      </c>
      <c r="F520">
        <f t="shared" ca="1" si="44"/>
        <v>-3.4593880354565225E-2</v>
      </c>
      <c r="G520">
        <f t="shared" ca="1" si="40"/>
        <v>-0.24030903571134862</v>
      </c>
      <c r="H520">
        <f ca="1">IF(AND(B520&gt;'Real Analysis'!$B$31,B520&lt;'Real Analysis'!$B$32),FilterInput(E520,'Real Analysis'!$B$26,'Real Analysis'!$B$27),0)</f>
        <v>0</v>
      </c>
      <c r="I520" t="e">
        <f>MEDIAN2("Real Values",H520,'Real Analysis'!$B$5,2)</f>
        <v>#VALUE!</v>
      </c>
      <c r="J520" t="e">
        <f>AVERAGE2("Real Values",I520,'Real Analysis'!$B$6,2)</f>
        <v>#VALUE!</v>
      </c>
      <c r="K520" t="e">
        <f>INTEGRAL2(J520,$B520,K519,J519,$B519,'Real Analysis'!$B$19)</f>
        <v>#VALUE!</v>
      </c>
      <c r="L520" t="e">
        <f>IF(AND(B520&lt;'Real Analysis'!$B$32,B520&gt;0),INTEGRAL2(K520,$B520,L519,K519,$B519,'Real Analysis'!$B$20),0)</f>
        <v>#VALUE!</v>
      </c>
      <c r="N520">
        <f>'Real Analysis'!$B$28*'Real Input'!U520+IF('Real Input'!U520 &gt; 0,'Real Analysis'!$B$29,0)</f>
        <v>0</v>
      </c>
      <c r="O520" t="e">
        <f t="shared" si="42"/>
        <v>#VALUE!</v>
      </c>
      <c r="P520" t="e">
        <f t="shared" si="43"/>
        <v>#VALUE!</v>
      </c>
    </row>
    <row r="521" spans="1:16" x14ac:dyDescent="0.3">
      <c r="A521">
        <v>519</v>
      </c>
      <c r="B521">
        <f>'Real Input'!M521</f>
        <v>10.429852999994182</v>
      </c>
      <c r="C521">
        <f ca="1">INDIRECT(CONCATENATE("'Real Input'!",'Real Analysis'!$B$2,A521+2))</f>
        <v>9.8255880900000019</v>
      </c>
      <c r="D521">
        <f t="shared" si="41"/>
        <v>1.9738999995752238E-2</v>
      </c>
      <c r="E521">
        <f ca="1">IF(B521&gt;0,C521-'Real Analysis'!$B$14,0)</f>
        <v>-3.0909712371425258E-2</v>
      </c>
      <c r="F521">
        <f t="shared" ca="1" si="44"/>
        <v>-3.520400716693349E-2</v>
      </c>
      <c r="G521">
        <f t="shared" ca="1" si="40"/>
        <v>-0.24100392760866718</v>
      </c>
      <c r="H521">
        <f ca="1">IF(AND(B521&gt;'Real Analysis'!$B$31,B521&lt;'Real Analysis'!$B$32),FilterInput(E521,'Real Analysis'!$B$26,'Real Analysis'!$B$27),0)</f>
        <v>0</v>
      </c>
      <c r="I521" t="e">
        <f>MEDIAN2("Real Values",H521,'Real Analysis'!$B$5,2)</f>
        <v>#VALUE!</v>
      </c>
      <c r="J521" t="e">
        <f>AVERAGE2("Real Values",I521,'Real Analysis'!$B$6,2)</f>
        <v>#VALUE!</v>
      </c>
      <c r="K521" t="e">
        <f>INTEGRAL2(J521,$B521,K520,J520,$B520,'Real Analysis'!$B$19)</f>
        <v>#VALUE!</v>
      </c>
      <c r="L521" t="e">
        <f>IF(AND(B521&lt;'Real Analysis'!$B$32,B521&gt;0),INTEGRAL2(K521,$B521,L520,K520,$B520,'Real Analysis'!$B$20),0)</f>
        <v>#VALUE!</v>
      </c>
      <c r="N521">
        <f>'Real Analysis'!$B$28*'Real Input'!U521+IF('Real Input'!U521 &gt; 0,'Real Analysis'!$B$29,0)</f>
        <v>0</v>
      </c>
      <c r="O521" t="e">
        <f t="shared" si="42"/>
        <v>#VALUE!</v>
      </c>
      <c r="P521" t="e">
        <f t="shared" si="43"/>
        <v>#VALUE!</v>
      </c>
    </row>
    <row r="522" spans="1:16" x14ac:dyDescent="0.3">
      <c r="A522">
        <v>520</v>
      </c>
      <c r="B522">
        <f>'Real Input'!M522</f>
        <v>10.445370999994338</v>
      </c>
      <c r="C522">
        <f ca="1">INDIRECT(CONCATENATE("'Real Input'!",'Real Analysis'!$B$2,A522+2))</f>
        <v>9.8424809100000008</v>
      </c>
      <c r="D522">
        <f t="shared" si="41"/>
        <v>1.5518000000156462E-2</v>
      </c>
      <c r="E522">
        <f ca="1">IF(B522&gt;0,C522-'Real Analysis'!$B$14,0)</f>
        <v>-1.4016892371426337E-2</v>
      </c>
      <c r="F522">
        <f t="shared" ca="1" si="44"/>
        <v>-3.5421521302755478E-2</v>
      </c>
      <c r="G522">
        <f t="shared" ca="1" si="40"/>
        <v>-0.24155359877624888</v>
      </c>
      <c r="H522">
        <f ca="1">IF(AND(B522&gt;'Real Analysis'!$B$31,B522&lt;'Real Analysis'!$B$32),FilterInput(E522,'Real Analysis'!$B$26,'Real Analysis'!$B$27),0)</f>
        <v>0</v>
      </c>
      <c r="I522" t="e">
        <f>MEDIAN2("Real Values",H522,'Real Analysis'!$B$5,2)</f>
        <v>#VALUE!</v>
      </c>
      <c r="J522" t="e">
        <f>AVERAGE2("Real Values",I522,'Real Analysis'!$B$6,2)</f>
        <v>#VALUE!</v>
      </c>
      <c r="K522" t="e">
        <f>INTEGRAL2(J522,$B522,K521,J521,$B521,'Real Analysis'!$B$19)</f>
        <v>#VALUE!</v>
      </c>
      <c r="L522" t="e">
        <f>IF(AND(B522&lt;'Real Analysis'!$B$32,B522&gt;0),INTEGRAL2(K522,$B522,L521,K521,$B521,'Real Analysis'!$B$20),0)</f>
        <v>#VALUE!</v>
      </c>
      <c r="N522">
        <f>'Real Analysis'!$B$28*'Real Input'!U522+IF('Real Input'!U522 &gt; 0,'Real Analysis'!$B$29,0)</f>
        <v>0</v>
      </c>
      <c r="O522" t="e">
        <f t="shared" si="42"/>
        <v>#VALUE!</v>
      </c>
      <c r="P522" t="e">
        <f t="shared" si="43"/>
        <v>#VALUE!</v>
      </c>
    </row>
    <row r="523" spans="1:16" x14ac:dyDescent="0.3">
      <c r="A523">
        <v>521</v>
      </c>
      <c r="B523">
        <f>'Real Input'!M523</f>
        <v>10.470939999999246</v>
      </c>
      <c r="C523">
        <f ca="1">INDIRECT(CONCATENATE("'Real Input'!",'Real Analysis'!$B$2,A523+2))</f>
        <v>9.8257744800000015</v>
      </c>
      <c r="D523">
        <f t="shared" si="41"/>
        <v>2.5569000004907139E-2</v>
      </c>
      <c r="E523">
        <f ca="1">IF(B523&gt;0,C523-'Real Analysis'!$B$14,0)</f>
        <v>-3.072332237142561E-2</v>
      </c>
      <c r="F523">
        <f t="shared" ca="1" si="44"/>
        <v>-3.6207085932621223E-2</v>
      </c>
      <c r="G523">
        <f t="shared" ca="1" si="40"/>
        <v>-0.24247937775663775</v>
      </c>
      <c r="H523">
        <f ca="1">IF(AND(B523&gt;'Real Analysis'!$B$31,B523&lt;'Real Analysis'!$B$32),FilterInput(E523,'Real Analysis'!$B$26,'Real Analysis'!$B$27),0)</f>
        <v>0</v>
      </c>
      <c r="I523" t="e">
        <f>MEDIAN2("Real Values",H523,'Real Analysis'!$B$5,2)</f>
        <v>#VALUE!</v>
      </c>
      <c r="J523" t="e">
        <f>AVERAGE2("Real Values",I523,'Real Analysis'!$B$6,2)</f>
        <v>#VALUE!</v>
      </c>
      <c r="K523" t="e">
        <f>INTEGRAL2(J523,$B523,K522,J522,$B522,'Real Analysis'!$B$19)</f>
        <v>#VALUE!</v>
      </c>
      <c r="L523" t="e">
        <f>IF(AND(B523&lt;'Real Analysis'!$B$32,B523&gt;0),INTEGRAL2(K523,$B523,L522,K522,$B522,'Real Analysis'!$B$20),0)</f>
        <v>#VALUE!</v>
      </c>
      <c r="N523">
        <f>'Real Analysis'!$B$28*'Real Input'!U523+IF('Real Input'!U523 &gt; 0,'Real Analysis'!$B$29,0)</f>
        <v>0</v>
      </c>
      <c r="O523" t="e">
        <f t="shared" si="42"/>
        <v>#VALUE!</v>
      </c>
      <c r="P523" t="e">
        <f t="shared" si="43"/>
        <v>#VALUE!</v>
      </c>
    </row>
    <row r="524" spans="1:16" x14ac:dyDescent="0.3">
      <c r="A524">
        <v>522</v>
      </c>
      <c r="B524">
        <f>'Real Input'!M524</f>
        <v>10.490499000006821</v>
      </c>
      <c r="C524">
        <f ca="1">INDIRECT(CONCATENATE("'Real Input'!",'Real Analysis'!$B$2,A524+2))</f>
        <v>9.8489162700000001</v>
      </c>
      <c r="D524">
        <f t="shared" si="41"/>
        <v>1.9559000007575378E-2</v>
      </c>
      <c r="E524">
        <f ca="1">IF(B524&gt;0,C524-'Real Analysis'!$B$14,0)</f>
        <v>-7.5815323714270022E-3</v>
      </c>
      <c r="F524">
        <f t="shared" ca="1" si="44"/>
        <v>-3.6355373124331396E-2</v>
      </c>
      <c r="G524">
        <f t="shared" ca="1" si="40"/>
        <v>-0.24319045249985194</v>
      </c>
      <c r="H524">
        <f ca="1">IF(AND(B524&gt;'Real Analysis'!$B$31,B524&lt;'Real Analysis'!$B$32),FilterInput(E524,'Real Analysis'!$B$26,'Real Analysis'!$B$27),0)</f>
        <v>0</v>
      </c>
      <c r="I524" t="e">
        <f>MEDIAN2("Real Values",H524,'Real Analysis'!$B$5,2)</f>
        <v>#VALUE!</v>
      </c>
      <c r="J524" t="e">
        <f>AVERAGE2("Real Values",I524,'Real Analysis'!$B$6,2)</f>
        <v>#VALUE!</v>
      </c>
      <c r="K524" t="e">
        <f>INTEGRAL2(J524,$B524,K523,J523,$B523,'Real Analysis'!$B$19)</f>
        <v>#VALUE!</v>
      </c>
      <c r="L524" t="e">
        <f>IF(AND(B524&lt;'Real Analysis'!$B$32,B524&gt;0),INTEGRAL2(K524,$B524,L523,K523,$B523,'Real Analysis'!$B$20),0)</f>
        <v>#VALUE!</v>
      </c>
      <c r="N524">
        <f>'Real Analysis'!$B$28*'Real Input'!U524+IF('Real Input'!U524 &gt; 0,'Real Analysis'!$B$29,0)</f>
        <v>0</v>
      </c>
      <c r="O524" t="e">
        <f t="shared" si="42"/>
        <v>#VALUE!</v>
      </c>
      <c r="P524" t="e">
        <f t="shared" si="43"/>
        <v>#VALUE!</v>
      </c>
    </row>
    <row r="525" spans="1:16" x14ac:dyDescent="0.3">
      <c r="A525">
        <v>523</v>
      </c>
      <c r="B525">
        <f>'Real Input'!M525</f>
        <v>10.510519000003114</v>
      </c>
      <c r="C525">
        <f ca="1">INDIRECT(CONCATENATE("'Real Input'!",'Real Analysis'!$B$2,A525+2))</f>
        <v>9.9028418399999989</v>
      </c>
      <c r="D525">
        <f t="shared" si="41"/>
        <v>2.0019999996293336E-2</v>
      </c>
      <c r="E525">
        <f ca="1">IF(B525&gt;0,C525-'Real Analysis'!$B$14,0)</f>
        <v>4.6344037628571755E-2</v>
      </c>
      <c r="F525">
        <f t="shared" ca="1" si="44"/>
        <v>-3.5427565491179168E-2</v>
      </c>
      <c r="G525">
        <f t="shared" ca="1" si="40"/>
        <v>-0.24389971236085403</v>
      </c>
      <c r="H525">
        <f ca="1">IF(AND(B525&gt;'Real Analysis'!$B$31,B525&lt;'Real Analysis'!$B$32),FilterInput(E525,'Real Analysis'!$B$26,'Real Analysis'!$B$27),0)</f>
        <v>0</v>
      </c>
      <c r="I525" t="e">
        <f>MEDIAN2("Real Values",H525,'Real Analysis'!$B$5,2)</f>
        <v>#VALUE!</v>
      </c>
      <c r="J525" t="e">
        <f>AVERAGE2("Real Values",I525,'Real Analysis'!$B$6,2)</f>
        <v>#VALUE!</v>
      </c>
      <c r="K525" t="e">
        <f>INTEGRAL2(J525,$B525,K524,J524,$B524,'Real Analysis'!$B$19)</f>
        <v>#VALUE!</v>
      </c>
      <c r="L525" t="e">
        <f>IF(AND(B525&lt;'Real Analysis'!$B$32,B525&gt;0),INTEGRAL2(K525,$B525,L524,K524,$B524,'Real Analysis'!$B$20),0)</f>
        <v>#VALUE!</v>
      </c>
      <c r="N525">
        <f>'Real Analysis'!$B$28*'Real Input'!U525+IF('Real Input'!U525 &gt; 0,'Real Analysis'!$B$29,0)</f>
        <v>0</v>
      </c>
      <c r="O525" t="e">
        <f t="shared" si="42"/>
        <v>#VALUE!</v>
      </c>
      <c r="P525" t="e">
        <f t="shared" si="43"/>
        <v>#VALUE!</v>
      </c>
    </row>
    <row r="526" spans="1:16" x14ac:dyDescent="0.3">
      <c r="A526">
        <v>524</v>
      </c>
      <c r="B526">
        <f>'Real Input'!M526</f>
        <v>10.522169000003487</v>
      </c>
      <c r="C526">
        <f ca="1">INDIRECT(CONCATENATE("'Real Input'!",'Real Analysis'!$B$2,A526+2))</f>
        <v>9.7558389900000009</v>
      </c>
      <c r="D526">
        <f t="shared" si="41"/>
        <v>1.1650000000372529E-2</v>
      </c>
      <c r="E526">
        <f ca="1">IF(B526&gt;0,C526-'Real Analysis'!$B$14,0)</f>
        <v>-0.10065881237142627</v>
      </c>
      <c r="F526">
        <f t="shared" ca="1" si="44"/>
        <v>-3.6600240655343785E-2</v>
      </c>
      <c r="G526">
        <f t="shared" ca="1" si="40"/>
        <v>-0.24432610516450243</v>
      </c>
      <c r="H526">
        <f ca="1">IF(AND(B526&gt;'Real Analysis'!$B$31,B526&lt;'Real Analysis'!$B$32),FilterInput(E526,'Real Analysis'!$B$26,'Real Analysis'!$B$27),0)</f>
        <v>0</v>
      </c>
      <c r="I526" t="e">
        <f>MEDIAN2("Real Values",H526,'Real Analysis'!$B$5,2)</f>
        <v>#VALUE!</v>
      </c>
      <c r="J526" t="e">
        <f>AVERAGE2("Real Values",I526,'Real Analysis'!$B$6,2)</f>
        <v>#VALUE!</v>
      </c>
      <c r="K526" t="e">
        <f>INTEGRAL2(J526,$B526,K525,J525,$B525,'Real Analysis'!$B$19)</f>
        <v>#VALUE!</v>
      </c>
      <c r="L526" t="e">
        <f>IF(AND(B526&lt;'Real Analysis'!$B$32,B526&gt;0),INTEGRAL2(K526,$B526,L525,K525,$B525,'Real Analysis'!$B$20),0)</f>
        <v>#VALUE!</v>
      </c>
      <c r="N526">
        <f>'Real Analysis'!$B$28*'Real Input'!U526+IF('Real Input'!U526 &gt; 0,'Real Analysis'!$B$29,0)</f>
        <v>0</v>
      </c>
      <c r="O526" t="e">
        <f t="shared" si="42"/>
        <v>#VALUE!</v>
      </c>
      <c r="P526" t="e">
        <f t="shared" si="43"/>
        <v>#VALUE!</v>
      </c>
    </row>
    <row r="527" spans="1:16" x14ac:dyDescent="0.3">
      <c r="A527">
        <v>525</v>
      </c>
      <c r="B527">
        <f>'Real Input'!M527</f>
        <v>10.552653000006103</v>
      </c>
      <c r="C527">
        <f ca="1">INDIRECT(CONCATENATE("'Real Input'!",'Real Analysis'!$B$2,A527+2))</f>
        <v>9.7926166800000001</v>
      </c>
      <c r="D527">
        <f t="shared" si="41"/>
        <v>3.0484000002616085E-2</v>
      </c>
      <c r="E527">
        <f ca="1">IF(B527&gt;0,C527-'Real Analysis'!$B$14,0)</f>
        <v>-6.3881122371427068E-2</v>
      </c>
      <c r="F527">
        <f t="shared" ca="1" si="44"/>
        <v>-3.8547592789881485E-2</v>
      </c>
      <c r="G527">
        <f t="shared" ca="1" si="40"/>
        <v>-0.24550118998321002</v>
      </c>
      <c r="H527">
        <f ca="1">IF(AND(B527&gt;'Real Analysis'!$B$31,B527&lt;'Real Analysis'!$B$32),FilterInput(E527,'Real Analysis'!$B$26,'Real Analysis'!$B$27),0)</f>
        <v>0</v>
      </c>
      <c r="I527" t="e">
        <f>MEDIAN2("Real Values",H527,'Real Analysis'!$B$5,2)</f>
        <v>#VALUE!</v>
      </c>
      <c r="J527" t="e">
        <f>AVERAGE2("Real Values",I527,'Real Analysis'!$B$6,2)</f>
        <v>#VALUE!</v>
      </c>
      <c r="K527" t="e">
        <f>INTEGRAL2(J527,$B527,K526,J526,$B526,'Real Analysis'!$B$19)</f>
        <v>#VALUE!</v>
      </c>
      <c r="L527" t="e">
        <f>IF(AND(B527&lt;'Real Analysis'!$B$32,B527&gt;0),INTEGRAL2(K527,$B527,L526,K526,$B526,'Real Analysis'!$B$20),0)</f>
        <v>#VALUE!</v>
      </c>
      <c r="N527">
        <f>'Real Analysis'!$B$28*'Real Input'!U527+IF('Real Input'!U527 &gt; 0,'Real Analysis'!$B$29,0)</f>
        <v>0</v>
      </c>
      <c r="O527" t="e">
        <f t="shared" si="42"/>
        <v>#VALUE!</v>
      </c>
      <c r="P527" t="e">
        <f t="shared" si="43"/>
        <v>#VALUE!</v>
      </c>
    </row>
    <row r="528" spans="1:16" x14ac:dyDescent="0.3">
      <c r="A528">
        <v>526</v>
      </c>
      <c r="B528">
        <f>'Real Input'!M528</f>
        <v>10.571588999999221</v>
      </c>
      <c r="C528">
        <f ca="1">INDIRECT(CONCATENATE("'Real Input'!",'Real Analysis'!$B$2,A528+2))</f>
        <v>9.8088424200000013</v>
      </c>
      <c r="D528">
        <f t="shared" si="41"/>
        <v>1.8935999993118457E-2</v>
      </c>
      <c r="E528">
        <f ca="1">IF(B528&gt;0,C528-'Real Analysis'!$B$14,0)</f>
        <v>-4.7655382371425858E-2</v>
      </c>
      <c r="F528">
        <f t="shared" ca="1" si="44"/>
        <v>-3.9449995110138865E-2</v>
      </c>
      <c r="G528">
        <f t="shared" ca="1" si="40"/>
        <v>-0.24624821509034414</v>
      </c>
      <c r="H528">
        <f ca="1">IF(AND(B528&gt;'Real Analysis'!$B$31,B528&lt;'Real Analysis'!$B$32),FilterInput(E528,'Real Analysis'!$B$26,'Real Analysis'!$B$27),0)</f>
        <v>0</v>
      </c>
      <c r="I528" t="e">
        <f>MEDIAN2("Real Values",H528,'Real Analysis'!$B$5,2)</f>
        <v>#VALUE!</v>
      </c>
      <c r="J528" t="e">
        <f>AVERAGE2("Real Values",I528,'Real Analysis'!$B$6,2)</f>
        <v>#VALUE!</v>
      </c>
      <c r="K528" t="e">
        <f>INTEGRAL2(J528,$B528,K527,J527,$B527,'Real Analysis'!$B$19)</f>
        <v>#VALUE!</v>
      </c>
      <c r="L528" t="e">
        <f>IF(AND(B528&lt;'Real Analysis'!$B$32,B528&gt;0),INTEGRAL2(K528,$B528,L527,K527,$B527,'Real Analysis'!$B$20),0)</f>
        <v>#VALUE!</v>
      </c>
      <c r="N528">
        <f>'Real Analysis'!$B$28*'Real Input'!U528+IF('Real Input'!U528 &gt; 0,'Real Analysis'!$B$29,0)</f>
        <v>0</v>
      </c>
      <c r="O528" t="e">
        <f t="shared" si="42"/>
        <v>#VALUE!</v>
      </c>
      <c r="P528" t="e">
        <f t="shared" si="43"/>
        <v>#VALUE!</v>
      </c>
    </row>
    <row r="529" spans="1:16" x14ac:dyDescent="0.3">
      <c r="A529">
        <v>527</v>
      </c>
      <c r="B529">
        <f>'Real Input'!M529</f>
        <v>10.591409000000567</v>
      </c>
      <c r="C529">
        <f ca="1">INDIRECT(CONCATENATE("'Real Input'!",'Real Analysis'!$B$2,A529+2))</f>
        <v>9.9034304400000011</v>
      </c>
      <c r="D529">
        <f t="shared" si="41"/>
        <v>1.9820000001345761E-2</v>
      </c>
      <c r="E529">
        <f ca="1">IF(B529&gt;0,C529-'Real Analysis'!$B$14,0)</f>
        <v>4.6932637628573914E-2</v>
      </c>
      <c r="F529">
        <f t="shared" ca="1" si="44"/>
        <v>-3.8519790232277369E-2</v>
      </c>
      <c r="G529">
        <f t="shared" ca="1" si="40"/>
        <v>-0.24701167733279972</v>
      </c>
      <c r="H529">
        <f ca="1">IF(AND(B529&gt;'Real Analysis'!$B$31,B529&lt;'Real Analysis'!$B$32),FilterInput(E529,'Real Analysis'!$B$26,'Real Analysis'!$B$27),0)</f>
        <v>0</v>
      </c>
      <c r="I529" t="e">
        <f>MEDIAN2("Real Values",H529,'Real Analysis'!$B$5,2)</f>
        <v>#VALUE!</v>
      </c>
      <c r="J529" t="e">
        <f>AVERAGE2("Real Values",I529,'Real Analysis'!$B$6,2)</f>
        <v>#VALUE!</v>
      </c>
      <c r="K529" t="e">
        <f>INTEGRAL2(J529,$B529,K528,J528,$B528,'Real Analysis'!$B$19)</f>
        <v>#VALUE!</v>
      </c>
      <c r="L529" t="e">
        <f>IF(AND(B529&lt;'Real Analysis'!$B$32,B529&gt;0),INTEGRAL2(K529,$B529,L528,K528,$B528,'Real Analysis'!$B$20),0)</f>
        <v>#VALUE!</v>
      </c>
      <c r="N529">
        <f>'Real Analysis'!$B$28*'Real Input'!U529+IF('Real Input'!U529 &gt; 0,'Real Analysis'!$B$29,0)</f>
        <v>0</v>
      </c>
      <c r="O529" t="e">
        <f t="shared" si="42"/>
        <v>#VALUE!</v>
      </c>
      <c r="P529" t="e">
        <f t="shared" si="43"/>
        <v>#VALUE!</v>
      </c>
    </row>
    <row r="530" spans="1:16" x14ac:dyDescent="0.3">
      <c r="A530">
        <v>528</v>
      </c>
      <c r="B530">
        <f>'Real Input'!M530</f>
        <v>10.608141999997315</v>
      </c>
      <c r="C530">
        <f ca="1">INDIRECT(CONCATENATE("'Real Input'!",'Real Analysis'!$B$2,A530+2))</f>
        <v>9.8254801800000013</v>
      </c>
      <c r="D530">
        <f t="shared" si="41"/>
        <v>1.6732999996747822E-2</v>
      </c>
      <c r="E530">
        <f ca="1">IF(B530&gt;0,C530-'Real Analysis'!$B$14,0)</f>
        <v>-3.1017622371425801E-2</v>
      </c>
      <c r="F530">
        <f t="shared" ca="1" si="44"/>
        <v>-3.9038808107317559E-2</v>
      </c>
      <c r="G530">
        <f t="shared" ca="1" si="40"/>
        <v>-0.2476649137087325</v>
      </c>
      <c r="H530">
        <f ca="1">IF(AND(B530&gt;'Real Analysis'!$B$31,B530&lt;'Real Analysis'!$B$32),FilterInput(E530,'Real Analysis'!$B$26,'Real Analysis'!$B$27),0)</f>
        <v>0</v>
      </c>
      <c r="I530" t="e">
        <f>MEDIAN2("Real Values",H530,'Real Analysis'!$B$5,2)</f>
        <v>#VALUE!</v>
      </c>
      <c r="J530" t="e">
        <f>AVERAGE2("Real Values",I530,'Real Analysis'!$B$6,2)</f>
        <v>#VALUE!</v>
      </c>
      <c r="K530" t="e">
        <f>INTEGRAL2(J530,$B530,K529,J529,$B529,'Real Analysis'!$B$19)</f>
        <v>#VALUE!</v>
      </c>
      <c r="L530" t="e">
        <f>IF(AND(B530&lt;'Real Analysis'!$B$32,B530&gt;0),INTEGRAL2(K530,$B530,L529,K529,$B529,'Real Analysis'!$B$20),0)</f>
        <v>#VALUE!</v>
      </c>
      <c r="N530">
        <f>'Real Analysis'!$B$28*'Real Input'!U530+IF('Real Input'!U530 &gt; 0,'Real Analysis'!$B$29,0)</f>
        <v>0</v>
      </c>
      <c r="O530" t="e">
        <f t="shared" si="42"/>
        <v>#VALUE!</v>
      </c>
      <c r="P530" t="e">
        <f t="shared" si="43"/>
        <v>#VALUE!</v>
      </c>
    </row>
    <row r="531" spans="1:16" x14ac:dyDescent="0.3">
      <c r="A531">
        <v>529</v>
      </c>
      <c r="B531">
        <f>'Real Input'!M531</f>
        <v>10.629788000005647</v>
      </c>
      <c r="C531">
        <f ca="1">INDIRECT(CONCATENATE("'Real Input'!",'Real Analysis'!$B$2,A531+2))</f>
        <v>9.89216856</v>
      </c>
      <c r="D531">
        <f t="shared" si="41"/>
        <v>2.1646000008331612E-2</v>
      </c>
      <c r="E531">
        <f ca="1">IF(B531&gt;0,C531-'Real Analysis'!$B$14,0)</f>
        <v>3.5670757628572858E-2</v>
      </c>
      <c r="F531">
        <f t="shared" ca="1" si="44"/>
        <v>-3.8266678887392276E-2</v>
      </c>
      <c r="G531">
        <f t="shared" ca="1" si="40"/>
        <v>-0.24849323424024783</v>
      </c>
      <c r="H531">
        <f ca="1">IF(AND(B531&gt;'Real Analysis'!$B$31,B531&lt;'Real Analysis'!$B$32),FilterInput(E531,'Real Analysis'!$B$26,'Real Analysis'!$B$27),0)</f>
        <v>0</v>
      </c>
      <c r="I531" t="e">
        <f>MEDIAN2("Real Values",H531,'Real Analysis'!$B$5,2)</f>
        <v>#VALUE!</v>
      </c>
      <c r="J531" t="e">
        <f>AVERAGE2("Real Values",I531,'Real Analysis'!$B$6,2)</f>
        <v>#VALUE!</v>
      </c>
      <c r="K531" t="e">
        <f>INTEGRAL2(J531,$B531,K530,J530,$B530,'Real Analysis'!$B$19)</f>
        <v>#VALUE!</v>
      </c>
      <c r="L531" t="e">
        <f>IF(AND(B531&lt;'Real Analysis'!$B$32,B531&gt;0),INTEGRAL2(K531,$B531,L530,K530,$B530,'Real Analysis'!$B$20),0)</f>
        <v>#VALUE!</v>
      </c>
      <c r="N531">
        <f>'Real Analysis'!$B$28*'Real Input'!U531+IF('Real Input'!U531 &gt; 0,'Real Analysis'!$B$29,0)</f>
        <v>0</v>
      </c>
      <c r="O531" t="e">
        <f t="shared" si="42"/>
        <v>#VALUE!</v>
      </c>
      <c r="P531" t="e">
        <f t="shared" si="43"/>
        <v>#VALUE!</v>
      </c>
    </row>
    <row r="532" spans="1:16" x14ac:dyDescent="0.3">
      <c r="A532">
        <v>530</v>
      </c>
      <c r="B532">
        <f>'Real Input'!M532</f>
        <v>10.650997000004281</v>
      </c>
      <c r="C532">
        <f ca="1">INDIRECT(CONCATENATE("'Real Input'!",'Real Analysis'!$B$2,A532+2))</f>
        <v>9.9079528499999991</v>
      </c>
      <c r="D532">
        <f t="shared" si="41"/>
        <v>2.1208999998634681E-2</v>
      </c>
      <c r="E532">
        <f ca="1">IF(B532&gt;0,C532-'Real Analysis'!$B$14,0)</f>
        <v>5.1455047628572004E-2</v>
      </c>
      <c r="F532">
        <f t="shared" ca="1" si="44"/>
        <v>-3.7175368782308142E-2</v>
      </c>
      <c r="G532">
        <f t="shared" ca="1" si="40"/>
        <v>-0.24928168663670106</v>
      </c>
      <c r="H532">
        <f ca="1">IF(AND(B532&gt;'Real Analysis'!$B$31,B532&lt;'Real Analysis'!$B$32),FilterInput(E532,'Real Analysis'!$B$26,'Real Analysis'!$B$27),0)</f>
        <v>0</v>
      </c>
      <c r="I532" t="e">
        <f>MEDIAN2("Real Values",H532,'Real Analysis'!$B$5,2)</f>
        <v>#VALUE!</v>
      </c>
      <c r="J532" t="e">
        <f>AVERAGE2("Real Values",I532,'Real Analysis'!$B$6,2)</f>
        <v>#VALUE!</v>
      </c>
      <c r="K532" t="e">
        <f>INTEGRAL2(J532,$B532,K531,J531,$B531,'Real Analysis'!$B$19)</f>
        <v>#VALUE!</v>
      </c>
      <c r="L532" t="e">
        <f>IF(AND(B532&lt;'Real Analysis'!$B$32,B532&gt;0),INTEGRAL2(K532,$B532,L531,K531,$B531,'Real Analysis'!$B$20),0)</f>
        <v>#VALUE!</v>
      </c>
      <c r="N532">
        <f>'Real Analysis'!$B$28*'Real Input'!U532+IF('Real Input'!U532 &gt; 0,'Real Analysis'!$B$29,0)</f>
        <v>0</v>
      </c>
      <c r="O532" t="e">
        <f t="shared" si="42"/>
        <v>#VALUE!</v>
      </c>
      <c r="P532" t="e">
        <f t="shared" si="43"/>
        <v>#VALUE!</v>
      </c>
    </row>
    <row r="533" spans="1:16" x14ac:dyDescent="0.3">
      <c r="A533">
        <v>531</v>
      </c>
      <c r="B533">
        <f>'Real Input'!M533</f>
        <v>10.666129999997793</v>
      </c>
      <c r="C533">
        <f ca="1">INDIRECT(CONCATENATE("'Real Input'!",'Real Analysis'!$B$2,A533+2))</f>
        <v>9.9064126800000007</v>
      </c>
      <c r="D533">
        <f t="shared" si="41"/>
        <v>1.5132999993511476E-2</v>
      </c>
      <c r="E533">
        <f ca="1">IF(B533&gt;0,C533-'Real Analysis'!$B$14,0)</f>
        <v>4.9914877628573606E-2</v>
      </c>
      <c r="F533">
        <f t="shared" ca="1" si="44"/>
        <v>-3.6420006939478812E-2</v>
      </c>
      <c r="G533">
        <f t="shared" ca="1" si="40"/>
        <v>-0.24983283060147987</v>
      </c>
      <c r="H533">
        <f ca="1">IF(AND(B533&gt;'Real Analysis'!$B$31,B533&lt;'Real Analysis'!$B$32),FilterInput(E533,'Real Analysis'!$B$26,'Real Analysis'!$B$27),0)</f>
        <v>0</v>
      </c>
      <c r="I533" t="e">
        <f>MEDIAN2("Real Values",H533,'Real Analysis'!$B$5,2)</f>
        <v>#VALUE!</v>
      </c>
      <c r="J533" t="e">
        <f>AVERAGE2("Real Values",I533,'Real Analysis'!$B$6,2)</f>
        <v>#VALUE!</v>
      </c>
      <c r="K533" t="e">
        <f>INTEGRAL2(J533,$B533,K532,J532,$B532,'Real Analysis'!$B$19)</f>
        <v>#VALUE!</v>
      </c>
      <c r="L533" t="e">
        <f>IF(AND(B533&lt;'Real Analysis'!$B$32,B533&gt;0),INTEGRAL2(K533,$B533,L532,K532,$B532,'Real Analysis'!$B$20),0)</f>
        <v>#VALUE!</v>
      </c>
      <c r="N533">
        <f>'Real Analysis'!$B$28*'Real Input'!U533+IF('Real Input'!U533 &gt; 0,'Real Analysis'!$B$29,0)</f>
        <v>0</v>
      </c>
      <c r="O533" t="e">
        <f t="shared" si="42"/>
        <v>#VALUE!</v>
      </c>
      <c r="P533" t="e">
        <f t="shared" si="43"/>
        <v>#VALUE!</v>
      </c>
    </row>
    <row r="534" spans="1:16" x14ac:dyDescent="0.3">
      <c r="A534">
        <v>532</v>
      </c>
      <c r="B534">
        <f>'Real Input'!M534</f>
        <v>10.691508999996586</v>
      </c>
      <c r="C534">
        <f ca="1">INDIRECT(CONCATENATE("'Real Input'!",'Real Analysis'!$B$2,A534+2))</f>
        <v>9.8715871800000006</v>
      </c>
      <c r="D534">
        <f t="shared" si="41"/>
        <v>2.5378999998793006E-2</v>
      </c>
      <c r="E534">
        <f ca="1">IF(B534&gt;0,C534-'Real Analysis'!$B$14,0)</f>
        <v>1.508937762857343E-2</v>
      </c>
      <c r="F534">
        <f t="shared" ca="1" si="44"/>
        <v>-3.6037053624661461E-2</v>
      </c>
      <c r="G534">
        <f t="shared" ca="1" si="40"/>
        <v>-0.25074741498537667</v>
      </c>
      <c r="H534">
        <f ca="1">IF(AND(B534&gt;'Real Analysis'!$B$31,B534&lt;'Real Analysis'!$B$32),FilterInput(E534,'Real Analysis'!$B$26,'Real Analysis'!$B$27),0)</f>
        <v>0</v>
      </c>
      <c r="I534" t="e">
        <f>MEDIAN2("Real Values",H534,'Real Analysis'!$B$5,2)</f>
        <v>#VALUE!</v>
      </c>
      <c r="J534" t="e">
        <f>AVERAGE2("Real Values",I534,'Real Analysis'!$B$6,2)</f>
        <v>#VALUE!</v>
      </c>
      <c r="K534" t="e">
        <f>INTEGRAL2(J534,$B534,K533,J533,$B533,'Real Analysis'!$B$19)</f>
        <v>#VALUE!</v>
      </c>
      <c r="L534" t="e">
        <f>IF(AND(B534&lt;'Real Analysis'!$B$32,B534&gt;0),INTEGRAL2(K534,$B534,L533,K533,$B533,'Real Analysis'!$B$20),0)</f>
        <v>#VALUE!</v>
      </c>
      <c r="N534">
        <f>'Real Analysis'!$B$28*'Real Input'!U534+IF('Real Input'!U534 &gt; 0,'Real Analysis'!$B$29,0)</f>
        <v>0</v>
      </c>
      <c r="O534" t="e">
        <f t="shared" si="42"/>
        <v>#VALUE!</v>
      </c>
      <c r="P534" t="e">
        <f t="shared" si="43"/>
        <v>#VALUE!</v>
      </c>
    </row>
    <row r="535" spans="1:16" x14ac:dyDescent="0.3">
      <c r="A535">
        <v>533</v>
      </c>
      <c r="B535">
        <f>'Real Input'!M535</f>
        <v>10.711544999998296</v>
      </c>
      <c r="C535">
        <f ca="1">INDIRECT(CONCATENATE("'Real Input'!",'Real Analysis'!$B$2,A535+2))</f>
        <v>9.8095487400000003</v>
      </c>
      <c r="D535">
        <f t="shared" si="41"/>
        <v>2.0036000001709908E-2</v>
      </c>
      <c r="E535">
        <f ca="1">IF(B535&gt;0,C535-'Real Analysis'!$B$14,0)</f>
        <v>-4.694906237142682E-2</v>
      </c>
      <c r="F535">
        <f t="shared" ca="1" si="44"/>
        <v>-3.6977725038415649E-2</v>
      </c>
      <c r="G535">
        <f t="shared" ca="1" si="40"/>
        <v>-0.25148830068430961</v>
      </c>
      <c r="H535">
        <f ca="1">IF(AND(B535&gt;'Real Analysis'!$B$31,B535&lt;'Real Analysis'!$B$32),FilterInput(E535,'Real Analysis'!$B$26,'Real Analysis'!$B$27),0)</f>
        <v>0</v>
      </c>
      <c r="I535" t="e">
        <f>MEDIAN2("Real Values",H535,'Real Analysis'!$B$5,2)</f>
        <v>#VALUE!</v>
      </c>
      <c r="J535" t="e">
        <f>AVERAGE2("Real Values",I535,'Real Analysis'!$B$6,2)</f>
        <v>#VALUE!</v>
      </c>
      <c r="K535" t="e">
        <f>INTEGRAL2(J535,$B535,K534,J534,$B534,'Real Analysis'!$B$19)</f>
        <v>#VALUE!</v>
      </c>
      <c r="L535" t="e">
        <f>IF(AND(B535&lt;'Real Analysis'!$B$32,B535&gt;0),INTEGRAL2(K535,$B535,L534,K534,$B534,'Real Analysis'!$B$20),0)</f>
        <v>#VALUE!</v>
      </c>
      <c r="N535">
        <f>'Real Analysis'!$B$28*'Real Input'!U535+IF('Real Input'!U535 &gt; 0,'Real Analysis'!$B$29,0)</f>
        <v>0</v>
      </c>
      <c r="O535" t="e">
        <f t="shared" si="42"/>
        <v>#VALUE!</v>
      </c>
      <c r="P535" t="e">
        <f t="shared" si="43"/>
        <v>#VALUE!</v>
      </c>
    </row>
    <row r="536" spans="1:16" x14ac:dyDescent="0.3">
      <c r="A536">
        <v>534</v>
      </c>
      <c r="B536">
        <f>'Real Input'!M536</f>
        <v>10.731562999993912</v>
      </c>
      <c r="C536">
        <f ca="1">INDIRECT(CONCATENATE("'Real Input'!",'Real Analysis'!$B$2,A536+2))</f>
        <v>9.8886958200000006</v>
      </c>
      <c r="D536">
        <f t="shared" si="41"/>
        <v>2.0017999995616265E-2</v>
      </c>
      <c r="E536">
        <f ca="1">IF(B536&gt;0,C536-'Real Analysis'!$B$14,0)</f>
        <v>3.2198017628573439E-2</v>
      </c>
      <c r="F536">
        <f t="shared" ca="1" si="44"/>
        <v>-3.6333185121668013E-2</v>
      </c>
      <c r="G536">
        <f t="shared" ca="1" si="40"/>
        <v>-0.25221561838391587</v>
      </c>
      <c r="H536">
        <f ca="1">IF(AND(B536&gt;'Real Analysis'!$B$31,B536&lt;'Real Analysis'!$B$32),FilterInput(E536,'Real Analysis'!$B$26,'Real Analysis'!$B$27),0)</f>
        <v>0</v>
      </c>
      <c r="I536" t="e">
        <f>MEDIAN2("Real Values",H536,'Real Analysis'!$B$5,2)</f>
        <v>#VALUE!</v>
      </c>
      <c r="J536" t="e">
        <f>AVERAGE2("Real Values",I536,'Real Analysis'!$B$6,2)</f>
        <v>#VALUE!</v>
      </c>
      <c r="K536" t="e">
        <f>INTEGRAL2(J536,$B536,K535,J535,$B535,'Real Analysis'!$B$19)</f>
        <v>#VALUE!</v>
      </c>
      <c r="L536" t="e">
        <f>IF(AND(B536&lt;'Real Analysis'!$B$32,B536&gt;0),INTEGRAL2(K536,$B536,L535,K535,$B535,'Real Analysis'!$B$20),0)</f>
        <v>#VALUE!</v>
      </c>
      <c r="N536">
        <f>'Real Analysis'!$B$28*'Real Input'!U536+IF('Real Input'!U536 &gt; 0,'Real Analysis'!$B$29,0)</f>
        <v>0</v>
      </c>
      <c r="O536" t="e">
        <f t="shared" si="42"/>
        <v>#VALUE!</v>
      </c>
      <c r="P536" t="e">
        <f t="shared" si="43"/>
        <v>#VALUE!</v>
      </c>
    </row>
    <row r="537" spans="1:16" x14ac:dyDescent="0.3">
      <c r="A537">
        <v>535</v>
      </c>
      <c r="B537">
        <f>'Real Input'!M537</f>
        <v>10.752687999993213</v>
      </c>
      <c r="C537">
        <f ca="1">INDIRECT(CONCATENATE("'Real Input'!",'Real Analysis'!$B$2,A537+2))</f>
        <v>9.9559335600000001</v>
      </c>
      <c r="D537">
        <f t="shared" si="41"/>
        <v>2.1124999999301508E-2</v>
      </c>
      <c r="E537">
        <f ca="1">IF(B537&gt;0,C537-'Real Analysis'!$B$14,0)</f>
        <v>9.9435757628572929E-2</v>
      </c>
      <c r="F537">
        <f t="shared" ca="1" si="44"/>
        <v>-3.4232604741833865E-2</v>
      </c>
      <c r="G537">
        <f t="shared" ca="1" si="40"/>
        <v>-0.25293878215906318</v>
      </c>
      <c r="H537">
        <f ca="1">IF(AND(B537&gt;'Real Analysis'!$B$31,B537&lt;'Real Analysis'!$B$32),FilterInput(E537,'Real Analysis'!$B$26,'Real Analysis'!$B$27),0)</f>
        <v>0</v>
      </c>
      <c r="I537" t="e">
        <f>MEDIAN2("Real Values",H537,'Real Analysis'!$B$5,2)</f>
        <v>#VALUE!</v>
      </c>
      <c r="J537" t="e">
        <f>AVERAGE2("Real Values",I537,'Real Analysis'!$B$6,2)</f>
        <v>#VALUE!</v>
      </c>
      <c r="K537" t="e">
        <f>INTEGRAL2(J537,$B537,K536,J536,$B536,'Real Analysis'!$B$19)</f>
        <v>#VALUE!</v>
      </c>
      <c r="L537" t="e">
        <f>IF(AND(B537&lt;'Real Analysis'!$B$32,B537&gt;0),INTEGRAL2(K537,$B537,L536,K536,$B536,'Real Analysis'!$B$20),0)</f>
        <v>#VALUE!</v>
      </c>
      <c r="N537">
        <f>'Real Analysis'!$B$28*'Real Input'!U537+IF('Real Input'!U537 &gt; 0,'Real Analysis'!$B$29,0)</f>
        <v>0</v>
      </c>
      <c r="O537" t="e">
        <f t="shared" si="42"/>
        <v>#VALUE!</v>
      </c>
      <c r="P537" t="e">
        <f t="shared" si="43"/>
        <v>#VALUE!</v>
      </c>
    </row>
    <row r="538" spans="1:16" x14ac:dyDescent="0.3">
      <c r="A538">
        <v>536</v>
      </c>
      <c r="B538">
        <f>'Real Input'!M538</f>
        <v>10.768247999993037</v>
      </c>
      <c r="C538">
        <f ca="1">INDIRECT(CONCATENATE("'Real Input'!",'Real Analysis'!$B$2,A538+2))</f>
        <v>9.7801285500000006</v>
      </c>
      <c r="D538">
        <f t="shared" si="41"/>
        <v>1.5559999999823049E-2</v>
      </c>
      <c r="E538">
        <f ca="1">IF(B538&gt;0,C538-'Real Analysis'!$B$14,0)</f>
        <v>-7.6369252371426555E-2</v>
      </c>
      <c r="F538">
        <f t="shared" ca="1" si="44"/>
        <v>-3.5420910308719751E-2</v>
      </c>
      <c r="G538">
        <f t="shared" ca="1" si="40"/>
        <v>-0.25348993152346061</v>
      </c>
      <c r="H538">
        <f ca="1">IF(AND(B538&gt;'Real Analysis'!$B$31,B538&lt;'Real Analysis'!$B$32),FilterInput(E538,'Real Analysis'!$B$26,'Real Analysis'!$B$27),0)</f>
        <v>0</v>
      </c>
      <c r="I538" t="e">
        <f>MEDIAN2("Real Values",H538,'Real Analysis'!$B$5,2)</f>
        <v>#VALUE!</v>
      </c>
      <c r="J538" t="e">
        <f>AVERAGE2("Real Values",I538,'Real Analysis'!$B$6,2)</f>
        <v>#VALUE!</v>
      </c>
      <c r="K538" t="e">
        <f>INTEGRAL2(J538,$B538,K537,J537,$B537,'Real Analysis'!$B$19)</f>
        <v>#VALUE!</v>
      </c>
      <c r="L538" t="e">
        <f>IF(AND(B538&lt;'Real Analysis'!$B$32,B538&gt;0),INTEGRAL2(K538,$B538,L537,K537,$B537,'Real Analysis'!$B$20),0)</f>
        <v>#VALUE!</v>
      </c>
      <c r="N538">
        <f>'Real Analysis'!$B$28*'Real Input'!U538+IF('Real Input'!U538 &gt; 0,'Real Analysis'!$B$29,0)</f>
        <v>0</v>
      </c>
      <c r="O538" t="e">
        <f t="shared" si="42"/>
        <v>#VALUE!</v>
      </c>
      <c r="P538" t="e">
        <f t="shared" si="43"/>
        <v>#VALUE!</v>
      </c>
    </row>
    <row r="539" spans="1:16" x14ac:dyDescent="0.3">
      <c r="A539">
        <v>537</v>
      </c>
      <c r="B539">
        <f>'Real Input'!M539</f>
        <v>10.792191000000457</v>
      </c>
      <c r="C539">
        <f ca="1">INDIRECT(CONCATENATE("'Real Input'!",'Real Analysis'!$B$2,A539+2))</f>
        <v>9.7760672100000008</v>
      </c>
      <c r="D539">
        <f t="shared" si="41"/>
        <v>2.3943000007420778E-2</v>
      </c>
      <c r="E539">
        <f ca="1">IF(B539&gt;0,C539-'Real Analysis'!$B$14,0)</f>
        <v>-8.0430592371426357E-2</v>
      </c>
      <c r="F539">
        <f t="shared" ca="1" si="44"/>
        <v>-3.7346659982465669E-2</v>
      </c>
      <c r="G539">
        <f t="shared" ca="1" si="40"/>
        <v>-0.25438412260369792</v>
      </c>
      <c r="H539">
        <f ca="1">IF(AND(B539&gt;'Real Analysis'!$B$31,B539&lt;'Real Analysis'!$B$32),FilterInput(E539,'Real Analysis'!$B$26,'Real Analysis'!$B$27),0)</f>
        <v>0</v>
      </c>
      <c r="I539" t="e">
        <f>MEDIAN2("Real Values",H539,'Real Analysis'!$B$5,2)</f>
        <v>#VALUE!</v>
      </c>
      <c r="J539" t="e">
        <f>AVERAGE2("Real Values",I539,'Real Analysis'!$B$6,2)</f>
        <v>#VALUE!</v>
      </c>
      <c r="K539" t="e">
        <f>INTEGRAL2(J539,$B539,K538,J538,$B538,'Real Analysis'!$B$19)</f>
        <v>#VALUE!</v>
      </c>
      <c r="L539" t="e">
        <f>IF(AND(B539&lt;'Real Analysis'!$B$32,B539&gt;0),INTEGRAL2(K539,$B539,L538,K538,$B538,'Real Analysis'!$B$20),0)</f>
        <v>#VALUE!</v>
      </c>
      <c r="N539">
        <f>'Real Analysis'!$B$28*'Real Input'!U539+IF('Real Input'!U539 &gt; 0,'Real Analysis'!$B$29,0)</f>
        <v>0</v>
      </c>
      <c r="O539" t="e">
        <f t="shared" si="42"/>
        <v>#VALUE!</v>
      </c>
      <c r="P539" t="e">
        <f t="shared" si="43"/>
        <v>#VALUE!</v>
      </c>
    </row>
    <row r="540" spans="1:16" x14ac:dyDescent="0.3">
      <c r="A540">
        <v>538</v>
      </c>
      <c r="B540">
        <f>'Real Input'!M540</f>
        <v>10.812338000003365</v>
      </c>
      <c r="C540">
        <f ca="1">INDIRECT(CONCATENATE("'Real Input'!",'Real Analysis'!$B$2,A540+2))</f>
        <v>9.9441419399999997</v>
      </c>
      <c r="D540">
        <f t="shared" si="41"/>
        <v>2.0147000002907589E-2</v>
      </c>
      <c r="E540">
        <f ca="1">IF(B540&gt;0,C540-'Real Analysis'!$B$14,0)</f>
        <v>8.7644137628572594E-2</v>
      </c>
      <c r="F540">
        <f t="shared" ca="1" si="44"/>
        <v>-3.5580893541407983E-2</v>
      </c>
      <c r="G540">
        <f t="shared" ca="1" si="40"/>
        <v>-0.2551009708659801</v>
      </c>
      <c r="H540">
        <f ca="1">IF(AND(B540&gt;'Real Analysis'!$B$31,B540&lt;'Real Analysis'!$B$32),FilterInput(E540,'Real Analysis'!$B$26,'Real Analysis'!$B$27),0)</f>
        <v>0</v>
      </c>
      <c r="I540" t="e">
        <f>MEDIAN2("Real Values",H540,'Real Analysis'!$B$5,2)</f>
        <v>#VALUE!</v>
      </c>
      <c r="J540" t="e">
        <f>AVERAGE2("Real Values",I540,'Real Analysis'!$B$6,2)</f>
        <v>#VALUE!</v>
      </c>
      <c r="K540" t="e">
        <f>INTEGRAL2(J540,$B540,K539,J539,$B539,'Real Analysis'!$B$19)</f>
        <v>#VALUE!</v>
      </c>
      <c r="L540" t="e">
        <f>IF(AND(B540&lt;'Real Analysis'!$B$32,B540&gt;0),INTEGRAL2(K540,$B540,L539,K539,$B539,'Real Analysis'!$B$20),0)</f>
        <v>#VALUE!</v>
      </c>
      <c r="N540">
        <f>'Real Analysis'!$B$28*'Real Input'!U540+IF('Real Input'!U540 &gt; 0,'Real Analysis'!$B$29,0)</f>
        <v>0</v>
      </c>
      <c r="O540" t="e">
        <f t="shared" si="42"/>
        <v>#VALUE!</v>
      </c>
      <c r="P540" t="e">
        <f t="shared" si="43"/>
        <v>#VALUE!</v>
      </c>
    </row>
    <row r="541" spans="1:16" x14ac:dyDescent="0.3">
      <c r="A541">
        <v>539</v>
      </c>
      <c r="B541">
        <f>'Real Input'!M541</f>
        <v>10.827447999996366</v>
      </c>
      <c r="C541">
        <f ca="1">INDIRECT(CONCATENATE("'Real Input'!",'Real Analysis'!$B$2,A541+2))</f>
        <v>9.8729017200000015</v>
      </c>
      <c r="D541">
        <f t="shared" si="41"/>
        <v>1.5109999993001111E-2</v>
      </c>
      <c r="E541">
        <f ca="1">IF(B541&gt;0,C541-'Real Analysis'!$B$14,0)</f>
        <v>1.6403917628574405E-2</v>
      </c>
      <c r="F541">
        <f t="shared" ca="1" si="44"/>
        <v>-3.5333030346155037E-2</v>
      </c>
      <c r="G541">
        <f t="shared" ca="1" si="40"/>
        <v>-0.25563485295426319</v>
      </c>
      <c r="H541">
        <f ca="1">IF(AND(B541&gt;'Real Analysis'!$B$31,B541&lt;'Real Analysis'!$B$32),FilterInput(E541,'Real Analysis'!$B$26,'Real Analysis'!$B$27),0)</f>
        <v>0</v>
      </c>
      <c r="I541" t="e">
        <f>MEDIAN2("Real Values",H541,'Real Analysis'!$B$5,2)</f>
        <v>#VALUE!</v>
      </c>
      <c r="J541" t="e">
        <f>AVERAGE2("Real Values",I541,'Real Analysis'!$B$6,2)</f>
        <v>#VALUE!</v>
      </c>
      <c r="K541" t="e">
        <f>INTEGRAL2(J541,$B541,K540,J540,$B540,'Real Analysis'!$B$19)</f>
        <v>#VALUE!</v>
      </c>
      <c r="L541" t="e">
        <f>IF(AND(B541&lt;'Real Analysis'!$B$32,B541&gt;0),INTEGRAL2(K541,$B541,L540,K540,$B540,'Real Analysis'!$B$20),0)</f>
        <v>#VALUE!</v>
      </c>
      <c r="N541">
        <f>'Real Analysis'!$B$28*'Real Input'!U541+IF('Real Input'!U541 &gt; 0,'Real Analysis'!$B$29,0)</f>
        <v>0</v>
      </c>
      <c r="O541" t="e">
        <f t="shared" si="42"/>
        <v>#VALUE!</v>
      </c>
      <c r="P541" t="e">
        <f t="shared" si="43"/>
        <v>#VALUE!</v>
      </c>
    </row>
    <row r="542" spans="1:16" x14ac:dyDescent="0.3">
      <c r="A542">
        <v>540</v>
      </c>
      <c r="B542">
        <f>'Real Input'!M542</f>
        <v>10.847934000004898</v>
      </c>
      <c r="C542">
        <f ca="1">INDIRECT(CONCATENATE("'Real Input'!",'Real Analysis'!$B$2,A542+2))</f>
        <v>9.9370002599999996</v>
      </c>
      <c r="D542">
        <f t="shared" si="41"/>
        <v>2.0486000008531846E-2</v>
      </c>
      <c r="E542">
        <f ca="1">IF(B542&gt;0,C542-'Real Analysis'!$B$14,0)</f>
        <v>8.0502457628572444E-2</v>
      </c>
      <c r="F542">
        <f t="shared" ca="1" si="44"/>
        <v>-3.3683856998489269E-2</v>
      </c>
      <c r="G542">
        <f t="shared" ca="1" si="40"/>
        <v>-0.25632490044902162</v>
      </c>
      <c r="H542">
        <f ca="1">IF(AND(B542&gt;'Real Analysis'!$B$31,B542&lt;'Real Analysis'!$B$32),FilterInput(E542,'Real Analysis'!$B$26,'Real Analysis'!$B$27),0)</f>
        <v>0</v>
      </c>
      <c r="I542" t="e">
        <f>MEDIAN2("Real Values",H542,'Real Analysis'!$B$5,2)</f>
        <v>#VALUE!</v>
      </c>
      <c r="J542" t="e">
        <f>AVERAGE2("Real Values",I542,'Real Analysis'!$B$6,2)</f>
        <v>#VALUE!</v>
      </c>
      <c r="K542" t="e">
        <f>INTEGRAL2(J542,$B542,K541,J541,$B541,'Real Analysis'!$B$19)</f>
        <v>#VALUE!</v>
      </c>
      <c r="L542" t="e">
        <f>IF(AND(B542&lt;'Real Analysis'!$B$32,B542&gt;0),INTEGRAL2(K542,$B542,L541,K541,$B541,'Real Analysis'!$B$20),0)</f>
        <v>#VALUE!</v>
      </c>
      <c r="N542">
        <f>'Real Analysis'!$B$28*'Real Input'!U542+IF('Real Input'!U542 &gt; 0,'Real Analysis'!$B$29,0)</f>
        <v>0</v>
      </c>
      <c r="O542" t="e">
        <f t="shared" si="42"/>
        <v>#VALUE!</v>
      </c>
      <c r="P542" t="e">
        <f t="shared" si="43"/>
        <v>#VALUE!</v>
      </c>
    </row>
    <row r="543" spans="1:16" x14ac:dyDescent="0.3">
      <c r="A543">
        <v>541</v>
      </c>
      <c r="B543">
        <f>'Real Input'!M543</f>
        <v>10.869233000004897</v>
      </c>
      <c r="C543">
        <f ca="1">INDIRECT(CONCATENATE("'Real Input'!",'Real Analysis'!$B$2,A543+2))</f>
        <v>9.8982409500000017</v>
      </c>
      <c r="D543">
        <f t="shared" si="41"/>
        <v>2.1298999999999069E-2</v>
      </c>
      <c r="E543">
        <f ca="1">IF(B543&gt;0,C543-'Real Analysis'!$B$14,0)</f>
        <v>4.1743147628574562E-2</v>
      </c>
      <c r="F543">
        <f t="shared" ca="1" si="44"/>
        <v>-3.2794769697148299E-2</v>
      </c>
      <c r="G543">
        <f t="shared" ca="1" si="40"/>
        <v>-0.25702339624880116</v>
      </c>
      <c r="H543">
        <f ca="1">IF(AND(B543&gt;'Real Analysis'!$B$31,B543&lt;'Real Analysis'!$B$32),FilterInput(E543,'Real Analysis'!$B$26,'Real Analysis'!$B$27),0)</f>
        <v>0</v>
      </c>
      <c r="I543" t="e">
        <f>MEDIAN2("Real Values",H543,'Real Analysis'!$B$5,2)</f>
        <v>#VALUE!</v>
      </c>
      <c r="J543" t="e">
        <f>AVERAGE2("Real Values",I543,'Real Analysis'!$B$6,2)</f>
        <v>#VALUE!</v>
      </c>
      <c r="K543" t="e">
        <f>INTEGRAL2(J543,$B543,K542,J542,$B542,'Real Analysis'!$B$19)</f>
        <v>#VALUE!</v>
      </c>
      <c r="L543" t="e">
        <f>IF(AND(B543&lt;'Real Analysis'!$B$32,B543&gt;0),INTEGRAL2(K543,$B543,L542,K542,$B542,'Real Analysis'!$B$20),0)</f>
        <v>#VALUE!</v>
      </c>
      <c r="N543">
        <f>'Real Analysis'!$B$28*'Real Input'!U543+IF('Real Input'!U543 &gt; 0,'Real Analysis'!$B$29,0)</f>
        <v>0</v>
      </c>
      <c r="O543" t="e">
        <f t="shared" si="42"/>
        <v>#VALUE!</v>
      </c>
      <c r="P543" t="e">
        <f t="shared" si="43"/>
        <v>#VALUE!</v>
      </c>
    </row>
    <row r="544" spans="1:16" x14ac:dyDescent="0.3">
      <c r="A544">
        <v>542</v>
      </c>
      <c r="B544">
        <f>'Real Input'!M544</f>
        <v>10.892042000006768</v>
      </c>
      <c r="C544">
        <f ca="1">INDIRECT(CONCATENATE("'Real Input'!",'Real Analysis'!$B$2,A544+2))</f>
        <v>9.9705995099999996</v>
      </c>
      <c r="D544">
        <f t="shared" si="41"/>
        <v>2.2809000001871027E-2</v>
      </c>
      <c r="E544">
        <f ca="1">IF(B544&gt;0,C544-'Real Analysis'!$B$14,0)</f>
        <v>0.11410170762857241</v>
      </c>
      <c r="F544">
        <f t="shared" ca="1" si="44"/>
        <v>-3.0192223847634703E-2</v>
      </c>
      <c r="G544">
        <f t="shared" ca="1" si="40"/>
        <v>-0.25771205068259834</v>
      </c>
      <c r="H544">
        <f ca="1">IF(AND(B544&gt;'Real Analysis'!$B$31,B544&lt;'Real Analysis'!$B$32),FilterInput(E544,'Real Analysis'!$B$26,'Real Analysis'!$B$27),0)</f>
        <v>0</v>
      </c>
      <c r="I544" t="e">
        <f>MEDIAN2("Real Values",H544,'Real Analysis'!$B$5,2)</f>
        <v>#VALUE!</v>
      </c>
      <c r="J544" t="e">
        <f>AVERAGE2("Real Values",I544,'Real Analysis'!$B$6,2)</f>
        <v>#VALUE!</v>
      </c>
      <c r="K544" t="e">
        <f>INTEGRAL2(J544,$B544,K543,J543,$B543,'Real Analysis'!$B$19)</f>
        <v>#VALUE!</v>
      </c>
      <c r="L544" t="e">
        <f>IF(AND(B544&lt;'Real Analysis'!$B$32,B544&gt;0),INTEGRAL2(K544,$B544,L543,K543,$B543,'Real Analysis'!$B$20),0)</f>
        <v>#VALUE!</v>
      </c>
      <c r="N544">
        <f>'Real Analysis'!$B$28*'Real Input'!U544+IF('Real Input'!U544 &gt; 0,'Real Analysis'!$B$29,0)</f>
        <v>0</v>
      </c>
      <c r="O544" t="e">
        <f t="shared" si="42"/>
        <v>#VALUE!</v>
      </c>
      <c r="P544" t="e">
        <f t="shared" si="43"/>
        <v>#VALUE!</v>
      </c>
    </row>
    <row r="545" spans="1:16" x14ac:dyDescent="0.3">
      <c r="A545">
        <v>543</v>
      </c>
      <c r="B545">
        <f>'Real Input'!M545</f>
        <v>10.907489000004716</v>
      </c>
      <c r="C545">
        <f ca="1">INDIRECT(CONCATENATE("'Real Input'!",'Real Analysis'!$B$2,A545+2))</f>
        <v>9.9205685100000007</v>
      </c>
      <c r="D545">
        <f t="shared" si="41"/>
        <v>1.5446999997948296E-2</v>
      </c>
      <c r="E545">
        <f ca="1">IF(B545&gt;0,C545-'Real Analysis'!$B$14,0)</f>
        <v>6.4070707628573587E-2</v>
      </c>
      <c r="F545">
        <f t="shared" ca="1" si="44"/>
        <v>-2.920252362702758E-2</v>
      </c>
      <c r="G545">
        <f t="shared" ref="G545:G608" ca="1" si="45">IF(B545&gt;0,G544+F545*$D545,0)</f>
        <v>-0.25816314206500512</v>
      </c>
      <c r="H545">
        <f ca="1">IF(AND(B545&gt;'Real Analysis'!$B$31,B545&lt;'Real Analysis'!$B$32),FilterInput(E545,'Real Analysis'!$B$26,'Real Analysis'!$B$27),0)</f>
        <v>0</v>
      </c>
      <c r="I545" t="e">
        <f>MEDIAN2("Real Values",H545,'Real Analysis'!$B$5,2)</f>
        <v>#VALUE!</v>
      </c>
      <c r="J545" t="e">
        <f>AVERAGE2("Real Values",I545,'Real Analysis'!$B$6,2)</f>
        <v>#VALUE!</v>
      </c>
      <c r="K545" t="e">
        <f>INTEGRAL2(J545,$B545,K544,J544,$B544,'Real Analysis'!$B$19)</f>
        <v>#VALUE!</v>
      </c>
      <c r="L545" t="e">
        <f>IF(AND(B545&lt;'Real Analysis'!$B$32,B545&gt;0),INTEGRAL2(K545,$B545,L544,K544,$B544,'Real Analysis'!$B$20),0)</f>
        <v>#VALUE!</v>
      </c>
      <c r="N545">
        <f>'Real Analysis'!$B$28*'Real Input'!U545+IF('Real Input'!U545 &gt; 0,'Real Analysis'!$B$29,0)</f>
        <v>0</v>
      </c>
      <c r="O545" t="e">
        <f t="shared" si="42"/>
        <v>#VALUE!</v>
      </c>
      <c r="P545" t="e">
        <f t="shared" si="43"/>
        <v>#VALUE!</v>
      </c>
    </row>
    <row r="546" spans="1:16" x14ac:dyDescent="0.3">
      <c r="A546">
        <v>544</v>
      </c>
      <c r="B546">
        <f>'Real Input'!M546</f>
        <v>10.928495000000112</v>
      </c>
      <c r="C546">
        <f ca="1">INDIRECT(CONCATENATE("'Real Input'!",'Real Analysis'!$B$2,A546+2))</f>
        <v>9.8367224400000008</v>
      </c>
      <c r="D546">
        <f t="shared" si="41"/>
        <v>2.1005999995395541E-2</v>
      </c>
      <c r="E546">
        <f ca="1">IF(B546&gt;0,C546-'Real Analysis'!$B$14,0)</f>
        <v>-1.9775362371426297E-2</v>
      </c>
      <c r="F546">
        <f t="shared" ca="1" si="44"/>
        <v>-2.9617924888910706E-2</v>
      </c>
      <c r="G546">
        <f t="shared" ca="1" si="45"/>
        <v>-0.25878529619508522</v>
      </c>
      <c r="H546">
        <f ca="1">IF(AND(B546&gt;'Real Analysis'!$B$31,B546&lt;'Real Analysis'!$B$32),FilterInput(E546,'Real Analysis'!$B$26,'Real Analysis'!$B$27),0)</f>
        <v>0</v>
      </c>
      <c r="I546" t="e">
        <f>MEDIAN2("Real Values",H546,'Real Analysis'!$B$5,2)</f>
        <v>#VALUE!</v>
      </c>
      <c r="J546" t="e">
        <f>AVERAGE2("Real Values",I546,'Real Analysis'!$B$6,2)</f>
        <v>#VALUE!</v>
      </c>
      <c r="K546" t="e">
        <f>INTEGRAL2(J546,$B546,K545,J545,$B545,'Real Analysis'!$B$19)</f>
        <v>#VALUE!</v>
      </c>
      <c r="L546" t="e">
        <f>IF(AND(B546&lt;'Real Analysis'!$B$32,B546&gt;0),INTEGRAL2(K546,$B546,L545,K545,$B545,'Real Analysis'!$B$20),0)</f>
        <v>#VALUE!</v>
      </c>
      <c r="N546">
        <f>'Real Analysis'!$B$28*'Real Input'!U546+IF('Real Input'!U546 &gt; 0,'Real Analysis'!$B$29,0)</f>
        <v>0</v>
      </c>
      <c r="O546" t="e">
        <f t="shared" si="42"/>
        <v>#VALUE!</v>
      </c>
      <c r="P546" t="e">
        <f t="shared" si="43"/>
        <v>#VALUE!</v>
      </c>
    </row>
    <row r="547" spans="1:16" x14ac:dyDescent="0.3">
      <c r="A547">
        <v>545</v>
      </c>
      <c r="B547">
        <f>'Real Input'!M547</f>
        <v>10.949464000004809</v>
      </c>
      <c r="C547">
        <f ca="1">INDIRECT(CONCATENATE("'Real Input'!",'Real Analysis'!$B$2,A547+2))</f>
        <v>9.8153955000000011</v>
      </c>
      <c r="D547">
        <f t="shared" si="41"/>
        <v>2.0969000004697591E-2</v>
      </c>
      <c r="E547">
        <f ca="1">IF(B547&gt;0,C547-'Real Analysis'!$B$14,0)</f>
        <v>-4.1102302371426092E-2</v>
      </c>
      <c r="F547">
        <f t="shared" ca="1" si="44"/>
        <v>-3.0479799067530223E-2</v>
      </c>
      <c r="G547">
        <f t="shared" ca="1" si="45"/>
        <v>-0.25942442710187547</v>
      </c>
      <c r="H547">
        <f ca="1">IF(AND(B547&gt;'Real Analysis'!$B$31,B547&lt;'Real Analysis'!$B$32),FilterInput(E547,'Real Analysis'!$B$26,'Real Analysis'!$B$27),0)</f>
        <v>0</v>
      </c>
      <c r="I547" t="e">
        <f>MEDIAN2("Real Values",H547,'Real Analysis'!$B$5,2)</f>
        <v>#VALUE!</v>
      </c>
      <c r="J547" t="e">
        <f>AVERAGE2("Real Values",I547,'Real Analysis'!$B$6,2)</f>
        <v>#VALUE!</v>
      </c>
      <c r="K547" t="e">
        <f>INTEGRAL2(J547,$B547,K546,J546,$B546,'Real Analysis'!$B$19)</f>
        <v>#VALUE!</v>
      </c>
      <c r="L547" t="e">
        <f>IF(AND(B547&lt;'Real Analysis'!$B$32,B547&gt;0),INTEGRAL2(K547,$B547,L546,K546,$B546,'Real Analysis'!$B$20),0)</f>
        <v>#VALUE!</v>
      </c>
      <c r="N547">
        <f>'Real Analysis'!$B$28*'Real Input'!U547+IF('Real Input'!U547 &gt; 0,'Real Analysis'!$B$29,0)</f>
        <v>0</v>
      </c>
      <c r="O547" t="e">
        <f t="shared" si="42"/>
        <v>#VALUE!</v>
      </c>
      <c r="P547" t="e">
        <f t="shared" si="43"/>
        <v>#VALUE!</v>
      </c>
    </row>
    <row r="548" spans="1:16" x14ac:dyDescent="0.3">
      <c r="A548">
        <v>546</v>
      </c>
      <c r="B548">
        <f>'Real Input'!M548</f>
        <v>10.970774999994319</v>
      </c>
      <c r="C548">
        <f ca="1">INDIRECT(CONCATENATE("'Real Input'!",'Real Analysis'!$B$2,A548+2))</f>
        <v>9.932831010000001</v>
      </c>
      <c r="D548">
        <f t="shared" si="41"/>
        <v>2.1310999989509583E-2</v>
      </c>
      <c r="E548">
        <f ca="1">IF(B548&gt;0,C548-'Real Analysis'!$B$14,0)</f>
        <v>7.6333207628573874E-2</v>
      </c>
      <c r="F548">
        <f t="shared" ca="1" si="44"/>
        <v>-2.8853062080558451E-2</v>
      </c>
      <c r="G548">
        <f t="shared" ca="1" si="45"/>
        <v>-0.26003931470757158</v>
      </c>
      <c r="H548">
        <f ca="1">IF(AND(B548&gt;'Real Analysis'!$B$31,B548&lt;'Real Analysis'!$B$32),FilterInput(E548,'Real Analysis'!$B$26,'Real Analysis'!$B$27),0)</f>
        <v>0</v>
      </c>
      <c r="I548" t="e">
        <f>MEDIAN2("Real Values",H548,'Real Analysis'!$B$5,2)</f>
        <v>#VALUE!</v>
      </c>
      <c r="J548" t="e">
        <f>AVERAGE2("Real Values",I548,'Real Analysis'!$B$6,2)</f>
        <v>#VALUE!</v>
      </c>
      <c r="K548" t="e">
        <f>INTEGRAL2(J548,$B548,K547,J547,$B547,'Real Analysis'!$B$19)</f>
        <v>#VALUE!</v>
      </c>
      <c r="L548" t="e">
        <f>IF(AND(B548&lt;'Real Analysis'!$B$32,B548&gt;0),INTEGRAL2(K548,$B548,L547,K547,$B547,'Real Analysis'!$B$20),0)</f>
        <v>#VALUE!</v>
      </c>
      <c r="N548">
        <f>'Real Analysis'!$B$28*'Real Input'!U548+IF('Real Input'!U548 &gt; 0,'Real Analysis'!$B$29,0)</f>
        <v>0</v>
      </c>
      <c r="O548" t="e">
        <f t="shared" si="42"/>
        <v>#VALUE!</v>
      </c>
      <c r="P548" t="e">
        <f t="shared" si="43"/>
        <v>#VALUE!</v>
      </c>
    </row>
    <row r="549" spans="1:16" x14ac:dyDescent="0.3">
      <c r="A549">
        <v>547</v>
      </c>
      <c r="B549">
        <f>'Real Input'!M549</f>
        <v>10.988490000003367</v>
      </c>
      <c r="C549">
        <f ca="1">INDIRECT(CONCATENATE("'Real Input'!",'Real Analysis'!$B$2,A549+2))</f>
        <v>9.8588930400000017</v>
      </c>
      <c r="D549">
        <f t="shared" si="41"/>
        <v>1.7715000009047799E-2</v>
      </c>
      <c r="E549">
        <f ca="1">IF(B549&gt;0,C549-'Real Analysis'!$B$14,0)</f>
        <v>2.3952376285745203E-3</v>
      </c>
      <c r="F549">
        <f t="shared" ca="1" si="44"/>
        <v>-2.8810630445946582E-2</v>
      </c>
      <c r="G549">
        <f t="shared" ca="1" si="45"/>
        <v>-0.26054969502618219</v>
      </c>
      <c r="H549">
        <f ca="1">IF(AND(B549&gt;'Real Analysis'!$B$31,B549&lt;'Real Analysis'!$B$32),FilterInput(E549,'Real Analysis'!$B$26,'Real Analysis'!$B$27),0)</f>
        <v>0</v>
      </c>
      <c r="I549" t="e">
        <f>MEDIAN2("Real Values",H549,'Real Analysis'!$B$5,2)</f>
        <v>#VALUE!</v>
      </c>
      <c r="J549" t="e">
        <f>AVERAGE2("Real Values",I549,'Real Analysis'!$B$6,2)</f>
        <v>#VALUE!</v>
      </c>
      <c r="K549" t="e">
        <f>INTEGRAL2(J549,$B549,K548,J548,$B548,'Real Analysis'!$B$19)</f>
        <v>#VALUE!</v>
      </c>
      <c r="L549" t="e">
        <f>IF(AND(B549&lt;'Real Analysis'!$B$32,B549&gt;0),INTEGRAL2(K549,$B549,L548,K548,$B548,'Real Analysis'!$B$20),0)</f>
        <v>#VALUE!</v>
      </c>
      <c r="N549">
        <f>'Real Analysis'!$B$28*'Real Input'!U549+IF('Real Input'!U549 &gt; 0,'Real Analysis'!$B$29,0)</f>
        <v>0</v>
      </c>
      <c r="O549" t="e">
        <f t="shared" si="42"/>
        <v>#VALUE!</v>
      </c>
      <c r="P549" t="e">
        <f t="shared" si="43"/>
        <v>#VALUE!</v>
      </c>
    </row>
    <row r="550" spans="1:16" x14ac:dyDescent="0.3">
      <c r="A550">
        <v>548</v>
      </c>
      <c r="B550">
        <f>'Real Input'!M550</f>
        <v>11.00688899999659</v>
      </c>
      <c r="C550">
        <f ca="1">INDIRECT(CONCATENATE("'Real Input'!",'Real Analysis'!$B$2,A550+2))</f>
        <v>9.8380075500000004</v>
      </c>
      <c r="D550">
        <f t="shared" si="41"/>
        <v>1.8398999993223697E-2</v>
      </c>
      <c r="E550">
        <f ca="1">IF(B550&gt;0,C550-'Real Analysis'!$B$14,0)</f>
        <v>-1.8490252371426763E-2</v>
      </c>
      <c r="F550">
        <f t="shared" ca="1" si="44"/>
        <v>-2.9150832599203168E-2</v>
      </c>
      <c r="G550">
        <f t="shared" ca="1" si="45"/>
        <v>-0.26108604119497741</v>
      </c>
      <c r="H550">
        <f ca="1">IF(AND(B550&gt;'Real Analysis'!$B$31,B550&lt;'Real Analysis'!$B$32),FilterInput(E550,'Real Analysis'!$B$26,'Real Analysis'!$B$27),0)</f>
        <v>0</v>
      </c>
      <c r="I550" t="e">
        <f>MEDIAN2("Real Values",H550,'Real Analysis'!$B$5,2)</f>
        <v>#VALUE!</v>
      </c>
      <c r="J550" t="e">
        <f>AVERAGE2("Real Values",I550,'Real Analysis'!$B$6,2)</f>
        <v>#VALUE!</v>
      </c>
      <c r="K550" t="e">
        <f>INTEGRAL2(J550,$B550,K549,J549,$B549,'Real Analysis'!$B$19)</f>
        <v>#VALUE!</v>
      </c>
      <c r="L550" t="e">
        <f>IF(AND(B550&lt;'Real Analysis'!$B$32,B550&gt;0),INTEGRAL2(K550,$B550,L549,K549,$B549,'Real Analysis'!$B$20),0)</f>
        <v>#VALUE!</v>
      </c>
      <c r="N550">
        <f>'Real Analysis'!$B$28*'Real Input'!U550+IF('Real Input'!U550 &gt; 0,'Real Analysis'!$B$29,0)</f>
        <v>0</v>
      </c>
      <c r="O550" t="e">
        <f t="shared" si="42"/>
        <v>#VALUE!</v>
      </c>
      <c r="P550" t="e">
        <f t="shared" si="43"/>
        <v>#VALUE!</v>
      </c>
    </row>
    <row r="551" spans="1:16" x14ac:dyDescent="0.3">
      <c r="A551">
        <v>549</v>
      </c>
      <c r="B551">
        <f>'Real Input'!M551</f>
        <v>11.030119999995804</v>
      </c>
      <c r="C551">
        <f ca="1">INDIRECT(CONCATENATE("'Real Input'!",'Real Analysis'!$B$2,A551+2))</f>
        <v>9.842461290000001</v>
      </c>
      <c r="D551">
        <f t="shared" si="41"/>
        <v>2.3230999999213964E-2</v>
      </c>
      <c r="E551">
        <f ca="1">IF(B551&gt;0,C551-'Real Analysis'!$B$14,0)</f>
        <v>-1.4036512371426113E-2</v>
      </c>
      <c r="F551">
        <f t="shared" ca="1" si="44"/>
        <v>-2.9476914818092736E-2</v>
      </c>
      <c r="G551">
        <f t="shared" ca="1" si="45"/>
        <v>-0.26177081940309338</v>
      </c>
      <c r="H551">
        <f ca="1">IF(AND(B551&gt;'Real Analysis'!$B$31,B551&lt;'Real Analysis'!$B$32),FilterInput(E551,'Real Analysis'!$B$26,'Real Analysis'!$B$27),0)</f>
        <v>0</v>
      </c>
      <c r="I551" t="e">
        <f>MEDIAN2("Real Values",H551,'Real Analysis'!$B$5,2)</f>
        <v>#VALUE!</v>
      </c>
      <c r="J551" t="e">
        <f>AVERAGE2("Real Values",I551,'Real Analysis'!$B$6,2)</f>
        <v>#VALUE!</v>
      </c>
      <c r="K551" t="e">
        <f>INTEGRAL2(J551,$B551,K550,J550,$B550,'Real Analysis'!$B$19)</f>
        <v>#VALUE!</v>
      </c>
      <c r="L551" t="e">
        <f>IF(AND(B551&lt;'Real Analysis'!$B$32,B551&gt;0),INTEGRAL2(K551,$B551,L550,K550,$B550,'Real Analysis'!$B$20),0)</f>
        <v>#VALUE!</v>
      </c>
      <c r="N551">
        <f>'Real Analysis'!$B$28*'Real Input'!U551+IF('Real Input'!U551 &gt; 0,'Real Analysis'!$B$29,0)</f>
        <v>0</v>
      </c>
      <c r="O551" t="e">
        <f t="shared" si="42"/>
        <v>#VALUE!</v>
      </c>
      <c r="P551" t="e">
        <f t="shared" si="43"/>
        <v>#VALUE!</v>
      </c>
    </row>
    <row r="552" spans="1:16" x14ac:dyDescent="0.3">
      <c r="A552">
        <v>550</v>
      </c>
      <c r="B552">
        <f>'Real Input'!M552</f>
        <v>11.045318999997107</v>
      </c>
      <c r="C552">
        <f ca="1">INDIRECT(CONCATENATE("'Real Input'!",'Real Analysis'!$B$2,A552+2))</f>
        <v>9.9529317000000006</v>
      </c>
      <c r="D552">
        <f t="shared" si="41"/>
        <v>1.519900000130292E-2</v>
      </c>
      <c r="E552">
        <f ca="1">IF(B552&gt;0,C552-'Real Analysis'!$B$14,0)</f>
        <v>9.6433897628573462E-2</v>
      </c>
      <c r="F552">
        <f t="shared" ca="1" si="44"/>
        <v>-2.8011216007910403E-2</v>
      </c>
      <c r="G552">
        <f t="shared" ca="1" si="45"/>
        <v>-0.2621965618752341</v>
      </c>
      <c r="H552">
        <f ca="1">IF(AND(B552&gt;'Real Analysis'!$B$31,B552&lt;'Real Analysis'!$B$32),FilterInput(E552,'Real Analysis'!$B$26,'Real Analysis'!$B$27),0)</f>
        <v>0</v>
      </c>
      <c r="I552" t="e">
        <f>MEDIAN2("Real Values",H552,'Real Analysis'!$B$5,2)</f>
        <v>#VALUE!</v>
      </c>
      <c r="J552" t="e">
        <f>AVERAGE2("Real Values",I552,'Real Analysis'!$B$6,2)</f>
        <v>#VALUE!</v>
      </c>
      <c r="K552" t="e">
        <f>INTEGRAL2(J552,$B552,K551,J551,$B551,'Real Analysis'!$B$19)</f>
        <v>#VALUE!</v>
      </c>
      <c r="L552" t="e">
        <f>IF(AND(B552&lt;'Real Analysis'!$B$32,B552&gt;0),INTEGRAL2(K552,$B552,L551,K551,$B551,'Real Analysis'!$B$20),0)</f>
        <v>#VALUE!</v>
      </c>
      <c r="N552">
        <f>'Real Analysis'!$B$28*'Real Input'!U552+IF('Real Input'!U552 &gt; 0,'Real Analysis'!$B$29,0)</f>
        <v>0</v>
      </c>
      <c r="O552" t="e">
        <f t="shared" si="42"/>
        <v>#VALUE!</v>
      </c>
      <c r="P552" t="e">
        <f t="shared" si="43"/>
        <v>#VALUE!</v>
      </c>
    </row>
    <row r="553" spans="1:16" x14ac:dyDescent="0.3">
      <c r="A553">
        <v>551</v>
      </c>
      <c r="B553">
        <f>'Real Input'!M553</f>
        <v>11.070449999999255</v>
      </c>
      <c r="C553">
        <f ca="1">INDIRECT(CONCATENATE("'Real Input'!",'Real Analysis'!$B$2,A553+2))</f>
        <v>9.8185935600000018</v>
      </c>
      <c r="D553">
        <f t="shared" si="41"/>
        <v>2.513100000214763E-2</v>
      </c>
      <c r="E553">
        <f ca="1">IF(B553&gt;0,C553-'Real Analysis'!$B$14,0)</f>
        <v>-3.7904242371425312E-2</v>
      </c>
      <c r="F553">
        <f t="shared" ca="1" si="44"/>
        <v>-2.8963787523028098E-2</v>
      </c>
      <c r="G553">
        <f t="shared" ca="1" si="45"/>
        <v>-0.26292445081953753</v>
      </c>
      <c r="H553">
        <f ca="1">IF(AND(B553&gt;'Real Analysis'!$B$31,B553&lt;'Real Analysis'!$B$32),FilterInput(E553,'Real Analysis'!$B$26,'Real Analysis'!$B$27),0)</f>
        <v>0</v>
      </c>
      <c r="I553" t="e">
        <f>MEDIAN2("Real Values",H553,'Real Analysis'!$B$5,2)</f>
        <v>#VALUE!</v>
      </c>
      <c r="J553" t="e">
        <f>AVERAGE2("Real Values",I553,'Real Analysis'!$B$6,2)</f>
        <v>#VALUE!</v>
      </c>
      <c r="K553" t="e">
        <f>INTEGRAL2(J553,$B553,K552,J552,$B552,'Real Analysis'!$B$19)</f>
        <v>#VALUE!</v>
      </c>
      <c r="L553" t="e">
        <f>IF(AND(B553&lt;'Real Analysis'!$B$32,B553&gt;0),INTEGRAL2(K553,$B553,L552,K552,$B552,'Real Analysis'!$B$20),0)</f>
        <v>#VALUE!</v>
      </c>
      <c r="N553">
        <f>'Real Analysis'!$B$28*'Real Input'!U553+IF('Real Input'!U553 &gt; 0,'Real Analysis'!$B$29,0)</f>
        <v>0</v>
      </c>
      <c r="O553" t="e">
        <f t="shared" si="42"/>
        <v>#VALUE!</v>
      </c>
      <c r="P553" t="e">
        <f t="shared" si="43"/>
        <v>#VALUE!</v>
      </c>
    </row>
    <row r="554" spans="1:16" x14ac:dyDescent="0.3">
      <c r="A554">
        <v>552</v>
      </c>
      <c r="B554">
        <f>'Real Input'!M554</f>
        <v>11.089344000007259</v>
      </c>
      <c r="C554">
        <f ca="1">INDIRECT(CONCATENATE("'Real Input'!",'Real Analysis'!$B$2,A554+2))</f>
        <v>9.8115401700000007</v>
      </c>
      <c r="D554">
        <f t="shared" si="41"/>
        <v>1.8894000008003786E-2</v>
      </c>
      <c r="E554">
        <f ca="1">IF(B554&gt;0,C554-'Real Analysis'!$B$14,0)</f>
        <v>-4.495763237142647E-2</v>
      </c>
      <c r="F554">
        <f t="shared" ca="1" si="44"/>
        <v>-2.9813217029413662E-2</v>
      </c>
      <c r="G554">
        <f t="shared" ca="1" si="45"/>
        <v>-0.26348774174232986</v>
      </c>
      <c r="H554">
        <f ca="1">IF(AND(B554&gt;'Real Analysis'!$B$31,B554&lt;'Real Analysis'!$B$32),FilterInput(E554,'Real Analysis'!$B$26,'Real Analysis'!$B$27),0)</f>
        <v>0</v>
      </c>
      <c r="I554" t="e">
        <f>MEDIAN2("Real Values",H554,'Real Analysis'!$B$5,2)</f>
        <v>#VALUE!</v>
      </c>
      <c r="J554" t="e">
        <f>AVERAGE2("Real Values",I554,'Real Analysis'!$B$6,2)</f>
        <v>#VALUE!</v>
      </c>
      <c r="K554" t="e">
        <f>INTEGRAL2(J554,$B554,K553,J553,$B553,'Real Analysis'!$B$19)</f>
        <v>#VALUE!</v>
      </c>
      <c r="L554" t="e">
        <f>IF(AND(B554&lt;'Real Analysis'!$B$32,B554&gt;0),INTEGRAL2(K554,$B554,L553,K553,$B553,'Real Analysis'!$B$20),0)</f>
        <v>#VALUE!</v>
      </c>
      <c r="N554">
        <f>'Real Analysis'!$B$28*'Real Input'!U554+IF('Real Input'!U554 &gt; 0,'Real Analysis'!$B$29,0)</f>
        <v>0</v>
      </c>
      <c r="O554" t="e">
        <f t="shared" si="42"/>
        <v>#VALUE!</v>
      </c>
      <c r="P554" t="e">
        <f t="shared" si="43"/>
        <v>#VALUE!</v>
      </c>
    </row>
    <row r="555" spans="1:16" x14ac:dyDescent="0.3">
      <c r="A555">
        <v>553</v>
      </c>
      <c r="B555">
        <f>'Real Input'!M555</f>
        <v>11.109353000007104</v>
      </c>
      <c r="C555">
        <f ca="1">INDIRECT(CONCATENATE("'Real Input'!",'Real Analysis'!$B$2,A555+2))</f>
        <v>9.8465520599999987</v>
      </c>
      <c r="D555">
        <f t="shared" si="41"/>
        <v>2.00089999998454E-2</v>
      </c>
      <c r="E555">
        <f ca="1">IF(B555&gt;0,C555-'Real Analysis'!$B$14,0)</f>
        <v>-9.9457423714284232E-3</v>
      </c>
      <c r="F555">
        <f t="shared" ca="1" si="44"/>
        <v>-3.0012221388522036E-2</v>
      </c>
      <c r="G555">
        <f t="shared" ca="1" si="45"/>
        <v>-0.26408825628008814</v>
      </c>
      <c r="H555">
        <f ca="1">IF(AND(B555&gt;'Real Analysis'!$B$31,B555&lt;'Real Analysis'!$B$32),FilterInput(E555,'Real Analysis'!$B$26,'Real Analysis'!$B$27),0)</f>
        <v>0</v>
      </c>
      <c r="I555" t="e">
        <f>MEDIAN2("Real Values",H555,'Real Analysis'!$B$5,2)</f>
        <v>#VALUE!</v>
      </c>
      <c r="J555" t="e">
        <f>AVERAGE2("Real Values",I555,'Real Analysis'!$B$6,2)</f>
        <v>#VALUE!</v>
      </c>
      <c r="K555" t="e">
        <f>INTEGRAL2(J555,$B555,K554,J554,$B554,'Real Analysis'!$B$19)</f>
        <v>#VALUE!</v>
      </c>
      <c r="L555" t="e">
        <f>IF(AND(B555&lt;'Real Analysis'!$B$32,B555&gt;0),INTEGRAL2(K555,$B555,L554,K554,$B554,'Real Analysis'!$B$20),0)</f>
        <v>#VALUE!</v>
      </c>
      <c r="N555">
        <f>'Real Analysis'!$B$28*'Real Input'!U555+IF('Real Input'!U555 &gt; 0,'Real Analysis'!$B$29,0)</f>
        <v>0</v>
      </c>
      <c r="O555" t="e">
        <f t="shared" si="42"/>
        <v>#VALUE!</v>
      </c>
      <c r="P555" t="e">
        <f t="shared" si="43"/>
        <v>#VALUE!</v>
      </c>
    </row>
    <row r="556" spans="1:16" x14ac:dyDescent="0.3">
      <c r="A556">
        <v>554</v>
      </c>
      <c r="B556">
        <f>'Real Input'!M556</f>
        <v>11.128750999996555</v>
      </c>
      <c r="C556">
        <f ca="1">INDIRECT(CONCATENATE("'Real Input'!",'Real Analysis'!$B$2,A556+2))</f>
        <v>9.868752090000001</v>
      </c>
      <c r="D556">
        <f t="shared" si="41"/>
        <v>1.9397999989450909E-2</v>
      </c>
      <c r="E556">
        <f ca="1">IF(B556&gt;0,C556-'Real Analysis'!$B$14,0)</f>
        <v>1.2254287628573834E-2</v>
      </c>
      <c r="F556">
        <f t="shared" ca="1" si="44"/>
        <v>-2.9774512717232231E-2</v>
      </c>
      <c r="G556">
        <f t="shared" ca="1" si="45"/>
        <v>-0.26466582227746294</v>
      </c>
      <c r="H556">
        <f ca="1">IF(AND(B556&gt;'Real Analysis'!$B$31,B556&lt;'Real Analysis'!$B$32),FilterInput(E556,'Real Analysis'!$B$26,'Real Analysis'!$B$27),0)</f>
        <v>0</v>
      </c>
      <c r="I556" t="e">
        <f>MEDIAN2("Real Values",H556,'Real Analysis'!$B$5,2)</f>
        <v>#VALUE!</v>
      </c>
      <c r="J556" t="e">
        <f>AVERAGE2("Real Values",I556,'Real Analysis'!$B$6,2)</f>
        <v>#VALUE!</v>
      </c>
      <c r="K556" t="e">
        <f>INTEGRAL2(J556,$B556,K555,J555,$B555,'Real Analysis'!$B$19)</f>
        <v>#VALUE!</v>
      </c>
      <c r="L556" t="e">
        <f>IF(AND(B556&lt;'Real Analysis'!$B$32,B556&gt;0),INTEGRAL2(K556,$B556,L555,K555,$B555,'Real Analysis'!$B$20),0)</f>
        <v>#VALUE!</v>
      </c>
      <c r="N556">
        <f>'Real Analysis'!$B$28*'Real Input'!U556+IF('Real Input'!U556 &gt; 0,'Real Analysis'!$B$29,0)</f>
        <v>0</v>
      </c>
      <c r="O556" t="e">
        <f t="shared" si="42"/>
        <v>#VALUE!</v>
      </c>
      <c r="P556" t="e">
        <f t="shared" si="43"/>
        <v>#VALUE!</v>
      </c>
    </row>
    <row r="557" spans="1:16" x14ac:dyDescent="0.3">
      <c r="A557">
        <v>555</v>
      </c>
      <c r="B557">
        <f>'Real Input'!M557</f>
        <v>11.151285999992979</v>
      </c>
      <c r="C557">
        <f ca="1">INDIRECT(CONCATENATE("'Real Input'!",'Real Analysis'!$B$2,A557+2))</f>
        <v>9.8649261900000003</v>
      </c>
      <c r="D557">
        <f t="shared" si="41"/>
        <v>2.2534999996423721E-2</v>
      </c>
      <c r="E557">
        <f ca="1">IF(B557&gt;0,C557-'Real Analysis'!$B$14,0)</f>
        <v>8.4283876285731196E-3</v>
      </c>
      <c r="F557">
        <f t="shared" ca="1" si="44"/>
        <v>-2.9584579002052479E-2</v>
      </c>
      <c r="G557">
        <f t="shared" ca="1" si="45"/>
        <v>-0.26533251076516839</v>
      </c>
      <c r="H557">
        <f ca="1">IF(AND(B557&gt;'Real Analysis'!$B$31,B557&lt;'Real Analysis'!$B$32),FilterInput(E557,'Real Analysis'!$B$26,'Real Analysis'!$B$27),0)</f>
        <v>0</v>
      </c>
      <c r="I557" t="e">
        <f>MEDIAN2("Real Values",H557,'Real Analysis'!$B$5,2)</f>
        <v>#VALUE!</v>
      </c>
      <c r="J557" t="e">
        <f>AVERAGE2("Real Values",I557,'Real Analysis'!$B$6,2)</f>
        <v>#VALUE!</v>
      </c>
      <c r="K557" t="e">
        <f>INTEGRAL2(J557,$B557,K556,J556,$B556,'Real Analysis'!$B$19)</f>
        <v>#VALUE!</v>
      </c>
      <c r="L557" t="e">
        <f>IF(AND(B557&lt;'Real Analysis'!$B$32,B557&gt;0),INTEGRAL2(K557,$B557,L556,K556,$B556,'Real Analysis'!$B$20),0)</f>
        <v>#VALUE!</v>
      </c>
      <c r="N557">
        <f>'Real Analysis'!$B$28*'Real Input'!U557+IF('Real Input'!U557 &gt; 0,'Real Analysis'!$B$29,0)</f>
        <v>0</v>
      </c>
      <c r="O557" t="e">
        <f t="shared" si="42"/>
        <v>#VALUE!</v>
      </c>
      <c r="P557" t="e">
        <f t="shared" si="43"/>
        <v>#VALUE!</v>
      </c>
    </row>
    <row r="558" spans="1:16" x14ac:dyDescent="0.3">
      <c r="A558">
        <v>556</v>
      </c>
      <c r="B558">
        <f>'Real Input'!M558</f>
        <v>11.171239999996033</v>
      </c>
      <c r="C558">
        <f ca="1">INDIRECT(CONCATENATE("'Real Input'!",'Real Analysis'!$B$2,A558+2))</f>
        <v>9.8101569600000005</v>
      </c>
      <c r="D558">
        <f t="shared" si="41"/>
        <v>1.9954000003053807E-2</v>
      </c>
      <c r="E558">
        <f ca="1">IF(B558&gt;0,C558-'Real Analysis'!$B$14,0)</f>
        <v>-4.634084237142666E-2</v>
      </c>
      <c r="F558">
        <f t="shared" ca="1" si="44"/>
        <v>-3.0509264170873442E-2</v>
      </c>
      <c r="G558">
        <f t="shared" ca="1" si="45"/>
        <v>-0.26594129262252719</v>
      </c>
      <c r="H558">
        <f ca="1">IF(AND(B558&gt;'Real Analysis'!$B$31,B558&lt;'Real Analysis'!$B$32),FilterInput(E558,'Real Analysis'!$B$26,'Real Analysis'!$B$27),0)</f>
        <v>0</v>
      </c>
      <c r="I558" t="e">
        <f>MEDIAN2("Real Values",H558,'Real Analysis'!$B$5,2)</f>
        <v>#VALUE!</v>
      </c>
      <c r="J558" t="e">
        <f>AVERAGE2("Real Values",I558,'Real Analysis'!$B$6,2)</f>
        <v>#VALUE!</v>
      </c>
      <c r="K558" t="e">
        <f>INTEGRAL2(J558,$B558,K557,J557,$B557,'Real Analysis'!$B$19)</f>
        <v>#VALUE!</v>
      </c>
      <c r="L558" t="e">
        <f>IF(AND(B558&lt;'Real Analysis'!$B$32,B558&gt;0),INTEGRAL2(K558,$B558,L557,K557,$B557,'Real Analysis'!$B$20),0)</f>
        <v>#VALUE!</v>
      </c>
      <c r="N558">
        <f>'Real Analysis'!$B$28*'Real Input'!U558+IF('Real Input'!U558 &gt; 0,'Real Analysis'!$B$29,0)</f>
        <v>0</v>
      </c>
      <c r="O558" t="e">
        <f t="shared" si="42"/>
        <v>#VALUE!</v>
      </c>
      <c r="P558" t="e">
        <f t="shared" si="43"/>
        <v>#VALUE!</v>
      </c>
    </row>
    <row r="559" spans="1:16" x14ac:dyDescent="0.3">
      <c r="A559">
        <v>557</v>
      </c>
      <c r="B559">
        <f>'Real Input'!M559</f>
        <v>11.192869000005885</v>
      </c>
      <c r="C559">
        <f ca="1">INDIRECT(CONCATENATE("'Real Input'!",'Real Analysis'!$B$2,A559+2))</f>
        <v>9.9038424599999999</v>
      </c>
      <c r="D559">
        <f t="shared" si="41"/>
        <v>2.1629000009852462E-2</v>
      </c>
      <c r="E559">
        <f ca="1">IF(B559&gt;0,C559-'Real Analysis'!$B$14,0)</f>
        <v>4.7344657628572762E-2</v>
      </c>
      <c r="F559">
        <f t="shared" ca="1" si="44"/>
        <v>-2.9485246570558579E-2</v>
      </c>
      <c r="G559">
        <f t="shared" ca="1" si="45"/>
        <v>-0.26657902902089231</v>
      </c>
      <c r="H559">
        <f ca="1">IF(AND(B559&gt;'Real Analysis'!$B$31,B559&lt;'Real Analysis'!$B$32),FilterInput(E559,'Real Analysis'!$B$26,'Real Analysis'!$B$27),0)</f>
        <v>0</v>
      </c>
      <c r="I559" t="e">
        <f>MEDIAN2("Real Values",H559,'Real Analysis'!$B$5,2)</f>
        <v>#VALUE!</v>
      </c>
      <c r="J559" t="e">
        <f>AVERAGE2("Real Values",I559,'Real Analysis'!$B$6,2)</f>
        <v>#VALUE!</v>
      </c>
      <c r="K559" t="e">
        <f>INTEGRAL2(J559,$B559,K558,J558,$B558,'Real Analysis'!$B$19)</f>
        <v>#VALUE!</v>
      </c>
      <c r="L559" t="e">
        <f>IF(AND(B559&lt;'Real Analysis'!$B$32,B559&gt;0),INTEGRAL2(K559,$B559,L558,K558,$B558,'Real Analysis'!$B$20),0)</f>
        <v>#VALUE!</v>
      </c>
      <c r="N559">
        <f>'Real Analysis'!$B$28*'Real Input'!U559+IF('Real Input'!U559 &gt; 0,'Real Analysis'!$B$29,0)</f>
        <v>0</v>
      </c>
      <c r="O559" t="e">
        <f t="shared" si="42"/>
        <v>#VALUE!</v>
      </c>
      <c r="P559" t="e">
        <f t="shared" si="43"/>
        <v>#VALUE!</v>
      </c>
    </row>
    <row r="560" spans="1:16" x14ac:dyDescent="0.3">
      <c r="A560">
        <v>558</v>
      </c>
      <c r="B560">
        <f>'Real Input'!M560</f>
        <v>11.210768999997526</v>
      </c>
      <c r="C560">
        <f ca="1">INDIRECT(CONCATENATE("'Real Input'!",'Real Analysis'!$B$2,A560+2))</f>
        <v>9.948389670000001</v>
      </c>
      <c r="D560">
        <f t="shared" si="41"/>
        <v>1.789999999164138E-2</v>
      </c>
      <c r="E560">
        <f ca="1">IF(B560&gt;0,C560-'Real Analysis'!$B$14,0)</f>
        <v>9.189186762857382E-2</v>
      </c>
      <c r="F560">
        <f t="shared" ca="1" si="44"/>
        <v>-2.7840382140775197E-2</v>
      </c>
      <c r="G560">
        <f t="shared" ca="1" si="45"/>
        <v>-0.26707737186097946</v>
      </c>
      <c r="H560">
        <f ca="1">IF(AND(B560&gt;'Real Analysis'!$B$31,B560&lt;'Real Analysis'!$B$32),FilterInput(E560,'Real Analysis'!$B$26,'Real Analysis'!$B$27),0)</f>
        <v>0</v>
      </c>
      <c r="I560" t="e">
        <f>MEDIAN2("Real Values",H560,'Real Analysis'!$B$5,2)</f>
        <v>#VALUE!</v>
      </c>
      <c r="J560" t="e">
        <f>AVERAGE2("Real Values",I560,'Real Analysis'!$B$6,2)</f>
        <v>#VALUE!</v>
      </c>
      <c r="K560" t="e">
        <f>INTEGRAL2(J560,$B560,K559,J559,$B559,'Real Analysis'!$B$19)</f>
        <v>#VALUE!</v>
      </c>
      <c r="L560" t="e">
        <f>IF(AND(B560&lt;'Real Analysis'!$B$32,B560&gt;0),INTEGRAL2(K560,$B560,L559,K559,$B559,'Real Analysis'!$B$20),0)</f>
        <v>#VALUE!</v>
      </c>
      <c r="N560">
        <f>'Real Analysis'!$B$28*'Real Input'!U560+IF('Real Input'!U560 &gt; 0,'Real Analysis'!$B$29,0)</f>
        <v>0</v>
      </c>
      <c r="O560" t="e">
        <f t="shared" si="42"/>
        <v>#VALUE!</v>
      </c>
      <c r="P560" t="e">
        <f t="shared" si="43"/>
        <v>#VALUE!</v>
      </c>
    </row>
    <row r="561" spans="1:16" x14ac:dyDescent="0.3">
      <c r="A561">
        <v>559</v>
      </c>
      <c r="B561">
        <f>'Real Input'!M561</f>
        <v>11.231358000004548</v>
      </c>
      <c r="C561">
        <f ca="1">INDIRECT(CONCATENATE("'Real Input'!",'Real Analysis'!$B$2,A561+2))</f>
        <v>9.6870610800000012</v>
      </c>
      <c r="D561">
        <f t="shared" si="41"/>
        <v>2.0589000007021241E-2</v>
      </c>
      <c r="E561">
        <f ca="1">IF(B561&gt;0,C561-'Real Analysis'!$B$14,0)</f>
        <v>-0.16943672237142593</v>
      </c>
      <c r="F561">
        <f t="shared" ca="1" si="44"/>
        <v>-3.1328914818870145E-2</v>
      </c>
      <c r="G561">
        <f t="shared" ca="1" si="45"/>
        <v>-0.26772240288840515</v>
      </c>
      <c r="H561">
        <f ca="1">IF(AND(B561&gt;'Real Analysis'!$B$31,B561&lt;'Real Analysis'!$B$32),FilterInput(E561,'Real Analysis'!$B$26,'Real Analysis'!$B$27),0)</f>
        <v>0</v>
      </c>
      <c r="I561" t="e">
        <f>MEDIAN2("Real Values",H561,'Real Analysis'!$B$5,2)</f>
        <v>#VALUE!</v>
      </c>
      <c r="J561" t="e">
        <f>AVERAGE2("Real Values",I561,'Real Analysis'!$B$6,2)</f>
        <v>#VALUE!</v>
      </c>
      <c r="K561" t="e">
        <f>INTEGRAL2(J561,$B561,K560,J560,$B560,'Real Analysis'!$B$19)</f>
        <v>#VALUE!</v>
      </c>
      <c r="L561" t="e">
        <f>IF(AND(B561&lt;'Real Analysis'!$B$32,B561&gt;0),INTEGRAL2(K561,$B561,L560,K560,$B560,'Real Analysis'!$B$20),0)</f>
        <v>#VALUE!</v>
      </c>
      <c r="N561">
        <f>'Real Analysis'!$B$28*'Real Input'!U561+IF('Real Input'!U561 &gt; 0,'Real Analysis'!$B$29,0)</f>
        <v>0</v>
      </c>
      <c r="O561" t="e">
        <f t="shared" si="42"/>
        <v>#VALUE!</v>
      </c>
      <c r="P561" t="e">
        <f t="shared" si="43"/>
        <v>#VALUE!</v>
      </c>
    </row>
    <row r="562" spans="1:16" x14ac:dyDescent="0.3">
      <c r="A562">
        <v>560</v>
      </c>
      <c r="B562">
        <f>'Real Input'!M562</f>
        <v>11.249712999997428</v>
      </c>
      <c r="C562">
        <f ca="1">INDIRECT(CONCATENATE("'Real Input'!",'Real Analysis'!$B$2,A562+2))</f>
        <v>9.8885486700000023</v>
      </c>
      <c r="D562">
        <f t="shared" si="41"/>
        <v>1.8354999992880039E-2</v>
      </c>
      <c r="E562">
        <f ca="1">IF(B562&gt;0,C562-'Real Analysis'!$B$14,0)</f>
        <v>3.2050867628575119E-2</v>
      </c>
      <c r="F562">
        <f t="shared" ca="1" si="44"/>
        <v>-3.0740621143775848E-2</v>
      </c>
      <c r="G562">
        <f t="shared" ca="1" si="45"/>
        <v>-0.26828664698928029</v>
      </c>
      <c r="H562">
        <f ca="1">IF(AND(B562&gt;'Real Analysis'!$B$31,B562&lt;'Real Analysis'!$B$32),FilterInput(E562,'Real Analysis'!$B$26,'Real Analysis'!$B$27),0)</f>
        <v>0</v>
      </c>
      <c r="I562" t="e">
        <f>MEDIAN2("Real Values",H562,'Real Analysis'!$B$5,2)</f>
        <v>#VALUE!</v>
      </c>
      <c r="J562" t="e">
        <f>AVERAGE2("Real Values",I562,'Real Analysis'!$B$6,2)</f>
        <v>#VALUE!</v>
      </c>
      <c r="K562" t="e">
        <f>INTEGRAL2(J562,$B562,K561,J561,$B561,'Real Analysis'!$B$19)</f>
        <v>#VALUE!</v>
      </c>
      <c r="L562" t="e">
        <f>IF(AND(B562&lt;'Real Analysis'!$B$32,B562&gt;0),INTEGRAL2(K562,$B562,L561,K561,$B561,'Real Analysis'!$B$20),0)</f>
        <v>#VALUE!</v>
      </c>
      <c r="N562">
        <f>'Real Analysis'!$B$28*'Real Input'!U562+IF('Real Input'!U562 &gt; 0,'Real Analysis'!$B$29,0)</f>
        <v>0</v>
      </c>
      <c r="O562" t="e">
        <f t="shared" si="42"/>
        <v>#VALUE!</v>
      </c>
      <c r="P562" t="e">
        <f t="shared" si="43"/>
        <v>#VALUE!</v>
      </c>
    </row>
    <row r="563" spans="1:16" x14ac:dyDescent="0.3">
      <c r="A563">
        <v>561</v>
      </c>
      <c r="B563">
        <f>'Real Input'!M563</f>
        <v>11.271143999998458</v>
      </c>
      <c r="C563">
        <f ca="1">INDIRECT(CONCATENATE("'Real Input'!",'Real Analysis'!$B$2,A563+2))</f>
        <v>10.122615270000001</v>
      </c>
      <c r="D563">
        <f t="shared" si="41"/>
        <v>2.1431000001030043E-2</v>
      </c>
      <c r="E563">
        <f ca="1">IF(B563&gt;0,C563-'Real Analysis'!$B$14,0)</f>
        <v>0.26611746762857358</v>
      </c>
      <c r="F563">
        <f t="shared" ca="1" si="44"/>
        <v>-2.5037457694753774E-2</v>
      </c>
      <c r="G563">
        <f t="shared" ca="1" si="45"/>
        <v>-0.26882322474516235</v>
      </c>
      <c r="H563">
        <f ca="1">IF(AND(B563&gt;'Real Analysis'!$B$31,B563&lt;'Real Analysis'!$B$32),FilterInput(E563,'Real Analysis'!$B$26,'Real Analysis'!$B$27),0)</f>
        <v>0</v>
      </c>
      <c r="I563" t="e">
        <f>MEDIAN2("Real Values",H563,'Real Analysis'!$B$5,2)</f>
        <v>#VALUE!</v>
      </c>
      <c r="J563" t="e">
        <f>AVERAGE2("Real Values",I563,'Real Analysis'!$B$6,2)</f>
        <v>#VALUE!</v>
      </c>
      <c r="K563" t="e">
        <f>INTEGRAL2(J563,$B563,K562,J562,$B562,'Real Analysis'!$B$19)</f>
        <v>#VALUE!</v>
      </c>
      <c r="L563" t="e">
        <f>IF(AND(B563&lt;'Real Analysis'!$B$32,B563&gt;0),INTEGRAL2(K563,$B563,L562,K562,$B562,'Real Analysis'!$B$20),0)</f>
        <v>#VALUE!</v>
      </c>
      <c r="N563">
        <f>'Real Analysis'!$B$28*'Real Input'!U563+IF('Real Input'!U563 &gt; 0,'Real Analysis'!$B$29,0)</f>
        <v>0</v>
      </c>
      <c r="O563" t="e">
        <f t="shared" si="42"/>
        <v>#VALUE!</v>
      </c>
      <c r="P563" t="e">
        <f t="shared" si="43"/>
        <v>#VALUE!</v>
      </c>
    </row>
    <row r="564" spans="1:16" x14ac:dyDescent="0.3">
      <c r="A564">
        <v>562</v>
      </c>
      <c r="B564">
        <f>'Real Input'!M564</f>
        <v>11.291545999993104</v>
      </c>
      <c r="C564">
        <f ca="1">INDIRECT(CONCATENATE("'Real Input'!",'Real Analysis'!$B$2,A564+2))</f>
        <v>9.7180508700000008</v>
      </c>
      <c r="D564">
        <f t="shared" si="41"/>
        <v>2.0401999994646758E-2</v>
      </c>
      <c r="E564">
        <f ca="1">IF(B564&gt;0,C564-'Real Analysis'!$B$14,0)</f>
        <v>-0.13844693237142636</v>
      </c>
      <c r="F564">
        <f t="shared" ca="1" si="44"/>
        <v>-2.7862052008254475E-2</v>
      </c>
      <c r="G564">
        <f t="shared" ca="1" si="45"/>
        <v>-0.2693916663300856</v>
      </c>
      <c r="H564">
        <f ca="1">IF(AND(B564&gt;'Real Analysis'!$B$31,B564&lt;'Real Analysis'!$B$32),FilterInput(E564,'Real Analysis'!$B$26,'Real Analysis'!$B$27),0)</f>
        <v>0</v>
      </c>
      <c r="I564" t="e">
        <f>MEDIAN2("Real Values",H564,'Real Analysis'!$B$5,2)</f>
        <v>#VALUE!</v>
      </c>
      <c r="J564" t="e">
        <f>AVERAGE2("Real Values",I564,'Real Analysis'!$B$6,2)</f>
        <v>#VALUE!</v>
      </c>
      <c r="K564" t="e">
        <f>INTEGRAL2(J564,$B564,K563,J563,$B563,'Real Analysis'!$B$19)</f>
        <v>#VALUE!</v>
      </c>
      <c r="L564" t="e">
        <f>IF(AND(B564&lt;'Real Analysis'!$B$32,B564&gt;0),INTEGRAL2(K564,$B564,L563,K563,$B563,'Real Analysis'!$B$20),0)</f>
        <v>#VALUE!</v>
      </c>
      <c r="N564">
        <f>'Real Analysis'!$B$28*'Real Input'!U564+IF('Real Input'!U564 &gt; 0,'Real Analysis'!$B$29,0)</f>
        <v>0</v>
      </c>
      <c r="O564" t="e">
        <f t="shared" si="42"/>
        <v>#VALUE!</v>
      </c>
      <c r="P564" t="e">
        <f t="shared" si="43"/>
        <v>#VALUE!</v>
      </c>
    </row>
    <row r="565" spans="1:16" x14ac:dyDescent="0.3">
      <c r="A565">
        <v>563</v>
      </c>
      <c r="B565">
        <f>'Real Input'!M565</f>
        <v>11.310442000001785</v>
      </c>
      <c r="C565">
        <f ca="1">INDIRECT(CONCATENATE("'Real Input'!",'Real Analysis'!$B$2,A565+2))</f>
        <v>9.7021488600000012</v>
      </c>
      <c r="D565">
        <f t="shared" si="41"/>
        <v>1.8896000008680858E-2</v>
      </c>
      <c r="E565">
        <f ca="1">IF(B565&gt;0,C565-'Real Analysis'!$B$14,0)</f>
        <v>-0.15434894237142593</v>
      </c>
      <c r="F565">
        <f t="shared" ca="1" si="44"/>
        <v>-3.077862962464482E-2</v>
      </c>
      <c r="G565">
        <f t="shared" ca="1" si="45"/>
        <v>-0.26997325931574007</v>
      </c>
      <c r="H565">
        <f ca="1">IF(AND(B565&gt;'Real Analysis'!$B$31,B565&lt;'Real Analysis'!$B$32),FilterInput(E565,'Real Analysis'!$B$26,'Real Analysis'!$B$27),0)</f>
        <v>0</v>
      </c>
      <c r="I565" t="e">
        <f>MEDIAN2("Real Values",H565,'Real Analysis'!$B$5,2)</f>
        <v>#VALUE!</v>
      </c>
      <c r="J565" t="e">
        <f>AVERAGE2("Real Values",I565,'Real Analysis'!$B$6,2)</f>
        <v>#VALUE!</v>
      </c>
      <c r="K565" t="e">
        <f>INTEGRAL2(J565,$B565,K564,J564,$B564,'Real Analysis'!$B$19)</f>
        <v>#VALUE!</v>
      </c>
      <c r="L565" t="e">
        <f>IF(AND(B565&lt;'Real Analysis'!$B$32,B565&gt;0),INTEGRAL2(K565,$B565,L564,K564,$B564,'Real Analysis'!$B$20),0)</f>
        <v>#VALUE!</v>
      </c>
      <c r="N565">
        <f>'Real Analysis'!$B$28*'Real Input'!U565+IF('Real Input'!U565 &gt; 0,'Real Analysis'!$B$29,0)</f>
        <v>0</v>
      </c>
      <c r="O565" t="e">
        <f t="shared" si="42"/>
        <v>#VALUE!</v>
      </c>
      <c r="P565" t="e">
        <f t="shared" si="43"/>
        <v>#VALUE!</v>
      </c>
    </row>
    <row r="566" spans="1:16" x14ac:dyDescent="0.3">
      <c r="A566">
        <v>564</v>
      </c>
      <c r="B566">
        <f>'Real Input'!M566</f>
        <v>11.3300040000031</v>
      </c>
      <c r="C566">
        <f ca="1">INDIRECT(CONCATENATE("'Real Input'!",'Real Analysis'!$B$2,A566+2))</f>
        <v>9.9882182700000008</v>
      </c>
      <c r="D566">
        <f t="shared" si="41"/>
        <v>1.9562000001315027E-2</v>
      </c>
      <c r="E566">
        <f ca="1">IF(B566&gt;0,C566-'Real Analysis'!$B$14,0)</f>
        <v>0.1317204676285737</v>
      </c>
      <c r="F566">
        <f t="shared" ca="1" si="44"/>
        <v>-2.8201913836721444E-2</v>
      </c>
      <c r="G566">
        <f t="shared" ca="1" si="45"/>
        <v>-0.27052494515425107</v>
      </c>
      <c r="H566">
        <f ca="1">IF(AND(B566&gt;'Real Analysis'!$B$31,B566&lt;'Real Analysis'!$B$32),FilterInput(E566,'Real Analysis'!$B$26,'Real Analysis'!$B$27),0)</f>
        <v>0</v>
      </c>
      <c r="I566" t="e">
        <f>MEDIAN2("Real Values",H566,'Real Analysis'!$B$5,2)</f>
        <v>#VALUE!</v>
      </c>
      <c r="J566" t="e">
        <f>AVERAGE2("Real Values",I566,'Real Analysis'!$B$6,2)</f>
        <v>#VALUE!</v>
      </c>
      <c r="K566" t="e">
        <f>INTEGRAL2(J566,$B566,K565,J565,$B565,'Real Analysis'!$B$19)</f>
        <v>#VALUE!</v>
      </c>
      <c r="L566" t="e">
        <f>IF(AND(B566&lt;'Real Analysis'!$B$32,B566&gt;0),INTEGRAL2(K566,$B566,L565,K565,$B565,'Real Analysis'!$B$20),0)</f>
        <v>#VALUE!</v>
      </c>
      <c r="N566">
        <f>'Real Analysis'!$B$28*'Real Input'!U566+IF('Real Input'!U566 &gt; 0,'Real Analysis'!$B$29,0)</f>
        <v>0</v>
      </c>
      <c r="O566" t="e">
        <f t="shared" si="42"/>
        <v>#VALUE!</v>
      </c>
      <c r="P566" t="e">
        <f t="shared" si="43"/>
        <v>#VALUE!</v>
      </c>
    </row>
    <row r="567" spans="1:16" x14ac:dyDescent="0.3">
      <c r="A567">
        <v>565</v>
      </c>
      <c r="B567">
        <f>'Real Input'!M567</f>
        <v>11.350435000000289</v>
      </c>
      <c r="C567">
        <f ca="1">INDIRECT(CONCATENATE("'Real Input'!",'Real Analysis'!$B$2,A567+2))</f>
        <v>9.7373765700000003</v>
      </c>
      <c r="D567">
        <f t="shared" si="41"/>
        <v>2.0430999997188337E-2</v>
      </c>
      <c r="E567">
        <f ca="1">IF(B567&gt;0,C567-'Real Analysis'!$B$14,0)</f>
        <v>-0.1191212323714268</v>
      </c>
      <c r="F567">
        <f t="shared" ca="1" si="44"/>
        <v>-3.0635679734967135E-2</v>
      </c>
      <c r="G567">
        <f t="shared" ca="1" si="45"/>
        <v>-0.27115086272683003</v>
      </c>
      <c r="H567">
        <f ca="1">IF(AND(B567&gt;'Real Analysis'!$B$31,B567&lt;'Real Analysis'!$B$32),FilterInput(E567,'Real Analysis'!$B$26,'Real Analysis'!$B$27),0)</f>
        <v>0</v>
      </c>
      <c r="I567" t="e">
        <f>MEDIAN2("Real Values",H567,'Real Analysis'!$B$5,2)</f>
        <v>#VALUE!</v>
      </c>
      <c r="J567" t="e">
        <f>AVERAGE2("Real Values",I567,'Real Analysis'!$B$6,2)</f>
        <v>#VALUE!</v>
      </c>
      <c r="K567" t="e">
        <f>INTEGRAL2(J567,$B567,K566,J566,$B566,'Real Analysis'!$B$19)</f>
        <v>#VALUE!</v>
      </c>
      <c r="L567" t="e">
        <f>IF(AND(B567&lt;'Real Analysis'!$B$32,B567&gt;0),INTEGRAL2(K567,$B567,L566,K566,$B566,'Real Analysis'!$B$20),0)</f>
        <v>#VALUE!</v>
      </c>
      <c r="N567">
        <f>'Real Analysis'!$B$28*'Real Input'!U567+IF('Real Input'!U567 &gt; 0,'Real Analysis'!$B$29,0)</f>
        <v>0</v>
      </c>
      <c r="O567" t="e">
        <f t="shared" si="42"/>
        <v>#VALUE!</v>
      </c>
      <c r="P567" t="e">
        <f t="shared" si="43"/>
        <v>#VALUE!</v>
      </c>
    </row>
    <row r="568" spans="1:16" x14ac:dyDescent="0.3">
      <c r="A568">
        <v>566</v>
      </c>
      <c r="B568">
        <f>'Real Input'!M568</f>
        <v>11.372071999998298</v>
      </c>
      <c r="C568">
        <f ca="1">INDIRECT(CONCATENATE("'Real Input'!",'Real Analysis'!$B$2,A568+2))</f>
        <v>9.8743437900000011</v>
      </c>
      <c r="D568">
        <f t="shared" si="41"/>
        <v>2.1636999998008832E-2</v>
      </c>
      <c r="E568">
        <f ca="1">IF(B568&gt;0,C568-'Real Analysis'!$B$14,0)</f>
        <v>1.7845987628573923E-2</v>
      </c>
      <c r="F568">
        <f t="shared" ca="1" si="44"/>
        <v>-3.0249546100683214E-2</v>
      </c>
      <c r="G568">
        <f t="shared" ca="1" si="45"/>
        <v>-0.27180537215575029</v>
      </c>
      <c r="H568">
        <f ca="1">IF(AND(B568&gt;'Real Analysis'!$B$31,B568&lt;'Real Analysis'!$B$32),FilterInput(E568,'Real Analysis'!$B$26,'Real Analysis'!$B$27),0)</f>
        <v>0</v>
      </c>
      <c r="I568" t="e">
        <f>MEDIAN2("Real Values",H568,'Real Analysis'!$B$5,2)</f>
        <v>#VALUE!</v>
      </c>
      <c r="J568" t="e">
        <f>AVERAGE2("Real Values",I568,'Real Analysis'!$B$6,2)</f>
        <v>#VALUE!</v>
      </c>
      <c r="K568" t="e">
        <f>INTEGRAL2(J568,$B568,K567,J567,$B567,'Real Analysis'!$B$19)</f>
        <v>#VALUE!</v>
      </c>
      <c r="L568" t="e">
        <f>IF(AND(B568&lt;'Real Analysis'!$B$32,B568&gt;0),INTEGRAL2(K568,$B568,L567,K567,$B567,'Real Analysis'!$B$20),0)</f>
        <v>#VALUE!</v>
      </c>
      <c r="N568">
        <f>'Real Analysis'!$B$28*'Real Input'!U568+IF('Real Input'!U568 &gt; 0,'Real Analysis'!$B$29,0)</f>
        <v>0</v>
      </c>
      <c r="O568" t="e">
        <f t="shared" si="42"/>
        <v>#VALUE!</v>
      </c>
      <c r="P568" t="e">
        <f t="shared" si="43"/>
        <v>#VALUE!</v>
      </c>
    </row>
    <row r="569" spans="1:16" x14ac:dyDescent="0.3">
      <c r="A569">
        <v>567</v>
      </c>
      <c r="B569">
        <f>'Real Input'!M569</f>
        <v>11.39077699999325</v>
      </c>
      <c r="C569">
        <f ca="1">INDIRECT(CONCATENATE("'Real Input'!",'Real Analysis'!$B$2,A569+2))</f>
        <v>9.7484913000000013</v>
      </c>
      <c r="D569">
        <f t="shared" si="41"/>
        <v>1.8704999994952232E-2</v>
      </c>
      <c r="E569">
        <f ca="1">IF(B569&gt;0,C569-'Real Analysis'!$B$14,0)</f>
        <v>-0.10800650237142584</v>
      </c>
      <c r="F569">
        <f t="shared" ca="1" si="44"/>
        <v>-3.2269807726995545E-2</v>
      </c>
      <c r="G569">
        <f t="shared" ca="1" si="45"/>
        <v>-0.27240897890912086</v>
      </c>
      <c r="H569">
        <f ca="1">IF(AND(B569&gt;'Real Analysis'!$B$31,B569&lt;'Real Analysis'!$B$32),FilterInput(E569,'Real Analysis'!$B$26,'Real Analysis'!$B$27),0)</f>
        <v>0</v>
      </c>
      <c r="I569" t="e">
        <f>MEDIAN2("Real Values",H569,'Real Analysis'!$B$5,2)</f>
        <v>#VALUE!</v>
      </c>
      <c r="J569" t="e">
        <f>AVERAGE2("Real Values",I569,'Real Analysis'!$B$6,2)</f>
        <v>#VALUE!</v>
      </c>
      <c r="K569" t="e">
        <f>INTEGRAL2(J569,$B569,K568,J568,$B568,'Real Analysis'!$B$19)</f>
        <v>#VALUE!</v>
      </c>
      <c r="L569" t="e">
        <f>IF(AND(B569&lt;'Real Analysis'!$B$32,B569&gt;0),INTEGRAL2(K569,$B569,L568,K568,$B568,'Real Analysis'!$B$20),0)</f>
        <v>#VALUE!</v>
      </c>
      <c r="N569">
        <f>'Real Analysis'!$B$28*'Real Input'!U569+IF('Real Input'!U569 &gt; 0,'Real Analysis'!$B$29,0)</f>
        <v>0</v>
      </c>
      <c r="O569" t="e">
        <f t="shared" si="42"/>
        <v>#VALUE!</v>
      </c>
      <c r="P569" t="e">
        <f t="shared" si="43"/>
        <v>#VALUE!</v>
      </c>
    </row>
    <row r="570" spans="1:16" x14ac:dyDescent="0.3">
      <c r="A570">
        <v>568</v>
      </c>
      <c r="B570">
        <f>'Real Input'!M570</f>
        <v>11.410518999997294</v>
      </c>
      <c r="C570">
        <f ca="1">INDIRECT(CONCATENATE("'Real Input'!",'Real Analysis'!$B$2,A570+2))</f>
        <v>9.9977634000000002</v>
      </c>
      <c r="D570">
        <f t="shared" si="41"/>
        <v>1.9742000004043803E-2</v>
      </c>
      <c r="E570">
        <f ca="1">IF(B570&gt;0,C570-'Real Analysis'!$B$14,0)</f>
        <v>0.14126559762857305</v>
      </c>
      <c r="F570">
        <f t="shared" ca="1" si="44"/>
        <v>-2.9480942298041005E-2</v>
      </c>
      <c r="G570">
        <f t="shared" ca="1" si="45"/>
        <v>-0.27299099167208801</v>
      </c>
      <c r="H570">
        <f ca="1">IF(AND(B570&gt;'Real Analysis'!$B$31,B570&lt;'Real Analysis'!$B$32),FilterInput(E570,'Real Analysis'!$B$26,'Real Analysis'!$B$27),0)</f>
        <v>0</v>
      </c>
      <c r="I570" t="e">
        <f>MEDIAN2("Real Values",H570,'Real Analysis'!$B$5,2)</f>
        <v>#VALUE!</v>
      </c>
      <c r="J570" t="e">
        <f>AVERAGE2("Real Values",I570,'Real Analysis'!$B$6,2)</f>
        <v>#VALUE!</v>
      </c>
      <c r="K570" t="e">
        <f>INTEGRAL2(J570,$B570,K569,J569,$B569,'Real Analysis'!$B$19)</f>
        <v>#VALUE!</v>
      </c>
      <c r="L570" t="e">
        <f>IF(AND(B570&lt;'Real Analysis'!$B$32,B570&gt;0),INTEGRAL2(K570,$B570,L569,K569,$B569,'Real Analysis'!$B$20),0)</f>
        <v>#VALUE!</v>
      </c>
      <c r="N570">
        <f>'Real Analysis'!$B$28*'Real Input'!U570+IF('Real Input'!U570 &gt; 0,'Real Analysis'!$B$29,0)</f>
        <v>0</v>
      </c>
      <c r="O570" t="e">
        <f t="shared" si="42"/>
        <v>#VALUE!</v>
      </c>
      <c r="P570" t="e">
        <f t="shared" si="43"/>
        <v>#VALUE!</v>
      </c>
    </row>
    <row r="571" spans="1:16" x14ac:dyDescent="0.3">
      <c r="A571">
        <v>569</v>
      </c>
      <c r="B571">
        <f>'Real Input'!M571</f>
        <v>11.43243000000075</v>
      </c>
      <c r="C571">
        <f ca="1">INDIRECT(CONCATENATE("'Real Input'!",'Real Analysis'!$B$2,A571+2))</f>
        <v>9.8131490100000001</v>
      </c>
      <c r="D571">
        <f t="shared" si="41"/>
        <v>2.1911000003456138E-2</v>
      </c>
      <c r="E571">
        <f ca="1">IF(B571&gt;0,C571-'Real Analysis'!$B$14,0)</f>
        <v>-4.3348792371427081E-2</v>
      </c>
      <c r="F571">
        <f t="shared" ca="1" si="44"/>
        <v>-3.0430757687841162E-2</v>
      </c>
      <c r="G571">
        <f t="shared" ca="1" si="45"/>
        <v>-0.27365776000389147</v>
      </c>
      <c r="H571">
        <f ca="1">IF(AND(B571&gt;'Real Analysis'!$B$31,B571&lt;'Real Analysis'!$B$32),FilterInput(E571,'Real Analysis'!$B$26,'Real Analysis'!$B$27),0)</f>
        <v>0</v>
      </c>
      <c r="I571" t="e">
        <f>MEDIAN2("Real Values",H571,'Real Analysis'!$B$5,2)</f>
        <v>#VALUE!</v>
      </c>
      <c r="J571" t="e">
        <f>AVERAGE2("Real Values",I571,'Real Analysis'!$B$6,2)</f>
        <v>#VALUE!</v>
      </c>
      <c r="K571" t="e">
        <f>INTEGRAL2(J571,$B571,K570,J570,$B570,'Real Analysis'!$B$19)</f>
        <v>#VALUE!</v>
      </c>
      <c r="L571" t="e">
        <f>IF(AND(B571&lt;'Real Analysis'!$B$32,B571&gt;0),INTEGRAL2(K571,$B571,L570,K570,$B570,'Real Analysis'!$B$20),0)</f>
        <v>#VALUE!</v>
      </c>
      <c r="N571">
        <f>'Real Analysis'!$B$28*'Real Input'!U571+IF('Real Input'!U571 &gt; 0,'Real Analysis'!$B$29,0)</f>
        <v>0</v>
      </c>
      <c r="O571" t="e">
        <f t="shared" si="42"/>
        <v>#VALUE!</v>
      </c>
      <c r="P571" t="e">
        <f t="shared" si="43"/>
        <v>#VALUE!</v>
      </c>
    </row>
    <row r="572" spans="1:16" x14ac:dyDescent="0.3">
      <c r="A572">
        <v>570</v>
      </c>
      <c r="B572">
        <f>'Real Input'!M572</f>
        <v>11.451625000001513</v>
      </c>
      <c r="C572">
        <f ca="1">INDIRECT(CONCATENATE("'Real Input'!",'Real Analysis'!$B$2,A572+2))</f>
        <v>9.899859600000001</v>
      </c>
      <c r="D572">
        <f t="shared" si="41"/>
        <v>1.9195000000763685E-2</v>
      </c>
      <c r="E572">
        <f ca="1">IF(B572&gt;0,C572-'Real Analysis'!$B$14,0)</f>
        <v>4.3361797628573839E-2</v>
      </c>
      <c r="F572">
        <f t="shared" ca="1" si="44"/>
        <v>-2.9598427982327574E-2</v>
      </c>
      <c r="G572">
        <f t="shared" ca="1" si="45"/>
        <v>-0.27422590182903483</v>
      </c>
      <c r="H572">
        <f ca="1">IF(AND(B572&gt;'Real Analysis'!$B$31,B572&lt;'Real Analysis'!$B$32),FilterInput(E572,'Real Analysis'!$B$26,'Real Analysis'!$B$27),0)</f>
        <v>0</v>
      </c>
      <c r="I572" t="e">
        <f>MEDIAN2("Real Values",H572,'Real Analysis'!$B$5,2)</f>
        <v>#VALUE!</v>
      </c>
      <c r="J572" t="e">
        <f>AVERAGE2("Real Values",I572,'Real Analysis'!$B$6,2)</f>
        <v>#VALUE!</v>
      </c>
      <c r="K572" t="e">
        <f>INTEGRAL2(J572,$B572,K571,J571,$B571,'Real Analysis'!$B$19)</f>
        <v>#VALUE!</v>
      </c>
      <c r="L572" t="e">
        <f>IF(AND(B572&lt;'Real Analysis'!$B$32,B572&gt;0),INTEGRAL2(K572,$B572,L571,K571,$B571,'Real Analysis'!$B$20),0)</f>
        <v>#VALUE!</v>
      </c>
      <c r="N572">
        <f>'Real Analysis'!$B$28*'Real Input'!U572+IF('Real Input'!U572 &gt; 0,'Real Analysis'!$B$29,0)</f>
        <v>0</v>
      </c>
      <c r="O572" t="e">
        <f t="shared" si="42"/>
        <v>#VALUE!</v>
      </c>
      <c r="P572" t="e">
        <f t="shared" si="43"/>
        <v>#VALUE!</v>
      </c>
    </row>
    <row r="573" spans="1:16" x14ac:dyDescent="0.3">
      <c r="A573">
        <v>571</v>
      </c>
      <c r="B573">
        <f>'Real Input'!M573</f>
        <v>11.471195999998599</v>
      </c>
      <c r="C573">
        <f ca="1">INDIRECT(CONCATENATE("'Real Input'!",'Real Analysis'!$B$2,A573+2))</f>
        <v>9.8297082899999992</v>
      </c>
      <c r="D573">
        <f t="shared" si="41"/>
        <v>1.9570999997085892E-2</v>
      </c>
      <c r="E573">
        <f ca="1">IF(B573&gt;0,C573-'Real Analysis'!$B$14,0)</f>
        <v>-2.6789512371427904E-2</v>
      </c>
      <c r="F573">
        <f t="shared" ca="1" si="44"/>
        <v>-3.0122725528870721E-2</v>
      </c>
      <c r="G573">
        <f t="shared" ca="1" si="45"/>
        <v>-0.27481543369027256</v>
      </c>
      <c r="H573">
        <f ca="1">IF(AND(B573&gt;'Real Analysis'!$B$31,B573&lt;'Real Analysis'!$B$32),FilterInput(E573,'Real Analysis'!$B$26,'Real Analysis'!$B$27),0)</f>
        <v>0</v>
      </c>
      <c r="I573" t="e">
        <f>MEDIAN2("Real Values",H573,'Real Analysis'!$B$5,2)</f>
        <v>#VALUE!</v>
      </c>
      <c r="J573" t="e">
        <f>AVERAGE2("Real Values",I573,'Real Analysis'!$B$6,2)</f>
        <v>#VALUE!</v>
      </c>
      <c r="K573" t="e">
        <f>INTEGRAL2(J573,$B573,K572,J572,$B572,'Real Analysis'!$B$19)</f>
        <v>#VALUE!</v>
      </c>
      <c r="L573" t="e">
        <f>IF(AND(B573&lt;'Real Analysis'!$B$32,B573&gt;0),INTEGRAL2(K573,$B573,L572,K572,$B572,'Real Analysis'!$B$20),0)</f>
        <v>#VALUE!</v>
      </c>
      <c r="N573">
        <f>'Real Analysis'!$B$28*'Real Input'!U573+IF('Real Input'!U573 &gt; 0,'Real Analysis'!$B$29,0)</f>
        <v>0</v>
      </c>
      <c r="O573" t="e">
        <f t="shared" si="42"/>
        <v>#VALUE!</v>
      </c>
      <c r="P573" t="e">
        <f t="shared" si="43"/>
        <v>#VALUE!</v>
      </c>
    </row>
    <row r="574" spans="1:16" x14ac:dyDescent="0.3">
      <c r="A574">
        <v>572</v>
      </c>
      <c r="B574">
        <f>'Real Input'!M574</f>
        <v>11.486029000006965</v>
      </c>
      <c r="C574">
        <f ca="1">INDIRECT(CONCATENATE("'Real Input'!",'Real Analysis'!$B$2,A574+2))</f>
        <v>9.7513656300000005</v>
      </c>
      <c r="D574">
        <f t="shared" si="41"/>
        <v>1.4833000008366071E-2</v>
      </c>
      <c r="E574">
        <f ca="1">IF(B574&gt;0,C574-'Real Analysis'!$B$14,0)</f>
        <v>-0.10513217237142669</v>
      </c>
      <c r="F574">
        <f t="shared" ca="1" si="44"/>
        <v>-3.1682151042535633E-2</v>
      </c>
      <c r="G574">
        <f t="shared" ca="1" si="45"/>
        <v>-0.27528537503695155</v>
      </c>
      <c r="H574">
        <f ca="1">IF(AND(B574&gt;'Real Analysis'!$B$31,B574&lt;'Real Analysis'!$B$32),FilterInput(E574,'Real Analysis'!$B$26,'Real Analysis'!$B$27),0)</f>
        <v>0</v>
      </c>
      <c r="I574" t="e">
        <f>MEDIAN2("Real Values",H574,'Real Analysis'!$B$5,2)</f>
        <v>#VALUE!</v>
      </c>
      <c r="J574" t="e">
        <f>AVERAGE2("Real Values",I574,'Real Analysis'!$B$6,2)</f>
        <v>#VALUE!</v>
      </c>
      <c r="K574" t="e">
        <f>INTEGRAL2(J574,$B574,K573,J573,$B573,'Real Analysis'!$B$19)</f>
        <v>#VALUE!</v>
      </c>
      <c r="L574" t="e">
        <f>IF(AND(B574&lt;'Real Analysis'!$B$32,B574&gt;0),INTEGRAL2(K574,$B574,L573,K573,$B573,'Real Analysis'!$B$20),0)</f>
        <v>#VALUE!</v>
      </c>
      <c r="N574">
        <f>'Real Analysis'!$B$28*'Real Input'!U574+IF('Real Input'!U574 &gt; 0,'Real Analysis'!$B$29,0)</f>
        <v>0</v>
      </c>
      <c r="O574" t="e">
        <f t="shared" si="42"/>
        <v>#VALUE!</v>
      </c>
      <c r="P574" t="e">
        <f t="shared" si="43"/>
        <v>#VALUE!</v>
      </c>
    </row>
    <row r="575" spans="1:16" x14ac:dyDescent="0.3">
      <c r="A575">
        <v>573</v>
      </c>
      <c r="B575">
        <f>'Real Input'!M575</f>
        <v>11.510118999998667</v>
      </c>
      <c r="C575">
        <f ca="1">INDIRECT(CONCATENATE("'Real Input'!",'Real Analysis'!$B$2,A575+2))</f>
        <v>9.888676199999999</v>
      </c>
      <c r="D575">
        <f t="shared" si="41"/>
        <v>2.4089999991701916E-2</v>
      </c>
      <c r="E575">
        <f ca="1">IF(B575&gt;0,C575-'Real Analysis'!$B$14,0)</f>
        <v>3.2178397628571886E-2</v>
      </c>
      <c r="F575">
        <f t="shared" ca="1" si="44"/>
        <v>-3.0906973443930355E-2</v>
      </c>
      <c r="G575">
        <f t="shared" ca="1" si="45"/>
        <v>-0.27602992402695936</v>
      </c>
      <c r="H575">
        <f ca="1">IF(AND(B575&gt;'Real Analysis'!$B$31,B575&lt;'Real Analysis'!$B$32),FilterInput(E575,'Real Analysis'!$B$26,'Real Analysis'!$B$27),0)</f>
        <v>0</v>
      </c>
      <c r="I575" t="e">
        <f>MEDIAN2("Real Values",H575,'Real Analysis'!$B$5,2)</f>
        <v>#VALUE!</v>
      </c>
      <c r="J575" t="e">
        <f>AVERAGE2("Real Values",I575,'Real Analysis'!$B$6,2)</f>
        <v>#VALUE!</v>
      </c>
      <c r="K575" t="e">
        <f>INTEGRAL2(J575,$B575,K574,J574,$B574,'Real Analysis'!$B$19)</f>
        <v>#VALUE!</v>
      </c>
      <c r="L575" t="e">
        <f>IF(AND(B575&lt;'Real Analysis'!$B$32,B575&gt;0),INTEGRAL2(K575,$B575,L574,K574,$B574,'Real Analysis'!$B$20),0)</f>
        <v>#VALUE!</v>
      </c>
      <c r="N575">
        <f>'Real Analysis'!$B$28*'Real Input'!U575+IF('Real Input'!U575 &gt; 0,'Real Analysis'!$B$29,0)</f>
        <v>0</v>
      </c>
      <c r="O575" t="e">
        <f t="shared" si="42"/>
        <v>#VALUE!</v>
      </c>
      <c r="P575" t="e">
        <f t="shared" si="43"/>
        <v>#VALUE!</v>
      </c>
    </row>
    <row r="576" spans="1:16" x14ac:dyDescent="0.3">
      <c r="A576">
        <v>574</v>
      </c>
      <c r="B576">
        <f>'Real Input'!M576</f>
        <v>11.528508000003058</v>
      </c>
      <c r="C576">
        <f ca="1">INDIRECT(CONCATENATE("'Real Input'!",'Real Analysis'!$B$2,A576+2))</f>
        <v>9.9008994599999998</v>
      </c>
      <c r="D576">
        <f t="shared" si="41"/>
        <v>1.8389000004390255E-2</v>
      </c>
      <c r="E576">
        <f ca="1">IF(B576&gt;0,C576-'Real Analysis'!$B$14,0)</f>
        <v>4.4401657628572622E-2</v>
      </c>
      <c r="F576">
        <f t="shared" ca="1" si="44"/>
        <v>-3.0090471361603598E-2</v>
      </c>
      <c r="G576">
        <f t="shared" ca="1" si="45"/>
        <v>-0.27658325770496001</v>
      </c>
      <c r="H576">
        <f ca="1">IF(AND(B576&gt;'Real Analysis'!$B$31,B576&lt;'Real Analysis'!$B$32),FilterInput(E576,'Real Analysis'!$B$26,'Real Analysis'!$B$27),0)</f>
        <v>0</v>
      </c>
      <c r="I576" t="e">
        <f>MEDIAN2("Real Values",H576,'Real Analysis'!$B$5,2)</f>
        <v>#VALUE!</v>
      </c>
      <c r="J576" t="e">
        <f>AVERAGE2("Real Values",I576,'Real Analysis'!$B$6,2)</f>
        <v>#VALUE!</v>
      </c>
      <c r="K576" t="e">
        <f>INTEGRAL2(J576,$B576,K575,J575,$B575,'Real Analysis'!$B$19)</f>
        <v>#VALUE!</v>
      </c>
      <c r="L576" t="e">
        <f>IF(AND(B576&lt;'Real Analysis'!$B$32,B576&gt;0),INTEGRAL2(K576,$B576,L575,K575,$B575,'Real Analysis'!$B$20),0)</f>
        <v>#VALUE!</v>
      </c>
      <c r="N576">
        <f>'Real Analysis'!$B$28*'Real Input'!U576+IF('Real Input'!U576 &gt; 0,'Real Analysis'!$B$29,0)</f>
        <v>0</v>
      </c>
      <c r="O576" t="e">
        <f t="shared" si="42"/>
        <v>#VALUE!</v>
      </c>
      <c r="P576" t="e">
        <f t="shared" si="43"/>
        <v>#VALUE!</v>
      </c>
    </row>
    <row r="577" spans="1:16" x14ac:dyDescent="0.3">
      <c r="A577">
        <v>575</v>
      </c>
      <c r="B577">
        <f>'Real Input'!M577</f>
        <v>11.551496000000043</v>
      </c>
      <c r="C577">
        <f ca="1">INDIRECT(CONCATENATE("'Real Input'!",'Real Analysis'!$B$2,A577+2))</f>
        <v>9.8125113600000002</v>
      </c>
      <c r="D577">
        <f t="shared" si="41"/>
        <v>2.2987999996985309E-2</v>
      </c>
      <c r="E577">
        <f ca="1">IF(B577&gt;0,C577-'Real Analysis'!$B$14,0)</f>
        <v>-4.3986442371426904E-2</v>
      </c>
      <c r="F577">
        <f t="shared" ca="1" si="44"/>
        <v>-3.1101631698705355E-2</v>
      </c>
      <c r="G577">
        <f t="shared" ca="1" si="45"/>
        <v>-0.27729822201435611</v>
      </c>
      <c r="H577">
        <f ca="1">IF(AND(B577&gt;'Real Analysis'!$B$31,B577&lt;'Real Analysis'!$B$32),FilterInput(E577,'Real Analysis'!$B$26,'Real Analysis'!$B$27),0)</f>
        <v>0</v>
      </c>
      <c r="I577" t="e">
        <f>MEDIAN2("Real Values",H577,'Real Analysis'!$B$5,2)</f>
        <v>#VALUE!</v>
      </c>
      <c r="J577" t="e">
        <f>AVERAGE2("Real Values",I577,'Real Analysis'!$B$6,2)</f>
        <v>#VALUE!</v>
      </c>
      <c r="K577" t="e">
        <f>INTEGRAL2(J577,$B577,K576,J576,$B576,'Real Analysis'!$B$19)</f>
        <v>#VALUE!</v>
      </c>
      <c r="L577" t="e">
        <f>IF(AND(B577&lt;'Real Analysis'!$B$32,B577&gt;0),INTEGRAL2(K577,$B577,L576,K576,$B576,'Real Analysis'!$B$20),0)</f>
        <v>#VALUE!</v>
      </c>
      <c r="N577">
        <f>'Real Analysis'!$B$28*'Real Input'!U577+IF('Real Input'!U577 &gt; 0,'Real Analysis'!$B$29,0)</f>
        <v>0</v>
      </c>
      <c r="O577" t="e">
        <f t="shared" si="42"/>
        <v>#VALUE!</v>
      </c>
      <c r="P577" t="e">
        <f t="shared" si="43"/>
        <v>#VALUE!</v>
      </c>
    </row>
    <row r="578" spans="1:16" x14ac:dyDescent="0.3">
      <c r="A578">
        <v>576</v>
      </c>
      <c r="B578">
        <f>'Real Input'!M578</f>
        <v>11.571083999995608</v>
      </c>
      <c r="C578">
        <f ca="1">INDIRECT(CONCATENATE("'Real Input'!",'Real Analysis'!$B$2,A578+2))</f>
        <v>9.9092477700000003</v>
      </c>
      <c r="D578">
        <f t="shared" si="41"/>
        <v>1.9587999995565042E-2</v>
      </c>
      <c r="E578">
        <f ca="1">IF(B578&gt;0,C578-'Real Analysis'!$B$14,0)</f>
        <v>5.2749967628573202E-2</v>
      </c>
      <c r="F578">
        <f t="shared" ca="1" si="44"/>
        <v>-3.0068365333030807E-2</v>
      </c>
      <c r="G578">
        <f t="shared" ca="1" si="45"/>
        <v>-0.27788720115436616</v>
      </c>
      <c r="H578">
        <f ca="1">IF(AND(B578&gt;'Real Analysis'!$B$31,B578&lt;'Real Analysis'!$B$32),FilterInput(E578,'Real Analysis'!$B$26,'Real Analysis'!$B$27),0)</f>
        <v>0</v>
      </c>
      <c r="I578" t="e">
        <f>MEDIAN2("Real Values",H578,'Real Analysis'!$B$5,2)</f>
        <v>#VALUE!</v>
      </c>
      <c r="J578" t="e">
        <f>AVERAGE2("Real Values",I578,'Real Analysis'!$B$6,2)</f>
        <v>#VALUE!</v>
      </c>
      <c r="K578" t="e">
        <f>INTEGRAL2(J578,$B578,K577,J577,$B577,'Real Analysis'!$B$19)</f>
        <v>#VALUE!</v>
      </c>
      <c r="L578" t="e">
        <f>IF(AND(B578&lt;'Real Analysis'!$B$32,B578&gt;0),INTEGRAL2(K578,$B578,L577,K577,$B577,'Real Analysis'!$B$20),0)</f>
        <v>#VALUE!</v>
      </c>
      <c r="N578">
        <f>'Real Analysis'!$B$28*'Real Input'!U578+IF('Real Input'!U578 &gt; 0,'Real Analysis'!$B$29,0)</f>
        <v>0</v>
      </c>
      <c r="O578" t="e">
        <f t="shared" si="42"/>
        <v>#VALUE!</v>
      </c>
      <c r="P578" t="e">
        <f t="shared" si="43"/>
        <v>#VALUE!</v>
      </c>
    </row>
    <row r="579" spans="1:16" x14ac:dyDescent="0.3">
      <c r="A579">
        <v>577</v>
      </c>
      <c r="B579">
        <f>'Real Input'!M579</f>
        <v>11.587893000003533</v>
      </c>
      <c r="C579">
        <f ca="1">INDIRECT(CONCATENATE("'Real Input'!",'Real Analysis'!$B$2,A579+2))</f>
        <v>9.9505478700000012</v>
      </c>
      <c r="D579">
        <f t="shared" ref="D579:D642" si="46">B579-B578</f>
        <v>1.6809000007924624E-2</v>
      </c>
      <c r="E579">
        <f ca="1">IF(B579&gt;0,C579-'Real Analysis'!$B$14,0)</f>
        <v>9.4050067628574041E-2</v>
      </c>
      <c r="F579">
        <f t="shared" ca="1" si="44"/>
        <v>-2.8487477745516795E-2</v>
      </c>
      <c r="G579">
        <f t="shared" ca="1" si="45"/>
        <v>-0.27836604716801633</v>
      </c>
      <c r="H579">
        <f ca="1">IF(AND(B579&gt;'Real Analysis'!$B$31,B579&lt;'Real Analysis'!$B$32),FilterInput(E579,'Real Analysis'!$B$26,'Real Analysis'!$B$27),0)</f>
        <v>9.4050067628574041E-2</v>
      </c>
      <c r="I579" t="e">
        <f>MEDIAN2("Real Values",H579,'Real Analysis'!$B$5,2)</f>
        <v>#VALUE!</v>
      </c>
      <c r="J579" t="e">
        <f>AVERAGE2("Real Values",I579,'Real Analysis'!$B$6,2)</f>
        <v>#VALUE!</v>
      </c>
      <c r="K579" t="e">
        <f>INTEGRAL2(J579,$B579,K578,J578,$B578,'Real Analysis'!$B$19)</f>
        <v>#VALUE!</v>
      </c>
      <c r="L579" t="e">
        <f>IF(AND(B579&lt;'Real Analysis'!$B$32,B579&gt;0),INTEGRAL2(K579,$B579,L578,K578,$B578,'Real Analysis'!$B$20),0)</f>
        <v>#VALUE!</v>
      </c>
      <c r="N579">
        <f>'Real Analysis'!$B$28*'Real Input'!U579+IF('Real Input'!U579 &gt; 0,'Real Analysis'!$B$29,0)</f>
        <v>0</v>
      </c>
      <c r="O579" t="e">
        <f t="shared" ref="O579:O642" si="47">_xlfn.COVARIANCE.P($L$102:$L$1200,N579:N1677)</f>
        <v>#VALUE!</v>
      </c>
      <c r="P579" t="e">
        <f t="shared" ref="P579:P642" si="48">N579-L579</f>
        <v>#VALUE!</v>
      </c>
    </row>
    <row r="580" spans="1:16" x14ac:dyDescent="0.3">
      <c r="A580">
        <v>578</v>
      </c>
      <c r="B580">
        <f>'Real Input'!M580</f>
        <v>11.611439000000246</v>
      </c>
      <c r="C580">
        <f ca="1">INDIRECT(CONCATENATE("'Real Input'!",'Real Analysis'!$B$2,A580+2))</f>
        <v>9.6842652300000012</v>
      </c>
      <c r="D580">
        <f t="shared" si="46"/>
        <v>2.3545999996713363E-2</v>
      </c>
      <c r="E580">
        <f ca="1">IF(B580&gt;0,C580-'Real Analysis'!$B$14,0)</f>
        <v>-0.17223257237142597</v>
      </c>
      <c r="F580">
        <f t="shared" ref="F580:F643" ca="1" si="49">IF(B580&gt;0,F579+E580*$D580,0)</f>
        <v>-3.2542865894008323E-2</v>
      </c>
      <c r="G580">
        <f t="shared" ca="1" si="45"/>
        <v>-0.27913230148824969</v>
      </c>
      <c r="H580">
        <f ca="1">IF(AND(B580&gt;'Real Analysis'!$B$31,B580&lt;'Real Analysis'!$B$32),FilterInput(E580,'Real Analysis'!$B$26,'Real Analysis'!$B$27),0)</f>
        <v>-0.17223257237142597</v>
      </c>
      <c r="I580" t="e">
        <f>MEDIAN2("Real Values",H580,'Real Analysis'!$B$5,2)</f>
        <v>#VALUE!</v>
      </c>
      <c r="J580" t="e">
        <f>AVERAGE2("Real Values",I580,'Real Analysis'!$B$6,2)</f>
        <v>#VALUE!</v>
      </c>
      <c r="K580" t="e">
        <f>INTEGRAL2(J580,$B580,K579,J579,$B579,'Real Analysis'!$B$19)</f>
        <v>#VALUE!</v>
      </c>
      <c r="L580" t="e">
        <f>IF(AND(B580&lt;'Real Analysis'!$B$32,B580&gt;0),INTEGRAL2(K580,$B580,L579,K579,$B579,'Real Analysis'!$B$20),0)</f>
        <v>#VALUE!</v>
      </c>
      <c r="N580">
        <f>'Real Analysis'!$B$28*'Real Input'!U580+IF('Real Input'!U580 &gt; 0,'Real Analysis'!$B$29,0)</f>
        <v>0</v>
      </c>
      <c r="O580" t="e">
        <f t="shared" si="47"/>
        <v>#VALUE!</v>
      </c>
      <c r="P580" t="e">
        <f t="shared" si="48"/>
        <v>#VALUE!</v>
      </c>
    </row>
    <row r="581" spans="1:16" x14ac:dyDescent="0.3">
      <c r="A581">
        <v>579</v>
      </c>
      <c r="B581">
        <f>'Real Input'!M581</f>
        <v>11.632140000001527</v>
      </c>
      <c r="C581">
        <f ca="1">INDIRECT(CONCATENATE("'Real Input'!",'Real Analysis'!$B$2,A581+2))</f>
        <v>9.9705210300000005</v>
      </c>
      <c r="D581">
        <f t="shared" si="46"/>
        <v>2.07010000012815E-2</v>
      </c>
      <c r="E581">
        <f ca="1">IF(B581&gt;0,C581-'Real Analysis'!$B$14,0)</f>
        <v>0.11402322762857331</v>
      </c>
      <c r="F581">
        <f t="shared" ca="1" si="49"/>
        <v>-3.0182471058723105E-2</v>
      </c>
      <c r="G581">
        <f t="shared" ca="1" si="45"/>
        <v>-0.27975710882167498</v>
      </c>
      <c r="H581">
        <f ca="1">IF(AND(B581&gt;'Real Analysis'!$B$31,B581&lt;'Real Analysis'!$B$32),FilterInput(E581,'Real Analysis'!$B$26,'Real Analysis'!$B$27),0)</f>
        <v>0.11402322762857331</v>
      </c>
      <c r="I581" t="e">
        <f>MEDIAN2("Real Values",H581,'Real Analysis'!$B$5,2)</f>
        <v>#VALUE!</v>
      </c>
      <c r="J581" t="e">
        <f>AVERAGE2("Real Values",I581,'Real Analysis'!$B$6,2)</f>
        <v>#VALUE!</v>
      </c>
      <c r="K581" t="e">
        <f>INTEGRAL2(J581,$B581,K580,J580,$B580,'Real Analysis'!$B$19)</f>
        <v>#VALUE!</v>
      </c>
      <c r="L581" t="e">
        <f>IF(AND(B581&lt;'Real Analysis'!$B$32,B581&gt;0),INTEGRAL2(K581,$B581,L580,K580,$B580,'Real Analysis'!$B$20),0)</f>
        <v>#VALUE!</v>
      </c>
      <c r="N581">
        <f>'Real Analysis'!$B$28*'Real Input'!U581+IF('Real Input'!U581 &gt; 0,'Real Analysis'!$B$29,0)</f>
        <v>0</v>
      </c>
      <c r="O581" t="e">
        <f t="shared" si="47"/>
        <v>#VALUE!</v>
      </c>
      <c r="P581" t="e">
        <f t="shared" si="48"/>
        <v>#VALUE!</v>
      </c>
    </row>
    <row r="582" spans="1:16" x14ac:dyDescent="0.3">
      <c r="A582">
        <v>580</v>
      </c>
      <c r="B582">
        <f>'Real Input'!M582</f>
        <v>11.647339999995893</v>
      </c>
      <c r="C582">
        <f ca="1">INDIRECT(CONCATENATE("'Real Input'!",'Real Analysis'!$B$2,A582+2))</f>
        <v>10.115709030000001</v>
      </c>
      <c r="D582">
        <f t="shared" si="46"/>
        <v>1.5199999994365498E-2</v>
      </c>
      <c r="E582">
        <f ca="1">IF(B582&gt;0,C582-'Real Analysis'!$B$14,0)</f>
        <v>0.25921122762857429</v>
      </c>
      <c r="F582">
        <f t="shared" ca="1" si="49"/>
        <v>-2.6242460400229303E-2</v>
      </c>
      <c r="G582">
        <f t="shared" ca="1" si="45"/>
        <v>-0.28015599421961063</v>
      </c>
      <c r="H582">
        <f ca="1">IF(AND(B582&gt;'Real Analysis'!$B$31,B582&lt;'Real Analysis'!$B$32),FilterInput(E582,'Real Analysis'!$B$26,'Real Analysis'!$B$27),0)</f>
        <v>0.25921122762857429</v>
      </c>
      <c r="I582" t="e">
        <f>MEDIAN2("Real Values",H582,'Real Analysis'!$B$5,2)</f>
        <v>#VALUE!</v>
      </c>
      <c r="J582" t="e">
        <f>AVERAGE2("Real Values",I582,'Real Analysis'!$B$6,2)</f>
        <v>#VALUE!</v>
      </c>
      <c r="K582" t="e">
        <f>INTEGRAL2(J582,$B582,K581,J581,$B581,'Real Analysis'!$B$19)</f>
        <v>#VALUE!</v>
      </c>
      <c r="L582" t="e">
        <f>IF(AND(B582&lt;'Real Analysis'!$B$32,B582&gt;0),INTEGRAL2(K582,$B582,L581,K581,$B581,'Real Analysis'!$B$20),0)</f>
        <v>#VALUE!</v>
      </c>
      <c r="N582">
        <f>'Real Analysis'!$B$28*'Real Input'!U582+IF('Real Input'!U582 &gt; 0,'Real Analysis'!$B$29,0)</f>
        <v>0</v>
      </c>
      <c r="O582" t="e">
        <f t="shared" si="47"/>
        <v>#VALUE!</v>
      </c>
      <c r="P582" t="e">
        <f t="shared" si="48"/>
        <v>#VALUE!</v>
      </c>
    </row>
    <row r="583" spans="1:16" x14ac:dyDescent="0.3">
      <c r="A583">
        <v>581</v>
      </c>
      <c r="B583">
        <f>'Real Input'!M583</f>
        <v>11.672548999995342</v>
      </c>
      <c r="C583">
        <f ca="1">INDIRECT(CONCATENATE("'Real Input'!",'Real Analysis'!$B$2,A583+2))</f>
        <v>9.339296580000001</v>
      </c>
      <c r="D583">
        <f t="shared" si="46"/>
        <v>2.5208999999449588E-2</v>
      </c>
      <c r="E583">
        <f ca="1">IF(B583&gt;0,C583-'Real Analysis'!$B$14,0)</f>
        <v>-0.51720122237142618</v>
      </c>
      <c r="F583">
        <f t="shared" ca="1" si="49"/>
        <v>-3.9280586014705909E-2</v>
      </c>
      <c r="G583">
        <f t="shared" ca="1" si="45"/>
        <v>-0.28114621851243371</v>
      </c>
      <c r="H583">
        <f ca="1">IF(AND(B583&gt;'Real Analysis'!$B$31,B583&lt;'Real Analysis'!$B$32),FilterInput(E583,'Real Analysis'!$B$26,'Real Analysis'!$B$27),0)</f>
        <v>-0.51720122237142618</v>
      </c>
      <c r="I583" t="e">
        <f>MEDIAN2("Real Values",H583,'Real Analysis'!$B$5,2)</f>
        <v>#VALUE!</v>
      </c>
      <c r="J583" t="e">
        <f>AVERAGE2("Real Values",I583,'Real Analysis'!$B$6,2)</f>
        <v>#VALUE!</v>
      </c>
      <c r="K583" t="e">
        <f>INTEGRAL2(J583,$B583,K582,J582,$B582,'Real Analysis'!$B$19)</f>
        <v>#VALUE!</v>
      </c>
      <c r="L583" t="e">
        <f>IF(AND(B583&lt;'Real Analysis'!$B$32,B583&gt;0),INTEGRAL2(K583,$B583,L582,K582,$B582,'Real Analysis'!$B$20),0)</f>
        <v>#VALUE!</v>
      </c>
      <c r="N583">
        <f>'Real Analysis'!$B$28*'Real Input'!U583+IF('Real Input'!U583 &gt; 0,'Real Analysis'!$B$29,0)</f>
        <v>0</v>
      </c>
      <c r="O583" t="e">
        <f t="shared" si="47"/>
        <v>#VALUE!</v>
      </c>
      <c r="P583" t="e">
        <f t="shared" si="48"/>
        <v>#VALUE!</v>
      </c>
    </row>
    <row r="584" spans="1:16" x14ac:dyDescent="0.3">
      <c r="A584">
        <v>582</v>
      </c>
      <c r="B584">
        <f>'Real Input'!M584</f>
        <v>11.687829999995301</v>
      </c>
      <c r="C584">
        <f ca="1">INDIRECT(CONCATENATE("'Real Input'!",'Real Analysis'!$B$2,A584+2))</f>
        <v>9.8469640800000011</v>
      </c>
      <c r="D584">
        <f t="shared" si="46"/>
        <v>1.5280999999959022E-2</v>
      </c>
      <c r="E584">
        <f ca="1">IF(B584&gt;0,C584-'Real Analysis'!$B$14,0)</f>
        <v>-9.5337223714260233E-3</v>
      </c>
      <c r="F584">
        <f t="shared" ca="1" si="49"/>
        <v>-3.9426270826263279E-2</v>
      </c>
      <c r="G584">
        <f t="shared" ca="1" si="45"/>
        <v>-0.2817486913569282</v>
      </c>
      <c r="H584">
        <f ca="1">IF(AND(B584&gt;'Real Analysis'!$B$31,B584&lt;'Real Analysis'!$B$32),FilterInput(E584,'Real Analysis'!$B$26,'Real Analysis'!$B$27),0)</f>
        <v>-9.5337223714260233E-3</v>
      </c>
      <c r="I584" t="e">
        <f>MEDIAN2("Real Values",H584,'Real Analysis'!$B$5,2)</f>
        <v>#VALUE!</v>
      </c>
      <c r="J584" t="e">
        <f>AVERAGE2("Real Values",I584,'Real Analysis'!$B$6,2)</f>
        <v>#VALUE!</v>
      </c>
      <c r="K584" t="e">
        <f>INTEGRAL2(J584,$B584,K583,J583,$B583,'Real Analysis'!$B$19)</f>
        <v>#VALUE!</v>
      </c>
      <c r="L584" t="e">
        <f>IF(AND(B584&lt;'Real Analysis'!$B$32,B584&gt;0),INTEGRAL2(K584,$B584,L583,K583,$B583,'Real Analysis'!$B$20),0)</f>
        <v>#VALUE!</v>
      </c>
      <c r="N584">
        <f>'Real Analysis'!$B$28*'Real Input'!U584+IF('Real Input'!U584 &gt; 0,'Real Analysis'!$B$29,0)</f>
        <v>0</v>
      </c>
      <c r="O584" t="e">
        <f t="shared" si="47"/>
        <v>#VALUE!</v>
      </c>
      <c r="P584" t="e">
        <f t="shared" si="48"/>
        <v>#VALUE!</v>
      </c>
    </row>
    <row r="585" spans="1:16" x14ac:dyDescent="0.3">
      <c r="A585">
        <v>583</v>
      </c>
      <c r="B585">
        <f>'Real Input'!M585</f>
        <v>11.70960699999705</v>
      </c>
      <c r="C585">
        <f ca="1">INDIRECT(CONCATENATE("'Real Input'!",'Real Analysis'!$B$2,A585+2))</f>
        <v>10.17432378</v>
      </c>
      <c r="D585">
        <f t="shared" si="46"/>
        <v>2.1777000001748092E-2</v>
      </c>
      <c r="E585">
        <f ca="1">IF(B585&gt;0,C585-'Real Analysis'!$B$14,0)</f>
        <v>0.31782597762857279</v>
      </c>
      <c r="F585">
        <f t="shared" ca="1" si="49"/>
        <v>-3.250497451089026E-2</v>
      </c>
      <c r="G585">
        <f t="shared" ca="1" si="45"/>
        <v>-0.28245655218690868</v>
      </c>
      <c r="H585">
        <f ca="1">IF(AND(B585&gt;'Real Analysis'!$B$31,B585&lt;'Real Analysis'!$B$32),FilterInput(E585,'Real Analysis'!$B$26,'Real Analysis'!$B$27),0)</f>
        <v>0.31782597762857279</v>
      </c>
      <c r="I585" t="e">
        <f>MEDIAN2("Real Values",H585,'Real Analysis'!$B$5,2)</f>
        <v>#VALUE!</v>
      </c>
      <c r="J585" t="e">
        <f>AVERAGE2("Real Values",I585,'Real Analysis'!$B$6,2)</f>
        <v>#VALUE!</v>
      </c>
      <c r="K585" t="e">
        <f>INTEGRAL2(J585,$B585,K584,J584,$B584,'Real Analysis'!$B$19)</f>
        <v>#VALUE!</v>
      </c>
      <c r="L585" t="e">
        <f>IF(AND(B585&lt;'Real Analysis'!$B$32,B585&gt;0),INTEGRAL2(K585,$B585,L584,K584,$B584,'Real Analysis'!$B$20),0)</f>
        <v>#VALUE!</v>
      </c>
      <c r="N585">
        <f>'Real Analysis'!$B$28*'Real Input'!U585+IF('Real Input'!U585 &gt; 0,'Real Analysis'!$B$29,0)</f>
        <v>0</v>
      </c>
      <c r="O585" t="e">
        <f t="shared" si="47"/>
        <v>#VALUE!</v>
      </c>
      <c r="P585" t="e">
        <f t="shared" si="48"/>
        <v>#VALUE!</v>
      </c>
    </row>
    <row r="586" spans="1:16" x14ac:dyDescent="0.3">
      <c r="A586">
        <v>584</v>
      </c>
      <c r="B586">
        <f>'Real Input'!M586</f>
        <v>11.7333409999992</v>
      </c>
      <c r="C586">
        <f ca="1">INDIRECT(CONCATENATE("'Real Input'!",'Real Analysis'!$B$2,A586+2))</f>
        <v>9.6728365800000002</v>
      </c>
      <c r="D586">
        <f t="shared" si="46"/>
        <v>2.3734000002150424E-2</v>
      </c>
      <c r="E586">
        <f ca="1">IF(B586&gt;0,C586-'Real Analysis'!$B$14,0)</f>
        <v>-0.1836612223714269</v>
      </c>
      <c r="F586">
        <f t="shared" ca="1" si="49"/>
        <v>-3.6863989963048654E-2</v>
      </c>
      <c r="G586">
        <f t="shared" ca="1" si="45"/>
        <v>-0.28333148212477094</v>
      </c>
      <c r="H586">
        <f ca="1">IF(AND(B586&gt;'Real Analysis'!$B$31,B586&lt;'Real Analysis'!$B$32),FilterInput(E586,'Real Analysis'!$B$26,'Real Analysis'!$B$27),0)</f>
        <v>-0.1836612223714269</v>
      </c>
      <c r="I586" t="e">
        <f>MEDIAN2("Real Values",H586,'Real Analysis'!$B$5,2)</f>
        <v>#VALUE!</v>
      </c>
      <c r="J586" t="e">
        <f>AVERAGE2("Real Values",I586,'Real Analysis'!$B$6,2)</f>
        <v>#VALUE!</v>
      </c>
      <c r="K586" t="e">
        <f>INTEGRAL2(J586,$B586,K585,J585,$B585,'Real Analysis'!$B$19)</f>
        <v>#VALUE!</v>
      </c>
      <c r="L586" t="e">
        <f>IF(AND(B586&lt;'Real Analysis'!$B$32,B586&gt;0),INTEGRAL2(K586,$B586,L585,K585,$B585,'Real Analysis'!$B$20),0)</f>
        <v>#VALUE!</v>
      </c>
      <c r="N586">
        <f>'Real Analysis'!$B$28*'Real Input'!U586+IF('Real Input'!U586 &gt; 0,'Real Analysis'!$B$29,0)</f>
        <v>0</v>
      </c>
      <c r="O586" t="e">
        <f t="shared" si="47"/>
        <v>#VALUE!</v>
      </c>
      <c r="P586" t="e">
        <f t="shared" si="48"/>
        <v>#VALUE!</v>
      </c>
    </row>
    <row r="587" spans="1:16" x14ac:dyDescent="0.3">
      <c r="A587">
        <v>585</v>
      </c>
      <c r="B587">
        <f>'Real Input'!M587</f>
        <v>11.748265000001993</v>
      </c>
      <c r="C587">
        <f ca="1">INDIRECT(CONCATENATE("'Real Input'!",'Real Analysis'!$B$2,A587+2))</f>
        <v>9.9990485100000015</v>
      </c>
      <c r="D587">
        <f t="shared" si="46"/>
        <v>1.4924000002793036E-2</v>
      </c>
      <c r="E587">
        <f ca="1">IF(B587&gt;0,C587-'Real Analysis'!$B$14,0)</f>
        <v>0.14255070762857436</v>
      </c>
      <c r="F587">
        <f t="shared" ca="1" si="49"/>
        <v>-3.4736563202001663E-2</v>
      </c>
      <c r="G587">
        <f t="shared" ca="1" si="45"/>
        <v>-0.28384989059409466</v>
      </c>
      <c r="H587">
        <f ca="1">IF(AND(B587&gt;'Real Analysis'!$B$31,B587&lt;'Real Analysis'!$B$32),FilterInput(E587,'Real Analysis'!$B$26,'Real Analysis'!$B$27),0)</f>
        <v>0.14255070762857436</v>
      </c>
      <c r="I587" t="e">
        <f>MEDIAN2("Real Values",H587,'Real Analysis'!$B$5,2)</f>
        <v>#VALUE!</v>
      </c>
      <c r="J587" t="e">
        <f>AVERAGE2("Real Values",I587,'Real Analysis'!$B$6,2)</f>
        <v>#VALUE!</v>
      </c>
      <c r="K587" t="e">
        <f>INTEGRAL2(J587,$B587,K586,J586,$B586,'Real Analysis'!$B$19)</f>
        <v>#VALUE!</v>
      </c>
      <c r="L587" t="e">
        <f>IF(AND(B587&lt;'Real Analysis'!$B$32,B587&gt;0),INTEGRAL2(K587,$B587,L586,K586,$B586,'Real Analysis'!$B$20),0)</f>
        <v>#VALUE!</v>
      </c>
      <c r="N587">
        <f>'Real Analysis'!$B$28*'Real Input'!U587+IF('Real Input'!U587 &gt; 0,'Real Analysis'!$B$29,0)</f>
        <v>0</v>
      </c>
      <c r="O587" t="e">
        <f t="shared" si="47"/>
        <v>#VALUE!</v>
      </c>
      <c r="P587" t="e">
        <f t="shared" si="48"/>
        <v>#VALUE!</v>
      </c>
    </row>
    <row r="588" spans="1:16" x14ac:dyDescent="0.3">
      <c r="A588">
        <v>586</v>
      </c>
      <c r="B588">
        <f>'Real Input'!M588</f>
        <v>11.772440999993705</v>
      </c>
      <c r="C588">
        <f ca="1">INDIRECT(CONCATENATE("'Real Input'!",'Real Analysis'!$B$2,A588+2))</f>
        <v>9.8523988199999994</v>
      </c>
      <c r="D588">
        <f t="shared" si="46"/>
        <v>2.417599999171216E-2</v>
      </c>
      <c r="E588">
        <f ca="1">IF(B588&gt;0,C588-'Real Analysis'!$B$14,0)</f>
        <v>-4.0989823714276952E-3</v>
      </c>
      <c r="F588">
        <f t="shared" ca="1" si="49"/>
        <v>-3.4835660199779329E-2</v>
      </c>
      <c r="G588">
        <f t="shared" ca="1" si="45"/>
        <v>-0.2846920775147958</v>
      </c>
      <c r="H588">
        <f ca="1">IF(AND(B588&gt;'Real Analysis'!$B$31,B588&lt;'Real Analysis'!$B$32),FilterInput(E588,'Real Analysis'!$B$26,'Real Analysis'!$B$27),0)</f>
        <v>-4.0989823714276952E-3</v>
      </c>
      <c r="I588" t="e">
        <f>MEDIAN2("Real Values",H588,'Real Analysis'!$B$5,2)</f>
        <v>#VALUE!</v>
      </c>
      <c r="J588" t="e">
        <f>AVERAGE2("Real Values",I588,'Real Analysis'!$B$6,2)</f>
        <v>#VALUE!</v>
      </c>
      <c r="K588" t="e">
        <f>INTEGRAL2(J588,$B588,K587,J587,$B587,'Real Analysis'!$B$19)</f>
        <v>#VALUE!</v>
      </c>
      <c r="L588" t="e">
        <f>IF(AND(B588&lt;'Real Analysis'!$B$32,B588&gt;0),INTEGRAL2(K588,$B588,L587,K587,$B587,'Real Analysis'!$B$20),0)</f>
        <v>#VALUE!</v>
      </c>
      <c r="N588">
        <f>'Real Analysis'!$B$28*'Real Input'!U588+IF('Real Input'!U588 &gt; 0,'Real Analysis'!$B$29,0)</f>
        <v>0</v>
      </c>
      <c r="O588" t="e">
        <f t="shared" si="47"/>
        <v>#VALUE!</v>
      </c>
      <c r="P588" t="e">
        <f t="shared" si="48"/>
        <v>#VALUE!</v>
      </c>
    </row>
    <row r="589" spans="1:16" x14ac:dyDescent="0.3">
      <c r="A589">
        <v>587</v>
      </c>
      <c r="B589">
        <f>'Real Input'!M589</f>
        <v>11.793065000005299</v>
      </c>
      <c r="C589">
        <f ca="1">INDIRECT(CONCATENATE("'Real Input'!",'Real Analysis'!$B$2,A589+2))</f>
        <v>9.6300159300000008</v>
      </c>
      <c r="D589">
        <f t="shared" si="46"/>
        <v>2.0624000011594035E-2</v>
      </c>
      <c r="E589">
        <f ca="1">IF(B589&gt;0,C589-'Real Analysis'!$B$14,0)</f>
        <v>-0.22648187237142636</v>
      </c>
      <c r="F589">
        <f t="shared" ca="1" si="49"/>
        <v>-3.9506622338193464E-2</v>
      </c>
      <c r="G589">
        <f t="shared" ca="1" si="45"/>
        <v>-0.28550686209435677</v>
      </c>
      <c r="H589">
        <f ca="1">IF(AND(B589&gt;'Real Analysis'!$B$31,B589&lt;'Real Analysis'!$B$32),FilterInput(E589,'Real Analysis'!$B$26,'Real Analysis'!$B$27),0)</f>
        <v>-0.22648187237142636</v>
      </c>
      <c r="I589" t="e">
        <f>MEDIAN2("Real Values",H589,'Real Analysis'!$B$5,2)</f>
        <v>#VALUE!</v>
      </c>
      <c r="J589" t="e">
        <f>AVERAGE2("Real Values",I589,'Real Analysis'!$B$6,2)</f>
        <v>#VALUE!</v>
      </c>
      <c r="K589" t="e">
        <f>INTEGRAL2(J589,$B589,K588,J588,$B588,'Real Analysis'!$B$19)</f>
        <v>#VALUE!</v>
      </c>
      <c r="L589" t="e">
        <f>IF(AND(B589&lt;'Real Analysis'!$B$32,B589&gt;0),INTEGRAL2(K589,$B589,L588,K588,$B588,'Real Analysis'!$B$20),0)</f>
        <v>#VALUE!</v>
      </c>
      <c r="N589">
        <f>'Real Analysis'!$B$28*'Real Input'!U589+IF('Real Input'!U589 &gt; 0,'Real Analysis'!$B$29,0)</f>
        <v>0</v>
      </c>
      <c r="O589" t="e">
        <f t="shared" si="47"/>
        <v>#VALUE!</v>
      </c>
      <c r="P589" t="e">
        <f t="shared" si="48"/>
        <v>#VALUE!</v>
      </c>
    </row>
    <row r="590" spans="1:16" x14ac:dyDescent="0.3">
      <c r="A590">
        <v>588</v>
      </c>
      <c r="B590">
        <f>'Real Input'!M590</f>
        <v>11.808170000003884</v>
      </c>
      <c r="C590">
        <f ca="1">INDIRECT(CONCATENATE("'Real Input'!",'Real Analysis'!$B$2,A590+2))</f>
        <v>9.9961643700000007</v>
      </c>
      <c r="D590">
        <f t="shared" si="46"/>
        <v>1.510499999858439E-2</v>
      </c>
      <c r="E590">
        <f ca="1">IF(B590&gt;0,C590-'Real Analysis'!$B$14,0)</f>
        <v>0.13966656762857355</v>
      </c>
      <c r="F590">
        <f t="shared" ca="1" si="49"/>
        <v>-3.7396958834361574E-2</v>
      </c>
      <c r="G590">
        <f t="shared" ca="1" si="45"/>
        <v>-0.28607174315749684</v>
      </c>
      <c r="H590">
        <f ca="1">IF(AND(B590&gt;'Real Analysis'!$B$31,B590&lt;'Real Analysis'!$B$32),FilterInput(E590,'Real Analysis'!$B$26,'Real Analysis'!$B$27),0)</f>
        <v>0.13966656762857355</v>
      </c>
      <c r="I590" t="e">
        <f>MEDIAN2("Real Values",H590,'Real Analysis'!$B$5,2)</f>
        <v>#VALUE!</v>
      </c>
      <c r="J590" t="e">
        <f>AVERAGE2("Real Values",I590,'Real Analysis'!$B$6,2)</f>
        <v>#VALUE!</v>
      </c>
      <c r="K590" t="e">
        <f>INTEGRAL2(J590,$B590,K589,J589,$B589,'Real Analysis'!$B$19)</f>
        <v>#VALUE!</v>
      </c>
      <c r="L590" t="e">
        <f>IF(AND(B590&lt;'Real Analysis'!$B$32,B590&gt;0),INTEGRAL2(K590,$B590,L589,K589,$B589,'Real Analysis'!$B$20),0)</f>
        <v>#VALUE!</v>
      </c>
      <c r="N590">
        <f>'Real Analysis'!$B$28*'Real Input'!U590+IF('Real Input'!U590 &gt; 0,'Real Analysis'!$B$29,0)</f>
        <v>0</v>
      </c>
      <c r="O590" t="e">
        <f t="shared" si="47"/>
        <v>#VALUE!</v>
      </c>
      <c r="P590" t="e">
        <f t="shared" si="48"/>
        <v>#VALUE!</v>
      </c>
    </row>
    <row r="591" spans="1:16" x14ac:dyDescent="0.3">
      <c r="A591">
        <v>589</v>
      </c>
      <c r="B591">
        <f>'Real Input'!M591</f>
        <v>11.828802999996697</v>
      </c>
      <c r="C591">
        <f ca="1">INDIRECT(CONCATENATE("'Real Input'!",'Real Analysis'!$B$2,A591+2))</f>
        <v>10.252489860000001</v>
      </c>
      <c r="D591">
        <f t="shared" si="46"/>
        <v>2.0632999992812984E-2</v>
      </c>
      <c r="E591">
        <f ca="1">IF(B591&gt;0,C591-'Real Analysis'!$B$14,0)</f>
        <v>0.39599205762857359</v>
      </c>
      <c r="F591">
        <f t="shared" ca="1" si="49"/>
        <v>-2.9226454712157214E-2</v>
      </c>
      <c r="G591">
        <f t="shared" ca="1" si="45"/>
        <v>-0.28667477259736274</v>
      </c>
      <c r="H591">
        <f ca="1">IF(AND(B591&gt;'Real Analysis'!$B$31,B591&lt;'Real Analysis'!$B$32),FilterInput(E591,'Real Analysis'!$B$26,'Real Analysis'!$B$27),0)</f>
        <v>0.39599205762857359</v>
      </c>
      <c r="I591" t="e">
        <f>MEDIAN2("Real Values",H591,'Real Analysis'!$B$5,2)</f>
        <v>#VALUE!</v>
      </c>
      <c r="J591" t="e">
        <f>AVERAGE2("Real Values",I591,'Real Analysis'!$B$6,2)</f>
        <v>#VALUE!</v>
      </c>
      <c r="K591" t="e">
        <f>INTEGRAL2(J591,$B591,K590,J590,$B590,'Real Analysis'!$B$19)</f>
        <v>#VALUE!</v>
      </c>
      <c r="L591" t="e">
        <f>IF(AND(B591&lt;'Real Analysis'!$B$32,B591&gt;0),INTEGRAL2(K591,$B591,L590,K590,$B590,'Real Analysis'!$B$20),0)</f>
        <v>#VALUE!</v>
      </c>
      <c r="N591">
        <f>'Real Analysis'!$B$28*'Real Input'!U591+IF('Real Input'!U591 &gt; 0,'Real Analysis'!$B$29,0)</f>
        <v>0</v>
      </c>
      <c r="O591" t="e">
        <f t="shared" si="47"/>
        <v>#VALUE!</v>
      </c>
      <c r="P591" t="e">
        <f t="shared" si="48"/>
        <v>#VALUE!</v>
      </c>
    </row>
    <row r="592" spans="1:16" x14ac:dyDescent="0.3">
      <c r="A592">
        <v>590</v>
      </c>
      <c r="B592">
        <f>'Real Input'!M592</f>
        <v>11.84985400000005</v>
      </c>
      <c r="C592">
        <f ca="1">INDIRECT(CONCATENATE("'Real Input'!",'Real Analysis'!$B$2,A592+2))</f>
        <v>9.9919558800000008</v>
      </c>
      <c r="D592">
        <f t="shared" si="46"/>
        <v>2.1051000003353693E-2</v>
      </c>
      <c r="E592">
        <f ca="1">IF(B592&gt;0,C592-'Real Analysis'!$B$14,0)</f>
        <v>0.13545807762857365</v>
      </c>
      <c r="F592">
        <f t="shared" ca="1" si="49"/>
        <v>-2.6374926719543827E-2</v>
      </c>
      <c r="G592">
        <f t="shared" ca="1" si="45"/>
        <v>-0.28722999117982428</v>
      </c>
      <c r="H592">
        <f ca="1">IF(AND(B592&gt;'Real Analysis'!$B$31,B592&lt;'Real Analysis'!$B$32),FilterInput(E592,'Real Analysis'!$B$26,'Real Analysis'!$B$27),0)</f>
        <v>0.13545807762857365</v>
      </c>
      <c r="I592" t="e">
        <f>MEDIAN2("Real Values",H592,'Real Analysis'!$B$5,2)</f>
        <v>#VALUE!</v>
      </c>
      <c r="J592" t="e">
        <f>AVERAGE2("Real Values",I592,'Real Analysis'!$B$6,2)</f>
        <v>#VALUE!</v>
      </c>
      <c r="K592" t="e">
        <f>INTEGRAL2(J592,$B592,K591,J591,$B591,'Real Analysis'!$B$19)</f>
        <v>#VALUE!</v>
      </c>
      <c r="L592" t="e">
        <f>IF(AND(B592&lt;'Real Analysis'!$B$32,B592&gt;0),INTEGRAL2(K592,$B592,L591,K591,$B591,'Real Analysis'!$B$20),0)</f>
        <v>#VALUE!</v>
      </c>
      <c r="N592">
        <f>'Real Analysis'!$B$28*'Real Input'!U592+IF('Real Input'!U592 &gt; 0,'Real Analysis'!$B$29,0)</f>
        <v>0</v>
      </c>
      <c r="O592" t="e">
        <f t="shared" si="47"/>
        <v>#VALUE!</v>
      </c>
      <c r="P592" t="e">
        <f t="shared" si="48"/>
        <v>#VALUE!</v>
      </c>
    </row>
    <row r="593" spans="1:16" x14ac:dyDescent="0.3">
      <c r="A593">
        <v>591</v>
      </c>
      <c r="B593">
        <f>'Real Input'!M593</f>
        <v>11.868373999997857</v>
      </c>
      <c r="C593">
        <f ca="1">INDIRECT(CONCATENATE("'Real Input'!",'Real Analysis'!$B$2,A593+2))</f>
        <v>9.8278934400000004</v>
      </c>
      <c r="D593">
        <f t="shared" si="46"/>
        <v>1.8519999997806735E-2</v>
      </c>
      <c r="E593">
        <f ca="1">IF(B593&gt;0,C593-'Real Analysis'!$B$14,0)</f>
        <v>-2.8604362371426717E-2</v>
      </c>
      <c r="F593">
        <f t="shared" ca="1" si="49"/>
        <v>-2.6904679510599914E-2</v>
      </c>
      <c r="G593">
        <f t="shared" ca="1" si="45"/>
        <v>-0.28772826584430161</v>
      </c>
      <c r="H593">
        <f ca="1">IF(AND(B593&gt;'Real Analysis'!$B$31,B593&lt;'Real Analysis'!$B$32),FilterInput(E593,'Real Analysis'!$B$26,'Real Analysis'!$B$27),0)</f>
        <v>-2.8604362371426717E-2</v>
      </c>
      <c r="I593" t="e">
        <f>MEDIAN2("Real Values",H593,'Real Analysis'!$B$5,2)</f>
        <v>#VALUE!</v>
      </c>
      <c r="J593" t="e">
        <f>AVERAGE2("Real Values",I593,'Real Analysis'!$B$6,2)</f>
        <v>#VALUE!</v>
      </c>
      <c r="K593" t="e">
        <f>INTEGRAL2(J593,$B593,K592,J592,$B592,'Real Analysis'!$B$19)</f>
        <v>#VALUE!</v>
      </c>
      <c r="L593" t="e">
        <f>IF(AND(B593&lt;'Real Analysis'!$B$32,B593&gt;0),INTEGRAL2(K593,$B593,L592,K592,$B592,'Real Analysis'!$B$20),0)</f>
        <v>#VALUE!</v>
      </c>
      <c r="N593">
        <f>'Real Analysis'!$B$28*'Real Input'!U593+IF('Real Input'!U593 &gt; 0,'Real Analysis'!$B$29,0)</f>
        <v>0</v>
      </c>
      <c r="O593" t="e">
        <f t="shared" si="47"/>
        <v>#VALUE!</v>
      </c>
      <c r="P593" t="e">
        <f t="shared" si="48"/>
        <v>#VALUE!</v>
      </c>
    </row>
    <row r="594" spans="1:16" x14ac:dyDescent="0.3">
      <c r="A594">
        <v>592</v>
      </c>
      <c r="B594">
        <f>'Real Input'!M594</f>
        <v>11.888569000002462</v>
      </c>
      <c r="C594">
        <f ca="1">INDIRECT(CONCATENATE("'Real Input'!",'Real Analysis'!$B$2,A594+2))</f>
        <v>9.6636642300000002</v>
      </c>
      <c r="D594">
        <f t="shared" si="46"/>
        <v>2.019500000460539E-2</v>
      </c>
      <c r="E594">
        <f ca="1">IF(B594&gt;0,C594-'Real Analysis'!$B$14,0)</f>
        <v>-0.19283357237142695</v>
      </c>
      <c r="F594">
        <f t="shared" ca="1" si="49"/>
        <v>-3.0798953505528956E-2</v>
      </c>
      <c r="G594">
        <f t="shared" ca="1" si="45"/>
        <v>-0.28835025071048759</v>
      </c>
      <c r="H594">
        <f ca="1">IF(AND(B594&gt;'Real Analysis'!$B$31,B594&lt;'Real Analysis'!$B$32),FilterInput(E594,'Real Analysis'!$B$26,'Real Analysis'!$B$27),0)</f>
        <v>-0.19283357237142695</v>
      </c>
      <c r="I594" t="e">
        <f>MEDIAN2("Real Values",H594,'Real Analysis'!$B$5,2)</f>
        <v>#VALUE!</v>
      </c>
      <c r="J594" t="e">
        <f>AVERAGE2("Real Values",I594,'Real Analysis'!$B$6,2)</f>
        <v>#VALUE!</v>
      </c>
      <c r="K594" t="e">
        <f>INTEGRAL2(J594,$B594,K593,J593,$B593,'Real Analysis'!$B$19)</f>
        <v>#VALUE!</v>
      </c>
      <c r="L594" t="e">
        <f>IF(AND(B594&lt;'Real Analysis'!$B$32,B594&gt;0),INTEGRAL2(K594,$B594,L593,K593,$B593,'Real Analysis'!$B$20),0)</f>
        <v>#VALUE!</v>
      </c>
      <c r="N594">
        <f>'Real Analysis'!$B$28*'Real Input'!U594+IF('Real Input'!U594 &gt; 0,'Real Analysis'!$B$29,0)</f>
        <v>0</v>
      </c>
      <c r="O594" t="e">
        <f t="shared" si="47"/>
        <v>#VALUE!</v>
      </c>
      <c r="P594" t="e">
        <f t="shared" si="48"/>
        <v>#VALUE!</v>
      </c>
    </row>
    <row r="595" spans="1:16" x14ac:dyDescent="0.3">
      <c r="A595">
        <v>593</v>
      </c>
      <c r="B595">
        <f>'Real Input'!M595</f>
        <v>11.910715999998502</v>
      </c>
      <c r="C595">
        <f ca="1">INDIRECT(CONCATENATE("'Real Input'!",'Real Analysis'!$B$2,A595+2))</f>
        <v>10.18721412</v>
      </c>
      <c r="D595">
        <f t="shared" si="46"/>
        <v>2.2146999996039085E-2</v>
      </c>
      <c r="E595">
        <f ca="1">IF(B595&gt;0,C595-'Real Analysis'!$B$14,0)</f>
        <v>0.33071631762857301</v>
      </c>
      <c r="F595">
        <f t="shared" ca="1" si="49"/>
        <v>-2.347457922031889E-2</v>
      </c>
      <c r="G595">
        <f t="shared" ca="1" si="45"/>
        <v>-0.28887014221638702</v>
      </c>
      <c r="H595">
        <f ca="1">IF(AND(B595&gt;'Real Analysis'!$B$31,B595&lt;'Real Analysis'!$B$32),FilterInput(E595,'Real Analysis'!$B$26,'Real Analysis'!$B$27),0)</f>
        <v>0.33071631762857301</v>
      </c>
      <c r="I595" t="e">
        <f>MEDIAN2("Real Values",H595,'Real Analysis'!$B$5,2)</f>
        <v>#VALUE!</v>
      </c>
      <c r="J595" t="e">
        <f>AVERAGE2("Real Values",I595,'Real Analysis'!$B$6,2)</f>
        <v>#VALUE!</v>
      </c>
      <c r="K595" t="e">
        <f>INTEGRAL2(J595,$B595,K594,J594,$B594,'Real Analysis'!$B$19)</f>
        <v>#VALUE!</v>
      </c>
      <c r="L595" t="e">
        <f>IF(AND(B595&lt;'Real Analysis'!$B$32,B595&gt;0),INTEGRAL2(K595,$B595,L594,K594,$B594,'Real Analysis'!$B$20),0)</f>
        <v>#VALUE!</v>
      </c>
      <c r="N595">
        <f>'Real Analysis'!$B$28*'Real Input'!U595+IF('Real Input'!U595 &gt; 0,'Real Analysis'!$B$29,0)</f>
        <v>0</v>
      </c>
      <c r="O595" t="e">
        <f t="shared" si="47"/>
        <v>#VALUE!</v>
      </c>
      <c r="P595" t="e">
        <f t="shared" si="48"/>
        <v>#VALUE!</v>
      </c>
    </row>
    <row r="596" spans="1:16" x14ac:dyDescent="0.3">
      <c r="A596">
        <v>594</v>
      </c>
      <c r="B596">
        <f>'Real Input'!M596</f>
        <v>11.929113999998663</v>
      </c>
      <c r="C596">
        <f ca="1">INDIRECT(CONCATENATE("'Real Input'!",'Real Analysis'!$B$2,A596+2))</f>
        <v>10.084317029999999</v>
      </c>
      <c r="D596">
        <f t="shared" si="46"/>
        <v>1.8398000000161119E-2</v>
      </c>
      <c r="E596">
        <f ca="1">IF(B596&gt;0,C596-'Real Analysis'!$B$14,0)</f>
        <v>0.22781922762857221</v>
      </c>
      <c r="F596">
        <f t="shared" ca="1" si="49"/>
        <v>-1.9283161070371712E-2</v>
      </c>
      <c r="G596">
        <f t="shared" ca="1" si="45"/>
        <v>-0.28922491381376281</v>
      </c>
      <c r="H596">
        <f ca="1">IF(AND(B596&gt;'Real Analysis'!$B$31,B596&lt;'Real Analysis'!$B$32),FilterInput(E596,'Real Analysis'!$B$26,'Real Analysis'!$B$27),0)</f>
        <v>0.22781922762857221</v>
      </c>
      <c r="I596" t="e">
        <f>MEDIAN2("Real Values",H596,'Real Analysis'!$B$5,2)</f>
        <v>#VALUE!</v>
      </c>
      <c r="J596" t="e">
        <f>AVERAGE2("Real Values",I596,'Real Analysis'!$B$6,2)</f>
        <v>#VALUE!</v>
      </c>
      <c r="K596" t="e">
        <f>INTEGRAL2(J596,$B596,K595,J595,$B595,'Real Analysis'!$B$19)</f>
        <v>#VALUE!</v>
      </c>
      <c r="L596" t="e">
        <f>IF(AND(B596&lt;'Real Analysis'!$B$32,B596&gt;0),INTEGRAL2(K596,$B596,L595,K595,$B595,'Real Analysis'!$B$20),0)</f>
        <v>#VALUE!</v>
      </c>
      <c r="N596">
        <f>'Real Analysis'!$B$28*'Real Input'!U596+IF('Real Input'!U596 &gt; 0,'Real Analysis'!$B$29,0)</f>
        <v>0</v>
      </c>
      <c r="O596" t="e">
        <f t="shared" si="47"/>
        <v>#VALUE!</v>
      </c>
      <c r="P596" t="e">
        <f t="shared" si="48"/>
        <v>#VALUE!</v>
      </c>
    </row>
    <row r="597" spans="1:16" x14ac:dyDescent="0.3">
      <c r="A597">
        <v>595</v>
      </c>
      <c r="B597">
        <f>'Real Input'!M597</f>
        <v>11.950429999997141</v>
      </c>
      <c r="C597">
        <f ca="1">INDIRECT(CONCATENATE("'Real Input'!",'Real Analysis'!$B$2,A597+2))</f>
        <v>9.5226650999999993</v>
      </c>
      <c r="D597">
        <f t="shared" si="46"/>
        <v>2.1315999998478219E-2</v>
      </c>
      <c r="E597">
        <f ca="1">IF(B597&gt;0,C597-'Real Analysis'!$B$14,0)</f>
        <v>-0.33383270237142781</v>
      </c>
      <c r="F597">
        <f t="shared" ca="1" si="49"/>
        <v>-2.6399138953613045E-2</v>
      </c>
      <c r="G597">
        <f t="shared" ca="1" si="45"/>
        <v>-0.28978763785965783</v>
      </c>
      <c r="H597">
        <f ca="1">IF(AND(B597&gt;'Real Analysis'!$B$31,B597&lt;'Real Analysis'!$B$32),FilterInput(E597,'Real Analysis'!$B$26,'Real Analysis'!$B$27),0)</f>
        <v>-0.33383270237142781</v>
      </c>
      <c r="I597" t="e">
        <f>MEDIAN2("Real Values",H597,'Real Analysis'!$B$5,2)</f>
        <v>#VALUE!</v>
      </c>
      <c r="J597" t="e">
        <f>AVERAGE2("Real Values",I597,'Real Analysis'!$B$6,2)</f>
        <v>#VALUE!</v>
      </c>
      <c r="K597" t="e">
        <f>INTEGRAL2(J597,$B597,K596,J596,$B596,'Real Analysis'!$B$19)</f>
        <v>#VALUE!</v>
      </c>
      <c r="L597" t="e">
        <f>IF(AND(B597&lt;'Real Analysis'!$B$32,B597&gt;0),INTEGRAL2(K597,$B597,L596,K596,$B596,'Real Analysis'!$B$20),0)</f>
        <v>#VALUE!</v>
      </c>
      <c r="N597">
        <f>'Real Analysis'!$B$28*'Real Input'!U597+IF('Real Input'!U597 &gt; 0,'Real Analysis'!$B$29,0)</f>
        <v>0</v>
      </c>
      <c r="O597" t="e">
        <f t="shared" si="47"/>
        <v>#VALUE!</v>
      </c>
      <c r="P597" t="e">
        <f t="shared" si="48"/>
        <v>#VALUE!</v>
      </c>
    </row>
    <row r="598" spans="1:16" x14ac:dyDescent="0.3">
      <c r="A598">
        <v>596</v>
      </c>
      <c r="B598">
        <f>'Real Input'!M598</f>
        <v>11.969813999996404</v>
      </c>
      <c r="C598">
        <f ca="1">INDIRECT(CONCATENATE("'Real Input'!",'Real Analysis'!$B$2,A598+2))</f>
        <v>10.38677895</v>
      </c>
      <c r="D598">
        <f t="shared" si="46"/>
        <v>1.9383999999263324E-2</v>
      </c>
      <c r="E598">
        <f ca="1">IF(B598&gt;0,C598-'Real Analysis'!$B$14,0)</f>
        <v>0.53028114762857292</v>
      </c>
      <c r="F598">
        <f t="shared" ca="1" si="49"/>
        <v>-1.6120169188371433E-2</v>
      </c>
      <c r="G598">
        <f t="shared" ca="1" si="45"/>
        <v>-0.29010011121919332</v>
      </c>
      <c r="H598">
        <f ca="1">IF(AND(B598&gt;'Real Analysis'!$B$31,B598&lt;'Real Analysis'!$B$32),FilterInput(E598,'Real Analysis'!$B$26,'Real Analysis'!$B$27),0)</f>
        <v>0.53028114762857292</v>
      </c>
      <c r="I598" t="e">
        <f>MEDIAN2("Real Values",H598,'Real Analysis'!$B$5,2)</f>
        <v>#VALUE!</v>
      </c>
      <c r="J598" t="e">
        <f>AVERAGE2("Real Values",I598,'Real Analysis'!$B$6,2)</f>
        <v>#VALUE!</v>
      </c>
      <c r="K598" t="e">
        <f>INTEGRAL2(J598,$B598,K597,J597,$B597,'Real Analysis'!$B$19)</f>
        <v>#VALUE!</v>
      </c>
      <c r="L598" t="e">
        <f>IF(AND(B598&lt;'Real Analysis'!$B$32,B598&gt;0),INTEGRAL2(K598,$B598,L597,K597,$B597,'Real Analysis'!$B$20),0)</f>
        <v>#VALUE!</v>
      </c>
      <c r="N598">
        <f>'Real Analysis'!$B$28*'Real Input'!U598+IF('Real Input'!U598 &gt; 0,'Real Analysis'!$B$29,0)</f>
        <v>0</v>
      </c>
      <c r="O598" t="e">
        <f t="shared" si="47"/>
        <v>#VALUE!</v>
      </c>
      <c r="P598" t="e">
        <f t="shared" si="48"/>
        <v>#VALUE!</v>
      </c>
    </row>
    <row r="599" spans="1:16" x14ac:dyDescent="0.3">
      <c r="A599">
        <v>597</v>
      </c>
      <c r="B599">
        <f>'Real Input'!M599</f>
        <v>11.988750000004075</v>
      </c>
      <c r="C599">
        <f ca="1">INDIRECT(CONCATENATE("'Real Input'!",'Real Analysis'!$B$2,A599+2))</f>
        <v>10.15224147</v>
      </c>
      <c r="D599">
        <f t="shared" si="46"/>
        <v>1.8936000007670373E-2</v>
      </c>
      <c r="E599">
        <f ca="1">IF(B599&gt;0,C599-'Real Analysis'!$B$14,0)</f>
        <v>0.29574366762857274</v>
      </c>
      <c r="F599">
        <f t="shared" ca="1" si="49"/>
        <v>-1.0519967095888316E-2</v>
      </c>
      <c r="G599">
        <f t="shared" ca="1" si="45"/>
        <v>-0.29029931731620173</v>
      </c>
      <c r="H599">
        <f ca="1">IF(AND(B599&gt;'Real Analysis'!$B$31,B599&lt;'Real Analysis'!$B$32),FilterInput(E599,'Real Analysis'!$B$26,'Real Analysis'!$B$27),0)</f>
        <v>0.29574366762857274</v>
      </c>
      <c r="I599" t="e">
        <f>MEDIAN2("Real Values",H599,'Real Analysis'!$B$5,2)</f>
        <v>#VALUE!</v>
      </c>
      <c r="J599" t="e">
        <f>AVERAGE2("Real Values",I599,'Real Analysis'!$B$6,2)</f>
        <v>#VALUE!</v>
      </c>
      <c r="K599" t="e">
        <f>INTEGRAL2(J599,$B599,K598,J598,$B598,'Real Analysis'!$B$19)</f>
        <v>#VALUE!</v>
      </c>
      <c r="L599" t="e">
        <f>IF(AND(B599&lt;'Real Analysis'!$B$32,B599&gt;0),INTEGRAL2(K599,$B599,L598,K598,$B598,'Real Analysis'!$B$20),0)</f>
        <v>#VALUE!</v>
      </c>
      <c r="N599">
        <f>'Real Analysis'!$B$28*'Real Input'!U599+IF('Real Input'!U599 &gt; 0,'Real Analysis'!$B$29,0)</f>
        <v>0</v>
      </c>
      <c r="O599" t="e">
        <f t="shared" si="47"/>
        <v>#VALUE!</v>
      </c>
      <c r="P599" t="e">
        <f t="shared" si="48"/>
        <v>#VALUE!</v>
      </c>
    </row>
    <row r="600" spans="1:16" x14ac:dyDescent="0.3">
      <c r="A600">
        <v>598</v>
      </c>
      <c r="B600">
        <f>'Real Input'!M600</f>
        <v>12.009430000005523</v>
      </c>
      <c r="C600">
        <f ca="1">INDIRECT(CONCATENATE("'Real Input'!",'Real Analysis'!$B$2,A600+2))</f>
        <v>10.48074894</v>
      </c>
      <c r="D600">
        <f t="shared" si="46"/>
        <v>2.0680000001448207E-2</v>
      </c>
      <c r="E600">
        <f ca="1">IF(B600&gt;0,C600-'Real Analysis'!$B$14,0)</f>
        <v>0.62425113762857265</v>
      </c>
      <c r="F600">
        <f t="shared" ca="1" si="49"/>
        <v>2.389546431174611E-3</v>
      </c>
      <c r="G600">
        <f t="shared" ca="1" si="45"/>
        <v>-0.29024990149600161</v>
      </c>
      <c r="H600">
        <f ca="1">IF(AND(B600&gt;'Real Analysis'!$B$31,B600&lt;'Real Analysis'!$B$32),FilterInput(E600,'Real Analysis'!$B$26,'Real Analysis'!$B$27),0)</f>
        <v>0.62425113762857265</v>
      </c>
      <c r="I600" t="e">
        <f>MEDIAN2("Real Values",H600,'Real Analysis'!$B$5,2)</f>
        <v>#VALUE!</v>
      </c>
      <c r="J600" t="e">
        <f>AVERAGE2("Real Values",I600,'Real Analysis'!$B$6,2)</f>
        <v>#VALUE!</v>
      </c>
      <c r="K600" t="e">
        <f>INTEGRAL2(J600,$B600,K599,J599,$B599,'Real Analysis'!$B$19)</f>
        <v>#VALUE!</v>
      </c>
      <c r="L600" t="e">
        <f>IF(AND(B600&lt;'Real Analysis'!$B$32,B600&gt;0),INTEGRAL2(K600,$B600,L599,K599,$B599,'Real Analysis'!$B$20),0)</f>
        <v>#VALUE!</v>
      </c>
      <c r="N600">
        <f>'Real Analysis'!$B$28*'Real Input'!U600+IF('Real Input'!U600 &gt; 0,'Real Analysis'!$B$29,0)</f>
        <v>0</v>
      </c>
      <c r="O600" t="e">
        <f t="shared" si="47"/>
        <v>#VALUE!</v>
      </c>
      <c r="P600" t="e">
        <f t="shared" si="48"/>
        <v>#VALUE!</v>
      </c>
    </row>
    <row r="601" spans="1:16" x14ac:dyDescent="0.3">
      <c r="A601">
        <v>599</v>
      </c>
      <c r="B601">
        <f>'Real Input'!M601</f>
        <v>12.0291819999984</v>
      </c>
      <c r="C601">
        <f ca="1">INDIRECT(CONCATENATE("'Real Input'!",'Real Analysis'!$B$2,A601+2))</f>
        <v>10.705191930000002</v>
      </c>
      <c r="D601">
        <f t="shared" si="46"/>
        <v>1.9751999992877245E-2</v>
      </c>
      <c r="E601">
        <f ca="1">IF(B601&gt;0,C601-'Real Analysis'!$B$14,0)</f>
        <v>0.84869412762857444</v>
      </c>
      <c r="F601">
        <f t="shared" ca="1" si="49"/>
        <v>1.9152952834049171E-2</v>
      </c>
      <c r="G601">
        <f t="shared" ca="1" si="45"/>
        <v>-0.28987159237175991</v>
      </c>
      <c r="H601">
        <f ca="1">IF(AND(B601&gt;'Real Analysis'!$B$31,B601&lt;'Real Analysis'!$B$32),FilterInput(E601,'Real Analysis'!$B$26,'Real Analysis'!$B$27),0)</f>
        <v>0.84869412762857444</v>
      </c>
      <c r="I601" t="e">
        <f>MEDIAN2("Real Values",H601,'Real Analysis'!$B$5,2)</f>
        <v>#VALUE!</v>
      </c>
      <c r="J601" t="e">
        <f>AVERAGE2("Real Values",I601,'Real Analysis'!$B$6,2)</f>
        <v>#VALUE!</v>
      </c>
      <c r="K601" t="e">
        <f>INTEGRAL2(J601,$B601,K600,J600,$B600,'Real Analysis'!$B$19)</f>
        <v>#VALUE!</v>
      </c>
      <c r="L601" t="e">
        <f>IF(AND(B601&lt;'Real Analysis'!$B$32,B601&gt;0),INTEGRAL2(K601,$B601,L600,K600,$B600,'Real Analysis'!$B$20),0)</f>
        <v>#VALUE!</v>
      </c>
      <c r="N601">
        <f>'Real Analysis'!$B$28*'Real Input'!U601+IF('Real Input'!U601 &gt; 0,'Real Analysis'!$B$29,0)</f>
        <v>0</v>
      </c>
      <c r="O601" t="e">
        <f t="shared" si="47"/>
        <v>#VALUE!</v>
      </c>
      <c r="P601" t="e">
        <f t="shared" si="48"/>
        <v>#VALUE!</v>
      </c>
    </row>
    <row r="602" spans="1:16" x14ac:dyDescent="0.3">
      <c r="A602">
        <v>600</v>
      </c>
      <c r="B602">
        <f>'Real Input'!M602</f>
        <v>12.047955999994883</v>
      </c>
      <c r="C602">
        <f ca="1">INDIRECT(CONCATENATE("'Real Input'!",'Real Analysis'!$B$2,A602+2))</f>
        <v>10.637728560000001</v>
      </c>
      <c r="D602">
        <f t="shared" si="46"/>
        <v>1.8773999996483326E-2</v>
      </c>
      <c r="E602">
        <f ca="1">IF(B602&gt;0,C602-'Real Analysis'!$B$14,0)</f>
        <v>0.78123075762857397</v>
      </c>
      <c r="F602">
        <f t="shared" ca="1" si="49"/>
        <v>3.3819779075020685E-2</v>
      </c>
      <c r="G602">
        <f t="shared" ca="1" si="45"/>
        <v>-0.2892366598395244</v>
      </c>
      <c r="H602">
        <f ca="1">IF(AND(B602&gt;'Real Analysis'!$B$31,B602&lt;'Real Analysis'!$B$32),FilterInput(E602,'Real Analysis'!$B$26,'Real Analysis'!$B$27),0)</f>
        <v>0.78123075762857397</v>
      </c>
      <c r="I602" t="e">
        <f>MEDIAN2("Real Values",H602,'Real Analysis'!$B$5,2)</f>
        <v>#VALUE!</v>
      </c>
      <c r="J602" t="e">
        <f>AVERAGE2("Real Values",I602,'Real Analysis'!$B$6,2)</f>
        <v>#VALUE!</v>
      </c>
      <c r="K602" t="e">
        <f>INTEGRAL2(J602,$B602,K601,J601,$B601,'Real Analysis'!$B$19)</f>
        <v>#VALUE!</v>
      </c>
      <c r="L602" t="e">
        <f>IF(AND(B602&lt;'Real Analysis'!$B$32,B602&gt;0),INTEGRAL2(K602,$B602,L601,K601,$B601,'Real Analysis'!$B$20),0)</f>
        <v>#VALUE!</v>
      </c>
      <c r="N602">
        <f>'Real Analysis'!$B$28*'Real Input'!U602+IF('Real Input'!U602 &gt; 0,'Real Analysis'!$B$29,0)</f>
        <v>0</v>
      </c>
      <c r="O602" t="e">
        <f t="shared" si="47"/>
        <v>#VALUE!</v>
      </c>
      <c r="P602" t="e">
        <f t="shared" si="48"/>
        <v>#VALUE!</v>
      </c>
    </row>
    <row r="603" spans="1:16" x14ac:dyDescent="0.3">
      <c r="A603">
        <v>601</v>
      </c>
      <c r="B603">
        <f>'Real Input'!M603</f>
        <v>12.069656000006944</v>
      </c>
      <c r="C603">
        <f ca="1">INDIRECT(CONCATENATE("'Real Input'!",'Real Analysis'!$B$2,A603+2))</f>
        <v>10.740929760000002</v>
      </c>
      <c r="D603">
        <f t="shared" si="46"/>
        <v>2.1700000012060627E-2</v>
      </c>
      <c r="E603">
        <f ca="1">IF(B603&gt;0,C603-'Real Analysis'!$B$14,0)</f>
        <v>0.88443195762857485</v>
      </c>
      <c r="F603">
        <f t="shared" ca="1" si="49"/>
        <v>5.3011952566227566E-2</v>
      </c>
      <c r="G603">
        <f t="shared" ca="1" si="45"/>
        <v>-0.28808630046819789</v>
      </c>
      <c r="H603">
        <f ca="1">IF(AND(B603&gt;'Real Analysis'!$B$31,B603&lt;'Real Analysis'!$B$32),FilterInput(E603,'Real Analysis'!$B$26,'Real Analysis'!$B$27),0)</f>
        <v>0.88443195762857485</v>
      </c>
      <c r="I603" t="e">
        <f>MEDIAN2("Real Values",H603,'Real Analysis'!$B$5,2)</f>
        <v>#VALUE!</v>
      </c>
      <c r="J603" t="e">
        <f>AVERAGE2("Real Values",I603,'Real Analysis'!$B$6,2)</f>
        <v>#VALUE!</v>
      </c>
      <c r="K603" t="e">
        <f>INTEGRAL2(J603,$B603,K602,J602,$B602,'Real Analysis'!$B$19)</f>
        <v>#VALUE!</v>
      </c>
      <c r="L603" t="e">
        <f>IF(AND(B603&lt;'Real Analysis'!$B$32,B603&gt;0),INTEGRAL2(K603,$B603,L602,K602,$B602,'Real Analysis'!$B$20),0)</f>
        <v>#VALUE!</v>
      </c>
      <c r="N603">
        <f>'Real Analysis'!$B$28*'Real Input'!U603+IF('Real Input'!U603 &gt; 0,'Real Analysis'!$B$29,0)</f>
        <v>0</v>
      </c>
      <c r="O603" t="e">
        <f t="shared" si="47"/>
        <v>#VALUE!</v>
      </c>
      <c r="P603" t="e">
        <f t="shared" si="48"/>
        <v>#VALUE!</v>
      </c>
    </row>
    <row r="604" spans="1:16" x14ac:dyDescent="0.3">
      <c r="A604">
        <v>602</v>
      </c>
      <c r="B604">
        <f>'Real Input'!M604</f>
        <v>12.09146700000565</v>
      </c>
      <c r="C604">
        <f ca="1">INDIRECT(CONCATENATE("'Real Input'!",'Real Analysis'!$B$2,A604+2))</f>
        <v>10.76819175</v>
      </c>
      <c r="D604">
        <f t="shared" si="46"/>
        <v>2.1810999998706393E-2</v>
      </c>
      <c r="E604">
        <f ca="1">IF(B604&gt;0,C604-'Real Analysis'!$B$14,0)</f>
        <v>0.91169394762857259</v>
      </c>
      <c r="F604">
        <f t="shared" ca="1" si="49"/>
        <v>7.2896909256774986E-2</v>
      </c>
      <c r="G604">
        <f t="shared" ca="1" si="45"/>
        <v>-0.28649634598049267</v>
      </c>
      <c r="H604">
        <f ca="1">IF(AND(B604&gt;'Real Analysis'!$B$31,B604&lt;'Real Analysis'!$B$32),FilterInput(E604,'Real Analysis'!$B$26,'Real Analysis'!$B$27),0)</f>
        <v>0.91169394762857259</v>
      </c>
      <c r="I604" t="e">
        <f>MEDIAN2("Real Values",H604,'Real Analysis'!$B$5,2)</f>
        <v>#VALUE!</v>
      </c>
      <c r="J604" t="e">
        <f>AVERAGE2("Real Values",I604,'Real Analysis'!$B$6,2)</f>
        <v>#VALUE!</v>
      </c>
      <c r="K604" t="e">
        <f>INTEGRAL2(J604,$B604,K603,J603,$B603,'Real Analysis'!$B$19)</f>
        <v>#VALUE!</v>
      </c>
      <c r="L604" t="e">
        <f>IF(AND(B604&lt;'Real Analysis'!$B$32,B604&gt;0),INTEGRAL2(K604,$B604,L603,K603,$B603,'Real Analysis'!$B$20),0)</f>
        <v>#VALUE!</v>
      </c>
      <c r="N604">
        <f>'Real Analysis'!$B$28*'Real Input'!U604+IF('Real Input'!U604 &gt; 0,'Real Analysis'!$B$29,0)</f>
        <v>0</v>
      </c>
      <c r="O604" t="e">
        <f t="shared" si="47"/>
        <v>#VALUE!</v>
      </c>
      <c r="P604" t="e">
        <f t="shared" si="48"/>
        <v>#VALUE!</v>
      </c>
    </row>
    <row r="605" spans="1:16" x14ac:dyDescent="0.3">
      <c r="A605">
        <v>603</v>
      </c>
      <c r="B605">
        <f>'Real Input'!M605</f>
        <v>12.106241999994381</v>
      </c>
      <c r="C605">
        <f ca="1">INDIRECT(CONCATENATE("'Real Input'!",'Real Analysis'!$B$2,A605+2))</f>
        <v>11.058508890000001</v>
      </c>
      <c r="D605">
        <f t="shared" si="46"/>
        <v>1.4774999988730997E-2</v>
      </c>
      <c r="E605">
        <f ca="1">IF(B605&gt;0,C605-'Real Analysis'!$B$14,0)</f>
        <v>1.2020110876285734</v>
      </c>
      <c r="F605">
        <f t="shared" ca="1" si="49"/>
        <v>9.0656623062941699E-2</v>
      </c>
      <c r="G605">
        <f t="shared" ca="1" si="45"/>
        <v>-0.28515689437575931</v>
      </c>
      <c r="H605">
        <f ca="1">IF(AND(B605&gt;'Real Analysis'!$B$31,B605&lt;'Real Analysis'!$B$32),FilterInput(E605,'Real Analysis'!$B$26,'Real Analysis'!$B$27),0)</f>
        <v>1.2020110876285734</v>
      </c>
      <c r="I605" t="e">
        <f>MEDIAN2("Real Values",H605,'Real Analysis'!$B$5,2)</f>
        <v>#VALUE!</v>
      </c>
      <c r="J605" t="e">
        <f>AVERAGE2("Real Values",I605,'Real Analysis'!$B$6,2)</f>
        <v>#VALUE!</v>
      </c>
      <c r="K605" t="e">
        <f>INTEGRAL2(J605,$B605,K604,J604,$B604,'Real Analysis'!$B$19)</f>
        <v>#VALUE!</v>
      </c>
      <c r="L605" t="e">
        <f>IF(AND(B605&lt;'Real Analysis'!$B$32,B605&gt;0),INTEGRAL2(K605,$B605,L604,K604,$B604,'Real Analysis'!$B$20),0)</f>
        <v>#VALUE!</v>
      </c>
      <c r="N605">
        <f>'Real Analysis'!$B$28*'Real Input'!U605+IF('Real Input'!U605 &gt; 0,'Real Analysis'!$B$29,0)</f>
        <v>0</v>
      </c>
      <c r="O605" t="e">
        <f t="shared" si="47"/>
        <v>#VALUE!</v>
      </c>
      <c r="P605" t="e">
        <f t="shared" si="48"/>
        <v>#VALUE!</v>
      </c>
    </row>
    <row r="606" spans="1:16" x14ac:dyDescent="0.3">
      <c r="A606">
        <v>604</v>
      </c>
      <c r="B606">
        <f>'Real Input'!M606</f>
        <v>12.129990000001271</v>
      </c>
      <c r="C606">
        <f ca="1">INDIRECT(CONCATENATE("'Real Input'!",'Real Analysis'!$B$2,A606+2))</f>
        <v>11.18580345</v>
      </c>
      <c r="D606">
        <f t="shared" si="46"/>
        <v>2.3748000006889924E-2</v>
      </c>
      <c r="E606">
        <f ca="1">IF(B606&gt;0,C606-'Real Analysis'!$B$14,0)</f>
        <v>1.3293056476285727</v>
      </c>
      <c r="F606">
        <f t="shared" ca="1" si="49"/>
        <v>0.12222497359198387</v>
      </c>
      <c r="G606">
        <f t="shared" ca="1" si="45"/>
        <v>-0.28225429570205474</v>
      </c>
      <c r="H606">
        <f ca="1">IF(AND(B606&gt;'Real Analysis'!$B$31,B606&lt;'Real Analysis'!$B$32),FilterInput(E606,'Real Analysis'!$B$26,'Real Analysis'!$B$27),0)</f>
        <v>1.3293056476285727</v>
      </c>
      <c r="I606" t="e">
        <f>MEDIAN2("Real Values",H606,'Real Analysis'!$B$5,2)</f>
        <v>#VALUE!</v>
      </c>
      <c r="J606" t="e">
        <f>AVERAGE2("Real Values",I606,'Real Analysis'!$B$6,2)</f>
        <v>#VALUE!</v>
      </c>
      <c r="K606" t="e">
        <f>INTEGRAL2(J606,$B606,K605,J605,$B605,'Real Analysis'!$B$19)</f>
        <v>#VALUE!</v>
      </c>
      <c r="L606" t="e">
        <f>IF(AND(B606&lt;'Real Analysis'!$B$32,B606&gt;0),INTEGRAL2(K606,$B606,L605,K605,$B605,'Real Analysis'!$B$20),0)</f>
        <v>#VALUE!</v>
      </c>
      <c r="N606">
        <f>'Real Analysis'!$B$28*'Real Input'!U606+IF('Real Input'!U606 &gt; 0,'Real Analysis'!$B$29,0)</f>
        <v>0</v>
      </c>
      <c r="O606" t="e">
        <f t="shared" si="47"/>
        <v>#VALUE!</v>
      </c>
      <c r="P606" t="e">
        <f t="shared" si="48"/>
        <v>#VALUE!</v>
      </c>
    </row>
    <row r="607" spans="1:16" x14ac:dyDescent="0.3">
      <c r="A607">
        <v>605</v>
      </c>
      <c r="B607">
        <f>'Real Input'!M607</f>
        <v>12.152386999994633</v>
      </c>
      <c r="C607">
        <f ca="1">INDIRECT(CONCATENATE("'Real Input'!",'Real Analysis'!$B$2,A607+2))</f>
        <v>11.226779820000001</v>
      </c>
      <c r="D607">
        <f t="shared" si="46"/>
        <v>2.2396999993361533E-2</v>
      </c>
      <c r="E607">
        <f ca="1">IF(B607&gt;0,C607-'Real Analysis'!$B$14,0)</f>
        <v>1.3702820176285737</v>
      </c>
      <c r="F607">
        <f t="shared" ca="1" si="49"/>
        <v>0.15291517993171447</v>
      </c>
      <c r="G607">
        <f t="shared" ca="1" si="45"/>
        <v>-0.27882945441813922</v>
      </c>
      <c r="H607">
        <f ca="1">IF(AND(B607&gt;'Real Analysis'!$B$31,B607&lt;'Real Analysis'!$B$32),FilterInput(E607,'Real Analysis'!$B$26,'Real Analysis'!$B$27),0)</f>
        <v>1.3702820176285737</v>
      </c>
      <c r="I607" t="e">
        <f>MEDIAN2("Real Values",H607,'Real Analysis'!$B$5,2)</f>
        <v>#VALUE!</v>
      </c>
      <c r="J607" t="e">
        <f>AVERAGE2("Real Values",I607,'Real Analysis'!$B$6,2)</f>
        <v>#VALUE!</v>
      </c>
      <c r="K607" t="e">
        <f>INTEGRAL2(J607,$B607,K606,J606,$B606,'Real Analysis'!$B$19)</f>
        <v>#VALUE!</v>
      </c>
      <c r="L607" t="e">
        <f>IF(AND(B607&lt;'Real Analysis'!$B$32,B607&gt;0),INTEGRAL2(K607,$B607,L606,K606,$B606,'Real Analysis'!$B$20),0)</f>
        <v>#VALUE!</v>
      </c>
      <c r="N607">
        <f>'Real Analysis'!$B$28*'Real Input'!U607+IF('Real Input'!U607 &gt; 0,'Real Analysis'!$B$29,0)</f>
        <v>0</v>
      </c>
      <c r="O607" t="e">
        <f t="shared" si="47"/>
        <v>#VALUE!</v>
      </c>
      <c r="P607" t="e">
        <f t="shared" si="48"/>
        <v>#VALUE!</v>
      </c>
    </row>
    <row r="608" spans="1:16" x14ac:dyDescent="0.3">
      <c r="A608">
        <v>606</v>
      </c>
      <c r="B608">
        <f>'Real Input'!M608</f>
        <v>12.175002000003587</v>
      </c>
      <c r="C608">
        <f ca="1">INDIRECT(CONCATENATE("'Real Input'!",'Real Analysis'!$B$2,A608+2))</f>
        <v>11.147789700000002</v>
      </c>
      <c r="D608">
        <f t="shared" si="46"/>
        <v>2.2615000008954667E-2</v>
      </c>
      <c r="E608">
        <f ca="1">IF(B608&gt;0,C608-'Real Analysis'!$B$14,0)</f>
        <v>1.2912918976285752</v>
      </c>
      <c r="F608">
        <f t="shared" ca="1" si="49"/>
        <v>0.18211774620814777</v>
      </c>
      <c r="G608">
        <f t="shared" ca="1" si="45"/>
        <v>-0.27471086158601116</v>
      </c>
      <c r="H608">
        <f ca="1">IF(AND(B608&gt;'Real Analysis'!$B$31,B608&lt;'Real Analysis'!$B$32),FilterInput(E608,'Real Analysis'!$B$26,'Real Analysis'!$B$27),0)</f>
        <v>1.2912918976285752</v>
      </c>
      <c r="I608" t="e">
        <f>MEDIAN2("Real Values",H608,'Real Analysis'!$B$5,2)</f>
        <v>#VALUE!</v>
      </c>
      <c r="J608" t="e">
        <f>AVERAGE2("Real Values",I608,'Real Analysis'!$B$6,2)</f>
        <v>#VALUE!</v>
      </c>
      <c r="K608" t="e">
        <f>INTEGRAL2(J608,$B608,K607,J607,$B607,'Real Analysis'!$B$19)</f>
        <v>#VALUE!</v>
      </c>
      <c r="L608" t="e">
        <f>IF(AND(B608&lt;'Real Analysis'!$B$32,B608&gt;0),INTEGRAL2(K608,$B608,L607,K607,$B607,'Real Analysis'!$B$20),0)</f>
        <v>#VALUE!</v>
      </c>
      <c r="N608">
        <f>'Real Analysis'!$B$28*'Real Input'!U608+IF('Real Input'!U608 &gt; 0,'Real Analysis'!$B$29,0)</f>
        <v>0</v>
      </c>
      <c r="O608" t="e">
        <f t="shared" si="47"/>
        <v>#VALUE!</v>
      </c>
      <c r="P608" t="e">
        <f t="shared" si="48"/>
        <v>#VALUE!</v>
      </c>
    </row>
    <row r="609" spans="1:16" x14ac:dyDescent="0.3">
      <c r="A609">
        <v>607</v>
      </c>
      <c r="B609">
        <f>'Real Input'!M609</f>
        <v>12.18707899999572</v>
      </c>
      <c r="C609">
        <f ca="1">INDIRECT(CONCATENATE("'Real Input'!",'Real Analysis'!$B$2,A609+2))</f>
        <v>11.051327969999999</v>
      </c>
      <c r="D609">
        <f t="shared" si="46"/>
        <v>1.2076999992132187E-2</v>
      </c>
      <c r="E609">
        <f ca="1">IF(B609&gt;0,C609-'Real Analysis'!$B$14,0)</f>
        <v>1.194830167628572</v>
      </c>
      <c r="F609">
        <f t="shared" ca="1" si="49"/>
        <v>0.19654771013319733</v>
      </c>
      <c r="G609">
        <f t="shared" ref="G609:G672" ca="1" si="50">IF(B609&gt;0,G608+F609*$D609,0)</f>
        <v>-0.27233715489227894</v>
      </c>
      <c r="H609">
        <f ca="1">IF(AND(B609&gt;'Real Analysis'!$B$31,B609&lt;'Real Analysis'!$B$32),FilterInput(E609,'Real Analysis'!$B$26,'Real Analysis'!$B$27),0)</f>
        <v>1.194830167628572</v>
      </c>
      <c r="I609" t="e">
        <f>MEDIAN2("Real Values",H609,'Real Analysis'!$B$5,2)</f>
        <v>#VALUE!</v>
      </c>
      <c r="J609" t="e">
        <f>AVERAGE2("Real Values",I609,'Real Analysis'!$B$6,2)</f>
        <v>#VALUE!</v>
      </c>
      <c r="K609" t="e">
        <f>INTEGRAL2(J609,$B609,K608,J608,$B608,'Real Analysis'!$B$19)</f>
        <v>#VALUE!</v>
      </c>
      <c r="L609" t="e">
        <f>IF(AND(B609&lt;'Real Analysis'!$B$32,B609&gt;0),INTEGRAL2(K609,$B609,L608,K608,$B608,'Real Analysis'!$B$20),0)</f>
        <v>#VALUE!</v>
      </c>
      <c r="N609">
        <f>'Real Analysis'!$B$28*'Real Input'!U609+IF('Real Input'!U609 &gt; 0,'Real Analysis'!$B$29,0)</f>
        <v>0</v>
      </c>
      <c r="O609" t="e">
        <f t="shared" si="47"/>
        <v>#VALUE!</v>
      </c>
      <c r="P609" t="e">
        <f t="shared" si="48"/>
        <v>#VALUE!</v>
      </c>
    </row>
    <row r="610" spans="1:16" x14ac:dyDescent="0.3">
      <c r="A610">
        <v>608</v>
      </c>
      <c r="B610">
        <f>'Real Input'!M610</f>
        <v>12.211135999998078</v>
      </c>
      <c r="C610">
        <f ca="1">INDIRECT(CONCATENATE("'Real Input'!",'Real Analysis'!$B$2,A610+2))</f>
        <v>11.065150259999999</v>
      </c>
      <c r="D610">
        <f t="shared" si="46"/>
        <v>2.4057000002358109E-2</v>
      </c>
      <c r="E610">
        <f ca="1">IF(B610&gt;0,C610-'Real Analysis'!$B$14,0)</f>
        <v>1.2086524576285722</v>
      </c>
      <c r="F610">
        <f t="shared" ca="1" si="49"/>
        <v>0.22562426230921803</v>
      </c>
      <c r="G610">
        <f t="shared" ca="1" si="50"/>
        <v>-0.26690931201337403</v>
      </c>
      <c r="H610">
        <f ca="1">IF(AND(B610&gt;'Real Analysis'!$B$31,B610&lt;'Real Analysis'!$B$32),FilterInput(E610,'Real Analysis'!$B$26,'Real Analysis'!$B$27),0)</f>
        <v>1.2086524576285722</v>
      </c>
      <c r="I610" t="e">
        <f>MEDIAN2("Real Values",H610,'Real Analysis'!$B$5,2)</f>
        <v>#VALUE!</v>
      </c>
      <c r="J610" t="e">
        <f>AVERAGE2("Real Values",I610,'Real Analysis'!$B$6,2)</f>
        <v>#VALUE!</v>
      </c>
      <c r="K610" t="e">
        <f>INTEGRAL2(J610,$B610,K609,J609,$B609,'Real Analysis'!$B$19)</f>
        <v>#VALUE!</v>
      </c>
      <c r="L610" t="e">
        <f>IF(AND(B610&lt;'Real Analysis'!$B$32,B610&gt;0),INTEGRAL2(K610,$B610,L609,K609,$B609,'Real Analysis'!$B$20),0)</f>
        <v>#VALUE!</v>
      </c>
      <c r="N610">
        <f>'Real Analysis'!$B$28*'Real Input'!U610+IF('Real Input'!U610 &gt; 0,'Real Analysis'!$B$29,0)</f>
        <v>0</v>
      </c>
      <c r="O610" t="e">
        <f t="shared" si="47"/>
        <v>#VALUE!</v>
      </c>
      <c r="P610" t="e">
        <f t="shared" si="48"/>
        <v>#VALUE!</v>
      </c>
    </row>
    <row r="611" spans="1:16" x14ac:dyDescent="0.3">
      <c r="A611">
        <v>609</v>
      </c>
      <c r="B611">
        <f>'Real Input'!M611</f>
        <v>12.230676999999559</v>
      </c>
      <c r="C611">
        <f ca="1">INDIRECT(CONCATENATE("'Real Input'!",'Real Analysis'!$B$2,A611+2))</f>
        <v>11.051043480000001</v>
      </c>
      <c r="D611">
        <f t="shared" si="46"/>
        <v>1.9541000001481734E-2</v>
      </c>
      <c r="E611">
        <f ca="1">IF(B611&gt;0,C611-'Real Analysis'!$B$14,0)</f>
        <v>1.1945456776285734</v>
      </c>
      <c r="F611">
        <f t="shared" ca="1" si="49"/>
        <v>0.24896687939752798</v>
      </c>
      <c r="G611">
        <f t="shared" ca="1" si="50"/>
        <v>-0.26204425022269806</v>
      </c>
      <c r="H611">
        <f ca="1">IF(AND(B611&gt;'Real Analysis'!$B$31,B611&lt;'Real Analysis'!$B$32),FilterInput(E611,'Real Analysis'!$B$26,'Real Analysis'!$B$27),0)</f>
        <v>1.1945456776285734</v>
      </c>
      <c r="I611" t="e">
        <f>MEDIAN2("Real Values",H611,'Real Analysis'!$B$5,2)</f>
        <v>#VALUE!</v>
      </c>
      <c r="J611" t="e">
        <f>AVERAGE2("Real Values",I611,'Real Analysis'!$B$6,2)</f>
        <v>#VALUE!</v>
      </c>
      <c r="K611" t="e">
        <f>INTEGRAL2(J611,$B611,K610,J610,$B610,'Real Analysis'!$B$19)</f>
        <v>#VALUE!</v>
      </c>
      <c r="L611" t="e">
        <f>IF(AND(B611&lt;'Real Analysis'!$B$32,B611&gt;0),INTEGRAL2(K611,$B611,L610,K610,$B610,'Real Analysis'!$B$20),0)</f>
        <v>#VALUE!</v>
      </c>
      <c r="N611">
        <f>'Real Analysis'!$B$28*'Real Input'!U611+IF('Real Input'!U611 &gt; 0,'Real Analysis'!$B$29,0)</f>
        <v>0</v>
      </c>
      <c r="O611" t="e">
        <f t="shared" si="47"/>
        <v>#VALUE!</v>
      </c>
      <c r="P611" t="e">
        <f t="shared" si="48"/>
        <v>#VALUE!</v>
      </c>
    </row>
    <row r="612" spans="1:16" x14ac:dyDescent="0.3">
      <c r="A612">
        <v>610</v>
      </c>
      <c r="B612">
        <f>'Real Input'!M612</f>
        <v>12.251044999997248</v>
      </c>
      <c r="C612">
        <f ca="1">INDIRECT(CONCATENATE("'Real Input'!",'Real Analysis'!$B$2,A612+2))</f>
        <v>10.961880389999999</v>
      </c>
      <c r="D612">
        <f t="shared" si="46"/>
        <v>2.0367999997688457E-2</v>
      </c>
      <c r="E612">
        <f ca="1">IF(B612&gt;0,C612-'Real Analysis'!$B$14,0)</f>
        <v>1.1053825876285721</v>
      </c>
      <c r="F612">
        <f t="shared" ca="1" si="49"/>
        <v>0.27148131193979158</v>
      </c>
      <c r="G612">
        <f t="shared" ca="1" si="50"/>
        <v>-0.25651471886173594</v>
      </c>
      <c r="H612">
        <f ca="1">IF(AND(B612&gt;'Real Analysis'!$B$31,B612&lt;'Real Analysis'!$B$32),FilterInput(E612,'Real Analysis'!$B$26,'Real Analysis'!$B$27),0)</f>
        <v>1.1053825876285721</v>
      </c>
      <c r="I612" t="e">
        <f>MEDIAN2("Real Values",H612,'Real Analysis'!$B$5,2)</f>
        <v>#VALUE!</v>
      </c>
      <c r="J612" t="e">
        <f>AVERAGE2("Real Values",I612,'Real Analysis'!$B$6,2)</f>
        <v>#VALUE!</v>
      </c>
      <c r="K612" t="e">
        <f>INTEGRAL2(J612,$B612,K611,J611,$B611,'Real Analysis'!$B$19)</f>
        <v>#VALUE!</v>
      </c>
      <c r="L612" t="e">
        <f>IF(AND(B612&lt;'Real Analysis'!$B$32,B612&gt;0),INTEGRAL2(K612,$B612,L611,K611,$B611,'Real Analysis'!$B$20),0)</f>
        <v>#VALUE!</v>
      </c>
      <c r="N612">
        <f>'Real Analysis'!$B$28*'Real Input'!U612+IF('Real Input'!U612 &gt; 0,'Real Analysis'!$B$29,0)</f>
        <v>0</v>
      </c>
      <c r="O612" t="e">
        <f t="shared" si="47"/>
        <v>#VALUE!</v>
      </c>
      <c r="P612" t="e">
        <f t="shared" si="48"/>
        <v>#VALUE!</v>
      </c>
    </row>
    <row r="613" spans="1:16" x14ac:dyDescent="0.3">
      <c r="A613">
        <v>611</v>
      </c>
      <c r="B613">
        <f>'Real Input'!M613</f>
        <v>12.270942000002833</v>
      </c>
      <c r="C613">
        <f ca="1">INDIRECT(CONCATENATE("'Real Input'!",'Real Analysis'!$B$2,A613+2))</f>
        <v>11.32733232</v>
      </c>
      <c r="D613">
        <f t="shared" si="46"/>
        <v>1.9897000005585141E-2</v>
      </c>
      <c r="E613">
        <f ca="1">IF(B613&gt;0,C613-'Real Analysis'!$B$14,0)</f>
        <v>1.4708345176285729</v>
      </c>
      <c r="F613">
        <f t="shared" ca="1" si="49"/>
        <v>0.30074650634526212</v>
      </c>
      <c r="G613">
        <f t="shared" ca="1" si="50"/>
        <v>-0.25053076562330456</v>
      </c>
      <c r="H613">
        <f ca="1">IF(AND(B613&gt;'Real Analysis'!$B$31,B613&lt;'Real Analysis'!$B$32),FilterInput(E613,'Real Analysis'!$B$26,'Real Analysis'!$B$27),0)</f>
        <v>1.4708345176285729</v>
      </c>
      <c r="I613" t="e">
        <f>MEDIAN2("Real Values",H613,'Real Analysis'!$B$5,2)</f>
        <v>#VALUE!</v>
      </c>
      <c r="J613" t="e">
        <f>AVERAGE2("Real Values",I613,'Real Analysis'!$B$6,2)</f>
        <v>#VALUE!</v>
      </c>
      <c r="K613" t="e">
        <f>INTEGRAL2(J613,$B613,K612,J612,$B612,'Real Analysis'!$B$19)</f>
        <v>#VALUE!</v>
      </c>
      <c r="L613" t="e">
        <f>IF(AND(B613&lt;'Real Analysis'!$B$32,B613&gt;0),INTEGRAL2(K613,$B613,L612,K612,$B612,'Real Analysis'!$B$20),0)</f>
        <v>#VALUE!</v>
      </c>
      <c r="N613">
        <f>'Real Analysis'!$B$28*'Real Input'!U613+IF('Real Input'!U613 &gt; 0,'Real Analysis'!$B$29,0)</f>
        <v>0</v>
      </c>
      <c r="O613" t="e">
        <f t="shared" si="47"/>
        <v>#VALUE!</v>
      </c>
      <c r="P613" t="e">
        <f t="shared" si="48"/>
        <v>#VALUE!</v>
      </c>
    </row>
    <row r="614" spans="1:16" x14ac:dyDescent="0.3">
      <c r="A614">
        <v>612</v>
      </c>
      <c r="B614">
        <f>'Real Input'!M614</f>
        <v>12.29207700000552</v>
      </c>
      <c r="C614">
        <f ca="1">INDIRECT(CONCATENATE("'Real Input'!",'Real Analysis'!$B$2,A614+2))</f>
        <v>11.410148340000001</v>
      </c>
      <c r="D614">
        <f t="shared" si="46"/>
        <v>2.1135000002686866E-2</v>
      </c>
      <c r="E614">
        <f ca="1">IF(B614&gt;0,C614-'Real Analysis'!$B$14,0)</f>
        <v>1.5536505376285739</v>
      </c>
      <c r="F614">
        <f t="shared" ca="1" si="49"/>
        <v>0.3335829104622165</v>
      </c>
      <c r="G614">
        <f t="shared" ca="1" si="50"/>
        <v>-0.24348049080978931</v>
      </c>
      <c r="H614">
        <f ca="1">IF(AND(B614&gt;'Real Analysis'!$B$31,B614&lt;'Real Analysis'!$B$32),FilterInput(E614,'Real Analysis'!$B$26,'Real Analysis'!$B$27),0)</f>
        <v>1.5536505376285739</v>
      </c>
      <c r="I614" t="e">
        <f>MEDIAN2("Real Values",H614,'Real Analysis'!$B$5,2)</f>
        <v>#VALUE!</v>
      </c>
      <c r="J614" t="e">
        <f>AVERAGE2("Real Values",I614,'Real Analysis'!$B$6,2)</f>
        <v>#VALUE!</v>
      </c>
      <c r="K614" t="e">
        <f>INTEGRAL2(J614,$B614,K613,J613,$B613,'Real Analysis'!$B$19)</f>
        <v>#VALUE!</v>
      </c>
      <c r="L614" t="e">
        <f>IF(AND(B614&lt;'Real Analysis'!$B$32,B614&gt;0),INTEGRAL2(K614,$B614,L613,K613,$B613,'Real Analysis'!$B$20),0)</f>
        <v>#VALUE!</v>
      </c>
      <c r="N614">
        <f>'Real Analysis'!$B$28*'Real Input'!U614+IF('Real Input'!U614 &gt; 0,'Real Analysis'!$B$29,0)</f>
        <v>0</v>
      </c>
      <c r="O614" t="e">
        <f t="shared" si="47"/>
        <v>#VALUE!</v>
      </c>
      <c r="P614" t="e">
        <f t="shared" si="48"/>
        <v>#VALUE!</v>
      </c>
    </row>
    <row r="615" spans="1:16" x14ac:dyDescent="0.3">
      <c r="A615">
        <v>613</v>
      </c>
      <c r="B615">
        <f>'Real Input'!M615</f>
        <v>12.30597200000193</v>
      </c>
      <c r="C615">
        <f ca="1">INDIRECT(CONCATENATE("'Real Input'!",'Real Analysis'!$B$2,A615+2))</f>
        <v>11.2420638</v>
      </c>
      <c r="D615">
        <f t="shared" si="46"/>
        <v>1.3894999996409751E-2</v>
      </c>
      <c r="E615">
        <f ca="1">IF(B615&gt;0,C615-'Real Analysis'!$B$14,0)</f>
        <v>1.3855659976285732</v>
      </c>
      <c r="F615">
        <f t="shared" ca="1" si="49"/>
        <v>0.352835349994291</v>
      </c>
      <c r="G615">
        <f t="shared" ca="1" si="50"/>
        <v>-0.23857784362288539</v>
      </c>
      <c r="H615">
        <f ca="1">IF(AND(B615&gt;'Real Analysis'!$B$31,B615&lt;'Real Analysis'!$B$32),FilterInput(E615,'Real Analysis'!$B$26,'Real Analysis'!$B$27),0)</f>
        <v>1.3855659976285732</v>
      </c>
      <c r="I615" t="e">
        <f>MEDIAN2("Real Values",H615,'Real Analysis'!$B$5,2)</f>
        <v>#VALUE!</v>
      </c>
      <c r="J615" t="e">
        <f>AVERAGE2("Real Values",I615,'Real Analysis'!$B$6,2)</f>
        <v>#VALUE!</v>
      </c>
      <c r="K615" t="e">
        <f>INTEGRAL2(J615,$B615,K614,J614,$B614,'Real Analysis'!$B$19)</f>
        <v>#VALUE!</v>
      </c>
      <c r="L615" t="e">
        <f>IF(AND(B615&lt;'Real Analysis'!$B$32,B615&gt;0),INTEGRAL2(K615,$B615,L614,K614,$B614,'Real Analysis'!$B$20),0)</f>
        <v>#VALUE!</v>
      </c>
      <c r="N615">
        <f>'Real Analysis'!$B$28*'Real Input'!U615+IF('Real Input'!U615 &gt; 0,'Real Analysis'!$B$29,0)</f>
        <v>0</v>
      </c>
      <c r="O615" t="e">
        <f t="shared" si="47"/>
        <v>#VALUE!</v>
      </c>
      <c r="P615" t="e">
        <f t="shared" si="48"/>
        <v>#VALUE!</v>
      </c>
    </row>
    <row r="616" spans="1:16" x14ac:dyDescent="0.3">
      <c r="A616">
        <v>614</v>
      </c>
      <c r="B616">
        <f>'Real Input'!M616</f>
        <v>12.330021999994642</v>
      </c>
      <c r="C616">
        <f ca="1">INDIRECT(CONCATENATE("'Real Input'!",'Real Analysis'!$B$2,A616+2))</f>
        <v>11.104380450000001</v>
      </c>
      <c r="D616">
        <f t="shared" si="46"/>
        <v>2.4049999992712401E-2</v>
      </c>
      <c r="E616">
        <f ca="1">IF(B616&gt;0,C616-'Real Analysis'!$B$14,0)</f>
        <v>1.2478826476285736</v>
      </c>
      <c r="F616">
        <f t="shared" ca="1" si="49"/>
        <v>0.38284692766066414</v>
      </c>
      <c r="G616">
        <f t="shared" ca="1" si="50"/>
        <v>-0.22937037501543645</v>
      </c>
      <c r="H616">
        <f ca="1">IF(AND(B616&gt;'Real Analysis'!$B$31,B616&lt;'Real Analysis'!$B$32),FilterInput(E616,'Real Analysis'!$B$26,'Real Analysis'!$B$27),0)</f>
        <v>1.2478826476285736</v>
      </c>
      <c r="I616" t="e">
        <f>MEDIAN2("Real Values",H616,'Real Analysis'!$B$5,2)</f>
        <v>#VALUE!</v>
      </c>
      <c r="J616" t="e">
        <f>AVERAGE2("Real Values",I616,'Real Analysis'!$B$6,2)</f>
        <v>#VALUE!</v>
      </c>
      <c r="K616" t="e">
        <f>INTEGRAL2(J616,$B616,K615,J615,$B615,'Real Analysis'!$B$19)</f>
        <v>#VALUE!</v>
      </c>
      <c r="L616" t="e">
        <f>IF(AND(B616&lt;'Real Analysis'!$B$32,B616&gt;0),INTEGRAL2(K616,$B616,L615,K615,$B615,'Real Analysis'!$B$20),0)</f>
        <v>#VALUE!</v>
      </c>
      <c r="N616">
        <f>'Real Analysis'!$B$28*'Real Input'!U616+IF('Real Input'!U616 &gt; 0,'Real Analysis'!$B$29,0)</f>
        <v>0</v>
      </c>
      <c r="O616" t="e">
        <f t="shared" si="47"/>
        <v>#VALUE!</v>
      </c>
      <c r="P616" t="e">
        <f t="shared" si="48"/>
        <v>#VALUE!</v>
      </c>
    </row>
    <row r="617" spans="1:16" x14ac:dyDescent="0.3">
      <c r="A617">
        <v>615</v>
      </c>
      <c r="B617">
        <f>'Real Input'!M617</f>
        <v>12.33946499999729</v>
      </c>
      <c r="C617">
        <f ca="1">INDIRECT(CONCATENATE("'Real Input'!",'Real Analysis'!$B$2,A617+2))</f>
        <v>11.110599990000001</v>
      </c>
      <c r="D617">
        <f t="shared" si="46"/>
        <v>9.4430000026477501E-3</v>
      </c>
      <c r="E617">
        <f ca="1">IF(B617&gt;0,C617-'Real Analysis'!$B$14,0)</f>
        <v>1.2541021876285736</v>
      </c>
      <c r="F617">
        <f t="shared" ca="1" si="49"/>
        <v>0.39468941462176133</v>
      </c>
      <c r="G617">
        <f t="shared" ca="1" si="50"/>
        <v>-0.22564332287211811</v>
      </c>
      <c r="H617">
        <f ca="1">IF(AND(B617&gt;'Real Analysis'!$B$31,B617&lt;'Real Analysis'!$B$32),FilterInput(E617,'Real Analysis'!$B$26,'Real Analysis'!$B$27),0)</f>
        <v>1.2541021876285736</v>
      </c>
      <c r="I617" t="e">
        <f>MEDIAN2("Real Values",H617,'Real Analysis'!$B$5,2)</f>
        <v>#VALUE!</v>
      </c>
      <c r="J617" t="e">
        <f>AVERAGE2("Real Values",I617,'Real Analysis'!$B$6,2)</f>
        <v>#VALUE!</v>
      </c>
      <c r="K617" t="e">
        <f>INTEGRAL2(J617,$B617,K616,J616,$B616,'Real Analysis'!$B$19)</f>
        <v>#VALUE!</v>
      </c>
      <c r="L617" t="e">
        <f>IF(AND(B617&lt;'Real Analysis'!$B$32,B617&gt;0),INTEGRAL2(K617,$B617,L616,K616,$B616,'Real Analysis'!$B$20),0)</f>
        <v>#VALUE!</v>
      </c>
      <c r="N617">
        <f>'Real Analysis'!$B$28*'Real Input'!U617+IF('Real Input'!U617 &gt; 0,'Real Analysis'!$B$29,0)</f>
        <v>0</v>
      </c>
      <c r="O617" t="e">
        <f t="shared" si="47"/>
        <v>#VALUE!</v>
      </c>
      <c r="P617" t="e">
        <f t="shared" si="48"/>
        <v>#VALUE!</v>
      </c>
    </row>
    <row r="618" spans="1:16" x14ac:dyDescent="0.3">
      <c r="A618">
        <v>616</v>
      </c>
      <c r="B618">
        <f>'Real Input'!M618</f>
        <v>13.351790000000619</v>
      </c>
      <c r="C618">
        <f ca="1">INDIRECT(CONCATENATE("'Real Input'!",'Real Analysis'!$B$2,A618+2))</f>
        <v>9.0461051100000009</v>
      </c>
      <c r="D618">
        <f t="shared" si="46"/>
        <v>1.0123250000033295</v>
      </c>
      <c r="E618">
        <f ca="1">IF(B618&gt;0,C618-'Real Analysis'!$B$14,0)</f>
        <v>-0.81039269237142619</v>
      </c>
      <c r="F618">
        <f t="shared" ca="1" si="49"/>
        <v>-0.42569136768584093</v>
      </c>
      <c r="G618">
        <f t="shared" ca="1" si="50"/>
        <v>-0.6565813366661043</v>
      </c>
      <c r="H618">
        <f ca="1">IF(AND(B618&gt;'Real Analysis'!$B$31,B618&lt;'Real Analysis'!$B$32),FilterInput(E618,'Real Analysis'!$B$26,'Real Analysis'!$B$27),0)</f>
        <v>-0.81039269237142619</v>
      </c>
      <c r="I618" t="e">
        <f>MEDIAN2("Real Values",H618,'Real Analysis'!$B$5,2)</f>
        <v>#VALUE!</v>
      </c>
      <c r="J618" t="e">
        <f>AVERAGE2("Real Values",I618,'Real Analysis'!$B$6,2)</f>
        <v>#VALUE!</v>
      </c>
      <c r="K618" t="e">
        <f>INTEGRAL2(J618,$B618,K617,J617,$B617,'Real Analysis'!$B$19)</f>
        <v>#VALUE!</v>
      </c>
      <c r="L618" t="e">
        <f>IF(AND(B618&lt;'Real Analysis'!$B$32,B618&gt;0),INTEGRAL2(K618,$B618,L617,K617,$B617,'Real Analysis'!$B$20),0)</f>
        <v>#VALUE!</v>
      </c>
      <c r="N618">
        <f>'Real Analysis'!$B$28*'Real Input'!U618+IF('Real Input'!U618 &gt; 0,'Real Analysis'!$B$29,0)</f>
        <v>-0.63347299999999995</v>
      </c>
      <c r="O618" t="e">
        <f t="shared" si="47"/>
        <v>#VALUE!</v>
      </c>
      <c r="P618" t="e">
        <f t="shared" si="48"/>
        <v>#VALUE!</v>
      </c>
    </row>
    <row r="619" spans="1:16" x14ac:dyDescent="0.3">
      <c r="A619">
        <v>617</v>
      </c>
      <c r="B619">
        <f>'Real Input'!M619</f>
        <v>13.371859999999288</v>
      </c>
      <c r="C619">
        <f ca="1">INDIRECT(CONCATENATE("'Real Input'!",'Real Analysis'!$B$2,A619+2))</f>
        <v>9.0076400999999997</v>
      </c>
      <c r="D619">
        <f t="shared" si="46"/>
        <v>2.0069999998668209E-2</v>
      </c>
      <c r="E619">
        <f ca="1">IF(B619&gt;0,C619-'Real Analysis'!$B$14,0)</f>
        <v>-0.84885770237142744</v>
      </c>
      <c r="F619">
        <f t="shared" ca="1" si="49"/>
        <v>-0.44272794177130498</v>
      </c>
      <c r="G619">
        <f t="shared" ca="1" si="50"/>
        <v>-0.6654668864568648</v>
      </c>
      <c r="H619">
        <f ca="1">IF(AND(B619&gt;'Real Analysis'!$B$31,B619&lt;'Real Analysis'!$B$32),FilterInput(E619,'Real Analysis'!$B$26,'Real Analysis'!$B$27),0)</f>
        <v>-0.84885770237142744</v>
      </c>
      <c r="I619" t="e">
        <f>MEDIAN2("Real Values",H619,'Real Analysis'!$B$5,2)</f>
        <v>#VALUE!</v>
      </c>
      <c r="J619" t="e">
        <f>AVERAGE2("Real Values",I619,'Real Analysis'!$B$6,2)</f>
        <v>#VALUE!</v>
      </c>
      <c r="K619" t="e">
        <f>INTEGRAL2(J619,$B619,K618,J618,$B618,'Real Analysis'!$B$19)</f>
        <v>#VALUE!</v>
      </c>
      <c r="L619" t="e">
        <f>IF(AND(B619&lt;'Real Analysis'!$B$32,B619&gt;0),INTEGRAL2(K619,$B619,L618,K618,$B618,'Real Analysis'!$B$20),0)</f>
        <v>#VALUE!</v>
      </c>
      <c r="N619">
        <f>'Real Analysis'!$B$28*'Real Input'!U619+IF('Real Input'!U619 &gt; 0,'Real Analysis'!$B$29,0)</f>
        <v>-0.63943399999999995</v>
      </c>
      <c r="O619" t="e">
        <f t="shared" si="47"/>
        <v>#VALUE!</v>
      </c>
      <c r="P619" t="e">
        <f t="shared" si="48"/>
        <v>#VALUE!</v>
      </c>
    </row>
    <row r="620" spans="1:16" x14ac:dyDescent="0.3">
      <c r="A620">
        <v>618</v>
      </c>
      <c r="B620">
        <f>'Real Input'!M620</f>
        <v>13.388863999993191</v>
      </c>
      <c r="C620">
        <f ca="1">INDIRECT(CONCATENATE("'Real Input'!",'Real Analysis'!$B$2,A620+2))</f>
        <v>9.1493553600000013</v>
      </c>
      <c r="D620">
        <f t="shared" si="46"/>
        <v>1.7003999993903562E-2</v>
      </c>
      <c r="E620">
        <f ca="1">IF(B620&gt;0,C620-'Real Analysis'!$B$14,0)</f>
        <v>-0.70714244237142587</v>
      </c>
      <c r="F620">
        <f t="shared" ca="1" si="49"/>
        <v>-0.45475219185707766</v>
      </c>
      <c r="G620">
        <f t="shared" ca="1" si="50"/>
        <v>-0.67319949272443014</v>
      </c>
      <c r="H620">
        <f ca="1">IF(AND(B620&gt;'Real Analysis'!$B$31,B620&lt;'Real Analysis'!$B$32),FilterInput(E620,'Real Analysis'!$B$26,'Real Analysis'!$B$27),0)</f>
        <v>-0.70714244237142587</v>
      </c>
      <c r="I620" t="e">
        <f>MEDIAN2("Real Values",H620,'Real Analysis'!$B$5,2)</f>
        <v>#VALUE!</v>
      </c>
      <c r="J620" t="e">
        <f>AVERAGE2("Real Values",I620,'Real Analysis'!$B$6,2)</f>
        <v>#VALUE!</v>
      </c>
      <c r="K620" t="e">
        <f>INTEGRAL2(J620,$B620,K619,J619,$B619,'Real Analysis'!$B$19)</f>
        <v>#VALUE!</v>
      </c>
      <c r="L620" t="e">
        <f>IF(AND(B620&lt;'Real Analysis'!$B$32,B620&gt;0),INTEGRAL2(K620,$B620,L619,K619,$B619,'Real Analysis'!$B$20),0)</f>
        <v>#VALUE!</v>
      </c>
      <c r="N620">
        <f>'Real Analysis'!$B$28*'Real Input'!U620+IF('Real Input'!U620 &gt; 0,'Real Analysis'!$B$29,0)</f>
        <v>-0.64738200000000001</v>
      </c>
      <c r="O620" t="e">
        <f t="shared" si="47"/>
        <v>#VALUE!</v>
      </c>
      <c r="P620" t="e">
        <f t="shared" si="48"/>
        <v>#VALUE!</v>
      </c>
    </row>
    <row r="621" spans="1:16" x14ac:dyDescent="0.3">
      <c r="A621">
        <v>619</v>
      </c>
      <c r="B621">
        <f>'Real Input'!M621</f>
        <v>13.407395000001998</v>
      </c>
      <c r="C621">
        <f ca="1">INDIRECT(CONCATENATE("'Real Input'!",'Real Analysis'!$B$2,A621+2))</f>
        <v>9.2605222800000018</v>
      </c>
      <c r="D621">
        <f t="shared" si="46"/>
        <v>1.8531000008806586E-2</v>
      </c>
      <c r="E621">
        <f ca="1">IF(B621&gt;0,C621-'Real Analysis'!$B$14,0)</f>
        <v>-0.59597552237142537</v>
      </c>
      <c r="F621">
        <f t="shared" ca="1" si="49"/>
        <v>-0.46579621426739104</v>
      </c>
      <c r="G621">
        <f t="shared" ca="1" si="50"/>
        <v>-0.6818311623751212</v>
      </c>
      <c r="H621">
        <f ca="1">IF(AND(B621&gt;'Real Analysis'!$B$31,B621&lt;'Real Analysis'!$B$32),FilterInput(E621,'Real Analysis'!$B$26,'Real Analysis'!$B$27),0)</f>
        <v>-0.59597552237142537</v>
      </c>
      <c r="I621" t="e">
        <f>MEDIAN2("Real Values",H621,'Real Analysis'!$B$5,2)</f>
        <v>#VALUE!</v>
      </c>
      <c r="J621" t="e">
        <f>AVERAGE2("Real Values",I621,'Real Analysis'!$B$6,2)</f>
        <v>#VALUE!</v>
      </c>
      <c r="K621" t="e">
        <f>INTEGRAL2(J621,$B621,K620,J620,$B620,'Real Analysis'!$B$19)</f>
        <v>#VALUE!</v>
      </c>
      <c r="L621" t="e">
        <f>IF(AND(B621&lt;'Real Analysis'!$B$32,B621&gt;0),INTEGRAL2(K621,$B621,L620,K620,$B620,'Real Analysis'!$B$20),0)</f>
        <v>#VALUE!</v>
      </c>
      <c r="N621">
        <f>'Real Analysis'!$B$28*'Real Input'!U621+IF('Real Input'!U621 &gt; 0,'Real Analysis'!$B$29,0)</f>
        <v>-0.659304</v>
      </c>
      <c r="O621" t="e">
        <f t="shared" si="47"/>
        <v>#VALUE!</v>
      </c>
      <c r="P621" t="e">
        <f t="shared" si="48"/>
        <v>#VALUE!</v>
      </c>
    </row>
    <row r="622" spans="1:16" x14ac:dyDescent="0.3">
      <c r="A622">
        <v>620</v>
      </c>
      <c r="B622">
        <f>'Real Input'!M622</f>
        <v>13.42987500000163</v>
      </c>
      <c r="C622">
        <f ca="1">INDIRECT(CONCATENATE("'Real Input'!",'Real Analysis'!$B$2,A622+2))</f>
        <v>9.2094416100000007</v>
      </c>
      <c r="D622">
        <f t="shared" si="46"/>
        <v>2.2479999999632128E-2</v>
      </c>
      <c r="E622">
        <f ca="1">IF(B622&gt;0,C622-'Real Analysis'!$B$14,0)</f>
        <v>-0.64705619237142642</v>
      </c>
      <c r="F622">
        <f t="shared" ca="1" si="49"/>
        <v>-0.48034203747166265</v>
      </c>
      <c r="G622">
        <f t="shared" ca="1" si="50"/>
        <v>-0.69262925137730746</v>
      </c>
      <c r="H622">
        <f ca="1">IF(AND(B622&gt;'Real Analysis'!$B$31,B622&lt;'Real Analysis'!$B$32),FilterInput(E622,'Real Analysis'!$B$26,'Real Analysis'!$B$27),0)</f>
        <v>-0.64705619237142642</v>
      </c>
      <c r="I622" t="e">
        <f>MEDIAN2("Real Values",H622,'Real Analysis'!$B$5,2)</f>
        <v>#VALUE!</v>
      </c>
      <c r="J622" t="e">
        <f>AVERAGE2("Real Values",I622,'Real Analysis'!$B$6,2)</f>
        <v>#VALUE!</v>
      </c>
      <c r="K622" t="e">
        <f>INTEGRAL2(J622,$B622,K621,J621,$B621,'Real Analysis'!$B$19)</f>
        <v>#VALUE!</v>
      </c>
      <c r="L622" t="e">
        <f>IF(AND(B622&lt;'Real Analysis'!$B$32,B622&gt;0),INTEGRAL2(K622,$B622,L621,K621,$B621,'Real Analysis'!$B$20),0)</f>
        <v>#VALUE!</v>
      </c>
      <c r="N622">
        <f>'Real Analysis'!$B$28*'Real Input'!U622+IF('Real Input'!U622 &gt; 0,'Real Analysis'!$B$29,0)</f>
        <v>-0.66725199999999985</v>
      </c>
      <c r="O622" t="e">
        <f t="shared" si="47"/>
        <v>#VALUE!</v>
      </c>
      <c r="P622" t="e">
        <f t="shared" si="48"/>
        <v>#VALUE!</v>
      </c>
    </row>
    <row r="623" spans="1:16" x14ac:dyDescent="0.3">
      <c r="A623">
        <v>621</v>
      </c>
      <c r="B623">
        <f>'Real Input'!M623</f>
        <v>13.450874999994994</v>
      </c>
      <c r="C623">
        <f ca="1">INDIRECT(CONCATENATE("'Real Input'!",'Real Analysis'!$B$2,A623+2))</f>
        <v>9.2714015700000001</v>
      </c>
      <c r="D623">
        <f t="shared" si="46"/>
        <v>2.0999999993364327E-2</v>
      </c>
      <c r="E623">
        <f ca="1">IF(B623&gt;0,C623-'Real Analysis'!$B$14,0)</f>
        <v>-0.58509623237142705</v>
      </c>
      <c r="F623">
        <f t="shared" ca="1" si="49"/>
        <v>-0.49262905834758014</v>
      </c>
      <c r="G623">
        <f t="shared" ca="1" si="50"/>
        <v>-0.70297446159933774</v>
      </c>
      <c r="H623">
        <f ca="1">IF(AND(B623&gt;'Real Analysis'!$B$31,B623&lt;'Real Analysis'!$B$32),FilterInput(E623,'Real Analysis'!$B$26,'Real Analysis'!$B$27),0)</f>
        <v>-0.58509623237142705</v>
      </c>
      <c r="I623" t="e">
        <f>MEDIAN2("Real Values",H623,'Real Analysis'!$B$5,2)</f>
        <v>#VALUE!</v>
      </c>
      <c r="J623" t="e">
        <f>AVERAGE2("Real Values",I623,'Real Analysis'!$B$6,2)</f>
        <v>#VALUE!</v>
      </c>
      <c r="K623" t="e">
        <f>INTEGRAL2(J623,$B623,K622,J622,$B622,'Real Analysis'!$B$19)</f>
        <v>#VALUE!</v>
      </c>
      <c r="L623" t="e">
        <f>IF(AND(B623&lt;'Real Analysis'!$B$32,B623&gt;0),INTEGRAL2(K623,$B623,L622,K622,$B622,'Real Analysis'!$B$20),0)</f>
        <v>#VALUE!</v>
      </c>
      <c r="N623">
        <f>'Real Analysis'!$B$28*'Real Input'!U623+IF('Real Input'!U623 &gt; 0,'Real Analysis'!$B$29,0)</f>
        <v>-0.67718699999999987</v>
      </c>
      <c r="O623" t="e">
        <f t="shared" si="47"/>
        <v>#VALUE!</v>
      </c>
      <c r="P623" t="e">
        <f t="shared" si="48"/>
        <v>#VALUE!</v>
      </c>
    </row>
    <row r="624" spans="1:16" x14ac:dyDescent="0.3">
      <c r="A624">
        <v>622</v>
      </c>
      <c r="B624">
        <f>'Real Input'!M624</f>
        <v>13.467619999995804</v>
      </c>
      <c r="C624">
        <f ca="1">INDIRECT(CONCATENATE("'Real Input'!",'Real Analysis'!$B$2,A624+2))</f>
        <v>9.4276356299999993</v>
      </c>
      <c r="D624">
        <f t="shared" si="46"/>
        <v>1.6745000000810251E-2</v>
      </c>
      <c r="E624">
        <f ca="1">IF(B624&gt;0,C624-'Real Analysis'!$B$14,0)</f>
        <v>-0.42886217237142787</v>
      </c>
      <c r="F624">
        <f t="shared" ca="1" si="49"/>
        <v>-0.4998103554242872</v>
      </c>
      <c r="G624">
        <f t="shared" ca="1" si="50"/>
        <v>-0.71134378600132242</v>
      </c>
      <c r="H624">
        <f ca="1">IF(AND(B624&gt;'Real Analysis'!$B$31,B624&lt;'Real Analysis'!$B$32),FilterInput(E624,'Real Analysis'!$B$26,'Real Analysis'!$B$27),0)</f>
        <v>-0.42886217237142787</v>
      </c>
      <c r="I624" t="e">
        <f>MEDIAN2("Real Values",H624,'Real Analysis'!$B$5,2)</f>
        <v>#VALUE!</v>
      </c>
      <c r="J624" t="e">
        <f>AVERAGE2("Real Values",I624,'Real Analysis'!$B$6,2)</f>
        <v>#VALUE!</v>
      </c>
      <c r="K624" t="e">
        <f>INTEGRAL2(J624,$B624,K623,J623,$B623,'Real Analysis'!$B$19)</f>
        <v>#VALUE!</v>
      </c>
      <c r="L624" t="e">
        <f>IF(AND(B624&lt;'Real Analysis'!$B$32,B624&gt;0),INTEGRAL2(K624,$B624,L623,K623,$B623,'Real Analysis'!$B$20),0)</f>
        <v>#VALUE!</v>
      </c>
      <c r="N624">
        <f>'Real Analysis'!$B$28*'Real Input'!U624+IF('Real Input'!U624 &gt; 0,'Real Analysis'!$B$29,0)</f>
        <v>-0.6871219999999999</v>
      </c>
      <c r="O624" t="e">
        <f t="shared" si="47"/>
        <v>#VALUE!</v>
      </c>
      <c r="P624" t="e">
        <f t="shared" si="48"/>
        <v>#VALUE!</v>
      </c>
    </row>
    <row r="625" spans="1:16" x14ac:dyDescent="0.3">
      <c r="A625">
        <v>623</v>
      </c>
      <c r="B625">
        <f>'Real Input'!M625</f>
        <v>13.488779000006616</v>
      </c>
      <c r="C625">
        <f ca="1">INDIRECT(CONCATENATE("'Real Input'!",'Real Analysis'!$B$2,A625+2))</f>
        <v>9.338050710000001</v>
      </c>
      <c r="D625">
        <f t="shared" si="46"/>
        <v>2.1159000010811724E-2</v>
      </c>
      <c r="E625">
        <f ca="1">IF(B625&gt;0,C625-'Real Analysis'!$B$14,0)</f>
        <v>-0.51844709237142617</v>
      </c>
      <c r="F625">
        <f t="shared" ca="1" si="49"/>
        <v>-0.51078017745737947</v>
      </c>
      <c r="G625">
        <f t="shared" ca="1" si="50"/>
        <v>-0.72215138378166555</v>
      </c>
      <c r="H625">
        <f ca="1">IF(AND(B625&gt;'Real Analysis'!$B$31,B625&lt;'Real Analysis'!$B$32),FilterInput(E625,'Real Analysis'!$B$26,'Real Analysis'!$B$27),0)</f>
        <v>-0.51844709237142617</v>
      </c>
      <c r="I625" t="e">
        <f>MEDIAN2("Real Values",H625,'Real Analysis'!$B$5,2)</f>
        <v>#VALUE!</v>
      </c>
      <c r="J625" t="e">
        <f>AVERAGE2("Real Values",I625,'Real Analysis'!$B$6,2)</f>
        <v>#VALUE!</v>
      </c>
      <c r="K625" t="e">
        <f>INTEGRAL2(J625,$B625,K624,J624,$B624,'Real Analysis'!$B$19)</f>
        <v>#VALUE!</v>
      </c>
      <c r="L625" t="e">
        <f>IF(AND(B625&lt;'Real Analysis'!$B$32,B625&gt;0),INTEGRAL2(K625,$B625,L624,K624,$B624,'Real Analysis'!$B$20),0)</f>
        <v>#VALUE!</v>
      </c>
      <c r="N625">
        <f>'Real Analysis'!$B$28*'Real Input'!U625+IF('Real Input'!U625 &gt; 0,'Real Analysis'!$B$29,0)</f>
        <v>-0.69705699999999993</v>
      </c>
      <c r="O625" t="e">
        <f t="shared" si="47"/>
        <v>#VALUE!</v>
      </c>
      <c r="P625" t="e">
        <f t="shared" si="48"/>
        <v>#VALUE!</v>
      </c>
    </row>
    <row r="626" spans="1:16" x14ac:dyDescent="0.3">
      <c r="A626">
        <v>624</v>
      </c>
      <c r="B626">
        <f>'Real Input'!M626</f>
        <v>13.507763999994495</v>
      </c>
      <c r="C626">
        <f ca="1">INDIRECT(CONCATENATE("'Real Input'!",'Real Analysis'!$B$2,A626+2))</f>
        <v>9.3865317300000015</v>
      </c>
      <c r="D626">
        <f t="shared" si="46"/>
        <v>1.8984999987878837E-2</v>
      </c>
      <c r="E626">
        <f ca="1">IF(B626&gt;0,C626-'Real Analysis'!$B$14,0)</f>
        <v>-0.46996607237142562</v>
      </c>
      <c r="F626">
        <f t="shared" ca="1" si="49"/>
        <v>-0.5197024833356545</v>
      </c>
      <c r="G626">
        <f t="shared" ca="1" si="50"/>
        <v>-0.73201793542149352</v>
      </c>
      <c r="H626">
        <f ca="1">IF(AND(B626&gt;'Real Analysis'!$B$31,B626&lt;'Real Analysis'!$B$32),FilterInput(E626,'Real Analysis'!$B$26,'Real Analysis'!$B$27),0)</f>
        <v>-0.46996607237142562</v>
      </c>
      <c r="I626" t="e">
        <f>MEDIAN2("Real Values",H626,'Real Analysis'!$B$5,2)</f>
        <v>#VALUE!</v>
      </c>
      <c r="J626" t="e">
        <f>AVERAGE2("Real Values",I626,'Real Analysis'!$B$6,2)</f>
        <v>#VALUE!</v>
      </c>
      <c r="K626" t="e">
        <f>INTEGRAL2(J626,$B626,K625,J625,$B625,'Real Analysis'!$B$19)</f>
        <v>#VALUE!</v>
      </c>
      <c r="L626" t="e">
        <f>IF(AND(B626&lt;'Real Analysis'!$B$32,B626&gt;0),INTEGRAL2(K626,$B626,L625,K625,$B625,'Real Analysis'!$B$20),0)</f>
        <v>#VALUE!</v>
      </c>
      <c r="N626">
        <f>'Real Analysis'!$B$28*'Real Input'!U626+IF('Real Input'!U626 &gt; 0,'Real Analysis'!$B$29,0)</f>
        <v>-0.71096599999999988</v>
      </c>
      <c r="O626" t="e">
        <f t="shared" si="47"/>
        <v>#VALUE!</v>
      </c>
      <c r="P626" t="e">
        <f t="shared" si="48"/>
        <v>#VALUE!</v>
      </c>
    </row>
    <row r="627" spans="1:16" x14ac:dyDescent="0.3">
      <c r="A627">
        <v>625</v>
      </c>
      <c r="B627">
        <f>'Real Input'!M627</f>
        <v>13.528839999999036</v>
      </c>
      <c r="C627">
        <f ca="1">INDIRECT(CONCATENATE("'Real Input'!",'Real Analysis'!$B$2,A627+2))</f>
        <v>9.5123940300000012</v>
      </c>
      <c r="D627">
        <f t="shared" si="46"/>
        <v>2.1076000004541129E-2</v>
      </c>
      <c r="E627">
        <f ca="1">IF(B627&gt;0,C627-'Real Analysis'!$B$14,0)</f>
        <v>-0.34410377237142598</v>
      </c>
      <c r="F627">
        <f t="shared" ca="1" si="49"/>
        <v>-0.52695481444371728</v>
      </c>
      <c r="G627">
        <f t="shared" ca="1" si="50"/>
        <v>-0.74312403509310232</v>
      </c>
      <c r="H627">
        <f ca="1">IF(AND(B627&gt;'Real Analysis'!$B$31,B627&lt;'Real Analysis'!$B$32),FilterInput(E627,'Real Analysis'!$B$26,'Real Analysis'!$B$27),0)</f>
        <v>-0.34410377237142598</v>
      </c>
      <c r="I627" t="e">
        <f>MEDIAN2("Real Values",H627,'Real Analysis'!$B$5,2)</f>
        <v>#VALUE!</v>
      </c>
      <c r="J627" t="e">
        <f>AVERAGE2("Real Values",I627,'Real Analysis'!$B$6,2)</f>
        <v>#VALUE!</v>
      </c>
      <c r="K627" t="e">
        <f>INTEGRAL2(J627,$B627,K626,J626,$B626,'Real Analysis'!$B$19)</f>
        <v>#VALUE!</v>
      </c>
      <c r="L627" t="e">
        <f>IF(AND(B627&lt;'Real Analysis'!$B$32,B627&gt;0),INTEGRAL2(K627,$B627,L626,K626,$B626,'Real Analysis'!$B$20),0)</f>
        <v>#VALUE!</v>
      </c>
      <c r="N627">
        <f>'Real Analysis'!$B$28*'Real Input'!U627+IF('Real Input'!U627 &gt; 0,'Real Analysis'!$B$29,0)</f>
        <v>-0.7209009999999999</v>
      </c>
      <c r="O627" t="e">
        <f t="shared" si="47"/>
        <v>#VALUE!</v>
      </c>
      <c r="P627" t="e">
        <f t="shared" si="48"/>
        <v>#VALUE!</v>
      </c>
    </row>
    <row r="628" spans="1:16" x14ac:dyDescent="0.3">
      <c r="A628">
        <v>626</v>
      </c>
      <c r="B628">
        <f>'Real Input'!M628</f>
        <v>13.549887999994098</v>
      </c>
      <c r="C628">
        <f ca="1">INDIRECT(CONCATENATE("'Real Input'!",'Real Analysis'!$B$2,A628+2))</f>
        <v>9.5638769099999994</v>
      </c>
      <c r="D628">
        <f t="shared" si="46"/>
        <v>2.1047999995062128E-2</v>
      </c>
      <c r="E628">
        <f ca="1">IF(B628&gt;0,C628-'Real Analysis'!$B$14,0)</f>
        <v>-0.29262089237142774</v>
      </c>
      <c r="F628">
        <f t="shared" ca="1" si="49"/>
        <v>-0.53311389898490613</v>
      </c>
      <c r="G628">
        <f t="shared" ca="1" si="50"/>
        <v>-0.75434501643630414</v>
      </c>
      <c r="H628">
        <f ca="1">IF(AND(B628&gt;'Real Analysis'!$B$31,B628&lt;'Real Analysis'!$B$32),FilterInput(E628,'Real Analysis'!$B$26,'Real Analysis'!$B$27),0)</f>
        <v>-0.29262089237142774</v>
      </c>
      <c r="I628" t="e">
        <f>MEDIAN2("Real Values",H628,'Real Analysis'!$B$5,2)</f>
        <v>#VALUE!</v>
      </c>
      <c r="J628" t="e">
        <f>AVERAGE2("Real Values",I628,'Real Analysis'!$B$6,2)</f>
        <v>#VALUE!</v>
      </c>
      <c r="K628" t="e">
        <f>INTEGRAL2(J628,$B628,K627,J627,$B627,'Real Analysis'!$B$19)</f>
        <v>#VALUE!</v>
      </c>
      <c r="L628" t="e">
        <f>IF(AND(B628&lt;'Real Analysis'!$B$32,B628&gt;0),INTEGRAL2(K628,$B628,L627,K627,$B627,'Real Analysis'!$B$20),0)</f>
        <v>#VALUE!</v>
      </c>
      <c r="N628">
        <f>'Real Analysis'!$B$28*'Real Input'!U628+IF('Real Input'!U628 &gt; 0,'Real Analysis'!$B$29,0)</f>
        <v>-0.73480999999999996</v>
      </c>
      <c r="O628" t="e">
        <f t="shared" si="47"/>
        <v>#VALUE!</v>
      </c>
      <c r="P628" t="e">
        <f t="shared" si="48"/>
        <v>#VALUE!</v>
      </c>
    </row>
    <row r="629" spans="1:16" x14ac:dyDescent="0.3">
      <c r="A629">
        <v>627</v>
      </c>
      <c r="B629">
        <f>'Real Input'!M629</f>
        <v>13.568274999997811</v>
      </c>
      <c r="C629">
        <f ca="1">INDIRECT(CONCATENATE("'Real Input'!",'Real Analysis'!$B$2,A629+2))</f>
        <v>9.6593870700000011</v>
      </c>
      <c r="D629">
        <f t="shared" si="46"/>
        <v>1.8387000003713183E-2</v>
      </c>
      <c r="E629">
        <f ca="1">IF(B629&gt;0,C629-'Real Analysis'!$B$14,0)</f>
        <v>-0.19711073237142607</v>
      </c>
      <c r="F629">
        <f t="shared" ca="1" si="49"/>
        <v>-0.5367381740217515</v>
      </c>
      <c r="G629">
        <f t="shared" ca="1" si="50"/>
        <v>-0.76421402124403515</v>
      </c>
      <c r="H629">
        <f ca="1">IF(AND(B629&gt;'Real Analysis'!$B$31,B629&lt;'Real Analysis'!$B$32),FilterInput(E629,'Real Analysis'!$B$26,'Real Analysis'!$B$27),0)</f>
        <v>-0.19711073237142607</v>
      </c>
      <c r="I629" t="e">
        <f>MEDIAN2("Real Values",H629,'Real Analysis'!$B$5,2)</f>
        <v>#VALUE!</v>
      </c>
      <c r="J629" t="e">
        <f>AVERAGE2("Real Values",I629,'Real Analysis'!$B$6,2)</f>
        <v>#VALUE!</v>
      </c>
      <c r="K629" t="e">
        <f>INTEGRAL2(J629,$B629,K628,J628,$B628,'Real Analysis'!$B$19)</f>
        <v>#VALUE!</v>
      </c>
      <c r="L629" t="e">
        <f>IF(AND(B629&lt;'Real Analysis'!$B$32,B629&gt;0),INTEGRAL2(K629,$B629,L628,K628,$B628,'Real Analysis'!$B$20),0)</f>
        <v>#VALUE!</v>
      </c>
      <c r="N629">
        <f>'Real Analysis'!$B$28*'Real Input'!U629+IF('Real Input'!U629 &gt; 0,'Real Analysis'!$B$29,0)</f>
        <v>-0.74474499999999999</v>
      </c>
      <c r="O629" t="e">
        <f t="shared" si="47"/>
        <v>#VALUE!</v>
      </c>
      <c r="P629" t="e">
        <f t="shared" si="48"/>
        <v>#VALUE!</v>
      </c>
    </row>
    <row r="630" spans="1:16" x14ac:dyDescent="0.3">
      <c r="A630">
        <v>628</v>
      </c>
      <c r="B630">
        <f>'Real Input'!M630</f>
        <v>13.584950999997091</v>
      </c>
      <c r="C630">
        <f ca="1">INDIRECT(CONCATENATE("'Real Input'!",'Real Analysis'!$B$2,A630+2))</f>
        <v>9.5779640700000002</v>
      </c>
      <c r="D630">
        <f t="shared" si="46"/>
        <v>1.6675999999279156E-2</v>
      </c>
      <c r="E630">
        <f ca="1">IF(B630&gt;0,C630-'Real Analysis'!$B$14,0)</f>
        <v>-0.27853373237142698</v>
      </c>
      <c r="F630">
        <f t="shared" ca="1" si="49"/>
        <v>-0.54138300254257665</v>
      </c>
      <c r="G630">
        <f t="shared" ca="1" si="50"/>
        <v>-0.77324212419404492</v>
      </c>
      <c r="H630">
        <f ca="1">IF(AND(B630&gt;'Real Analysis'!$B$31,B630&lt;'Real Analysis'!$B$32),FilterInput(E630,'Real Analysis'!$B$26,'Real Analysis'!$B$27),0)</f>
        <v>-0.27853373237142698</v>
      </c>
      <c r="I630" t="e">
        <f>MEDIAN2("Real Values",H630,'Real Analysis'!$B$5,2)</f>
        <v>#VALUE!</v>
      </c>
      <c r="J630" t="e">
        <f>AVERAGE2("Real Values",I630,'Real Analysis'!$B$6,2)</f>
        <v>#VALUE!</v>
      </c>
      <c r="K630" t="e">
        <f>INTEGRAL2(J630,$B630,K629,J629,$B629,'Real Analysis'!$B$19)</f>
        <v>#VALUE!</v>
      </c>
      <c r="L630" t="e">
        <f>IF(AND(B630&lt;'Real Analysis'!$B$32,B630&gt;0),INTEGRAL2(K630,$B630,L629,K629,$B629,'Real Analysis'!$B$20),0)</f>
        <v>#VALUE!</v>
      </c>
      <c r="N630">
        <f>'Real Analysis'!$B$28*'Real Input'!U630+IF('Real Input'!U630 &gt; 0,'Real Analysis'!$B$29,0)</f>
        <v>-0.75666699999999998</v>
      </c>
      <c r="O630" t="e">
        <f t="shared" si="47"/>
        <v>#VALUE!</v>
      </c>
      <c r="P630" t="e">
        <f t="shared" si="48"/>
        <v>#VALUE!</v>
      </c>
    </row>
    <row r="631" spans="1:16" x14ac:dyDescent="0.3">
      <c r="A631">
        <v>629</v>
      </c>
      <c r="B631">
        <f>'Real Input'!M631</f>
        <v>13.608691999994335</v>
      </c>
      <c r="C631">
        <f ca="1">INDIRECT(CONCATENATE("'Real Input'!",'Real Analysis'!$B$2,A631+2))</f>
        <v>9.8469542700000012</v>
      </c>
      <c r="D631">
        <f t="shared" si="46"/>
        <v>2.3740999997244217E-2</v>
      </c>
      <c r="E631">
        <f ca="1">IF(B631&gt;0,C631-'Real Analysis'!$B$14,0)</f>
        <v>-9.5435323714259113E-3</v>
      </c>
      <c r="F631">
        <f t="shared" ca="1" si="49"/>
        <v>-0.54160957554458034</v>
      </c>
      <c r="G631">
        <f t="shared" ca="1" si="50"/>
        <v>-0.7861004771255562</v>
      </c>
      <c r="H631">
        <f ca="1">IF(AND(B631&gt;'Real Analysis'!$B$31,B631&lt;'Real Analysis'!$B$32),FilterInput(E631,'Real Analysis'!$B$26,'Real Analysis'!$B$27),0)</f>
        <v>-9.5435323714259113E-3</v>
      </c>
      <c r="I631" t="e">
        <f>MEDIAN2("Real Values",H631,'Real Analysis'!$B$5,2)</f>
        <v>#VALUE!</v>
      </c>
      <c r="J631" t="e">
        <f>AVERAGE2("Real Values",I631,'Real Analysis'!$B$6,2)</f>
        <v>#VALUE!</v>
      </c>
      <c r="K631" t="e">
        <f>INTEGRAL2(J631,$B631,K630,J630,$B630,'Real Analysis'!$B$19)</f>
        <v>#VALUE!</v>
      </c>
      <c r="L631" t="e">
        <f>IF(AND(B631&lt;'Real Analysis'!$B$32,B631&gt;0),INTEGRAL2(K631,$B631,L630,K630,$B630,'Real Analysis'!$B$20),0)</f>
        <v>#VALUE!</v>
      </c>
      <c r="N631">
        <f>'Real Analysis'!$B$28*'Real Input'!U631+IF('Real Input'!U631 &gt; 0,'Real Analysis'!$B$29,0)</f>
        <v>-0.77057599999999993</v>
      </c>
      <c r="O631" t="e">
        <f t="shared" si="47"/>
        <v>#VALUE!</v>
      </c>
      <c r="P631" t="e">
        <f t="shared" si="48"/>
        <v>#VALUE!</v>
      </c>
    </row>
    <row r="632" spans="1:16" x14ac:dyDescent="0.3">
      <c r="A632">
        <v>630</v>
      </c>
      <c r="B632">
        <f>'Real Input'!M632</f>
        <v>13.631886000002851</v>
      </c>
      <c r="C632">
        <f ca="1">INDIRECT(CONCATENATE("'Real Input'!",'Real Analysis'!$B$2,A632+2))</f>
        <v>9.78593607</v>
      </c>
      <c r="D632">
        <f t="shared" si="46"/>
        <v>2.3194000008516014E-2</v>
      </c>
      <c r="E632">
        <f ca="1">IF(B632&gt;0,C632-'Real Analysis'!$B$14,0)</f>
        <v>-7.0561732371427155E-2</v>
      </c>
      <c r="F632">
        <f t="shared" ca="1" si="49"/>
        <v>-0.54324618436580407</v>
      </c>
      <c r="G632">
        <f t="shared" ca="1" si="50"/>
        <v>-0.79870052913036294</v>
      </c>
      <c r="H632">
        <f ca="1">IF(AND(B632&gt;'Real Analysis'!$B$31,B632&lt;'Real Analysis'!$B$32),FilterInput(E632,'Real Analysis'!$B$26,'Real Analysis'!$B$27),0)</f>
        <v>-7.0561732371427155E-2</v>
      </c>
      <c r="I632" t="e">
        <f>MEDIAN2("Real Values",H632,'Real Analysis'!$B$5,2)</f>
        <v>#VALUE!</v>
      </c>
      <c r="J632" t="e">
        <f>AVERAGE2("Real Values",I632,'Real Analysis'!$B$6,2)</f>
        <v>#VALUE!</v>
      </c>
      <c r="K632" t="e">
        <f>INTEGRAL2(J632,$B632,K631,J631,$B631,'Real Analysis'!$B$19)</f>
        <v>#VALUE!</v>
      </c>
      <c r="L632" t="e">
        <f>IF(AND(B632&lt;'Real Analysis'!$B$32,B632&gt;0),INTEGRAL2(K632,$B632,L631,K631,$B631,'Real Analysis'!$B$20),0)</f>
        <v>#VALUE!</v>
      </c>
      <c r="N632">
        <f>'Real Analysis'!$B$28*'Real Input'!U632+IF('Real Input'!U632 &gt; 0,'Real Analysis'!$B$29,0)</f>
        <v>-0.78448499999999999</v>
      </c>
      <c r="O632" t="e">
        <f t="shared" si="47"/>
        <v>#VALUE!</v>
      </c>
      <c r="P632" t="e">
        <f t="shared" si="48"/>
        <v>#VALUE!</v>
      </c>
    </row>
    <row r="633" spans="1:16" x14ac:dyDescent="0.3">
      <c r="A633">
        <v>631</v>
      </c>
      <c r="B633">
        <f>'Real Input'!M633</f>
        <v>13.651257000004989</v>
      </c>
      <c r="C633">
        <f ca="1">INDIRECT(CONCATENATE("'Real Input'!",'Real Analysis'!$B$2,A633+2))</f>
        <v>9.853507350000001</v>
      </c>
      <c r="D633">
        <f t="shared" si="46"/>
        <v>1.9371000002138317E-2</v>
      </c>
      <c r="E633">
        <f ca="1">IF(B633&gt;0,C633-'Real Analysis'!$B$14,0)</f>
        <v>-2.9904523714261444E-3</v>
      </c>
      <c r="F633">
        <f t="shared" ca="1" si="49"/>
        <v>-0.54330411241869736</v>
      </c>
      <c r="G633">
        <f t="shared" ca="1" si="50"/>
        <v>-0.80922487309318725</v>
      </c>
      <c r="H633">
        <f ca="1">IF(AND(B633&gt;'Real Analysis'!$B$31,B633&lt;'Real Analysis'!$B$32),FilterInput(E633,'Real Analysis'!$B$26,'Real Analysis'!$B$27),0)</f>
        <v>-2.9904523714261444E-3</v>
      </c>
      <c r="I633" t="e">
        <f>MEDIAN2("Real Values",H633,'Real Analysis'!$B$5,2)</f>
        <v>#VALUE!</v>
      </c>
      <c r="J633" t="e">
        <f>AVERAGE2("Real Values",I633,'Real Analysis'!$B$6,2)</f>
        <v>#VALUE!</v>
      </c>
      <c r="K633" t="e">
        <f>INTEGRAL2(J633,$B633,K632,J632,$B632,'Real Analysis'!$B$19)</f>
        <v>#VALUE!</v>
      </c>
      <c r="L633" t="e">
        <f>IF(AND(B633&lt;'Real Analysis'!$B$32,B633&gt;0),INTEGRAL2(K633,$B633,L632,K632,$B632,'Real Analysis'!$B$20),0)</f>
        <v>#VALUE!</v>
      </c>
      <c r="N633">
        <f>'Real Analysis'!$B$28*'Real Input'!U633+IF('Real Input'!U633 &gt; 0,'Real Analysis'!$B$29,0)</f>
        <v>-0.79640699999999987</v>
      </c>
      <c r="O633" t="e">
        <f t="shared" si="47"/>
        <v>#VALUE!</v>
      </c>
      <c r="P633" t="e">
        <f t="shared" si="48"/>
        <v>#VALUE!</v>
      </c>
    </row>
    <row r="634" spans="1:16" x14ac:dyDescent="0.3">
      <c r="A634">
        <v>632</v>
      </c>
      <c r="B634">
        <f>'Real Input'!M634</f>
        <v>13.670664999997825</v>
      </c>
      <c r="C634">
        <f ca="1">INDIRECT(CONCATENATE("'Real Input'!",'Real Analysis'!$B$2,A634+2))</f>
        <v>10.06776756</v>
      </c>
      <c r="D634">
        <f t="shared" si="46"/>
        <v>1.9407999992836267E-2</v>
      </c>
      <c r="E634">
        <f ca="1">IF(B634&gt;0,C634-'Real Analysis'!$B$14,0)</f>
        <v>0.21126975762857292</v>
      </c>
      <c r="F634">
        <f t="shared" ca="1" si="49"/>
        <v>-0.53920378896415555</v>
      </c>
      <c r="G634">
        <f t="shared" ca="1" si="50"/>
        <v>-0.81968974022554086</v>
      </c>
      <c r="H634">
        <f ca="1">IF(AND(B634&gt;'Real Analysis'!$B$31,B634&lt;'Real Analysis'!$B$32),FilterInput(E634,'Real Analysis'!$B$26,'Real Analysis'!$B$27),0)</f>
        <v>0.21126975762857292</v>
      </c>
      <c r="I634" t="e">
        <f>MEDIAN2("Real Values",H634,'Real Analysis'!$B$5,2)</f>
        <v>#VALUE!</v>
      </c>
      <c r="J634" t="e">
        <f>AVERAGE2("Real Values",I634,'Real Analysis'!$B$6,2)</f>
        <v>#VALUE!</v>
      </c>
      <c r="K634" t="e">
        <f>INTEGRAL2(J634,$B634,K633,J633,$B633,'Real Analysis'!$B$19)</f>
        <v>#VALUE!</v>
      </c>
      <c r="L634" t="e">
        <f>IF(AND(B634&lt;'Real Analysis'!$B$32,B634&gt;0),INTEGRAL2(K634,$B634,L633,K633,$B633,'Real Analysis'!$B$20),0)</f>
        <v>#VALUE!</v>
      </c>
      <c r="N634">
        <f>'Real Analysis'!$B$28*'Real Input'!U634+IF('Real Input'!U634 &gt; 0,'Real Analysis'!$B$29,0)</f>
        <v>-0.81230299999999989</v>
      </c>
      <c r="O634" t="e">
        <f t="shared" si="47"/>
        <v>#VALUE!</v>
      </c>
      <c r="P634" t="e">
        <f t="shared" si="48"/>
        <v>#VALUE!</v>
      </c>
    </row>
    <row r="635" spans="1:16" x14ac:dyDescent="0.3">
      <c r="A635">
        <v>633</v>
      </c>
      <c r="B635">
        <f>'Real Input'!M635</f>
        <v>13.690228000006755</v>
      </c>
      <c r="C635">
        <f ca="1">INDIRECT(CONCATENATE("'Real Input'!",'Real Analysis'!$B$2,A635+2))</f>
        <v>10.05825186</v>
      </c>
      <c r="D635">
        <f t="shared" si="46"/>
        <v>1.9563000008929521E-2</v>
      </c>
      <c r="E635">
        <f ca="1">IF(B635&gt;0,C635-'Real Analysis'!$B$14,0)</f>
        <v>0.20175405762857324</v>
      </c>
      <c r="F635">
        <f t="shared" ca="1" si="49"/>
        <v>-0.5352568743329662</v>
      </c>
      <c r="G635">
        <f t="shared" ca="1" si="50"/>
        <v>-0.83016097046289627</v>
      </c>
      <c r="H635">
        <f ca="1">IF(AND(B635&gt;'Real Analysis'!$B$31,B635&lt;'Real Analysis'!$B$32),FilterInput(E635,'Real Analysis'!$B$26,'Real Analysis'!$B$27),0)</f>
        <v>0.20175405762857324</v>
      </c>
      <c r="I635" t="e">
        <f>MEDIAN2("Real Values",H635,'Real Analysis'!$B$5,2)</f>
        <v>#VALUE!</v>
      </c>
      <c r="J635" t="e">
        <f>AVERAGE2("Real Values",I635,'Real Analysis'!$B$6,2)</f>
        <v>#VALUE!</v>
      </c>
      <c r="K635" t="e">
        <f>INTEGRAL2(J635,$B635,K634,J634,$B634,'Real Analysis'!$B$19)</f>
        <v>#VALUE!</v>
      </c>
      <c r="L635" t="e">
        <f>IF(AND(B635&lt;'Real Analysis'!$B$32,B635&gt;0),INTEGRAL2(K635,$B635,L634,K634,$B634,'Real Analysis'!$B$20),0)</f>
        <v>#VALUE!</v>
      </c>
      <c r="N635">
        <f>'Real Analysis'!$B$28*'Real Input'!U635+IF('Real Input'!U635 &gt; 0,'Real Analysis'!$B$29,0)</f>
        <v>-0.82422499999999987</v>
      </c>
      <c r="O635" t="e">
        <f t="shared" si="47"/>
        <v>#VALUE!</v>
      </c>
      <c r="P635" t="e">
        <f t="shared" si="48"/>
        <v>#VALUE!</v>
      </c>
    </row>
    <row r="636" spans="1:16" x14ac:dyDescent="0.3">
      <c r="A636">
        <v>634</v>
      </c>
      <c r="B636">
        <f>'Real Input'!M636</f>
        <v>13.707404999993742</v>
      </c>
      <c r="C636">
        <f ca="1">INDIRECT(CONCATENATE("'Real Input'!",'Real Analysis'!$B$2,A636+2))</f>
        <v>10.04290902</v>
      </c>
      <c r="D636">
        <f t="shared" si="46"/>
        <v>1.717699998698663E-2</v>
      </c>
      <c r="E636">
        <f ca="1">IF(B636&gt;0,C636-'Real Analysis'!$B$14,0)</f>
        <v>0.1864112176285726</v>
      </c>
      <c r="F636">
        <f t="shared" ca="1" si="49"/>
        <v>-0.53205488885018604</v>
      </c>
      <c r="G636">
        <f t="shared" ca="1" si="50"/>
        <v>-0.83930007728175204</v>
      </c>
      <c r="H636">
        <f ca="1">IF(AND(B636&gt;'Real Analysis'!$B$31,B636&lt;'Real Analysis'!$B$32),FilterInput(E636,'Real Analysis'!$B$26,'Real Analysis'!$B$27),0)</f>
        <v>0.1864112176285726</v>
      </c>
      <c r="I636" t="e">
        <f>MEDIAN2("Real Values",H636,'Real Analysis'!$B$5,2)</f>
        <v>#VALUE!</v>
      </c>
      <c r="J636" t="e">
        <f>AVERAGE2("Real Values",I636,'Real Analysis'!$B$6,2)</f>
        <v>#VALUE!</v>
      </c>
      <c r="K636" t="e">
        <f>INTEGRAL2(J636,$B636,K635,J635,$B635,'Real Analysis'!$B$19)</f>
        <v>#VALUE!</v>
      </c>
      <c r="L636" t="e">
        <f>IF(AND(B636&lt;'Real Analysis'!$B$32,B636&gt;0),INTEGRAL2(K636,$B636,L635,K635,$B635,'Real Analysis'!$B$20),0)</f>
        <v>#VALUE!</v>
      </c>
      <c r="N636">
        <f>'Real Analysis'!$B$28*'Real Input'!U636+IF('Real Input'!U636 &gt; 0,'Real Analysis'!$B$29,0)</f>
        <v>-0.83614699999999997</v>
      </c>
      <c r="O636" t="e">
        <f t="shared" si="47"/>
        <v>#VALUE!</v>
      </c>
      <c r="P636" t="e">
        <f t="shared" si="48"/>
        <v>#VALUE!</v>
      </c>
    </row>
    <row r="637" spans="1:16" x14ac:dyDescent="0.3">
      <c r="A637">
        <v>635</v>
      </c>
      <c r="B637">
        <f>'Real Input'!M637</f>
        <v>13.729785000003176</v>
      </c>
      <c r="C637">
        <f ca="1">INDIRECT(CONCATENATE("'Real Input'!",'Real Analysis'!$B$2,A637+2))</f>
        <v>9.9862366500000004</v>
      </c>
      <c r="D637">
        <f t="shared" si="46"/>
        <v>2.2380000009434298E-2</v>
      </c>
      <c r="E637">
        <f ca="1">IF(B637&gt;0,C637-'Real Analysis'!$B$14,0)</f>
        <v>0.12973884762857324</v>
      </c>
      <c r="F637">
        <f t="shared" ca="1" si="49"/>
        <v>-0.52915133343903453</v>
      </c>
      <c r="G637">
        <f t="shared" ca="1" si="50"/>
        <v>-0.85114248412910976</v>
      </c>
      <c r="H637">
        <f ca="1">IF(AND(B637&gt;'Real Analysis'!$B$31,B637&lt;'Real Analysis'!$B$32),FilterInput(E637,'Real Analysis'!$B$26,'Real Analysis'!$B$27),0)</f>
        <v>0.12973884762857324</v>
      </c>
      <c r="I637" t="e">
        <f>MEDIAN2("Real Values",H637,'Real Analysis'!$B$5,2)</f>
        <v>#VALUE!</v>
      </c>
      <c r="J637" t="e">
        <f>AVERAGE2("Real Values",I637,'Real Analysis'!$B$6,2)</f>
        <v>#VALUE!</v>
      </c>
      <c r="K637" t="e">
        <f>INTEGRAL2(J637,$B637,K636,J636,$B636,'Real Analysis'!$B$19)</f>
        <v>#VALUE!</v>
      </c>
      <c r="L637" t="e">
        <f>IF(AND(B637&lt;'Real Analysis'!$B$32,B637&gt;0),INTEGRAL2(K637,$B637,L636,K636,$B636,'Real Analysis'!$B$20),0)</f>
        <v>#VALUE!</v>
      </c>
      <c r="N637">
        <f>'Real Analysis'!$B$28*'Real Input'!U637+IF('Real Input'!U637 &gt; 0,'Real Analysis'!$B$29,0)</f>
        <v>-0.85204299999999999</v>
      </c>
      <c r="O637" t="e">
        <f t="shared" si="47"/>
        <v>#VALUE!</v>
      </c>
      <c r="P637" t="e">
        <f t="shared" si="48"/>
        <v>#VALUE!</v>
      </c>
    </row>
    <row r="638" spans="1:16" x14ac:dyDescent="0.3">
      <c r="A638">
        <v>636</v>
      </c>
      <c r="B638">
        <f>'Real Input'!M638</f>
        <v>13.750499000001582</v>
      </c>
      <c r="C638">
        <f ca="1">INDIRECT(CONCATENATE("'Real Input'!",'Real Analysis'!$B$2,A638+2))</f>
        <v>10.065187530000001</v>
      </c>
      <c r="D638">
        <f t="shared" si="46"/>
        <v>2.0713999998406507E-2</v>
      </c>
      <c r="E638">
        <f ca="1">IF(B638&gt;0,C638-'Real Analysis'!$B$14,0)</f>
        <v>0.20868972762857396</v>
      </c>
      <c r="F638">
        <f t="shared" ca="1" si="49"/>
        <v>-0.52482853442126876</v>
      </c>
      <c r="G638">
        <f t="shared" ca="1" si="50"/>
        <v>-0.8620137823902756</v>
      </c>
      <c r="H638">
        <f ca="1">IF(AND(B638&gt;'Real Analysis'!$B$31,B638&lt;'Real Analysis'!$B$32),FilterInput(E638,'Real Analysis'!$B$26,'Real Analysis'!$B$27),0)</f>
        <v>0.20868972762857396</v>
      </c>
      <c r="I638" t="e">
        <f>MEDIAN2("Real Values",H638,'Real Analysis'!$B$5,2)</f>
        <v>#VALUE!</v>
      </c>
      <c r="J638" t="e">
        <f>AVERAGE2("Real Values",I638,'Real Analysis'!$B$6,2)</f>
        <v>#VALUE!</v>
      </c>
      <c r="K638" t="e">
        <f>INTEGRAL2(J638,$B638,K637,J637,$B637,'Real Analysis'!$B$19)</f>
        <v>#VALUE!</v>
      </c>
      <c r="L638" t="e">
        <f>IF(AND(B638&lt;'Real Analysis'!$B$32,B638&gt;0),INTEGRAL2(K638,$B638,L637,K637,$B637,'Real Analysis'!$B$20),0)</f>
        <v>#VALUE!</v>
      </c>
      <c r="N638">
        <f>'Real Analysis'!$B$28*'Real Input'!U638+IF('Real Input'!U638 &gt; 0,'Real Analysis'!$B$29,0)</f>
        <v>-0.86595199999999994</v>
      </c>
      <c r="O638" t="e">
        <f t="shared" si="47"/>
        <v>#VALUE!</v>
      </c>
      <c r="P638" t="e">
        <f t="shared" si="48"/>
        <v>#VALUE!</v>
      </c>
    </row>
    <row r="639" spans="1:16" x14ac:dyDescent="0.3">
      <c r="A639">
        <v>637</v>
      </c>
      <c r="B639">
        <f>'Real Input'!M639</f>
        <v>13.769012000004295</v>
      </c>
      <c r="C639">
        <f ca="1">INDIRECT(CONCATENATE("'Real Input'!",'Real Analysis'!$B$2,A639+2))</f>
        <v>10.18751823</v>
      </c>
      <c r="D639">
        <f t="shared" si="46"/>
        <v>1.8513000002712943E-2</v>
      </c>
      <c r="E639">
        <f ca="1">IF(B639&gt;0,C639-'Real Analysis'!$B$14,0)</f>
        <v>0.33102042762857309</v>
      </c>
      <c r="F639">
        <f t="shared" ca="1" si="49"/>
        <v>-0.51870035324368291</v>
      </c>
      <c r="G639">
        <f t="shared" ca="1" si="50"/>
        <v>-0.87161648203128306</v>
      </c>
      <c r="H639">
        <f ca="1">IF(AND(B639&gt;'Real Analysis'!$B$31,B639&lt;'Real Analysis'!$B$32),FilterInput(E639,'Real Analysis'!$B$26,'Real Analysis'!$B$27),0)</f>
        <v>0.33102042762857309</v>
      </c>
      <c r="I639" t="e">
        <f>MEDIAN2("Real Values",H639,'Real Analysis'!$B$5,2)</f>
        <v>#VALUE!</v>
      </c>
      <c r="J639" t="e">
        <f>AVERAGE2("Real Values",I639,'Real Analysis'!$B$6,2)</f>
        <v>#VALUE!</v>
      </c>
      <c r="K639" t="e">
        <f>INTEGRAL2(J639,$B639,K638,J638,$B638,'Real Analysis'!$B$19)</f>
        <v>#VALUE!</v>
      </c>
      <c r="L639" t="e">
        <f>IF(AND(B639&lt;'Real Analysis'!$B$32,B639&gt;0),INTEGRAL2(K639,$B639,L638,K638,$B638,'Real Analysis'!$B$20),0)</f>
        <v>#VALUE!</v>
      </c>
      <c r="N639">
        <f>'Real Analysis'!$B$28*'Real Input'!U639+IF('Real Input'!U639 &gt; 0,'Real Analysis'!$B$29,0)</f>
        <v>-0.87588699999999997</v>
      </c>
      <c r="O639" t="e">
        <f t="shared" si="47"/>
        <v>#VALUE!</v>
      </c>
      <c r="P639" t="e">
        <f t="shared" si="48"/>
        <v>#VALUE!</v>
      </c>
    </row>
    <row r="640" spans="1:16" x14ac:dyDescent="0.3">
      <c r="A640">
        <v>638</v>
      </c>
      <c r="B640">
        <f>'Real Input'!M640</f>
        <v>13.793971000006422</v>
      </c>
      <c r="C640">
        <f ca="1">INDIRECT(CONCATENATE("'Real Input'!",'Real Analysis'!$B$2,A640+2))</f>
        <v>10.14009669</v>
      </c>
      <c r="D640">
        <f t="shared" si="46"/>
        <v>2.4959000002127141E-2</v>
      </c>
      <c r="E640">
        <f ca="1">IF(B640&gt;0,C640-'Real Analysis'!$B$14,0)</f>
        <v>0.28359888762857288</v>
      </c>
      <c r="F640">
        <f t="shared" ca="1" si="49"/>
        <v>-0.51162200860675811</v>
      </c>
      <c r="G640">
        <f t="shared" ca="1" si="50"/>
        <v>-0.88438605574518747</v>
      </c>
      <c r="H640">
        <f ca="1">IF(AND(B640&gt;'Real Analysis'!$B$31,B640&lt;'Real Analysis'!$B$32),FilterInput(E640,'Real Analysis'!$B$26,'Real Analysis'!$B$27),0)</f>
        <v>0.28359888762857288</v>
      </c>
      <c r="I640" t="e">
        <f>MEDIAN2("Real Values",H640,'Real Analysis'!$B$5,2)</f>
        <v>#VALUE!</v>
      </c>
      <c r="J640" t="e">
        <f>AVERAGE2("Real Values",I640,'Real Analysis'!$B$6,2)</f>
        <v>#VALUE!</v>
      </c>
      <c r="K640" t="e">
        <f>INTEGRAL2(J640,$B640,K639,J639,$B639,'Real Analysis'!$B$19)</f>
        <v>#VALUE!</v>
      </c>
      <c r="L640" t="e">
        <f>IF(AND(B640&lt;'Real Analysis'!$B$32,B640&gt;0),INTEGRAL2(K640,$B640,L639,K639,$B639,'Real Analysis'!$B$20),0)</f>
        <v>#VALUE!</v>
      </c>
      <c r="N640">
        <f>'Real Analysis'!$B$28*'Real Input'!U640+IF('Real Input'!U640 &gt; 0,'Real Analysis'!$B$29,0)</f>
        <v>-0.89178299999999999</v>
      </c>
      <c r="O640" t="e">
        <f t="shared" si="47"/>
        <v>#VALUE!</v>
      </c>
      <c r="P640" t="e">
        <f t="shared" si="48"/>
        <v>#VALUE!</v>
      </c>
    </row>
    <row r="641" spans="1:16" x14ac:dyDescent="0.3">
      <c r="A641">
        <v>639</v>
      </c>
      <c r="B641">
        <f>'Real Input'!M641</f>
        <v>13.809563999995589</v>
      </c>
      <c r="C641">
        <f ca="1">INDIRECT(CONCATENATE("'Real Input'!",'Real Analysis'!$B$2,A641+2))</f>
        <v>10.22265765</v>
      </c>
      <c r="D641">
        <f t="shared" si="46"/>
        <v>1.5592999989166856E-2</v>
      </c>
      <c r="E641">
        <f ca="1">IF(B641&gt;0,C641-'Real Analysis'!$B$14,0)</f>
        <v>0.36615984762857323</v>
      </c>
      <c r="F641">
        <f t="shared" ca="1" si="49"/>
        <v>-0.50591247810665241</v>
      </c>
      <c r="G641">
        <f t="shared" ca="1" si="50"/>
        <v>-0.89227474901082393</v>
      </c>
      <c r="H641">
        <f ca="1">IF(AND(B641&gt;'Real Analysis'!$B$31,B641&lt;'Real Analysis'!$B$32),FilterInput(E641,'Real Analysis'!$B$26,'Real Analysis'!$B$27),0)</f>
        <v>0.36615984762857323</v>
      </c>
      <c r="I641" t="e">
        <f>MEDIAN2("Real Values",H641,'Real Analysis'!$B$5,2)</f>
        <v>#VALUE!</v>
      </c>
      <c r="J641" t="e">
        <f>AVERAGE2("Real Values",I641,'Real Analysis'!$B$6,2)</f>
        <v>#VALUE!</v>
      </c>
      <c r="K641" t="e">
        <f>INTEGRAL2(J641,$B641,K640,J640,$B640,'Real Analysis'!$B$19)</f>
        <v>#VALUE!</v>
      </c>
      <c r="L641" t="e">
        <f>IF(AND(B641&lt;'Real Analysis'!$B$32,B641&gt;0),INTEGRAL2(K641,$B641,L640,K640,$B640,'Real Analysis'!$B$20),0)</f>
        <v>#VALUE!</v>
      </c>
      <c r="N641">
        <f>'Real Analysis'!$B$28*'Real Input'!U641+IF('Real Input'!U641 &gt; 0,'Real Analysis'!$B$29,0)</f>
        <v>-0.89973099999999995</v>
      </c>
      <c r="O641" t="e">
        <f t="shared" si="47"/>
        <v>#VALUE!</v>
      </c>
      <c r="P641" t="e">
        <f t="shared" si="48"/>
        <v>#VALUE!</v>
      </c>
    </row>
    <row r="642" spans="1:16" x14ac:dyDescent="0.3">
      <c r="A642">
        <v>640</v>
      </c>
      <c r="B642">
        <f>'Real Input'!M642</f>
        <v>13.831714999992982</v>
      </c>
      <c r="C642">
        <f ca="1">INDIRECT(CONCATENATE("'Real Input'!",'Real Analysis'!$B$2,A642+2))</f>
        <v>10.323681029999999</v>
      </c>
      <c r="D642">
        <f t="shared" si="46"/>
        <v>2.2150999997393228E-2</v>
      </c>
      <c r="E642">
        <f ca="1">IF(B642&gt;0,C642-'Real Analysis'!$B$14,0)</f>
        <v>0.46718322762857234</v>
      </c>
      <c r="F642">
        <f t="shared" ca="1" si="49"/>
        <v>-0.49556390243266973</v>
      </c>
      <c r="G642">
        <f t="shared" ca="1" si="50"/>
        <v>-0.90325198501231818</v>
      </c>
      <c r="H642">
        <f ca="1">IF(AND(B642&gt;'Real Analysis'!$B$31,B642&lt;'Real Analysis'!$B$32),FilterInput(E642,'Real Analysis'!$B$26,'Real Analysis'!$B$27),0)</f>
        <v>0.46718322762857234</v>
      </c>
      <c r="I642" t="e">
        <f>MEDIAN2("Real Values",H642,'Real Analysis'!$B$5,2)</f>
        <v>#VALUE!</v>
      </c>
      <c r="J642" t="e">
        <f>AVERAGE2("Real Values",I642,'Real Analysis'!$B$6,2)</f>
        <v>#VALUE!</v>
      </c>
      <c r="K642" t="e">
        <f>INTEGRAL2(J642,$B642,K641,J641,$B641,'Real Analysis'!$B$19)</f>
        <v>#VALUE!</v>
      </c>
      <c r="L642" t="e">
        <f>IF(AND(B642&lt;'Real Analysis'!$B$32,B642&gt;0),INTEGRAL2(K642,$B642,L641,K641,$B641,'Real Analysis'!$B$20),0)</f>
        <v>#VALUE!</v>
      </c>
      <c r="N642">
        <f>'Real Analysis'!$B$28*'Real Input'!U642+IF('Real Input'!U642 &gt; 0,'Real Analysis'!$B$29,0)</f>
        <v>-0.91165299999999994</v>
      </c>
      <c r="O642" t="e">
        <f t="shared" si="47"/>
        <v>#VALUE!</v>
      </c>
      <c r="P642" t="e">
        <f t="shared" si="48"/>
        <v>#VALUE!</v>
      </c>
    </row>
    <row r="643" spans="1:16" x14ac:dyDescent="0.3">
      <c r="A643">
        <v>641</v>
      </c>
      <c r="B643">
        <f>'Real Input'!M643</f>
        <v>13.85037800000282</v>
      </c>
      <c r="C643">
        <f ca="1">INDIRECT(CONCATENATE("'Real Input'!",'Real Analysis'!$B$2,A643+2))</f>
        <v>10.21212171</v>
      </c>
      <c r="D643">
        <f t="shared" ref="D643:D706" si="51">B643-B642</f>
        <v>1.866300000983756E-2</v>
      </c>
      <c r="E643">
        <f ca="1">IF(B643&gt;0,C643-'Real Analysis'!$B$14,0)</f>
        <v>0.35562390762857277</v>
      </c>
      <c r="F643">
        <f t="shared" ca="1" si="49"/>
        <v>-0.48892689344109919</v>
      </c>
      <c r="G643">
        <f t="shared" ca="1" si="50"/>
        <v>-0.9123768276294193</v>
      </c>
      <c r="H643">
        <f ca="1">IF(AND(B643&gt;'Real Analysis'!$B$31,B643&lt;'Real Analysis'!$B$32),FilterInput(E643,'Real Analysis'!$B$26,'Real Analysis'!$B$27),0)</f>
        <v>0.35562390762857277</v>
      </c>
      <c r="I643" t="e">
        <f>MEDIAN2("Real Values",H643,'Real Analysis'!$B$5,2)</f>
        <v>#VALUE!</v>
      </c>
      <c r="J643" t="e">
        <f>AVERAGE2("Real Values",I643,'Real Analysis'!$B$6,2)</f>
        <v>#VALUE!</v>
      </c>
      <c r="K643" t="e">
        <f>INTEGRAL2(J643,$B643,K642,J642,$B642,'Real Analysis'!$B$19)</f>
        <v>#VALUE!</v>
      </c>
      <c r="L643" t="e">
        <f>IF(AND(B643&lt;'Real Analysis'!$B$32,B643&gt;0),INTEGRAL2(K643,$B643,L642,K642,$B642,'Real Analysis'!$B$20),0)</f>
        <v>#VALUE!</v>
      </c>
      <c r="N643">
        <f>'Real Analysis'!$B$28*'Real Input'!U643+IF('Real Input'!U643 &gt; 0,'Real Analysis'!$B$29,0)</f>
        <v>-0.91960099999999989</v>
      </c>
      <c r="O643" t="e">
        <f t="shared" ref="O643:O706" si="52">_xlfn.COVARIANCE.P($L$102:$L$1200,N643:N1741)</f>
        <v>#VALUE!</v>
      </c>
      <c r="P643" t="e">
        <f t="shared" ref="P643:P706" si="53">N643-L643</f>
        <v>#VALUE!</v>
      </c>
    </row>
    <row r="644" spans="1:16" x14ac:dyDescent="0.3">
      <c r="A644">
        <v>642</v>
      </c>
      <c r="B644">
        <f>'Real Input'!M644</f>
        <v>13.87075200000254</v>
      </c>
      <c r="C644">
        <f ca="1">INDIRECT(CONCATENATE("'Real Input'!",'Real Analysis'!$B$2,A644+2))</f>
        <v>10.291651380000001</v>
      </c>
      <c r="D644">
        <f t="shared" si="51"/>
        <v>2.0373999999719672E-2</v>
      </c>
      <c r="E644">
        <f ca="1">IF(B644&gt;0,C644-'Real Analysis'!$B$14,0)</f>
        <v>0.43515357762857398</v>
      </c>
      <c r="F644">
        <f t="shared" ref="F644:F707" ca="1" si="54">IF(B644&gt;0,F643+E644*$D644,0)</f>
        <v>-0.48006107445061663</v>
      </c>
      <c r="G644">
        <f t="shared" ca="1" si="50"/>
        <v>-0.92215759196014158</v>
      </c>
      <c r="H644">
        <f ca="1">IF(AND(B644&gt;'Real Analysis'!$B$31,B644&lt;'Real Analysis'!$B$32),FilterInput(E644,'Real Analysis'!$B$26,'Real Analysis'!$B$27),0)</f>
        <v>0.43515357762857398</v>
      </c>
      <c r="I644" t="e">
        <f>MEDIAN2("Real Values",H644,'Real Analysis'!$B$5,2)</f>
        <v>#VALUE!</v>
      </c>
      <c r="J644" t="e">
        <f>AVERAGE2("Real Values",I644,'Real Analysis'!$B$6,2)</f>
        <v>#VALUE!</v>
      </c>
      <c r="K644" t="e">
        <f>INTEGRAL2(J644,$B644,K643,J643,$B643,'Real Analysis'!$B$19)</f>
        <v>#VALUE!</v>
      </c>
      <c r="L644" t="e">
        <f>IF(AND(B644&lt;'Real Analysis'!$B$32,B644&gt;0),INTEGRAL2(K644,$B644,L643,K643,$B643,'Real Analysis'!$B$20),0)</f>
        <v>#VALUE!</v>
      </c>
      <c r="N644">
        <f>'Real Analysis'!$B$28*'Real Input'!U644+IF('Real Input'!U644 &gt; 0,'Real Analysis'!$B$29,0)</f>
        <v>-0.93152299999999988</v>
      </c>
      <c r="O644" t="e">
        <f t="shared" si="52"/>
        <v>#VALUE!</v>
      </c>
      <c r="P644" t="e">
        <f t="shared" si="53"/>
        <v>#VALUE!</v>
      </c>
    </row>
    <row r="645" spans="1:16" x14ac:dyDescent="0.3">
      <c r="A645">
        <v>643</v>
      </c>
      <c r="B645">
        <f>'Real Input'!M645</f>
        <v>13.889808000007179</v>
      </c>
      <c r="C645">
        <f ca="1">INDIRECT(CONCATENATE("'Real Input'!",'Real Analysis'!$B$2,A645+2))</f>
        <v>10.359340380000001</v>
      </c>
      <c r="D645">
        <f t="shared" si="51"/>
        <v>1.9056000004638918E-2</v>
      </c>
      <c r="E645">
        <f ca="1">IF(B645&gt;0,C645-'Real Analysis'!$B$14,0)</f>
        <v>0.50284257762857365</v>
      </c>
      <c r="F645">
        <f t="shared" ca="1" si="54"/>
        <v>-0.47047890628899391</v>
      </c>
      <c r="G645">
        <f t="shared" ca="1" si="50"/>
        <v>-0.93112303800056717</v>
      </c>
      <c r="H645">
        <f ca="1">IF(AND(B645&gt;'Real Analysis'!$B$31,B645&lt;'Real Analysis'!$B$32),FilterInput(E645,'Real Analysis'!$B$26,'Real Analysis'!$B$27),0)</f>
        <v>0.50284257762857365</v>
      </c>
      <c r="I645" t="e">
        <f>MEDIAN2("Real Values",H645,'Real Analysis'!$B$5,2)</f>
        <v>#VALUE!</v>
      </c>
      <c r="J645" t="e">
        <f>AVERAGE2("Real Values",I645,'Real Analysis'!$B$6,2)</f>
        <v>#VALUE!</v>
      </c>
      <c r="K645" t="e">
        <f>INTEGRAL2(J645,$B645,K644,J644,$B644,'Real Analysis'!$B$19)</f>
        <v>#VALUE!</v>
      </c>
      <c r="L645" t="e">
        <f>IF(AND(B645&lt;'Real Analysis'!$B$32,B645&gt;0),INTEGRAL2(K645,$B645,L644,K644,$B644,'Real Analysis'!$B$20),0)</f>
        <v>#VALUE!</v>
      </c>
      <c r="N645">
        <f>'Real Analysis'!$B$28*'Real Input'!U645+IF('Real Input'!U645 &gt; 0,'Real Analysis'!$B$29,0)</f>
        <v>-0.94145799999999991</v>
      </c>
      <c r="O645" t="e">
        <f t="shared" si="52"/>
        <v>#VALUE!</v>
      </c>
      <c r="P645" t="e">
        <f t="shared" si="53"/>
        <v>#VALUE!</v>
      </c>
    </row>
    <row r="646" spans="1:16" x14ac:dyDescent="0.3">
      <c r="A646">
        <v>644</v>
      </c>
      <c r="B646">
        <f>'Real Input'!M646</f>
        <v>13.909813999998732</v>
      </c>
      <c r="C646">
        <f ca="1">INDIRECT(CONCATENATE("'Real Input'!",'Real Analysis'!$B$2,A646+2))</f>
        <v>10.365559920000001</v>
      </c>
      <c r="D646">
        <f t="shared" si="51"/>
        <v>2.0005999991553836E-2</v>
      </c>
      <c r="E646">
        <f ca="1">IF(B646&gt;0,C646-'Real Analysis'!$B$14,0)</f>
        <v>0.50906211762857367</v>
      </c>
      <c r="F646">
        <f t="shared" ca="1" si="54"/>
        <v>-0.46029460956801627</v>
      </c>
      <c r="G646">
        <f t="shared" ca="1" si="50"/>
        <v>-0.94033169195569721</v>
      </c>
      <c r="H646">
        <f ca="1">IF(AND(B646&gt;'Real Analysis'!$B$31,B646&lt;'Real Analysis'!$B$32),FilterInput(E646,'Real Analysis'!$B$26,'Real Analysis'!$B$27),0)</f>
        <v>0.50906211762857367</v>
      </c>
      <c r="I646" t="e">
        <f>MEDIAN2("Real Values",H646,'Real Analysis'!$B$5,2)</f>
        <v>#VALUE!</v>
      </c>
      <c r="J646" t="e">
        <f>AVERAGE2("Real Values",I646,'Real Analysis'!$B$6,2)</f>
        <v>#VALUE!</v>
      </c>
      <c r="K646" t="e">
        <f>INTEGRAL2(J646,$B646,K645,J645,$B645,'Real Analysis'!$B$19)</f>
        <v>#VALUE!</v>
      </c>
      <c r="L646" t="e">
        <f>IF(AND(B646&lt;'Real Analysis'!$B$32,B646&gt;0),INTEGRAL2(K646,$B646,L645,K645,$B645,'Real Analysis'!$B$20),0)</f>
        <v>#VALUE!</v>
      </c>
      <c r="N646">
        <f>'Real Analysis'!$B$28*'Real Input'!U646+IF('Real Input'!U646 &gt; 0,'Real Analysis'!$B$29,0)</f>
        <v>-0.94940599999999997</v>
      </c>
      <c r="O646" t="e">
        <f t="shared" si="52"/>
        <v>#VALUE!</v>
      </c>
      <c r="P646" t="e">
        <f t="shared" si="53"/>
        <v>#VALUE!</v>
      </c>
    </row>
    <row r="647" spans="1:16" x14ac:dyDescent="0.3">
      <c r="A647">
        <v>645</v>
      </c>
      <c r="B647">
        <f>'Real Input'!M647</f>
        <v>13.932627000001958</v>
      </c>
      <c r="C647">
        <f ca="1">INDIRECT(CONCATENATE("'Real Input'!",'Real Analysis'!$B$2,A647+2))</f>
        <v>10.443196260000001</v>
      </c>
      <c r="D647">
        <f t="shared" si="51"/>
        <v>2.281300000322517E-2</v>
      </c>
      <c r="E647">
        <f ca="1">IF(B647&gt;0,C647-'Real Analysis'!$B$14,0)</f>
        <v>0.58669845762857342</v>
      </c>
      <c r="F647">
        <f t="shared" ca="1" si="54"/>
        <v>-0.4469102576522434</v>
      </c>
      <c r="G647">
        <f t="shared" ca="1" si="50"/>
        <v>-0.95052705566495921</v>
      </c>
      <c r="H647">
        <f ca="1">IF(AND(B647&gt;'Real Analysis'!$B$31,B647&lt;'Real Analysis'!$B$32),FilterInput(E647,'Real Analysis'!$B$26,'Real Analysis'!$B$27),0)</f>
        <v>0.58669845762857342</v>
      </c>
      <c r="I647" t="e">
        <f>MEDIAN2("Real Values",H647,'Real Analysis'!$B$5,2)</f>
        <v>#VALUE!</v>
      </c>
      <c r="J647" t="e">
        <f>AVERAGE2("Real Values",I647,'Real Analysis'!$B$6,2)</f>
        <v>#VALUE!</v>
      </c>
      <c r="K647" t="e">
        <f>INTEGRAL2(J647,$B647,K646,J646,$B646,'Real Analysis'!$B$19)</f>
        <v>#VALUE!</v>
      </c>
      <c r="L647" t="e">
        <f>IF(AND(B647&lt;'Real Analysis'!$B$32,B647&gt;0),INTEGRAL2(K647,$B647,L646,K646,$B646,'Real Analysis'!$B$20),0)</f>
        <v>#VALUE!</v>
      </c>
      <c r="N647">
        <f>'Real Analysis'!$B$28*'Real Input'!U647+IF('Real Input'!U647 &gt; 0,'Real Analysis'!$B$29,0)</f>
        <v>-0.95735399999999993</v>
      </c>
      <c r="O647" t="e">
        <f t="shared" si="52"/>
        <v>#VALUE!</v>
      </c>
      <c r="P647" t="e">
        <f t="shared" si="53"/>
        <v>#VALUE!</v>
      </c>
    </row>
    <row r="648" spans="1:16" x14ac:dyDescent="0.3">
      <c r="A648">
        <v>646</v>
      </c>
      <c r="B648">
        <f>'Real Input'!M648</f>
        <v>13.950106999996933</v>
      </c>
      <c r="C648">
        <f ca="1">INDIRECT(CONCATENATE("'Real Input'!",'Real Analysis'!$B$2,A648+2))</f>
        <v>10.48729221</v>
      </c>
      <c r="D648">
        <f t="shared" si="51"/>
        <v>1.7479999994975515E-2</v>
      </c>
      <c r="E648">
        <f ca="1">IF(B648&gt;0,C648-'Real Analysis'!$B$14,0)</f>
        <v>0.63079440762857253</v>
      </c>
      <c r="F648">
        <f t="shared" ca="1" si="54"/>
        <v>-0.43588397141006535</v>
      </c>
      <c r="G648">
        <f t="shared" ca="1" si="50"/>
        <v>-0.9581463074830171</v>
      </c>
      <c r="H648">
        <f ca="1">IF(AND(B648&gt;'Real Analysis'!$B$31,B648&lt;'Real Analysis'!$B$32),FilterInput(E648,'Real Analysis'!$B$26,'Real Analysis'!$B$27),0)</f>
        <v>0.63079440762857253</v>
      </c>
      <c r="I648" t="e">
        <f>MEDIAN2("Real Values",H648,'Real Analysis'!$B$5,2)</f>
        <v>#VALUE!</v>
      </c>
      <c r="J648" t="e">
        <f>AVERAGE2("Real Values",I648,'Real Analysis'!$B$6,2)</f>
        <v>#VALUE!</v>
      </c>
      <c r="K648" t="e">
        <f>INTEGRAL2(J648,$B648,K647,J647,$B647,'Real Analysis'!$B$19)</f>
        <v>#VALUE!</v>
      </c>
      <c r="L648" t="e">
        <f>IF(AND(B648&lt;'Real Analysis'!$B$32,B648&gt;0),INTEGRAL2(K648,$B648,L647,K647,$B647,'Real Analysis'!$B$20),0)</f>
        <v>#VALUE!</v>
      </c>
      <c r="N648">
        <f>'Real Analysis'!$B$28*'Real Input'!U648+IF('Real Input'!U648 &gt; 0,'Real Analysis'!$B$29,0)</f>
        <v>-0.96132799999999996</v>
      </c>
      <c r="O648" t="e">
        <f t="shared" si="52"/>
        <v>#VALUE!</v>
      </c>
      <c r="P648" t="e">
        <f t="shared" si="53"/>
        <v>#VALUE!</v>
      </c>
    </row>
    <row r="649" spans="1:16" x14ac:dyDescent="0.3">
      <c r="A649">
        <v>647</v>
      </c>
      <c r="B649">
        <f>'Real Input'!M649</f>
        <v>13.970318000006955</v>
      </c>
      <c r="C649">
        <f ca="1">INDIRECT(CONCATENATE("'Real Input'!",'Real Analysis'!$B$2,A649+2))</f>
        <v>10.653002730000001</v>
      </c>
      <c r="D649">
        <f t="shared" si="51"/>
        <v>2.0211000010021962E-2</v>
      </c>
      <c r="E649">
        <f ca="1">IF(B649&gt;0,C649-'Real Analysis'!$B$14,0)</f>
        <v>0.79650492762857361</v>
      </c>
      <c r="F649">
        <f t="shared" ca="1" si="54"/>
        <v>-0.41978581030978168</v>
      </c>
      <c r="G649">
        <f t="shared" ca="1" si="50"/>
        <v>-0.96663059849939514</v>
      </c>
      <c r="H649">
        <f ca="1">IF(AND(B649&gt;'Real Analysis'!$B$31,B649&lt;'Real Analysis'!$B$32),FilterInput(E649,'Real Analysis'!$B$26,'Real Analysis'!$B$27),0)</f>
        <v>0.79650492762857361</v>
      </c>
      <c r="I649" t="e">
        <f>MEDIAN2("Real Values",H649,'Real Analysis'!$B$5,2)</f>
        <v>#VALUE!</v>
      </c>
      <c r="J649" t="e">
        <f>AVERAGE2("Real Values",I649,'Real Analysis'!$B$6,2)</f>
        <v>#VALUE!</v>
      </c>
      <c r="K649" t="e">
        <f>INTEGRAL2(J649,$B649,K648,J648,$B648,'Real Analysis'!$B$19)</f>
        <v>#VALUE!</v>
      </c>
      <c r="L649" t="e">
        <f>IF(AND(B649&lt;'Real Analysis'!$B$32,B649&gt;0),INTEGRAL2(K649,$B649,L648,K648,$B648,'Real Analysis'!$B$20),0)</f>
        <v>#VALUE!</v>
      </c>
      <c r="N649">
        <f>'Real Analysis'!$B$28*'Real Input'!U649+IF('Real Input'!U649 &gt; 0,'Real Analysis'!$B$29,0)</f>
        <v>-0.97126299999999999</v>
      </c>
      <c r="O649" t="e">
        <f t="shared" si="52"/>
        <v>#VALUE!</v>
      </c>
      <c r="P649" t="e">
        <f t="shared" si="53"/>
        <v>#VALUE!</v>
      </c>
    </row>
    <row r="650" spans="1:16" x14ac:dyDescent="0.3">
      <c r="A650">
        <v>648</v>
      </c>
      <c r="B650">
        <f>'Real Input'!M650</f>
        <v>13.992660000003525</v>
      </c>
      <c r="C650">
        <f ca="1">INDIRECT(CONCATENATE("'Real Input'!",'Real Analysis'!$B$2,A650+2))</f>
        <v>10.6570935</v>
      </c>
      <c r="D650">
        <f t="shared" si="51"/>
        <v>2.2341999996569939E-2</v>
      </c>
      <c r="E650">
        <f ca="1">IF(B650&gt;0,C650-'Real Analysis'!$B$14,0)</f>
        <v>0.80059569762857308</v>
      </c>
      <c r="F650">
        <f t="shared" ca="1" si="54"/>
        <v>-0.40189890123611022</v>
      </c>
      <c r="G650">
        <f t="shared" ca="1" si="50"/>
        <v>-0.97560982374943372</v>
      </c>
      <c r="H650">
        <f ca="1">IF(AND(B650&gt;'Real Analysis'!$B$31,B650&lt;'Real Analysis'!$B$32),FilterInput(E650,'Real Analysis'!$B$26,'Real Analysis'!$B$27),0)</f>
        <v>0.80059569762857308</v>
      </c>
      <c r="I650" t="e">
        <f>MEDIAN2("Real Values",H650,'Real Analysis'!$B$5,2)</f>
        <v>#VALUE!</v>
      </c>
      <c r="J650" t="e">
        <f>AVERAGE2("Real Values",I650,'Real Analysis'!$B$6,2)</f>
        <v>#VALUE!</v>
      </c>
      <c r="K650" t="e">
        <f>INTEGRAL2(J650,$B650,K649,J649,$B649,'Real Analysis'!$B$19)</f>
        <v>#VALUE!</v>
      </c>
      <c r="L650" t="e">
        <f>IF(AND(B650&lt;'Real Analysis'!$B$32,B650&gt;0),INTEGRAL2(K650,$B650,L649,K649,$B649,'Real Analysis'!$B$20),0)</f>
        <v>#VALUE!</v>
      </c>
      <c r="N650">
        <f>'Real Analysis'!$B$28*'Real Input'!U650+IF('Real Input'!U650 &gt; 0,'Real Analysis'!$B$29,0)</f>
        <v>-0.97523699999999991</v>
      </c>
      <c r="O650" t="e">
        <f t="shared" si="52"/>
        <v>#VALUE!</v>
      </c>
      <c r="P650" t="e">
        <f t="shared" si="53"/>
        <v>#VALUE!</v>
      </c>
    </row>
    <row r="651" spans="1:16" x14ac:dyDescent="0.3">
      <c r="A651">
        <v>649</v>
      </c>
      <c r="B651">
        <f>'Real Input'!M651</f>
        <v>14.01459399999294</v>
      </c>
      <c r="C651">
        <f ca="1">INDIRECT(CONCATENATE("'Real Input'!",'Real Analysis'!$B$2,A651+2))</f>
        <v>10.79912268</v>
      </c>
      <c r="D651">
        <f t="shared" si="51"/>
        <v>2.1933999989414588E-2</v>
      </c>
      <c r="E651">
        <f ca="1">IF(B651&gt;0,C651-'Real Analysis'!$B$14,0)</f>
        <v>0.94262487762857283</v>
      </c>
      <c r="F651">
        <f t="shared" ca="1" si="54"/>
        <v>-0.38122336718018318</v>
      </c>
      <c r="G651">
        <f t="shared" ca="1" si="50"/>
        <v>-0.98397157708112848</v>
      </c>
      <c r="H651">
        <f ca="1">IF(AND(B651&gt;'Real Analysis'!$B$31,B651&lt;'Real Analysis'!$B$32),FilterInput(E651,'Real Analysis'!$B$26,'Real Analysis'!$B$27),0)</f>
        <v>0.94262487762857283</v>
      </c>
      <c r="I651" t="e">
        <f>MEDIAN2("Real Values",H651,'Real Analysis'!$B$5,2)</f>
        <v>#VALUE!</v>
      </c>
      <c r="J651" t="e">
        <f>AVERAGE2("Real Values",I651,'Real Analysis'!$B$6,2)</f>
        <v>#VALUE!</v>
      </c>
      <c r="K651" t="e">
        <f>INTEGRAL2(J651,$B651,K650,J650,$B650,'Real Analysis'!$B$19)</f>
        <v>#VALUE!</v>
      </c>
      <c r="L651" t="e">
        <f>IF(AND(B651&lt;'Real Analysis'!$B$32,B651&gt;0),INTEGRAL2(K651,$B651,L650,K650,$B650,'Real Analysis'!$B$20),0)</f>
        <v>#VALUE!</v>
      </c>
      <c r="N651">
        <f>'Real Analysis'!$B$28*'Real Input'!U651+IF('Real Input'!U651 &gt; 0,'Real Analysis'!$B$29,0)</f>
        <v>-0.98517199999999994</v>
      </c>
      <c r="O651" t="e">
        <f t="shared" si="52"/>
        <v>#VALUE!</v>
      </c>
      <c r="P651" t="e">
        <f t="shared" si="53"/>
        <v>#VALUE!</v>
      </c>
    </row>
    <row r="652" spans="1:16" x14ac:dyDescent="0.3">
      <c r="A652">
        <v>650</v>
      </c>
      <c r="B652">
        <f>'Real Input'!M652</f>
        <v>14.025643000000855</v>
      </c>
      <c r="C652">
        <f ca="1">INDIRECT(CONCATENATE("'Real Input'!",'Real Analysis'!$B$2,A652+2))</f>
        <v>10.857119400000002</v>
      </c>
      <c r="D652">
        <f t="shared" si="51"/>
        <v>1.1049000007915311E-2</v>
      </c>
      <c r="E652">
        <f ca="1">IF(B652&gt;0,C652-'Real Analysis'!$B$14,0)</f>
        <v>1.0006215976285748</v>
      </c>
      <c r="F652">
        <f t="shared" ca="1" si="54"/>
        <v>-0.3701674991400648</v>
      </c>
      <c r="G652">
        <f t="shared" ca="1" si="50"/>
        <v>-0.98806155778205706</v>
      </c>
      <c r="H652">
        <f ca="1">IF(AND(B652&gt;'Real Analysis'!$B$31,B652&lt;'Real Analysis'!$B$32),FilterInput(E652,'Real Analysis'!$B$26,'Real Analysis'!$B$27),0)</f>
        <v>1.0006215976285748</v>
      </c>
      <c r="I652" t="e">
        <f>MEDIAN2("Real Values",H652,'Real Analysis'!$B$5,2)</f>
        <v>#VALUE!</v>
      </c>
      <c r="J652" t="e">
        <f>AVERAGE2("Real Values",I652,'Real Analysis'!$B$6,2)</f>
        <v>#VALUE!</v>
      </c>
      <c r="K652" t="e">
        <f>INTEGRAL2(J652,$B652,K651,J651,$B651,'Real Analysis'!$B$19)</f>
        <v>#VALUE!</v>
      </c>
      <c r="L652" t="e">
        <f>IF(AND(B652&lt;'Real Analysis'!$B$32,B652&gt;0),INTEGRAL2(K652,$B652,L651,K651,$B651,'Real Analysis'!$B$20),0)</f>
        <v>#VALUE!</v>
      </c>
      <c r="N652">
        <f>'Real Analysis'!$B$28*'Real Input'!U652+IF('Real Input'!U652 &gt; 0,'Real Analysis'!$B$29,0)</f>
        <v>-0.98517199999999994</v>
      </c>
      <c r="O652" t="e">
        <f t="shared" si="52"/>
        <v>#VALUE!</v>
      </c>
      <c r="P652" t="e">
        <f t="shared" si="53"/>
        <v>#VALUE!</v>
      </c>
    </row>
    <row r="653" spans="1:16" x14ac:dyDescent="0.3">
      <c r="A653">
        <v>651</v>
      </c>
      <c r="B653">
        <f>'Real Input'!M653</f>
        <v>14.051489999998012</v>
      </c>
      <c r="C653">
        <f ca="1">INDIRECT(CONCATENATE("'Real Input'!",'Real Analysis'!$B$2,A653+2))</f>
        <v>10.646694900000002</v>
      </c>
      <c r="D653">
        <f t="shared" si="51"/>
        <v>2.5846999997156672E-2</v>
      </c>
      <c r="E653">
        <f ca="1">IF(B653&gt;0,C653-'Real Analysis'!$B$14,0)</f>
        <v>0.7901970976285746</v>
      </c>
      <c r="F653">
        <f t="shared" ca="1" si="54"/>
        <v>-0.34974327475990585</v>
      </c>
      <c r="G653">
        <f t="shared" ca="1" si="50"/>
        <v>-0.99710137220378192</v>
      </c>
      <c r="H653">
        <f ca="1">IF(AND(B653&gt;'Real Analysis'!$B$31,B653&lt;'Real Analysis'!$B$32),FilterInput(E653,'Real Analysis'!$B$26,'Real Analysis'!$B$27),0)</f>
        <v>0.7901970976285746</v>
      </c>
      <c r="I653" t="e">
        <f>MEDIAN2("Real Values",H653,'Real Analysis'!$B$5,2)</f>
        <v>#VALUE!</v>
      </c>
      <c r="J653" t="e">
        <f>AVERAGE2("Real Values",I653,'Real Analysis'!$B$6,2)</f>
        <v>#VALUE!</v>
      </c>
      <c r="K653" t="e">
        <f>INTEGRAL2(J653,$B653,K652,J652,$B652,'Real Analysis'!$B$19)</f>
        <v>#VALUE!</v>
      </c>
      <c r="L653" t="e">
        <f>IF(AND(B653&lt;'Real Analysis'!$B$32,B653&gt;0),INTEGRAL2(K653,$B653,L652,K652,$B652,'Real Analysis'!$B$20),0)</f>
        <v>#VALUE!</v>
      </c>
      <c r="N653">
        <f>'Real Analysis'!$B$28*'Real Input'!U653+IF('Real Input'!U653 &gt; 0,'Real Analysis'!$B$29,0)</f>
        <v>-0.99510699999999996</v>
      </c>
      <c r="O653" t="e">
        <f t="shared" si="52"/>
        <v>#VALUE!</v>
      </c>
      <c r="P653" t="e">
        <f t="shared" si="53"/>
        <v>#VALUE!</v>
      </c>
    </row>
    <row r="654" spans="1:16" x14ac:dyDescent="0.3">
      <c r="A654">
        <v>652</v>
      </c>
      <c r="B654">
        <f>'Real Input'!M654</f>
        <v>14.072893999997177</v>
      </c>
      <c r="C654">
        <f ca="1">INDIRECT(CONCATENATE("'Real Input'!",'Real Analysis'!$B$2,A654+2))</f>
        <v>10.617500340000001</v>
      </c>
      <c r="D654">
        <f t="shared" si="51"/>
        <v>2.1403999999165535E-2</v>
      </c>
      <c r="E654">
        <f ca="1">IF(B654&gt;0,C654-'Real Analysis'!$B$14,0)</f>
        <v>0.76100253762857406</v>
      </c>
      <c r="F654">
        <f t="shared" ca="1" si="54"/>
        <v>-0.33345477644513888</v>
      </c>
      <c r="G654">
        <f t="shared" ca="1" si="50"/>
        <v>-1.0042386382385353</v>
      </c>
      <c r="H654">
        <f ca="1">IF(AND(B654&gt;'Real Analysis'!$B$31,B654&lt;'Real Analysis'!$B$32),FilterInput(E654,'Real Analysis'!$B$26,'Real Analysis'!$B$27),0)</f>
        <v>0.76100253762857406</v>
      </c>
      <c r="I654" t="e">
        <f>MEDIAN2("Real Values",H654,'Real Analysis'!$B$5,2)</f>
        <v>#VALUE!</v>
      </c>
      <c r="J654" t="e">
        <f>AVERAGE2("Real Values",I654,'Real Analysis'!$B$6,2)</f>
        <v>#VALUE!</v>
      </c>
      <c r="K654" t="e">
        <f>INTEGRAL2(J654,$B654,K653,J653,$B653,'Real Analysis'!$B$19)</f>
        <v>#VALUE!</v>
      </c>
      <c r="L654" t="e">
        <f>IF(AND(B654&lt;'Real Analysis'!$B$32,B654&gt;0),INTEGRAL2(K654,$B654,L653,K653,$B653,'Real Analysis'!$B$20),0)</f>
        <v>#VALUE!</v>
      </c>
      <c r="N654">
        <f>'Real Analysis'!$B$28*'Real Input'!U654+IF('Real Input'!U654 &gt; 0,'Real Analysis'!$B$29,0)</f>
        <v>-0.99510699999999996</v>
      </c>
      <c r="O654" t="e">
        <f t="shared" si="52"/>
        <v>#VALUE!</v>
      </c>
      <c r="P654" t="e">
        <f t="shared" si="53"/>
        <v>#VALUE!</v>
      </c>
    </row>
    <row r="655" spans="1:16" x14ac:dyDescent="0.3">
      <c r="A655">
        <v>653</v>
      </c>
      <c r="B655">
        <f>'Real Input'!M655</f>
        <v>14.091761999996379</v>
      </c>
      <c r="C655">
        <f ca="1">INDIRECT(CONCATENATE("'Real Input'!",'Real Analysis'!$B$2,A655+2))</f>
        <v>10.828101420000001</v>
      </c>
      <c r="D655">
        <f t="shared" si="51"/>
        <v>1.8867999999201857E-2</v>
      </c>
      <c r="E655">
        <f ca="1">IF(B655&gt;0,C655-'Real Analysis'!$B$14,0)</f>
        <v>0.97160361762857406</v>
      </c>
      <c r="F655">
        <f t="shared" ca="1" si="54"/>
        <v>-0.31512255938849842</v>
      </c>
      <c r="G655">
        <f t="shared" ca="1" si="50"/>
        <v>-1.010184370688826</v>
      </c>
      <c r="H655">
        <f ca="1">IF(AND(B655&gt;'Real Analysis'!$B$31,B655&lt;'Real Analysis'!$B$32),FilterInput(E655,'Real Analysis'!$B$26,'Real Analysis'!$B$27),0)</f>
        <v>0.97160361762857406</v>
      </c>
      <c r="I655" t="e">
        <f>MEDIAN2("Real Values",H655,'Real Analysis'!$B$5,2)</f>
        <v>#VALUE!</v>
      </c>
      <c r="J655" t="e">
        <f>AVERAGE2("Real Values",I655,'Real Analysis'!$B$6,2)</f>
        <v>#VALUE!</v>
      </c>
      <c r="K655" t="e">
        <f>INTEGRAL2(J655,$B655,K654,J654,$B654,'Real Analysis'!$B$19)</f>
        <v>#VALUE!</v>
      </c>
      <c r="L655" t="e">
        <f>IF(AND(B655&lt;'Real Analysis'!$B$32,B655&gt;0),INTEGRAL2(K655,$B655,L654,K654,$B654,'Real Analysis'!$B$20),0)</f>
        <v>#VALUE!</v>
      </c>
      <c r="N655">
        <f>'Real Analysis'!$B$28*'Real Input'!U655+IF('Real Input'!U655 &gt; 0,'Real Analysis'!$B$29,0)</f>
        <v>-1.0010680000000001</v>
      </c>
      <c r="O655" t="e">
        <f t="shared" si="52"/>
        <v>#VALUE!</v>
      </c>
      <c r="P655" t="e">
        <f t="shared" si="53"/>
        <v>#VALUE!</v>
      </c>
    </row>
    <row r="656" spans="1:16" x14ac:dyDescent="0.3">
      <c r="A656">
        <v>654</v>
      </c>
      <c r="B656">
        <f>'Real Input'!M656</f>
        <v>14.111357999994652</v>
      </c>
      <c r="C656">
        <f ca="1">INDIRECT(CONCATENATE("'Real Input'!",'Real Analysis'!$B$2,A656+2))</f>
        <v>10.844386020000002</v>
      </c>
      <c r="D656">
        <f t="shared" si="51"/>
        <v>1.9595999998273328E-2</v>
      </c>
      <c r="E656">
        <f ca="1">IF(B656&gt;0,C656-'Real Analysis'!$B$14,0)</f>
        <v>0.98788821762857459</v>
      </c>
      <c r="F656">
        <f t="shared" ca="1" si="54"/>
        <v>-0.29576390187755464</v>
      </c>
      <c r="G656">
        <f t="shared" ca="1" si="50"/>
        <v>-1.015980160109508</v>
      </c>
      <c r="H656">
        <f ca="1">IF(AND(B656&gt;'Real Analysis'!$B$31,B656&lt;'Real Analysis'!$B$32),FilterInput(E656,'Real Analysis'!$B$26,'Real Analysis'!$B$27),0)</f>
        <v>0.98788821762857459</v>
      </c>
      <c r="I656" t="e">
        <f>MEDIAN2("Real Values",H656,'Real Analysis'!$B$5,2)</f>
        <v>#VALUE!</v>
      </c>
      <c r="J656" t="e">
        <f>AVERAGE2("Real Values",I656,'Real Analysis'!$B$6,2)</f>
        <v>#VALUE!</v>
      </c>
      <c r="K656" t="e">
        <f>INTEGRAL2(J656,$B656,K655,J655,$B655,'Real Analysis'!$B$19)</f>
        <v>#VALUE!</v>
      </c>
      <c r="L656" t="e">
        <f>IF(AND(B656&lt;'Real Analysis'!$B$32,B656&gt;0),INTEGRAL2(K656,$B656,L655,K655,$B655,'Real Analysis'!$B$20),0)</f>
        <v>#VALUE!</v>
      </c>
      <c r="N656">
        <f>'Real Analysis'!$B$28*'Real Input'!U656+IF('Real Input'!U656 &gt; 0,'Real Analysis'!$B$29,0)</f>
        <v>-1.003055</v>
      </c>
      <c r="O656" t="e">
        <f t="shared" si="52"/>
        <v>#VALUE!</v>
      </c>
      <c r="P656" t="e">
        <f t="shared" si="53"/>
        <v>#VALUE!</v>
      </c>
    </row>
    <row r="657" spans="1:16" x14ac:dyDescent="0.3">
      <c r="A657">
        <v>655</v>
      </c>
      <c r="B657">
        <f>'Real Input'!M657</f>
        <v>14.127901999992901</v>
      </c>
      <c r="C657">
        <f ca="1">INDIRECT(CONCATENATE("'Real Input'!",'Real Analysis'!$B$2,A657+2))</f>
        <v>10.693419929999999</v>
      </c>
      <c r="D657">
        <f t="shared" si="51"/>
        <v>1.6543999998248182E-2</v>
      </c>
      <c r="E657">
        <f ca="1">IF(B657&gt;0,C657-'Real Analysis'!$B$14,0)</f>
        <v>0.8369221276285721</v>
      </c>
      <c r="F657">
        <f t="shared" ca="1" si="54"/>
        <v>-0.28191786219953369</v>
      </c>
      <c r="G657">
        <f t="shared" ca="1" si="50"/>
        <v>-1.0206442092212431</v>
      </c>
      <c r="H657">
        <f ca="1">IF(AND(B657&gt;'Real Analysis'!$B$31,B657&lt;'Real Analysis'!$B$32),FilterInput(E657,'Real Analysis'!$B$26,'Real Analysis'!$B$27),0)</f>
        <v>0.8369221276285721</v>
      </c>
      <c r="I657" t="e">
        <f>MEDIAN2("Real Values",H657,'Real Analysis'!$B$5,2)</f>
        <v>#VALUE!</v>
      </c>
      <c r="J657" t="e">
        <f>AVERAGE2("Real Values",I657,'Real Analysis'!$B$6,2)</f>
        <v>#VALUE!</v>
      </c>
      <c r="K657" t="e">
        <f>INTEGRAL2(J657,$B657,K656,J656,$B656,'Real Analysis'!$B$19)</f>
        <v>#VALUE!</v>
      </c>
      <c r="L657" t="e">
        <f>IF(AND(B657&lt;'Real Analysis'!$B$32,B657&gt;0),INTEGRAL2(K657,$B657,L656,K656,$B656,'Real Analysis'!$B$20),0)</f>
        <v>#VALUE!</v>
      </c>
      <c r="N657">
        <f>'Real Analysis'!$B$28*'Real Input'!U657+IF('Real Input'!U657 &gt; 0,'Real Analysis'!$B$29,0)</f>
        <v>-1.005042</v>
      </c>
      <c r="O657" t="e">
        <f t="shared" si="52"/>
        <v>#VALUE!</v>
      </c>
      <c r="P657" t="e">
        <f t="shared" si="53"/>
        <v>#VALUE!</v>
      </c>
    </row>
    <row r="658" spans="1:16" x14ac:dyDescent="0.3">
      <c r="A658">
        <v>656</v>
      </c>
      <c r="B658">
        <f>'Real Input'!M658</f>
        <v>14.146198000002187</v>
      </c>
      <c r="C658">
        <f ca="1">INDIRECT(CONCATENATE("'Real Input'!",'Real Analysis'!$B$2,A658+2))</f>
        <v>10.785329819999999</v>
      </c>
      <c r="D658">
        <f t="shared" si="51"/>
        <v>1.8296000009286217E-2</v>
      </c>
      <c r="E658">
        <f ca="1">IF(B658&gt;0,C658-'Real Analysis'!$B$14,0)</f>
        <v>0.92883201762857226</v>
      </c>
      <c r="F658">
        <f t="shared" ca="1" si="54"/>
        <v>-0.26492395159637599</v>
      </c>
      <c r="G658">
        <f t="shared" ca="1" si="50"/>
        <v>-1.0254912578421105</v>
      </c>
      <c r="H658">
        <f ca="1">IF(AND(B658&gt;'Real Analysis'!$B$31,B658&lt;'Real Analysis'!$B$32),FilterInput(E658,'Real Analysis'!$B$26,'Real Analysis'!$B$27),0)</f>
        <v>0.92883201762857226</v>
      </c>
      <c r="I658" t="e">
        <f>MEDIAN2("Real Values",H658,'Real Analysis'!$B$5,2)</f>
        <v>#VALUE!</v>
      </c>
      <c r="J658" t="e">
        <f>AVERAGE2("Real Values",I658,'Real Analysis'!$B$6,2)</f>
        <v>#VALUE!</v>
      </c>
      <c r="K658" t="e">
        <f>INTEGRAL2(J658,$B658,K657,J657,$B657,'Real Analysis'!$B$19)</f>
        <v>#VALUE!</v>
      </c>
      <c r="L658" t="e">
        <f>IF(AND(B658&lt;'Real Analysis'!$B$32,B658&gt;0),INTEGRAL2(K658,$B658,L657,K657,$B657,'Real Analysis'!$B$20),0)</f>
        <v>#VALUE!</v>
      </c>
      <c r="N658">
        <f>'Real Analysis'!$B$28*'Real Input'!U658+IF('Real Input'!U658 &gt; 0,'Real Analysis'!$B$29,0)</f>
        <v>-1.005042</v>
      </c>
      <c r="O658" t="e">
        <f t="shared" si="52"/>
        <v>#VALUE!</v>
      </c>
      <c r="P658" t="e">
        <f t="shared" si="53"/>
        <v>#VALUE!</v>
      </c>
    </row>
    <row r="659" spans="1:16" x14ac:dyDescent="0.3">
      <c r="A659">
        <v>657</v>
      </c>
      <c r="B659">
        <f>'Real Input'!M659</f>
        <v>14.166505999994115</v>
      </c>
      <c r="C659">
        <f ca="1">INDIRECT(CONCATENATE("'Real Input'!",'Real Analysis'!$B$2,A659+2))</f>
        <v>10.883174760000001</v>
      </c>
      <c r="D659">
        <f t="shared" si="51"/>
        <v>2.0307999991928227E-2</v>
      </c>
      <c r="E659">
        <f ca="1">IF(B659&gt;0,C659-'Real Analysis'!$B$14,0)</f>
        <v>1.0266769576285739</v>
      </c>
      <c r="F659">
        <f t="shared" ca="1" si="54"/>
        <v>-0.24407419594914201</v>
      </c>
      <c r="G659">
        <f t="shared" ca="1" si="50"/>
        <v>-1.0304479166114755</v>
      </c>
      <c r="H659">
        <f ca="1">IF(AND(B659&gt;'Real Analysis'!$B$31,B659&lt;'Real Analysis'!$B$32),FilterInput(E659,'Real Analysis'!$B$26,'Real Analysis'!$B$27),0)</f>
        <v>1.0266769576285739</v>
      </c>
      <c r="I659" t="e">
        <f>MEDIAN2("Real Values",H659,'Real Analysis'!$B$5,2)</f>
        <v>#VALUE!</v>
      </c>
      <c r="J659" t="e">
        <f>AVERAGE2("Real Values",I659,'Real Analysis'!$B$6,2)</f>
        <v>#VALUE!</v>
      </c>
      <c r="K659" t="e">
        <f>INTEGRAL2(J659,$B659,K658,J658,$B658,'Real Analysis'!$B$19)</f>
        <v>#VALUE!</v>
      </c>
      <c r="L659" t="e">
        <f>IF(AND(B659&lt;'Real Analysis'!$B$32,B659&gt;0),INTEGRAL2(K659,$B659,L658,K658,$B658,'Real Analysis'!$B$20),0)</f>
        <v>#VALUE!</v>
      </c>
      <c r="N659">
        <f>'Real Analysis'!$B$28*'Real Input'!U659+IF('Real Input'!U659 &gt; 0,'Real Analysis'!$B$29,0)</f>
        <v>-1.0110029999999999</v>
      </c>
      <c r="O659" t="e">
        <f t="shared" si="52"/>
        <v>#VALUE!</v>
      </c>
      <c r="P659" t="e">
        <f t="shared" si="53"/>
        <v>#VALUE!</v>
      </c>
    </row>
    <row r="660" spans="1:16" x14ac:dyDescent="0.3">
      <c r="A660">
        <v>658</v>
      </c>
      <c r="B660">
        <f>'Real Input'!M660</f>
        <v>14.191732000006596</v>
      </c>
      <c r="C660">
        <f ca="1">INDIRECT(CONCATENATE("'Real Input'!",'Real Analysis'!$B$2,A660+2))</f>
        <v>10.78744878</v>
      </c>
      <c r="D660">
        <f t="shared" si="51"/>
        <v>2.5226000012480654E-2</v>
      </c>
      <c r="E660">
        <f ca="1">IF(B660&gt;0,C660-'Real Analysis'!$B$14,0)</f>
        <v>0.93095097762857293</v>
      </c>
      <c r="F660">
        <f t="shared" ca="1" si="54"/>
        <v>-0.22059002657586474</v>
      </c>
      <c r="G660">
        <f t="shared" ca="1" si="50"/>
        <v>-1.0360125206246313</v>
      </c>
      <c r="H660">
        <f ca="1">IF(AND(B660&gt;'Real Analysis'!$B$31,B660&lt;'Real Analysis'!$B$32),FilterInput(E660,'Real Analysis'!$B$26,'Real Analysis'!$B$27),0)</f>
        <v>0.93095097762857293</v>
      </c>
      <c r="I660" t="e">
        <f>MEDIAN2("Real Values",H660,'Real Analysis'!$B$5,2)</f>
        <v>#VALUE!</v>
      </c>
      <c r="J660" t="e">
        <f>AVERAGE2("Real Values",I660,'Real Analysis'!$B$6,2)</f>
        <v>#VALUE!</v>
      </c>
      <c r="K660" t="e">
        <f>INTEGRAL2(J660,$B660,K659,J659,$B659,'Real Analysis'!$B$19)</f>
        <v>#VALUE!</v>
      </c>
      <c r="L660" t="e">
        <f>IF(AND(B660&lt;'Real Analysis'!$B$32,B660&gt;0),INTEGRAL2(K660,$B660,L659,K659,$B659,'Real Analysis'!$B$20),0)</f>
        <v>#VALUE!</v>
      </c>
      <c r="N660">
        <f>'Real Analysis'!$B$28*'Real Input'!U660+IF('Real Input'!U660 &gt; 0,'Real Analysis'!$B$29,0)</f>
        <v>-1.014977</v>
      </c>
      <c r="O660" t="e">
        <f t="shared" si="52"/>
        <v>#VALUE!</v>
      </c>
      <c r="P660" t="e">
        <f t="shared" si="53"/>
        <v>#VALUE!</v>
      </c>
    </row>
    <row r="661" spans="1:16" x14ac:dyDescent="0.3">
      <c r="A661">
        <v>659</v>
      </c>
      <c r="B661">
        <f>'Real Input'!M661</f>
        <v>14.211983999994118</v>
      </c>
      <c r="C661">
        <f ca="1">INDIRECT(CONCATENATE("'Real Input'!",'Real Analysis'!$B$2,A661+2))</f>
        <v>10.968668910000002</v>
      </c>
      <c r="D661">
        <f t="shared" si="51"/>
        <v>2.025199998752214E-2</v>
      </c>
      <c r="E661">
        <f ca="1">IF(B661&gt;0,C661-'Real Analysis'!$B$14,0)</f>
        <v>1.1121711076285745</v>
      </c>
      <c r="F661">
        <f t="shared" ca="1" si="54"/>
        <v>-0.19806633731804837</v>
      </c>
      <c r="G661">
        <f t="shared" ca="1" si="50"/>
        <v>-1.0400237600855251</v>
      </c>
      <c r="H661">
        <f ca="1">IF(AND(B661&gt;'Real Analysis'!$B$31,B661&lt;'Real Analysis'!$B$32),FilterInput(E661,'Real Analysis'!$B$26,'Real Analysis'!$B$27),0)</f>
        <v>1.1121711076285745</v>
      </c>
      <c r="I661" t="e">
        <f>MEDIAN2("Real Values",H661,'Real Analysis'!$B$5,2)</f>
        <v>#VALUE!</v>
      </c>
      <c r="J661" t="e">
        <f>AVERAGE2("Real Values",I661,'Real Analysis'!$B$6,2)</f>
        <v>#VALUE!</v>
      </c>
      <c r="K661" t="e">
        <f>INTEGRAL2(J661,$B661,K660,J660,$B660,'Real Analysis'!$B$19)</f>
        <v>#VALUE!</v>
      </c>
      <c r="L661" t="e">
        <f>IF(AND(B661&lt;'Real Analysis'!$B$32,B661&gt;0),INTEGRAL2(K661,$B661,L660,K660,$B660,'Real Analysis'!$B$20),0)</f>
        <v>#VALUE!</v>
      </c>
      <c r="N661">
        <f>'Real Analysis'!$B$28*'Real Input'!U661+IF('Real Input'!U661 &gt; 0,'Real Analysis'!$B$29,0)</f>
        <v>-1.0189509999999999</v>
      </c>
      <c r="O661" t="e">
        <f t="shared" si="52"/>
        <v>#VALUE!</v>
      </c>
      <c r="P661" t="e">
        <f t="shared" si="53"/>
        <v>#VALUE!</v>
      </c>
    </row>
    <row r="662" spans="1:16" x14ac:dyDescent="0.3">
      <c r="A662">
        <v>660</v>
      </c>
      <c r="B662">
        <f>'Real Input'!M662</f>
        <v>14.228550999992876</v>
      </c>
      <c r="C662">
        <f ca="1">INDIRECT(CONCATENATE("'Real Input'!",'Real Analysis'!$B$2,A662+2))</f>
        <v>10.990800269999999</v>
      </c>
      <c r="D662">
        <f t="shared" si="51"/>
        <v>1.6566999998758547E-2</v>
      </c>
      <c r="E662">
        <f ca="1">IF(B662&gt;0,C662-'Real Analysis'!$B$14,0)</f>
        <v>1.1343024676285722</v>
      </c>
      <c r="F662">
        <f t="shared" ca="1" si="54"/>
        <v>-0.17927434833825401</v>
      </c>
      <c r="G662">
        <f t="shared" ca="1" si="50"/>
        <v>-1.0429937982142223</v>
      </c>
      <c r="H662">
        <f ca="1">IF(AND(B662&gt;'Real Analysis'!$B$31,B662&lt;'Real Analysis'!$B$32),FilterInput(E662,'Real Analysis'!$B$26,'Real Analysis'!$B$27),0)</f>
        <v>1.1343024676285722</v>
      </c>
      <c r="I662" t="e">
        <f>MEDIAN2("Real Values",H662,'Real Analysis'!$B$5,2)</f>
        <v>#VALUE!</v>
      </c>
      <c r="J662" t="e">
        <f>AVERAGE2("Real Values",I662,'Real Analysis'!$B$6,2)</f>
        <v>#VALUE!</v>
      </c>
      <c r="K662" t="e">
        <f>INTEGRAL2(J662,$B662,K661,J661,$B661,'Real Analysis'!$B$19)</f>
        <v>#VALUE!</v>
      </c>
      <c r="L662" t="e">
        <f>IF(AND(B662&lt;'Real Analysis'!$B$32,B662&gt;0),INTEGRAL2(K662,$B662,L661,K661,$B661,'Real Analysis'!$B$20),0)</f>
        <v>#VALUE!</v>
      </c>
      <c r="N662">
        <f>'Real Analysis'!$B$28*'Real Input'!U662+IF('Real Input'!U662 &gt; 0,'Real Analysis'!$B$29,0)</f>
        <v>-1.014977</v>
      </c>
      <c r="O662" t="e">
        <f t="shared" si="52"/>
        <v>#VALUE!</v>
      </c>
      <c r="P662" t="e">
        <f t="shared" si="53"/>
        <v>#VALUE!</v>
      </c>
    </row>
    <row r="663" spans="1:16" x14ac:dyDescent="0.3">
      <c r="A663">
        <v>661</v>
      </c>
      <c r="B663">
        <f>'Real Input'!M663</f>
        <v>14.247289000006276</v>
      </c>
      <c r="C663">
        <f ca="1">INDIRECT(CONCATENATE("'Real Input'!",'Real Analysis'!$B$2,A663+2))</f>
        <v>10.46925162</v>
      </c>
      <c r="D663">
        <f t="shared" si="51"/>
        <v>1.8738000013399869E-2</v>
      </c>
      <c r="E663">
        <f ca="1">IF(B663&gt;0,C663-'Real Analysis'!$B$14,0)</f>
        <v>0.61275381762857251</v>
      </c>
      <c r="F663">
        <f t="shared" ca="1" si="54"/>
        <v>-0.167792567295319</v>
      </c>
      <c r="G663">
        <f t="shared" ca="1" si="50"/>
        <v>-1.0461378953424505</v>
      </c>
      <c r="H663">
        <f ca="1">IF(AND(B663&gt;'Real Analysis'!$B$31,B663&lt;'Real Analysis'!$B$32),FilterInput(E663,'Real Analysis'!$B$26,'Real Analysis'!$B$27),0)</f>
        <v>0.61275381762857251</v>
      </c>
      <c r="I663" t="e">
        <f>MEDIAN2("Real Values",H663,'Real Analysis'!$B$5,2)</f>
        <v>#VALUE!</v>
      </c>
      <c r="J663" t="e">
        <f>AVERAGE2("Real Values",I663,'Real Analysis'!$B$6,2)</f>
        <v>#VALUE!</v>
      </c>
      <c r="K663" t="e">
        <f>INTEGRAL2(J663,$B663,K662,J662,$B662,'Real Analysis'!$B$19)</f>
        <v>#VALUE!</v>
      </c>
      <c r="L663" t="e">
        <f>IF(AND(B663&lt;'Real Analysis'!$B$32,B663&gt;0),INTEGRAL2(K663,$B663,L662,K662,$B662,'Real Analysis'!$B$20),0)</f>
        <v>#VALUE!</v>
      </c>
      <c r="N663">
        <f>'Real Analysis'!$B$28*'Real Input'!U663+IF('Real Input'!U663 &gt; 0,'Real Analysis'!$B$29,0)</f>
        <v>-1.0189509999999999</v>
      </c>
      <c r="O663" t="e">
        <f t="shared" si="52"/>
        <v>#VALUE!</v>
      </c>
      <c r="P663" t="e">
        <f t="shared" si="53"/>
        <v>#VALUE!</v>
      </c>
    </row>
    <row r="664" spans="1:16" x14ac:dyDescent="0.3">
      <c r="A664">
        <v>662</v>
      </c>
      <c r="B664">
        <f>'Real Input'!M664</f>
        <v>14.270503000007011</v>
      </c>
      <c r="C664">
        <f ca="1">INDIRECT(CONCATENATE("'Real Input'!",'Real Analysis'!$B$2,A664+2))</f>
        <v>9.8797196700000001</v>
      </c>
      <c r="D664">
        <f t="shared" si="51"/>
        <v>2.3214000000734814E-2</v>
      </c>
      <c r="E664">
        <f ca="1">IF(B664&gt;0,C664-'Real Analysis'!$B$14,0)</f>
        <v>2.3221867628572923E-2</v>
      </c>
      <c r="F664">
        <f t="shared" ca="1" si="54"/>
        <v>-0.16725349486017224</v>
      </c>
      <c r="G664">
        <f t="shared" ca="1" si="50"/>
        <v>-1.0500205179722575</v>
      </c>
      <c r="H664">
        <f ca="1">IF(AND(B664&gt;'Real Analysis'!$B$31,B664&lt;'Real Analysis'!$B$32),FilterInput(E664,'Real Analysis'!$B$26,'Real Analysis'!$B$27),0)</f>
        <v>2.3221867628572923E-2</v>
      </c>
      <c r="I664" t="e">
        <f>MEDIAN2("Real Values",H664,'Real Analysis'!$B$5,2)</f>
        <v>#VALUE!</v>
      </c>
      <c r="J664" t="e">
        <f>AVERAGE2("Real Values",I664,'Real Analysis'!$B$6,2)</f>
        <v>#VALUE!</v>
      </c>
      <c r="K664" t="e">
        <f>INTEGRAL2(J664,$B664,K663,J663,$B663,'Real Analysis'!$B$19)</f>
        <v>#VALUE!</v>
      </c>
      <c r="L664" t="e">
        <f>IF(AND(B664&lt;'Real Analysis'!$B$32,B664&gt;0),INTEGRAL2(K664,$B664,L663,K663,$B663,'Real Analysis'!$B$20),0)</f>
        <v>#VALUE!</v>
      </c>
      <c r="N664">
        <f>'Real Analysis'!$B$28*'Real Input'!U664+IF('Real Input'!U664 &gt; 0,'Real Analysis'!$B$29,0)</f>
        <v>-1.0209379999999999</v>
      </c>
      <c r="O664" t="e">
        <f t="shared" si="52"/>
        <v>#VALUE!</v>
      </c>
      <c r="P664" t="e">
        <f t="shared" si="53"/>
        <v>#VALUE!</v>
      </c>
    </row>
    <row r="665" spans="1:16" x14ac:dyDescent="0.3">
      <c r="A665">
        <v>663</v>
      </c>
      <c r="B665">
        <f>'Real Input'!M665</f>
        <v>14.291073000000324</v>
      </c>
      <c r="C665">
        <f ca="1">INDIRECT(CONCATENATE("'Real Input'!",'Real Analysis'!$B$2,A665+2))</f>
        <v>10.022464980000001</v>
      </c>
      <c r="D665">
        <f t="shared" si="51"/>
        <v>2.0569999993313104E-2</v>
      </c>
      <c r="E665">
        <f ca="1">IF(B665&gt;0,C665-'Real Analysis'!$B$14,0)</f>
        <v>0.16596717762857338</v>
      </c>
      <c r="F665">
        <f t="shared" ca="1" si="54"/>
        <v>-0.16383955001746228</v>
      </c>
      <c r="G665">
        <f t="shared" ca="1" si="50"/>
        <v>-1.0533906975150211</v>
      </c>
      <c r="H665">
        <f ca="1">IF(AND(B665&gt;'Real Analysis'!$B$31,B665&lt;'Real Analysis'!$B$32),FilterInput(E665,'Real Analysis'!$B$26,'Real Analysis'!$B$27),0)</f>
        <v>0.16596717762857338</v>
      </c>
      <c r="I665" t="e">
        <f>MEDIAN2("Real Values",H665,'Real Analysis'!$B$5,2)</f>
        <v>#VALUE!</v>
      </c>
      <c r="J665" t="e">
        <f>AVERAGE2("Real Values",I665,'Real Analysis'!$B$6,2)</f>
        <v>#VALUE!</v>
      </c>
      <c r="K665" t="e">
        <f>INTEGRAL2(J665,$B665,K664,J664,$B664,'Real Analysis'!$B$19)</f>
        <v>#VALUE!</v>
      </c>
      <c r="L665" t="e">
        <f>IF(AND(B665&lt;'Real Analysis'!$B$32,B665&gt;0),INTEGRAL2(K665,$B665,L664,K664,$B664,'Real Analysis'!$B$20),0)</f>
        <v>#VALUE!</v>
      </c>
      <c r="N665">
        <f>'Real Analysis'!$B$28*'Real Input'!U665+IF('Real Input'!U665 &gt; 0,'Real Analysis'!$B$29,0)</f>
        <v>-1.024912</v>
      </c>
      <c r="O665" t="e">
        <f t="shared" si="52"/>
        <v>#VALUE!</v>
      </c>
      <c r="P665" t="e">
        <f t="shared" si="53"/>
        <v>#VALUE!</v>
      </c>
    </row>
    <row r="666" spans="1:16" x14ac:dyDescent="0.3">
      <c r="A666">
        <v>664</v>
      </c>
      <c r="B666">
        <f>'Real Input'!M666</f>
        <v>14.311709000001429</v>
      </c>
      <c r="C666">
        <f ca="1">INDIRECT(CONCATENATE("'Real Input'!",'Real Analysis'!$B$2,A666+2))</f>
        <v>9.9226384200000002</v>
      </c>
      <c r="D666">
        <f t="shared" si="51"/>
        <v>2.0636000001104549E-2</v>
      </c>
      <c r="E666">
        <f ca="1">IF(B666&gt;0,C666-'Real Analysis'!$B$14,0)</f>
        <v>6.614061762857304E-2</v>
      </c>
      <c r="F666">
        <f t="shared" ca="1" si="54"/>
        <v>-0.16247467223200598</v>
      </c>
      <c r="G666">
        <f t="shared" ca="1" si="50"/>
        <v>-1.0567435248513803</v>
      </c>
      <c r="H666">
        <f ca="1">IF(AND(B666&gt;'Real Analysis'!$B$31,B666&lt;'Real Analysis'!$B$32),FilterInput(E666,'Real Analysis'!$B$26,'Real Analysis'!$B$27),0)</f>
        <v>6.614061762857304E-2</v>
      </c>
      <c r="I666" t="e">
        <f>MEDIAN2("Real Values",H666,'Real Analysis'!$B$5,2)</f>
        <v>#VALUE!</v>
      </c>
      <c r="J666" t="e">
        <f>AVERAGE2("Real Values",I666,'Real Analysis'!$B$6,2)</f>
        <v>#VALUE!</v>
      </c>
      <c r="K666" t="e">
        <f>INTEGRAL2(J666,$B666,K665,J665,$B665,'Real Analysis'!$B$19)</f>
        <v>#VALUE!</v>
      </c>
      <c r="L666" t="e">
        <f>IF(AND(B666&lt;'Real Analysis'!$B$32,B666&gt;0),INTEGRAL2(K666,$B666,L665,K665,$B665,'Real Analysis'!$B$20),0)</f>
        <v>#VALUE!</v>
      </c>
      <c r="N666">
        <f>'Real Analysis'!$B$28*'Real Input'!U666+IF('Real Input'!U666 &gt; 0,'Real Analysis'!$B$29,0)</f>
        <v>-1.026899</v>
      </c>
      <c r="O666" t="e">
        <f t="shared" si="52"/>
        <v>#VALUE!</v>
      </c>
      <c r="P666" t="e">
        <f t="shared" si="53"/>
        <v>#VALUE!</v>
      </c>
    </row>
    <row r="667" spans="1:16" x14ac:dyDescent="0.3">
      <c r="A667">
        <v>665</v>
      </c>
      <c r="B667">
        <f>'Real Input'!M667</f>
        <v>14.330411999995704</v>
      </c>
      <c r="C667">
        <f ca="1">INDIRECT(CONCATENATE("'Real Input'!",'Real Analysis'!$B$2,A667+2))</f>
        <v>9.4280868899999994</v>
      </c>
      <c r="D667">
        <f t="shared" si="51"/>
        <v>1.870299999427516E-2</v>
      </c>
      <c r="E667">
        <f ca="1">IF(B667&gt;0,C667-'Real Analysis'!$B$14,0)</f>
        <v>-0.4284109123714277</v>
      </c>
      <c r="F667">
        <f t="shared" ca="1" si="54"/>
        <v>-0.1704872415236362</v>
      </c>
      <c r="G667">
        <f t="shared" ca="1" si="50"/>
        <v>-1.059932147728621</v>
      </c>
      <c r="H667">
        <f ca="1">IF(AND(B667&gt;'Real Analysis'!$B$31,B667&lt;'Real Analysis'!$B$32),FilterInput(E667,'Real Analysis'!$B$26,'Real Analysis'!$B$27),0)</f>
        <v>-0.4284109123714277</v>
      </c>
      <c r="I667" t="e">
        <f>MEDIAN2("Real Values",H667,'Real Analysis'!$B$5,2)</f>
        <v>#VALUE!</v>
      </c>
      <c r="J667" t="e">
        <f>AVERAGE2("Real Values",I667,'Real Analysis'!$B$6,2)</f>
        <v>#VALUE!</v>
      </c>
      <c r="K667" t="e">
        <f>INTEGRAL2(J667,$B667,K666,J666,$B666,'Real Analysis'!$B$19)</f>
        <v>#VALUE!</v>
      </c>
      <c r="L667" t="e">
        <f>IF(AND(B667&lt;'Real Analysis'!$B$32,B667&gt;0),INTEGRAL2(K667,$B667,L666,K666,$B666,'Real Analysis'!$B$20),0)</f>
        <v>#VALUE!</v>
      </c>
      <c r="N667">
        <f>'Real Analysis'!$B$28*'Real Input'!U667+IF('Real Input'!U667 &gt; 0,'Real Analysis'!$B$29,0)</f>
        <v>-1.0308729999999999</v>
      </c>
      <c r="O667" t="e">
        <f t="shared" si="52"/>
        <v>#VALUE!</v>
      </c>
      <c r="P667" t="e">
        <f t="shared" si="53"/>
        <v>#VALUE!</v>
      </c>
    </row>
    <row r="668" spans="1:16" x14ac:dyDescent="0.3">
      <c r="A668">
        <v>666</v>
      </c>
      <c r="B668">
        <f>'Real Input'!M668</f>
        <v>14.347850000005565</v>
      </c>
      <c r="C668">
        <f ca="1">INDIRECT(CONCATENATE("'Real Input'!",'Real Analysis'!$B$2,A668+2))</f>
        <v>9.6832155600000007</v>
      </c>
      <c r="D668">
        <f t="shared" si="51"/>
        <v>1.7438000009860843E-2</v>
      </c>
      <c r="E668">
        <f ca="1">IF(B668&gt;0,C668-'Real Analysis'!$B$14,0)</f>
        <v>-0.17328224237142642</v>
      </c>
      <c r="F668">
        <f t="shared" ca="1" si="54"/>
        <v>-0.17350893726781785</v>
      </c>
      <c r="G668">
        <f t="shared" ca="1" si="50"/>
        <v>-1.0629577965784081</v>
      </c>
      <c r="H668">
        <f ca="1">IF(AND(B668&gt;'Real Analysis'!$B$31,B668&lt;'Real Analysis'!$B$32),FilterInput(E668,'Real Analysis'!$B$26,'Real Analysis'!$B$27),0)</f>
        <v>-0.17328224237142642</v>
      </c>
      <c r="I668" t="e">
        <f>MEDIAN2("Real Values",H668,'Real Analysis'!$B$5,2)</f>
        <v>#VALUE!</v>
      </c>
      <c r="J668" t="e">
        <f>AVERAGE2("Real Values",I668,'Real Analysis'!$B$6,2)</f>
        <v>#VALUE!</v>
      </c>
      <c r="K668" t="e">
        <f>INTEGRAL2(J668,$B668,K667,J667,$B667,'Real Analysis'!$B$19)</f>
        <v>#VALUE!</v>
      </c>
      <c r="L668" t="e">
        <f>IF(AND(B668&lt;'Real Analysis'!$B$32,B668&gt;0),INTEGRAL2(K668,$B668,L667,K667,$B667,'Real Analysis'!$B$20),0)</f>
        <v>#VALUE!</v>
      </c>
      <c r="N668">
        <f>'Real Analysis'!$B$28*'Real Input'!U668+IF('Real Input'!U668 &gt; 0,'Real Analysis'!$B$29,0)</f>
        <v>-1.0209379999999999</v>
      </c>
      <c r="O668" t="e">
        <f t="shared" si="52"/>
        <v>#VALUE!</v>
      </c>
      <c r="P668" t="e">
        <f t="shared" si="53"/>
        <v>#VALUE!</v>
      </c>
    </row>
    <row r="669" spans="1:16" x14ac:dyDescent="0.3">
      <c r="A669">
        <v>667</v>
      </c>
      <c r="B669">
        <f>'Real Input'!M669</f>
        <v>14.369730999998865</v>
      </c>
      <c r="C669">
        <f ca="1">INDIRECT(CONCATENATE("'Real Input'!",'Real Analysis'!$B$2,A669+2))</f>
        <v>10.054494630000001</v>
      </c>
      <c r="D669">
        <f t="shared" si="51"/>
        <v>2.1880999993300065E-2</v>
      </c>
      <c r="E669">
        <f ca="1">IF(B669&gt;0,C669-'Real Analysis'!$B$14,0)</f>
        <v>0.19799682762857351</v>
      </c>
      <c r="F669">
        <f t="shared" ca="1" si="54"/>
        <v>-0.1691765686838036</v>
      </c>
      <c r="G669">
        <f t="shared" ca="1" si="50"/>
        <v>-1.0666595490766448</v>
      </c>
      <c r="H669">
        <f ca="1">IF(AND(B669&gt;'Real Analysis'!$B$31,B669&lt;'Real Analysis'!$B$32),FilterInput(E669,'Real Analysis'!$B$26,'Real Analysis'!$B$27),0)</f>
        <v>0.19799682762857351</v>
      </c>
      <c r="I669" t="e">
        <f>MEDIAN2("Real Values",H669,'Real Analysis'!$B$5,2)</f>
        <v>#VALUE!</v>
      </c>
      <c r="J669" t="e">
        <f>AVERAGE2("Real Values",I669,'Real Analysis'!$B$6,2)</f>
        <v>#VALUE!</v>
      </c>
      <c r="K669" t="e">
        <f>INTEGRAL2(J669,$B669,K668,J668,$B668,'Real Analysis'!$B$19)</f>
        <v>#VALUE!</v>
      </c>
      <c r="L669" t="e">
        <f>IF(AND(B669&lt;'Real Analysis'!$B$32,B669&gt;0),INTEGRAL2(K669,$B669,L668,K668,$B668,'Real Analysis'!$B$20),0)</f>
        <v>#VALUE!</v>
      </c>
      <c r="N669">
        <f>'Real Analysis'!$B$28*'Real Input'!U669+IF('Real Input'!U669 &gt; 0,'Real Analysis'!$B$29,0)</f>
        <v>-1.0229249999999999</v>
      </c>
      <c r="O669" t="e">
        <f t="shared" si="52"/>
        <v>#VALUE!</v>
      </c>
      <c r="P669" t="e">
        <f t="shared" si="53"/>
        <v>#VALUE!</v>
      </c>
    </row>
    <row r="670" spans="1:16" x14ac:dyDescent="0.3">
      <c r="A670">
        <v>668</v>
      </c>
      <c r="B670">
        <f>'Real Input'!M670</f>
        <v>14.389811000000918</v>
      </c>
      <c r="C670">
        <f ca="1">INDIRECT(CONCATENATE("'Real Input'!",'Real Analysis'!$B$2,A670+2))</f>
        <v>9.8401068900000013</v>
      </c>
      <c r="D670">
        <f t="shared" si="51"/>
        <v>2.0080000002053566E-2</v>
      </c>
      <c r="E670">
        <f ca="1">IF(B670&gt;0,C670-'Real Analysis'!$B$14,0)</f>
        <v>-1.639091237142587E-2</v>
      </c>
      <c r="F670">
        <f t="shared" ca="1" si="54"/>
        <v>-0.16950569820425548</v>
      </c>
      <c r="G670">
        <f t="shared" ca="1" si="50"/>
        <v>-1.0700632234969343</v>
      </c>
      <c r="H670">
        <f ca="1">IF(AND(B670&gt;'Real Analysis'!$B$31,B670&lt;'Real Analysis'!$B$32),FilterInput(E670,'Real Analysis'!$B$26,'Real Analysis'!$B$27),0)</f>
        <v>-1.639091237142587E-2</v>
      </c>
      <c r="I670" t="e">
        <f>MEDIAN2("Real Values",H670,'Real Analysis'!$B$5,2)</f>
        <v>#VALUE!</v>
      </c>
      <c r="J670" t="e">
        <f>AVERAGE2("Real Values",I670,'Real Analysis'!$B$6,2)</f>
        <v>#VALUE!</v>
      </c>
      <c r="K670" t="e">
        <f>INTEGRAL2(J670,$B670,K669,J669,$B669,'Real Analysis'!$B$19)</f>
        <v>#VALUE!</v>
      </c>
      <c r="L670" t="e">
        <f>IF(AND(B670&lt;'Real Analysis'!$B$32,B670&gt;0),INTEGRAL2(K670,$B670,L669,K669,$B669,'Real Analysis'!$B$20),0)</f>
        <v>#VALUE!</v>
      </c>
      <c r="N670">
        <f>'Real Analysis'!$B$28*'Real Input'!U670+IF('Real Input'!U670 &gt; 0,'Real Analysis'!$B$29,0)</f>
        <v>-1.024912</v>
      </c>
      <c r="O670" t="e">
        <f t="shared" si="52"/>
        <v>#VALUE!</v>
      </c>
      <c r="P670" t="e">
        <f t="shared" si="53"/>
        <v>#VALUE!</v>
      </c>
    </row>
    <row r="671" spans="1:16" x14ac:dyDescent="0.3">
      <c r="A671">
        <v>669</v>
      </c>
      <c r="B671">
        <f>'Real Input'!M671</f>
        <v>14.393049000005703</v>
      </c>
      <c r="C671">
        <f ca="1">INDIRECT(CONCATENATE("'Real Input'!",'Real Analysis'!$B$2,A671+2))</f>
        <v>9.8017203600000009</v>
      </c>
      <c r="D671">
        <f t="shared" si="51"/>
        <v>3.2380000047851354E-3</v>
      </c>
      <c r="E671">
        <f ca="1">IF(B671&gt;0,C671-'Real Analysis'!$B$14,0)</f>
        <v>-5.4777442371426233E-2</v>
      </c>
      <c r="F671">
        <f t="shared" ca="1" si="54"/>
        <v>-0.16968306756291629</v>
      </c>
      <c r="G671">
        <f t="shared" ca="1" si="50"/>
        <v>-1.070612657270515</v>
      </c>
      <c r="H671">
        <f ca="1">IF(AND(B671&gt;'Real Analysis'!$B$31,B671&lt;'Real Analysis'!$B$32),FilterInput(E671,'Real Analysis'!$B$26,'Real Analysis'!$B$27),0)</f>
        <v>-5.4777442371426233E-2</v>
      </c>
      <c r="I671" t="e">
        <f>MEDIAN2("Real Values",H671,'Real Analysis'!$B$5,2)</f>
        <v>#VALUE!</v>
      </c>
      <c r="J671" t="e">
        <f>AVERAGE2("Real Values",I671,'Real Analysis'!$B$6,2)</f>
        <v>#VALUE!</v>
      </c>
      <c r="K671" t="e">
        <f>INTEGRAL2(J671,$B671,K670,J670,$B670,'Real Analysis'!$B$19)</f>
        <v>#VALUE!</v>
      </c>
      <c r="L671" t="e">
        <f>IF(AND(B671&lt;'Real Analysis'!$B$32,B671&gt;0),INTEGRAL2(K671,$B671,L670,K670,$B670,'Real Analysis'!$B$20),0)</f>
        <v>#VALUE!</v>
      </c>
      <c r="N671">
        <f>'Real Analysis'!$B$28*'Real Input'!U671+IF('Real Input'!U671 &gt; 0,'Real Analysis'!$B$29,0)</f>
        <v>-1.026899</v>
      </c>
      <c r="O671" t="e">
        <f t="shared" si="52"/>
        <v>#VALUE!</v>
      </c>
      <c r="P671" t="e">
        <f t="shared" si="53"/>
        <v>#VALUE!</v>
      </c>
    </row>
    <row r="672" spans="1:16" x14ac:dyDescent="0.3">
      <c r="A672">
        <v>670</v>
      </c>
      <c r="B672">
        <f>'Real Input'!M672</f>
        <v>14.420702999996138</v>
      </c>
      <c r="C672">
        <f ca="1">INDIRECT(CONCATENATE("'Real Input'!",'Real Analysis'!$B$2,A672+2))</f>
        <v>9.7887417299999999</v>
      </c>
      <c r="D672">
        <f t="shared" si="51"/>
        <v>2.7653999990434386E-2</v>
      </c>
      <c r="E672">
        <f ca="1">IF(B672&gt;0,C672-'Real Analysis'!$B$14,0)</f>
        <v>-6.7756072371427223E-2</v>
      </c>
      <c r="F672">
        <f t="shared" ca="1" si="54"/>
        <v>-0.1715567939876276</v>
      </c>
      <c r="G672">
        <f t="shared" ca="1" si="50"/>
        <v>-1.0753568888498077</v>
      </c>
      <c r="H672">
        <f ca="1">IF(AND(B672&gt;'Real Analysis'!$B$31,B672&lt;'Real Analysis'!$B$32),FilterInput(E672,'Real Analysis'!$B$26,'Real Analysis'!$B$27),0)</f>
        <v>-6.7756072371427223E-2</v>
      </c>
      <c r="I672" t="e">
        <f>MEDIAN2("Real Values",H672,'Real Analysis'!$B$5,2)</f>
        <v>#VALUE!</v>
      </c>
      <c r="J672" t="e">
        <f>AVERAGE2("Real Values",I672,'Real Analysis'!$B$6,2)</f>
        <v>#VALUE!</v>
      </c>
      <c r="K672" t="e">
        <f>INTEGRAL2(J672,$B672,K671,J671,$B671,'Real Analysis'!$B$19)</f>
        <v>#VALUE!</v>
      </c>
      <c r="L672" t="e">
        <f>IF(AND(B672&lt;'Real Analysis'!$B$32,B672&gt;0),INTEGRAL2(K672,$B672,L671,K671,$B671,'Real Analysis'!$B$20),0)</f>
        <v>#VALUE!</v>
      </c>
      <c r="N672">
        <f>'Real Analysis'!$B$28*'Real Input'!U672+IF('Real Input'!U672 &gt; 0,'Real Analysis'!$B$29,0)</f>
        <v>-1.026899</v>
      </c>
      <c r="O672" t="e">
        <f t="shared" si="52"/>
        <v>#VALUE!</v>
      </c>
      <c r="P672" t="e">
        <f t="shared" si="53"/>
        <v>#VALUE!</v>
      </c>
    </row>
    <row r="673" spans="1:16" x14ac:dyDescent="0.3">
      <c r="A673">
        <v>671</v>
      </c>
      <c r="B673">
        <f>'Real Input'!M673</f>
        <v>14.448367999997572</v>
      </c>
      <c r="C673">
        <f ca="1">INDIRECT(CONCATENATE("'Real Input'!",'Real Analysis'!$B$2,A673+2))</f>
        <v>9.6311833199999999</v>
      </c>
      <c r="D673">
        <f t="shared" si="51"/>
        <v>2.7665000001434237E-2</v>
      </c>
      <c r="E673">
        <f ca="1">IF(B673&gt;0,C673-'Real Analysis'!$B$14,0)</f>
        <v>-0.22531448237142726</v>
      </c>
      <c r="F673">
        <f t="shared" ca="1" si="54"/>
        <v>-0.1777901191427563</v>
      </c>
      <c r="G673">
        <f t="shared" ref="G673:G736" ca="1" si="55">IF(B673&gt;0,G672+F673*$D673,0)</f>
        <v>-1.0802754524961471</v>
      </c>
      <c r="H673">
        <f ca="1">IF(AND(B673&gt;'Real Analysis'!$B$31,B673&lt;'Real Analysis'!$B$32),FilterInput(E673,'Real Analysis'!$B$26,'Real Analysis'!$B$27),0)</f>
        <v>-0.22531448237142726</v>
      </c>
      <c r="I673" t="e">
        <f>MEDIAN2("Real Values",H673,'Real Analysis'!$B$5,2)</f>
        <v>#VALUE!</v>
      </c>
      <c r="J673" t="e">
        <f>AVERAGE2("Real Values",I673,'Real Analysis'!$B$6,2)</f>
        <v>#VALUE!</v>
      </c>
      <c r="K673" t="e">
        <f>INTEGRAL2(J673,$B673,K672,J672,$B672,'Real Analysis'!$B$19)</f>
        <v>#VALUE!</v>
      </c>
      <c r="L673" t="e">
        <f>IF(AND(B673&lt;'Real Analysis'!$B$32,B673&gt;0),INTEGRAL2(K673,$B673,L672,K672,$B672,'Real Analysis'!$B$20),0)</f>
        <v>#VALUE!</v>
      </c>
      <c r="N673">
        <f>'Real Analysis'!$B$28*'Real Input'!U673+IF('Real Input'!U673 &gt; 0,'Real Analysis'!$B$29,0)</f>
        <v>-1.0209379999999999</v>
      </c>
      <c r="O673" t="e">
        <f t="shared" si="52"/>
        <v>#VALUE!</v>
      </c>
      <c r="P673" t="e">
        <f t="shared" si="53"/>
        <v>#VALUE!</v>
      </c>
    </row>
    <row r="674" spans="1:16" x14ac:dyDescent="0.3">
      <c r="A674">
        <v>672</v>
      </c>
      <c r="B674">
        <f>'Real Input'!M674</f>
        <v>14.468385999993188</v>
      </c>
      <c r="C674">
        <f ca="1">INDIRECT(CONCATENATE("'Real Input'!",'Real Analysis'!$B$2,A674+2))</f>
        <v>9.6580725300000001</v>
      </c>
      <c r="D674">
        <f t="shared" si="51"/>
        <v>2.0017999995616265E-2</v>
      </c>
      <c r="E674">
        <f ca="1">IF(B674&gt;0,C674-'Real Analysis'!$B$14,0)</f>
        <v>-0.19842527237142704</v>
      </c>
      <c r="F674">
        <f t="shared" ca="1" si="54"/>
        <v>-0.18176219624421769</v>
      </c>
      <c r="G674">
        <f t="shared" ca="1" si="55"/>
        <v>-1.0839139681397671</v>
      </c>
      <c r="H674">
        <f ca="1">IF(AND(B674&gt;'Real Analysis'!$B$31,B674&lt;'Real Analysis'!$B$32),FilterInput(E674,'Real Analysis'!$B$26,'Real Analysis'!$B$27),0)</f>
        <v>-0.19842527237142704</v>
      </c>
      <c r="I674" t="e">
        <f>MEDIAN2("Real Values",H674,'Real Analysis'!$B$5,2)</f>
        <v>#VALUE!</v>
      </c>
      <c r="J674" t="e">
        <f>AVERAGE2("Real Values",I674,'Real Analysis'!$B$6,2)</f>
        <v>#VALUE!</v>
      </c>
      <c r="K674" t="e">
        <f>INTEGRAL2(J674,$B674,K673,J673,$B673,'Real Analysis'!$B$19)</f>
        <v>#VALUE!</v>
      </c>
      <c r="L674" t="e">
        <f>IF(AND(B674&lt;'Real Analysis'!$B$32,B674&gt;0),INTEGRAL2(K674,$B674,L673,K673,$B673,'Real Analysis'!$B$20),0)</f>
        <v>#VALUE!</v>
      </c>
      <c r="N674">
        <f>'Real Analysis'!$B$28*'Real Input'!U674+IF('Real Input'!U674 &gt; 0,'Real Analysis'!$B$29,0)</f>
        <v>-1.0209379999999999</v>
      </c>
      <c r="O674" t="e">
        <f t="shared" si="52"/>
        <v>#VALUE!</v>
      </c>
      <c r="P674" t="e">
        <f t="shared" si="53"/>
        <v>#VALUE!</v>
      </c>
    </row>
    <row r="675" spans="1:16" x14ac:dyDescent="0.3">
      <c r="A675">
        <v>673</v>
      </c>
      <c r="B675">
        <f>'Real Input'!M675</f>
        <v>14.490327999999863</v>
      </c>
      <c r="C675">
        <f ca="1">INDIRECT(CONCATENATE("'Real Input'!",'Real Analysis'!$B$2,A675+2))</f>
        <v>9.9949675500000019</v>
      </c>
      <c r="D675">
        <f t="shared" si="51"/>
        <v>2.1942000006674789E-2</v>
      </c>
      <c r="E675">
        <f ca="1">IF(B675&gt;0,C675-'Real Analysis'!$B$14,0)</f>
        <v>0.13846974762857478</v>
      </c>
      <c r="F675">
        <f t="shared" ca="1" si="54"/>
        <v>-0.17872389304082725</v>
      </c>
      <c r="G675">
        <f t="shared" ca="1" si="55"/>
        <v>-1.0878355278020619</v>
      </c>
      <c r="H675">
        <f ca="1">IF(AND(B675&gt;'Real Analysis'!$B$31,B675&lt;'Real Analysis'!$B$32),FilterInput(E675,'Real Analysis'!$B$26,'Real Analysis'!$B$27),0)</f>
        <v>0.13846974762857478</v>
      </c>
      <c r="I675" t="e">
        <f>MEDIAN2("Real Values",H675,'Real Analysis'!$B$5,2)</f>
        <v>#VALUE!</v>
      </c>
      <c r="J675" t="e">
        <f>AVERAGE2("Real Values",I675,'Real Analysis'!$B$6,2)</f>
        <v>#VALUE!</v>
      </c>
      <c r="K675" t="e">
        <f>INTEGRAL2(J675,$B675,K674,J674,$B674,'Real Analysis'!$B$19)</f>
        <v>#VALUE!</v>
      </c>
      <c r="L675" t="e">
        <f>IF(AND(B675&lt;'Real Analysis'!$B$32,B675&gt;0),INTEGRAL2(K675,$B675,L674,K674,$B674,'Real Analysis'!$B$20),0)</f>
        <v>#VALUE!</v>
      </c>
      <c r="N675">
        <f>'Real Analysis'!$B$28*'Real Input'!U675+IF('Real Input'!U675 &gt; 0,'Real Analysis'!$B$29,0)</f>
        <v>-1.0229249999999999</v>
      </c>
      <c r="O675" t="e">
        <f t="shared" si="52"/>
        <v>#VALUE!</v>
      </c>
      <c r="P675" t="e">
        <f t="shared" si="53"/>
        <v>#VALUE!</v>
      </c>
    </row>
    <row r="676" spans="1:16" x14ac:dyDescent="0.3">
      <c r="A676">
        <v>674</v>
      </c>
      <c r="B676">
        <f>'Real Input'!M676</f>
        <v>14.505971999999019</v>
      </c>
      <c r="C676">
        <f ca="1">INDIRECT(CONCATENATE("'Real Input'!",'Real Analysis'!$B$2,A676+2))</f>
        <v>10.23450813</v>
      </c>
      <c r="D676">
        <f t="shared" si="51"/>
        <v>1.5643999999156222E-2</v>
      </c>
      <c r="E676">
        <f ca="1">IF(B676&gt;0,C676-'Real Analysis'!$B$14,0)</f>
        <v>0.3780103276285729</v>
      </c>
      <c r="F676">
        <f t="shared" ca="1" si="54"/>
        <v>-0.17281029947572482</v>
      </c>
      <c r="G676">
        <f t="shared" ca="1" si="55"/>
        <v>-1.0905389721269143</v>
      </c>
      <c r="H676">
        <f ca="1">IF(AND(B676&gt;'Real Analysis'!$B$31,B676&lt;'Real Analysis'!$B$32),FilterInput(E676,'Real Analysis'!$B$26,'Real Analysis'!$B$27),0)</f>
        <v>0.3780103276285729</v>
      </c>
      <c r="I676" t="e">
        <f>MEDIAN2("Real Values",H676,'Real Analysis'!$B$5,2)</f>
        <v>#VALUE!</v>
      </c>
      <c r="J676" t="e">
        <f>AVERAGE2("Real Values",I676,'Real Analysis'!$B$6,2)</f>
        <v>#VALUE!</v>
      </c>
      <c r="K676" t="e">
        <f>INTEGRAL2(J676,$B676,K675,J675,$B675,'Real Analysis'!$B$19)</f>
        <v>#VALUE!</v>
      </c>
      <c r="L676" t="e">
        <f>IF(AND(B676&lt;'Real Analysis'!$B$32,B676&gt;0),INTEGRAL2(K676,$B676,L675,K675,$B675,'Real Analysis'!$B$20),0)</f>
        <v>#VALUE!</v>
      </c>
      <c r="N676">
        <f>'Real Analysis'!$B$28*'Real Input'!U676+IF('Real Input'!U676 &gt; 0,'Real Analysis'!$B$29,0)</f>
        <v>-1.024912</v>
      </c>
      <c r="O676" t="e">
        <f t="shared" si="52"/>
        <v>#VALUE!</v>
      </c>
      <c r="P676" t="e">
        <f t="shared" si="53"/>
        <v>#VALUE!</v>
      </c>
    </row>
    <row r="677" spans="1:16" x14ac:dyDescent="0.3">
      <c r="A677">
        <v>675</v>
      </c>
      <c r="B677">
        <f>'Real Input'!M677</f>
        <v>14.53057699999772</v>
      </c>
      <c r="C677">
        <f ca="1">INDIRECT(CONCATENATE("'Real Input'!",'Real Analysis'!$B$2,A677+2))</f>
        <v>10.398178170000001</v>
      </c>
      <c r="D677">
        <f t="shared" si="51"/>
        <v>2.4604999998700805E-2</v>
      </c>
      <c r="E677">
        <f ca="1">IF(B677&gt;0,C677-'Real Analysis'!$B$14,0)</f>
        <v>0.54168036762857419</v>
      </c>
      <c r="F677">
        <f t="shared" ca="1" si="54"/>
        <v>-0.1594822540309275</v>
      </c>
      <c r="G677">
        <f t="shared" ca="1" si="55"/>
        <v>-1.0944630329871381</v>
      </c>
      <c r="H677">
        <f ca="1">IF(AND(B677&gt;'Real Analysis'!$B$31,B677&lt;'Real Analysis'!$B$32),FilterInput(E677,'Real Analysis'!$B$26,'Real Analysis'!$B$27),0)</f>
        <v>0.54168036762857419</v>
      </c>
      <c r="I677" t="e">
        <f>MEDIAN2("Real Values",H677,'Real Analysis'!$B$5,2)</f>
        <v>#VALUE!</v>
      </c>
      <c r="J677" t="e">
        <f>AVERAGE2("Real Values",I677,'Real Analysis'!$B$6,2)</f>
        <v>#VALUE!</v>
      </c>
      <c r="K677" t="e">
        <f>INTEGRAL2(J677,$B677,K676,J676,$B676,'Real Analysis'!$B$19)</f>
        <v>#VALUE!</v>
      </c>
      <c r="L677" t="e">
        <f>IF(AND(B677&lt;'Real Analysis'!$B$32,B677&gt;0),INTEGRAL2(K677,$B677,L676,K676,$B676,'Real Analysis'!$B$20),0)</f>
        <v>#VALUE!</v>
      </c>
      <c r="N677">
        <f>'Real Analysis'!$B$28*'Real Input'!U677+IF('Real Input'!U677 &gt; 0,'Real Analysis'!$B$29,0)</f>
        <v>-1.026899</v>
      </c>
      <c r="O677" t="e">
        <f t="shared" si="52"/>
        <v>#VALUE!</v>
      </c>
      <c r="P677" t="e">
        <f t="shared" si="53"/>
        <v>#VALUE!</v>
      </c>
    </row>
    <row r="678" spans="1:16" x14ac:dyDescent="0.3">
      <c r="A678">
        <v>676</v>
      </c>
      <c r="B678">
        <f>'Real Input'!M678</f>
        <v>14.550180000005639</v>
      </c>
      <c r="C678">
        <f ca="1">INDIRECT(CONCATENATE("'Real Input'!",'Real Analysis'!$B$2,A678+2))</f>
        <v>10.25734581</v>
      </c>
      <c r="D678">
        <f t="shared" si="51"/>
        <v>1.9603000007919036E-2</v>
      </c>
      <c r="E678">
        <f ca="1">IF(B678&gt;0,C678-'Real Analysis'!$B$14,0)</f>
        <v>0.4008480076285732</v>
      </c>
      <c r="F678">
        <f t="shared" ca="1" si="54"/>
        <v>-0.15162443053421026</v>
      </c>
      <c r="G678">
        <f t="shared" ca="1" si="55"/>
        <v>-1.0974353267001009</v>
      </c>
      <c r="H678">
        <f ca="1">IF(AND(B678&gt;'Real Analysis'!$B$31,B678&lt;'Real Analysis'!$B$32),FilterInput(E678,'Real Analysis'!$B$26,'Real Analysis'!$B$27),0)</f>
        <v>0.4008480076285732</v>
      </c>
      <c r="I678" t="e">
        <f>MEDIAN2("Real Values",H678,'Real Analysis'!$B$5,2)</f>
        <v>#VALUE!</v>
      </c>
      <c r="J678" t="e">
        <f>AVERAGE2("Real Values",I678,'Real Analysis'!$B$6,2)</f>
        <v>#VALUE!</v>
      </c>
      <c r="K678" t="e">
        <f>INTEGRAL2(J678,$B678,K677,J677,$B677,'Real Analysis'!$B$19)</f>
        <v>#VALUE!</v>
      </c>
      <c r="L678" t="e">
        <f>IF(AND(B678&lt;'Real Analysis'!$B$32,B678&gt;0),INTEGRAL2(K678,$B678,L677,K677,$B677,'Real Analysis'!$B$20),0)</f>
        <v>#VALUE!</v>
      </c>
      <c r="N678">
        <f>'Real Analysis'!$B$28*'Real Input'!U678+IF('Real Input'!U678 &gt; 0,'Real Analysis'!$B$29,0)</f>
        <v>-1.028886</v>
      </c>
      <c r="O678" t="e">
        <f t="shared" si="52"/>
        <v>#VALUE!</v>
      </c>
      <c r="P678" t="e">
        <f t="shared" si="53"/>
        <v>#VALUE!</v>
      </c>
    </row>
    <row r="679" spans="1:16" x14ac:dyDescent="0.3">
      <c r="A679">
        <v>677</v>
      </c>
      <c r="B679">
        <f>'Real Input'!M679</f>
        <v>14.574242999995477</v>
      </c>
      <c r="C679">
        <f ca="1">INDIRECT(CONCATENATE("'Real Input'!",'Real Analysis'!$B$2,A679+2))</f>
        <v>10.22396238</v>
      </c>
      <c r="D679">
        <f t="shared" si="51"/>
        <v>2.4062999989837408E-2</v>
      </c>
      <c r="E679">
        <f ca="1">IF(B679&gt;0,C679-'Real Analysis'!$B$14,0)</f>
        <v>0.36746457762857254</v>
      </c>
      <c r="F679">
        <f t="shared" ca="1" si="54"/>
        <v>-0.14278213040646831</v>
      </c>
      <c r="G679">
        <f t="shared" ca="1" si="55"/>
        <v>-1.1008710931026207</v>
      </c>
      <c r="H679">
        <f ca="1">IF(AND(B679&gt;'Real Analysis'!$B$31,B679&lt;'Real Analysis'!$B$32),FilterInput(E679,'Real Analysis'!$B$26,'Real Analysis'!$B$27),0)</f>
        <v>0.36746457762857254</v>
      </c>
      <c r="I679" t="e">
        <f>MEDIAN2("Real Values",H679,'Real Analysis'!$B$5,2)</f>
        <v>#VALUE!</v>
      </c>
      <c r="J679" t="e">
        <f>AVERAGE2("Real Values",I679,'Real Analysis'!$B$6,2)</f>
        <v>#VALUE!</v>
      </c>
      <c r="K679" t="e">
        <f>INTEGRAL2(J679,$B679,K678,J678,$B678,'Real Analysis'!$B$19)</f>
        <v>#VALUE!</v>
      </c>
      <c r="L679" t="e">
        <f>IF(AND(B679&lt;'Real Analysis'!$B$32,B679&gt;0),INTEGRAL2(K679,$B679,L678,K678,$B678,'Real Analysis'!$B$20),0)</f>
        <v>#VALUE!</v>
      </c>
      <c r="N679">
        <f>'Real Analysis'!$B$28*'Real Input'!U679+IF('Real Input'!U679 &gt; 0,'Real Analysis'!$B$29,0)</f>
        <v>-1.028886</v>
      </c>
      <c r="O679" t="e">
        <f t="shared" si="52"/>
        <v>#VALUE!</v>
      </c>
      <c r="P679" t="e">
        <f t="shared" si="53"/>
        <v>#VALUE!</v>
      </c>
    </row>
    <row r="680" spans="1:16" x14ac:dyDescent="0.3">
      <c r="A680">
        <v>678</v>
      </c>
      <c r="B680">
        <f>'Real Input'!M680</f>
        <v>14.589649000001373</v>
      </c>
      <c r="C680">
        <f ca="1">INDIRECT(CONCATENATE("'Real Input'!",'Real Analysis'!$B$2,A680+2))</f>
        <v>10.221500069999999</v>
      </c>
      <c r="D680">
        <f t="shared" si="51"/>
        <v>1.5406000005896203E-2</v>
      </c>
      <c r="E680">
        <f ca="1">IF(B680&gt;0,C680-'Real Analysis'!$B$14,0)</f>
        <v>0.36500226762857224</v>
      </c>
      <c r="F680">
        <f t="shared" ca="1" si="54"/>
        <v>-0.1371589054692304</v>
      </c>
      <c r="G680">
        <f t="shared" ca="1" si="55"/>
        <v>-1.1029841632010884</v>
      </c>
      <c r="H680">
        <f ca="1">IF(AND(B680&gt;'Real Analysis'!$B$31,B680&lt;'Real Analysis'!$B$32),FilterInput(E680,'Real Analysis'!$B$26,'Real Analysis'!$B$27),0)</f>
        <v>0.36500226762857224</v>
      </c>
      <c r="I680" t="e">
        <f>MEDIAN2("Real Values",H680,'Real Analysis'!$B$5,2)</f>
        <v>#VALUE!</v>
      </c>
      <c r="J680" t="e">
        <f>AVERAGE2("Real Values",I680,'Real Analysis'!$B$6,2)</f>
        <v>#VALUE!</v>
      </c>
      <c r="K680" t="e">
        <f>INTEGRAL2(J680,$B680,K679,J679,$B679,'Real Analysis'!$B$19)</f>
        <v>#VALUE!</v>
      </c>
      <c r="L680" t="e">
        <f>IF(AND(B680&lt;'Real Analysis'!$B$32,B680&gt;0),INTEGRAL2(K680,$B680,L679,K679,$B679,'Real Analysis'!$B$20),0)</f>
        <v>#VALUE!</v>
      </c>
      <c r="N680">
        <f>'Real Analysis'!$B$28*'Real Input'!U680+IF('Real Input'!U680 &gt; 0,'Real Analysis'!$B$29,0)</f>
        <v>-1.016964</v>
      </c>
      <c r="O680" t="e">
        <f t="shared" si="52"/>
        <v>#VALUE!</v>
      </c>
      <c r="P680" t="e">
        <f t="shared" si="53"/>
        <v>#VALUE!</v>
      </c>
    </row>
    <row r="681" spans="1:16" x14ac:dyDescent="0.3">
      <c r="A681">
        <v>679</v>
      </c>
      <c r="B681">
        <f>'Real Input'!M681</f>
        <v>14.611302000004798</v>
      </c>
      <c r="C681">
        <f ca="1">INDIRECT(CONCATENATE("'Real Input'!",'Real Analysis'!$B$2,A681+2))</f>
        <v>10.365952320000002</v>
      </c>
      <c r="D681">
        <f t="shared" si="51"/>
        <v>2.1653000003425404E-2</v>
      </c>
      <c r="E681">
        <f ca="1">IF(B681&gt;0,C681-'Real Analysis'!$B$14,0)</f>
        <v>0.50945451762857452</v>
      </c>
      <c r="F681">
        <f t="shared" ca="1" si="54"/>
        <v>-0.12612768679727379</v>
      </c>
      <c r="G681">
        <f t="shared" ca="1" si="55"/>
        <v>-1.1057152060037418</v>
      </c>
      <c r="H681">
        <f ca="1">IF(AND(B681&gt;'Real Analysis'!$B$31,B681&lt;'Real Analysis'!$B$32),FilterInput(E681,'Real Analysis'!$B$26,'Real Analysis'!$B$27),0)</f>
        <v>0.50945451762857452</v>
      </c>
      <c r="I681" t="e">
        <f>MEDIAN2("Real Values",H681,'Real Analysis'!$B$5,2)</f>
        <v>#VALUE!</v>
      </c>
      <c r="J681" t="e">
        <f>AVERAGE2("Real Values",I681,'Real Analysis'!$B$6,2)</f>
        <v>#VALUE!</v>
      </c>
      <c r="K681" t="e">
        <f>INTEGRAL2(J681,$B681,K680,J680,$B680,'Real Analysis'!$B$19)</f>
        <v>#VALUE!</v>
      </c>
      <c r="L681" t="e">
        <f>IF(AND(B681&lt;'Real Analysis'!$B$32,B681&gt;0),INTEGRAL2(K681,$B681,L680,K680,$B680,'Real Analysis'!$B$20),0)</f>
        <v>#VALUE!</v>
      </c>
      <c r="N681">
        <f>'Real Analysis'!$B$28*'Real Input'!U681+IF('Real Input'!U681 &gt; 0,'Real Analysis'!$B$29,0)</f>
        <v>-1.0189509999999999</v>
      </c>
      <c r="O681" t="e">
        <f t="shared" si="52"/>
        <v>#VALUE!</v>
      </c>
      <c r="P681" t="e">
        <f t="shared" si="53"/>
        <v>#VALUE!</v>
      </c>
    </row>
    <row r="682" spans="1:16" x14ac:dyDescent="0.3">
      <c r="A682">
        <v>680</v>
      </c>
      <c r="B682">
        <f>'Real Input'!M682</f>
        <v>14.62928799999645</v>
      </c>
      <c r="C682">
        <f ca="1">INDIRECT(CONCATENATE("'Real Input'!",'Real Analysis'!$B$2,A682+2))</f>
        <v>10.303590150000002</v>
      </c>
      <c r="D682">
        <f t="shared" si="51"/>
        <v>1.7985999991651624E-2</v>
      </c>
      <c r="E682">
        <f ca="1">IF(B682&gt;0,C682-'Real Analysis'!$B$14,0)</f>
        <v>0.44709234762857442</v>
      </c>
      <c r="F682">
        <f t="shared" ca="1" si="54"/>
        <v>-0.11808628383655875</v>
      </c>
      <c r="G682">
        <f t="shared" ca="1" si="55"/>
        <v>-1.1078391059038404</v>
      </c>
      <c r="H682">
        <f ca="1">IF(AND(B682&gt;'Real Analysis'!$B$31,B682&lt;'Real Analysis'!$B$32),FilterInput(E682,'Real Analysis'!$B$26,'Real Analysis'!$B$27),0)</f>
        <v>0.44709234762857442</v>
      </c>
      <c r="I682" t="e">
        <f>MEDIAN2("Real Values",H682,'Real Analysis'!$B$5,2)</f>
        <v>#VALUE!</v>
      </c>
      <c r="J682" t="e">
        <f>AVERAGE2("Real Values",I682,'Real Analysis'!$B$6,2)</f>
        <v>#VALUE!</v>
      </c>
      <c r="K682" t="e">
        <f>INTEGRAL2(J682,$B682,K681,J681,$B681,'Real Analysis'!$B$19)</f>
        <v>#VALUE!</v>
      </c>
      <c r="L682" t="e">
        <f>IF(AND(B682&lt;'Real Analysis'!$B$32,B682&gt;0),INTEGRAL2(K682,$B682,L681,K681,$B681,'Real Analysis'!$B$20),0)</f>
        <v>#VALUE!</v>
      </c>
      <c r="N682">
        <f>'Real Analysis'!$B$28*'Real Input'!U682+IF('Real Input'!U682 &gt; 0,'Real Analysis'!$B$29,0)</f>
        <v>-1.0189509999999999</v>
      </c>
      <c r="O682" t="e">
        <f t="shared" si="52"/>
        <v>#VALUE!</v>
      </c>
      <c r="P682" t="e">
        <f t="shared" si="53"/>
        <v>#VALUE!</v>
      </c>
    </row>
    <row r="683" spans="1:16" x14ac:dyDescent="0.3">
      <c r="A683">
        <v>681</v>
      </c>
      <c r="B683">
        <f>'Real Input'!M683</f>
        <v>14.649248999994597</v>
      </c>
      <c r="C683">
        <f ca="1">INDIRECT(CONCATENATE("'Real Input'!",'Real Analysis'!$B$2,A683+2))</f>
        <v>10.13945904</v>
      </c>
      <c r="D683">
        <f t="shared" si="51"/>
        <v>1.9960999998147599E-2</v>
      </c>
      <c r="E683">
        <f ca="1">IF(B683&gt;0,C683-'Real Analysis'!$B$14,0)</f>
        <v>0.28296123762857306</v>
      </c>
      <c r="F683">
        <f t="shared" ca="1" si="54"/>
        <v>-0.11243809457277897</v>
      </c>
      <c r="G683">
        <f t="shared" ca="1" si="55"/>
        <v>-1.1100834827093993</v>
      </c>
      <c r="H683">
        <f ca="1">IF(AND(B683&gt;'Real Analysis'!$B$31,B683&lt;'Real Analysis'!$B$32),FilterInput(E683,'Real Analysis'!$B$26,'Real Analysis'!$B$27),0)</f>
        <v>0.28296123762857306</v>
      </c>
      <c r="I683" t="e">
        <f>MEDIAN2("Real Values",H683,'Real Analysis'!$B$5,2)</f>
        <v>#VALUE!</v>
      </c>
      <c r="J683" t="e">
        <f>AVERAGE2("Real Values",I683,'Real Analysis'!$B$6,2)</f>
        <v>#VALUE!</v>
      </c>
      <c r="K683" t="e">
        <f>INTEGRAL2(J683,$B683,K682,J682,$B682,'Real Analysis'!$B$19)</f>
        <v>#VALUE!</v>
      </c>
      <c r="L683" t="e">
        <f>IF(AND(B683&lt;'Real Analysis'!$B$32,B683&gt;0),INTEGRAL2(K683,$B683,L682,K682,$B682,'Real Analysis'!$B$20),0)</f>
        <v>#VALUE!</v>
      </c>
      <c r="N683">
        <f>'Real Analysis'!$B$28*'Real Input'!U683+IF('Real Input'!U683 &gt; 0,'Real Analysis'!$B$29,0)</f>
        <v>-1.0209379999999999</v>
      </c>
      <c r="O683" t="e">
        <f t="shared" si="52"/>
        <v>#VALUE!</v>
      </c>
      <c r="P683" t="e">
        <f t="shared" si="53"/>
        <v>#VALUE!</v>
      </c>
    </row>
    <row r="684" spans="1:16" x14ac:dyDescent="0.3">
      <c r="A684">
        <v>682</v>
      </c>
      <c r="B684">
        <f>'Real Input'!M684</f>
        <v>14.669626999995671</v>
      </c>
      <c r="C684">
        <f ca="1">INDIRECT(CONCATENATE("'Real Input'!",'Real Analysis'!$B$2,A684+2))</f>
        <v>9.9703248300000009</v>
      </c>
      <c r="D684">
        <f t="shared" si="51"/>
        <v>2.0378000001073815E-2</v>
      </c>
      <c r="E684">
        <f ca="1">IF(B684&gt;0,C684-'Real Analysis'!$B$14,0)</f>
        <v>0.11382702762857377</v>
      </c>
      <c r="F684">
        <f t="shared" ca="1" si="54"/>
        <v>-0.11011852740364166</v>
      </c>
      <c r="G684">
        <f t="shared" ca="1" si="55"/>
        <v>-1.1123274780609489</v>
      </c>
      <c r="H684">
        <f ca="1">IF(AND(B684&gt;'Real Analysis'!$B$31,B684&lt;'Real Analysis'!$B$32),FilterInput(E684,'Real Analysis'!$B$26,'Real Analysis'!$B$27),0)</f>
        <v>0.11382702762857377</v>
      </c>
      <c r="I684" t="e">
        <f>MEDIAN2("Real Values",H684,'Real Analysis'!$B$5,2)</f>
        <v>#VALUE!</v>
      </c>
      <c r="J684" t="e">
        <f>AVERAGE2("Real Values",I684,'Real Analysis'!$B$6,2)</f>
        <v>#VALUE!</v>
      </c>
      <c r="K684" t="e">
        <f>INTEGRAL2(J684,$B684,K683,J683,$B683,'Real Analysis'!$B$19)</f>
        <v>#VALUE!</v>
      </c>
      <c r="L684" t="e">
        <f>IF(AND(B684&lt;'Real Analysis'!$B$32,B684&gt;0),INTEGRAL2(K684,$B684,L683,K683,$B683,'Real Analysis'!$B$20),0)</f>
        <v>#VALUE!</v>
      </c>
      <c r="N684">
        <f>'Real Analysis'!$B$28*'Real Input'!U684+IF('Real Input'!U684 &gt; 0,'Real Analysis'!$B$29,0)</f>
        <v>-1.0129899999999998</v>
      </c>
      <c r="O684" t="e">
        <f t="shared" si="52"/>
        <v>#VALUE!</v>
      </c>
      <c r="P684" t="e">
        <f t="shared" si="53"/>
        <v>#VALUE!</v>
      </c>
    </row>
    <row r="685" spans="1:16" x14ac:dyDescent="0.3">
      <c r="A685">
        <v>683</v>
      </c>
      <c r="B685">
        <f>'Real Input'!M685</f>
        <v>14.690189999993891</v>
      </c>
      <c r="C685">
        <f ca="1">INDIRECT(CONCATENATE("'Real Input'!",'Real Analysis'!$B$2,A685+2))</f>
        <v>9.868663800000002</v>
      </c>
      <c r="D685">
        <f t="shared" si="51"/>
        <v>2.0562999998219311E-2</v>
      </c>
      <c r="E685">
        <f ca="1">IF(B685&gt;0,C685-'Real Analysis'!$B$14,0)</f>
        <v>1.2165997628574843E-2</v>
      </c>
      <c r="F685">
        <f t="shared" ca="1" si="54"/>
        <v>-0.10986835799442693</v>
      </c>
      <c r="G685">
        <f t="shared" ca="1" si="55"/>
        <v>-1.1145867011061927</v>
      </c>
      <c r="H685">
        <f ca="1">IF(AND(B685&gt;'Real Analysis'!$B$31,B685&lt;'Real Analysis'!$B$32),FilterInput(E685,'Real Analysis'!$B$26,'Real Analysis'!$B$27),0)</f>
        <v>1.2165997628574843E-2</v>
      </c>
      <c r="I685" t="e">
        <f>MEDIAN2("Real Values",H685,'Real Analysis'!$B$5,2)</f>
        <v>#VALUE!</v>
      </c>
      <c r="J685" t="e">
        <f>AVERAGE2("Real Values",I685,'Real Analysis'!$B$6,2)</f>
        <v>#VALUE!</v>
      </c>
      <c r="K685" t="e">
        <f>INTEGRAL2(J685,$B685,K684,J684,$B684,'Real Analysis'!$B$19)</f>
        <v>#VALUE!</v>
      </c>
      <c r="L685" t="e">
        <f>IF(AND(B685&lt;'Real Analysis'!$B$32,B685&gt;0),INTEGRAL2(K685,$B685,L684,K684,$B684,'Real Analysis'!$B$20),0)</f>
        <v>#VALUE!</v>
      </c>
      <c r="N685">
        <f>'Real Analysis'!$B$28*'Real Input'!U685+IF('Real Input'!U685 &gt; 0,'Real Analysis'!$B$29,0)</f>
        <v>-1.0129899999999998</v>
      </c>
      <c r="O685" t="e">
        <f t="shared" si="52"/>
        <v>#VALUE!</v>
      </c>
      <c r="P685" t="e">
        <f t="shared" si="53"/>
        <v>#VALUE!</v>
      </c>
    </row>
    <row r="686" spans="1:16" x14ac:dyDescent="0.3">
      <c r="A686">
        <v>684</v>
      </c>
      <c r="B686">
        <f>'Real Input'!M686</f>
        <v>14.709805000005872</v>
      </c>
      <c r="C686">
        <f ca="1">INDIRECT(CONCATENATE("'Real Input'!",'Real Analysis'!$B$2,A686+2))</f>
        <v>9.9307120500000003</v>
      </c>
      <c r="D686">
        <f t="shared" si="51"/>
        <v>1.9615000011981465E-2</v>
      </c>
      <c r="E686">
        <f ca="1">IF(B686&gt;0,C686-'Real Analysis'!$B$14,0)</f>
        <v>7.4214247628573204E-2</v>
      </c>
      <c r="F686">
        <f t="shared" ca="1" si="54"/>
        <v>-0.10841264552630327</v>
      </c>
      <c r="G686">
        <f t="shared" ca="1" si="55"/>
        <v>-1.1167132151494901</v>
      </c>
      <c r="H686">
        <f ca="1">IF(AND(B686&gt;'Real Analysis'!$B$31,B686&lt;'Real Analysis'!$B$32),FilterInput(E686,'Real Analysis'!$B$26,'Real Analysis'!$B$27),0)</f>
        <v>7.4214247628573204E-2</v>
      </c>
      <c r="I686" t="e">
        <f>MEDIAN2("Real Values",H686,'Real Analysis'!$B$5,2)</f>
        <v>#VALUE!</v>
      </c>
      <c r="J686" t="e">
        <f>AVERAGE2("Real Values",I686,'Real Analysis'!$B$6,2)</f>
        <v>#VALUE!</v>
      </c>
      <c r="K686" t="e">
        <f>INTEGRAL2(J686,$B686,K685,J685,$B685,'Real Analysis'!$B$19)</f>
        <v>#VALUE!</v>
      </c>
      <c r="L686" t="e">
        <f>IF(AND(B686&lt;'Real Analysis'!$B$32,B686&gt;0),INTEGRAL2(K686,$B686,L685,K685,$B685,'Real Analysis'!$B$20),0)</f>
        <v>#VALUE!</v>
      </c>
      <c r="N686">
        <f>'Real Analysis'!$B$28*'Real Input'!U686+IF('Real Input'!U686 &gt; 0,'Real Analysis'!$B$29,0)</f>
        <v>-1.0090159999999999</v>
      </c>
      <c r="O686" t="e">
        <f t="shared" si="52"/>
        <v>#VALUE!</v>
      </c>
      <c r="P686" t="e">
        <f t="shared" si="53"/>
        <v>#VALUE!</v>
      </c>
    </row>
    <row r="687" spans="1:16" x14ac:dyDescent="0.3">
      <c r="A687">
        <v>685</v>
      </c>
      <c r="B687">
        <f>'Real Input'!M687</f>
        <v>14.731016999998246</v>
      </c>
      <c r="C687">
        <f ca="1">INDIRECT(CONCATENATE("'Real Input'!",'Real Analysis'!$B$2,A687+2))</f>
        <v>9.8646417000000017</v>
      </c>
      <c r="D687">
        <f t="shared" si="51"/>
        <v>2.1211999992374331E-2</v>
      </c>
      <c r="E687">
        <f ca="1">IF(B687&gt;0,C687-'Real Analysis'!$B$14,0)</f>
        <v>8.1438976285745923E-3</v>
      </c>
      <c r="F687">
        <f t="shared" ca="1" si="54"/>
        <v>-0.10823989716986805</v>
      </c>
      <c r="G687">
        <f t="shared" ca="1" si="55"/>
        <v>-1.1190091998474319</v>
      </c>
      <c r="H687">
        <f ca="1">IF(AND(B687&gt;'Real Analysis'!$B$31,B687&lt;'Real Analysis'!$B$32),FilterInput(E687,'Real Analysis'!$B$26,'Real Analysis'!$B$27),0)</f>
        <v>8.1438976285745923E-3</v>
      </c>
      <c r="I687" t="e">
        <f>MEDIAN2("Real Values",H687,'Real Analysis'!$B$5,2)</f>
        <v>#VALUE!</v>
      </c>
      <c r="J687" t="e">
        <f>AVERAGE2("Real Values",I687,'Real Analysis'!$B$6,2)</f>
        <v>#VALUE!</v>
      </c>
      <c r="K687" t="e">
        <f>INTEGRAL2(J687,$B687,K686,J686,$B686,'Real Analysis'!$B$19)</f>
        <v>#VALUE!</v>
      </c>
      <c r="L687" t="e">
        <f>IF(AND(B687&lt;'Real Analysis'!$B$32,B687&gt;0),INTEGRAL2(K687,$B687,L686,K686,$B686,'Real Analysis'!$B$20),0)</f>
        <v>#VALUE!</v>
      </c>
      <c r="N687">
        <f>'Real Analysis'!$B$28*'Real Input'!U687+IF('Real Input'!U687 &gt; 0,'Real Analysis'!$B$29,0)</f>
        <v>-1.0090159999999999</v>
      </c>
      <c r="O687" t="e">
        <f t="shared" si="52"/>
        <v>#VALUE!</v>
      </c>
      <c r="P687" t="e">
        <f t="shared" si="53"/>
        <v>#VALUE!</v>
      </c>
    </row>
    <row r="688" spans="1:16" x14ac:dyDescent="0.3">
      <c r="A688">
        <v>686</v>
      </c>
      <c r="B688">
        <f>'Real Input'!M688</f>
        <v>14.746809999996913</v>
      </c>
      <c r="C688">
        <f ca="1">INDIRECT(CONCATENATE("'Real Input'!",'Real Analysis'!$B$2,A688+2))</f>
        <v>9.7256339999999994</v>
      </c>
      <c r="D688">
        <f t="shared" si="51"/>
        <v>1.5792999998666346E-2</v>
      </c>
      <c r="E688">
        <f ca="1">IF(B688&gt;0,C688-'Real Analysis'!$B$14,0)</f>
        <v>-0.1308638023714277</v>
      </c>
      <c r="F688">
        <f t="shared" ca="1" si="54"/>
        <v>-0.11030662920054549</v>
      </c>
      <c r="G688">
        <f t="shared" ca="1" si="55"/>
        <v>-1.120751272442249</v>
      </c>
      <c r="H688">
        <f ca="1">IF(AND(B688&gt;'Real Analysis'!$B$31,B688&lt;'Real Analysis'!$B$32),FilterInput(E688,'Real Analysis'!$B$26,'Real Analysis'!$B$27),0)</f>
        <v>-0.1308638023714277</v>
      </c>
      <c r="I688" t="e">
        <f>MEDIAN2("Real Values",H688,'Real Analysis'!$B$5,2)</f>
        <v>#VALUE!</v>
      </c>
      <c r="J688" t="e">
        <f>AVERAGE2("Real Values",I688,'Real Analysis'!$B$6,2)</f>
        <v>#VALUE!</v>
      </c>
      <c r="K688" t="e">
        <f>INTEGRAL2(J688,$B688,K687,J687,$B687,'Real Analysis'!$B$19)</f>
        <v>#VALUE!</v>
      </c>
      <c r="L688" t="e">
        <f>IF(AND(B688&lt;'Real Analysis'!$B$32,B688&gt;0),INTEGRAL2(K688,$B688,L687,K687,$B687,'Real Analysis'!$B$20),0)</f>
        <v>#VALUE!</v>
      </c>
      <c r="N688">
        <f>'Real Analysis'!$B$28*'Real Input'!U688+IF('Real Input'!U688 &gt; 0,'Real Analysis'!$B$29,0)</f>
        <v>-1.007029</v>
      </c>
      <c r="O688" t="e">
        <f t="shared" si="52"/>
        <v>#VALUE!</v>
      </c>
      <c r="P688" t="e">
        <f t="shared" si="53"/>
        <v>#VALUE!</v>
      </c>
    </row>
    <row r="689" spans="1:16" x14ac:dyDescent="0.3">
      <c r="A689">
        <v>687</v>
      </c>
      <c r="B689">
        <f>'Real Input'!M689</f>
        <v>14.770151999997324</v>
      </c>
      <c r="C689">
        <f ca="1">INDIRECT(CONCATENATE("'Real Input'!",'Real Analysis'!$B$2,A689+2))</f>
        <v>9.8339167799999991</v>
      </c>
      <c r="D689">
        <f t="shared" si="51"/>
        <v>2.3342000000411645E-2</v>
      </c>
      <c r="E689">
        <f ca="1">IF(B689&gt;0,C689-'Real Analysis'!$B$14,0)</f>
        <v>-2.2581022371428006E-2</v>
      </c>
      <c r="F689">
        <f t="shared" ca="1" si="54"/>
        <v>-0.11083371542474865</v>
      </c>
      <c r="G689">
        <f t="shared" ca="1" si="55"/>
        <v>-1.1233383530277392</v>
      </c>
      <c r="H689">
        <f ca="1">IF(AND(B689&gt;'Real Analysis'!$B$31,B689&lt;'Real Analysis'!$B$32),FilterInput(E689,'Real Analysis'!$B$26,'Real Analysis'!$B$27),0)</f>
        <v>-2.2581022371428006E-2</v>
      </c>
      <c r="I689" t="e">
        <f>MEDIAN2("Real Values",H689,'Real Analysis'!$B$5,2)</f>
        <v>#VALUE!</v>
      </c>
      <c r="J689" t="e">
        <f>AVERAGE2("Real Values",I689,'Real Analysis'!$B$6,2)</f>
        <v>#VALUE!</v>
      </c>
      <c r="K689" t="e">
        <f>INTEGRAL2(J689,$B689,K688,J688,$B688,'Real Analysis'!$B$19)</f>
        <v>#VALUE!</v>
      </c>
      <c r="L689" t="e">
        <f>IF(AND(B689&lt;'Real Analysis'!$B$32,B689&gt;0),INTEGRAL2(K689,$B689,L688,K688,$B688,'Real Analysis'!$B$20),0)</f>
        <v>#VALUE!</v>
      </c>
      <c r="N689">
        <f>'Real Analysis'!$B$28*'Real Input'!U689+IF('Real Input'!U689 &gt; 0,'Real Analysis'!$B$29,0)</f>
        <v>-1.007029</v>
      </c>
      <c r="O689" t="e">
        <f t="shared" si="52"/>
        <v>#VALUE!</v>
      </c>
      <c r="P689" t="e">
        <f t="shared" si="53"/>
        <v>#VALUE!</v>
      </c>
    </row>
    <row r="690" spans="1:16" x14ac:dyDescent="0.3">
      <c r="A690">
        <v>688</v>
      </c>
      <c r="B690">
        <f>'Real Input'!M690</f>
        <v>14.790643999993335</v>
      </c>
      <c r="C690">
        <f ca="1">INDIRECT(CONCATENATE("'Real Input'!",'Real Analysis'!$B$2,A690+2))</f>
        <v>9.6939575100000006</v>
      </c>
      <c r="D690">
        <f t="shared" si="51"/>
        <v>2.0491999996011145E-2</v>
      </c>
      <c r="E690">
        <f ca="1">IF(B690&gt;0,C690-'Real Analysis'!$B$14,0)</f>
        <v>-0.16254029237142653</v>
      </c>
      <c r="F690">
        <f t="shared" ca="1" si="54"/>
        <v>-0.11416449109537558</v>
      </c>
      <c r="G690">
        <f t="shared" ca="1" si="55"/>
        <v>-1.1256778117788102</v>
      </c>
      <c r="H690">
        <f ca="1">IF(AND(B690&gt;'Real Analysis'!$B$31,B690&lt;'Real Analysis'!$B$32),FilterInput(E690,'Real Analysis'!$B$26,'Real Analysis'!$B$27),0)</f>
        <v>-0.16254029237142653</v>
      </c>
      <c r="I690" t="e">
        <f>MEDIAN2("Real Values",H690,'Real Analysis'!$B$5,2)</f>
        <v>#VALUE!</v>
      </c>
      <c r="J690" t="e">
        <f>AVERAGE2("Real Values",I690,'Real Analysis'!$B$6,2)</f>
        <v>#VALUE!</v>
      </c>
      <c r="K690" t="e">
        <f>INTEGRAL2(J690,$B690,K689,J689,$B689,'Real Analysis'!$B$19)</f>
        <v>#VALUE!</v>
      </c>
      <c r="L690" t="e">
        <f>IF(AND(B690&lt;'Real Analysis'!$B$32,B690&gt;0),INTEGRAL2(K690,$B690,L689,K689,$B689,'Real Analysis'!$B$20),0)</f>
        <v>#VALUE!</v>
      </c>
      <c r="N690">
        <f>'Real Analysis'!$B$28*'Real Input'!U690+IF('Real Input'!U690 &gt; 0,'Real Analysis'!$B$29,0)</f>
        <v>-1.0090159999999999</v>
      </c>
      <c r="O690" t="e">
        <f t="shared" si="52"/>
        <v>#VALUE!</v>
      </c>
      <c r="P690" t="e">
        <f t="shared" si="53"/>
        <v>#VALUE!</v>
      </c>
    </row>
    <row r="691" spans="1:16" x14ac:dyDescent="0.3">
      <c r="A691">
        <v>689</v>
      </c>
      <c r="B691">
        <f>'Real Input'!M691</f>
        <v>14.810568999993848</v>
      </c>
      <c r="C691">
        <f ca="1">INDIRECT(CONCATENATE("'Real Input'!",'Real Analysis'!$B$2,A691+2))</f>
        <v>9.6555415500000006</v>
      </c>
      <c r="D691">
        <f t="shared" si="51"/>
        <v>1.9925000000512227E-2</v>
      </c>
      <c r="E691">
        <f ca="1">IF(B691&gt;0,C691-'Real Analysis'!$B$14,0)</f>
        <v>-0.20095625237142656</v>
      </c>
      <c r="F691">
        <f t="shared" ca="1" si="54"/>
        <v>-0.11816854442397919</v>
      </c>
      <c r="G691">
        <f t="shared" ca="1" si="55"/>
        <v>-1.1280323200265185</v>
      </c>
      <c r="H691">
        <f ca="1">IF(AND(B691&gt;'Real Analysis'!$B$31,B691&lt;'Real Analysis'!$B$32),FilterInput(E691,'Real Analysis'!$B$26,'Real Analysis'!$B$27),0)</f>
        <v>-0.20095625237142656</v>
      </c>
      <c r="I691" t="e">
        <f>MEDIAN2("Real Values",H691,'Real Analysis'!$B$5,2)</f>
        <v>#VALUE!</v>
      </c>
      <c r="J691" t="e">
        <f>AVERAGE2("Real Values",I691,'Real Analysis'!$B$6,2)</f>
        <v>#VALUE!</v>
      </c>
      <c r="K691" t="e">
        <f>INTEGRAL2(J691,$B691,K690,J690,$B690,'Real Analysis'!$B$19)</f>
        <v>#VALUE!</v>
      </c>
      <c r="L691" t="e">
        <f>IF(AND(B691&lt;'Real Analysis'!$B$32,B691&gt;0),INTEGRAL2(K691,$B691,L690,K690,$B690,'Real Analysis'!$B$20),0)</f>
        <v>#VALUE!</v>
      </c>
      <c r="N691">
        <f>'Real Analysis'!$B$28*'Real Input'!U691+IF('Real Input'!U691 &gt; 0,'Real Analysis'!$B$29,0)</f>
        <v>-1.0090159999999999</v>
      </c>
      <c r="O691" t="e">
        <f t="shared" si="52"/>
        <v>#VALUE!</v>
      </c>
      <c r="P691" t="e">
        <f t="shared" si="53"/>
        <v>#VALUE!</v>
      </c>
    </row>
    <row r="692" spans="1:16" x14ac:dyDescent="0.3">
      <c r="A692">
        <v>690</v>
      </c>
      <c r="B692">
        <f>'Real Input'!M692</f>
        <v>14.832399000006262</v>
      </c>
      <c r="C692">
        <f ca="1">INDIRECT(CONCATENATE("'Real Input'!",'Real Analysis'!$B$2,A692+2))</f>
        <v>9.7640597700000011</v>
      </c>
      <c r="D692">
        <f t="shared" si="51"/>
        <v>2.183000001241453E-2</v>
      </c>
      <c r="E692">
        <f ca="1">IF(B692&gt;0,C692-'Real Analysis'!$B$14,0)</f>
        <v>-9.2438032371426004E-2</v>
      </c>
      <c r="F692">
        <f t="shared" ca="1" si="54"/>
        <v>-0.12018646667179499</v>
      </c>
      <c r="G692">
        <f t="shared" ca="1" si="55"/>
        <v>-1.1306559905954559</v>
      </c>
      <c r="H692">
        <f ca="1">IF(AND(B692&gt;'Real Analysis'!$B$31,B692&lt;'Real Analysis'!$B$32),FilterInput(E692,'Real Analysis'!$B$26,'Real Analysis'!$B$27),0)</f>
        <v>-9.2438032371426004E-2</v>
      </c>
      <c r="I692" t="e">
        <f>MEDIAN2("Real Values",H692,'Real Analysis'!$B$5,2)</f>
        <v>#VALUE!</v>
      </c>
      <c r="J692" t="e">
        <f>AVERAGE2("Real Values",I692,'Real Analysis'!$B$6,2)</f>
        <v>#VALUE!</v>
      </c>
      <c r="K692" t="e">
        <f>INTEGRAL2(J692,$B692,K691,J691,$B691,'Real Analysis'!$B$19)</f>
        <v>#VALUE!</v>
      </c>
      <c r="L692" t="e">
        <f>IF(AND(B692&lt;'Real Analysis'!$B$32,B692&gt;0),INTEGRAL2(K692,$B692,L691,K691,$B691,'Real Analysis'!$B$20),0)</f>
        <v>#VALUE!</v>
      </c>
      <c r="N692">
        <f>'Real Analysis'!$B$28*'Real Input'!U692+IF('Real Input'!U692 &gt; 0,'Real Analysis'!$B$29,0)</f>
        <v>-1.005042</v>
      </c>
      <c r="O692" t="e">
        <f t="shared" si="52"/>
        <v>#VALUE!</v>
      </c>
      <c r="P692" t="e">
        <f t="shared" si="53"/>
        <v>#VALUE!</v>
      </c>
    </row>
    <row r="693" spans="1:16" x14ac:dyDescent="0.3">
      <c r="A693">
        <v>691</v>
      </c>
      <c r="B693">
        <f>'Real Input'!M693</f>
        <v>14.853262000004179</v>
      </c>
      <c r="C693">
        <f ca="1">INDIRECT(CONCATENATE("'Real Input'!",'Real Analysis'!$B$2,A693+2))</f>
        <v>9.7223967000000009</v>
      </c>
      <c r="D693">
        <f t="shared" si="51"/>
        <v>2.0862999997916631E-2</v>
      </c>
      <c r="E693">
        <f ca="1">IF(B693&gt;0,C693-'Real Analysis'!$B$14,0)</f>
        <v>-0.13410110237142625</v>
      </c>
      <c r="F693">
        <f t="shared" ca="1" si="54"/>
        <v>-0.12298421797029067</v>
      </c>
      <c r="G693">
        <f t="shared" ca="1" si="55"/>
        <v>-1.1332218103347138</v>
      </c>
      <c r="H693">
        <f ca="1">IF(AND(B693&gt;'Real Analysis'!$B$31,B693&lt;'Real Analysis'!$B$32),FilterInput(E693,'Real Analysis'!$B$26,'Real Analysis'!$B$27),0)</f>
        <v>-0.13410110237142625</v>
      </c>
      <c r="I693" t="e">
        <f>MEDIAN2("Real Values",H693,'Real Analysis'!$B$5,2)</f>
        <v>#VALUE!</v>
      </c>
      <c r="J693" t="e">
        <f>AVERAGE2("Real Values",I693,'Real Analysis'!$B$6,2)</f>
        <v>#VALUE!</v>
      </c>
      <c r="K693" t="e">
        <f>INTEGRAL2(J693,$B693,K692,J692,$B692,'Real Analysis'!$B$19)</f>
        <v>#VALUE!</v>
      </c>
      <c r="L693" t="e">
        <f>IF(AND(B693&lt;'Real Analysis'!$B$32,B693&gt;0),INTEGRAL2(K693,$B693,L692,K692,$B692,'Real Analysis'!$B$20),0)</f>
        <v>#VALUE!</v>
      </c>
      <c r="N693">
        <f>'Real Analysis'!$B$28*'Real Input'!U693+IF('Real Input'!U693 &gt; 0,'Real Analysis'!$B$29,0)</f>
        <v>-1.005042</v>
      </c>
      <c r="O693" t="e">
        <f t="shared" si="52"/>
        <v>#VALUE!</v>
      </c>
      <c r="P693" t="e">
        <f t="shared" si="53"/>
        <v>#VALUE!</v>
      </c>
    </row>
    <row r="694" spans="1:16" x14ac:dyDescent="0.3">
      <c r="A694">
        <v>692</v>
      </c>
      <c r="B694">
        <f>'Real Input'!M694</f>
        <v>14.870527999999467</v>
      </c>
      <c r="C694">
        <f ca="1">INDIRECT(CONCATENATE("'Real Input'!",'Real Analysis'!$B$2,A694+2))</f>
        <v>9.7887809699999995</v>
      </c>
      <c r="D694">
        <f t="shared" si="51"/>
        <v>1.7265999995288439E-2</v>
      </c>
      <c r="E694">
        <f ca="1">IF(B694&gt;0,C694-'Real Analysis'!$B$14,0)</f>
        <v>-6.7716832371427671E-2</v>
      </c>
      <c r="F694">
        <f t="shared" ca="1" si="54"/>
        <v>-0.12415341679769669</v>
      </c>
      <c r="G694">
        <f t="shared" ca="1" si="55"/>
        <v>-1.1353654432285578</v>
      </c>
      <c r="H694">
        <f ca="1">IF(AND(B694&gt;'Real Analysis'!$B$31,B694&lt;'Real Analysis'!$B$32),FilterInput(E694,'Real Analysis'!$B$26,'Real Analysis'!$B$27),0)</f>
        <v>-6.7716832371427671E-2</v>
      </c>
      <c r="I694" t="e">
        <f>MEDIAN2("Real Values",H694,'Real Analysis'!$B$5,2)</f>
        <v>#VALUE!</v>
      </c>
      <c r="J694" t="e">
        <f>AVERAGE2("Real Values",I694,'Real Analysis'!$B$6,2)</f>
        <v>#VALUE!</v>
      </c>
      <c r="K694" t="e">
        <f>INTEGRAL2(J694,$B694,K693,J693,$B693,'Real Analysis'!$B$19)</f>
        <v>#VALUE!</v>
      </c>
      <c r="L694" t="e">
        <f>IF(AND(B694&lt;'Real Analysis'!$B$32,B694&gt;0),INTEGRAL2(K694,$B694,L693,K693,$B693,'Real Analysis'!$B$20),0)</f>
        <v>#VALUE!</v>
      </c>
      <c r="N694">
        <f>'Real Analysis'!$B$28*'Real Input'!U694+IF('Real Input'!U694 &gt; 0,'Real Analysis'!$B$29,0)</f>
        <v>-1.003055</v>
      </c>
      <c r="O694" t="e">
        <f t="shared" si="52"/>
        <v>#VALUE!</v>
      </c>
      <c r="P694" t="e">
        <f t="shared" si="53"/>
        <v>#VALUE!</v>
      </c>
    </row>
    <row r="695" spans="1:16" x14ac:dyDescent="0.3">
      <c r="A695">
        <v>693</v>
      </c>
      <c r="B695">
        <f>'Real Input'!M695</f>
        <v>14.892261000000872</v>
      </c>
      <c r="C695">
        <f ca="1">INDIRECT(CONCATENATE("'Real Input'!",'Real Analysis'!$B$2,A695+2))</f>
        <v>9.8754915600000004</v>
      </c>
      <c r="D695">
        <f t="shared" si="51"/>
        <v>2.1733000001404434E-2</v>
      </c>
      <c r="E695">
        <f ca="1">IF(B695&gt;0,C695-'Real Analysis'!$B$14,0)</f>
        <v>1.8993757628573249E-2</v>
      </c>
      <c r="F695">
        <f t="shared" ca="1" si="54"/>
        <v>-0.12374062546312824</v>
      </c>
      <c r="G695">
        <f t="shared" ca="1" si="55"/>
        <v>-1.1380546982419217</v>
      </c>
      <c r="H695">
        <f ca="1">IF(AND(B695&gt;'Real Analysis'!$B$31,B695&lt;'Real Analysis'!$B$32),FilterInput(E695,'Real Analysis'!$B$26,'Real Analysis'!$B$27),0)</f>
        <v>1.8993757628573249E-2</v>
      </c>
      <c r="I695" t="e">
        <f>MEDIAN2("Real Values",H695,'Real Analysis'!$B$5,2)</f>
        <v>#VALUE!</v>
      </c>
      <c r="J695" t="e">
        <f>AVERAGE2("Real Values",I695,'Real Analysis'!$B$6,2)</f>
        <v>#VALUE!</v>
      </c>
      <c r="K695" t="e">
        <f>INTEGRAL2(J695,$B695,K694,J694,$B694,'Real Analysis'!$B$19)</f>
        <v>#VALUE!</v>
      </c>
      <c r="L695" t="e">
        <f>IF(AND(B695&lt;'Real Analysis'!$B$32,B695&gt;0),INTEGRAL2(K695,$B695,L694,K694,$B694,'Real Analysis'!$B$20),0)</f>
        <v>#VALUE!</v>
      </c>
      <c r="N695">
        <f>'Real Analysis'!$B$28*'Real Input'!U695+IF('Real Input'!U695 &gt; 0,'Real Analysis'!$B$29,0)</f>
        <v>-1.005042</v>
      </c>
      <c r="O695" t="e">
        <f t="shared" si="52"/>
        <v>#VALUE!</v>
      </c>
      <c r="P695" t="e">
        <f t="shared" si="53"/>
        <v>#VALUE!</v>
      </c>
    </row>
    <row r="696" spans="1:16" x14ac:dyDescent="0.3">
      <c r="A696">
        <v>694</v>
      </c>
      <c r="B696">
        <f>'Real Input'!M696</f>
        <v>14.912981999994372</v>
      </c>
      <c r="C696">
        <f ca="1">INDIRECT(CONCATENATE("'Real Input'!",'Real Analysis'!$B$2,A696+2))</f>
        <v>10.008740790000001</v>
      </c>
      <c r="D696">
        <f t="shared" si="51"/>
        <v>2.07209999935003E-2</v>
      </c>
      <c r="E696">
        <f ca="1">IF(B696&gt;0,C696-'Real Analysis'!$B$14,0)</f>
        <v>0.1522429876285738</v>
      </c>
      <c r="F696">
        <f t="shared" ca="1" si="54"/>
        <v>-0.1205859985174661</v>
      </c>
      <c r="G696">
        <f t="shared" ca="1" si="55"/>
        <v>-1.1405533607164184</v>
      </c>
      <c r="H696">
        <f ca="1">IF(AND(B696&gt;'Real Analysis'!$B$31,B696&lt;'Real Analysis'!$B$32),FilterInput(E696,'Real Analysis'!$B$26,'Real Analysis'!$B$27),0)</f>
        <v>0.1522429876285738</v>
      </c>
      <c r="I696" t="e">
        <f>MEDIAN2("Real Values",H696,'Real Analysis'!$B$5,2)</f>
        <v>#VALUE!</v>
      </c>
      <c r="J696" t="e">
        <f>AVERAGE2("Real Values",I696,'Real Analysis'!$B$6,2)</f>
        <v>#VALUE!</v>
      </c>
      <c r="K696" t="e">
        <f>INTEGRAL2(J696,$B696,K695,J695,$B695,'Real Analysis'!$B$19)</f>
        <v>#VALUE!</v>
      </c>
      <c r="L696" t="e">
        <f>IF(AND(B696&lt;'Real Analysis'!$B$32,B696&gt;0),INTEGRAL2(K696,$B696,L695,K695,$B695,'Real Analysis'!$B$20),0)</f>
        <v>#VALUE!</v>
      </c>
      <c r="N696">
        <f>'Real Analysis'!$B$28*'Real Input'!U696+IF('Real Input'!U696 &gt; 0,'Real Analysis'!$B$29,0)</f>
        <v>-1.003055</v>
      </c>
      <c r="O696" t="e">
        <f t="shared" si="52"/>
        <v>#VALUE!</v>
      </c>
      <c r="P696" t="e">
        <f t="shared" si="53"/>
        <v>#VALUE!</v>
      </c>
    </row>
    <row r="697" spans="1:16" x14ac:dyDescent="0.3">
      <c r="A697">
        <v>695</v>
      </c>
      <c r="B697">
        <f>'Real Input'!M697</f>
        <v>14.93114400000195</v>
      </c>
      <c r="C697">
        <f ca="1">INDIRECT(CONCATENATE("'Real Input'!",'Real Analysis'!$B$2,A697+2))</f>
        <v>9.8605215000000008</v>
      </c>
      <c r="D697">
        <f t="shared" si="51"/>
        <v>1.8162000007578172E-2</v>
      </c>
      <c r="E697">
        <f ca="1">IF(B697&gt;0,C697-'Real Analysis'!$B$14,0)</f>
        <v>4.0236976285736858E-3</v>
      </c>
      <c r="F697">
        <f t="shared" ca="1" si="54"/>
        <v>-0.12051292012110545</v>
      </c>
      <c r="G697">
        <f t="shared" ca="1" si="55"/>
        <v>-1.1427421163725713</v>
      </c>
      <c r="H697">
        <f ca="1">IF(AND(B697&gt;'Real Analysis'!$B$31,B697&lt;'Real Analysis'!$B$32),FilterInput(E697,'Real Analysis'!$B$26,'Real Analysis'!$B$27),0)</f>
        <v>4.0236976285736858E-3</v>
      </c>
      <c r="I697" t="e">
        <f>MEDIAN2("Real Values",H697,'Real Analysis'!$B$5,2)</f>
        <v>#VALUE!</v>
      </c>
      <c r="J697" t="e">
        <f>AVERAGE2("Real Values",I697,'Real Analysis'!$B$6,2)</f>
        <v>#VALUE!</v>
      </c>
      <c r="K697" t="e">
        <f>INTEGRAL2(J697,$B697,K696,J696,$B696,'Real Analysis'!$B$19)</f>
        <v>#VALUE!</v>
      </c>
      <c r="L697" t="e">
        <f>IF(AND(B697&lt;'Real Analysis'!$B$32,B697&gt;0),INTEGRAL2(K697,$B697,L696,K696,$B696,'Real Analysis'!$B$20),0)</f>
        <v>#VALUE!</v>
      </c>
      <c r="N697">
        <f>'Real Analysis'!$B$28*'Real Input'!U697+IF('Real Input'!U697 &gt; 0,'Real Analysis'!$B$29,0)</f>
        <v>-1.003055</v>
      </c>
      <c r="O697" t="e">
        <f t="shared" si="52"/>
        <v>#VALUE!</v>
      </c>
      <c r="P697" t="e">
        <f t="shared" si="53"/>
        <v>#VALUE!</v>
      </c>
    </row>
    <row r="698" spans="1:16" x14ac:dyDescent="0.3">
      <c r="A698">
        <v>696</v>
      </c>
      <c r="B698">
        <f>'Real Input'!M698</f>
        <v>14.952296999996179</v>
      </c>
      <c r="C698">
        <f ca="1">INDIRECT(CONCATENATE("'Real Input'!",'Real Analysis'!$B$2,A698+2))</f>
        <v>9.8098332300000006</v>
      </c>
      <c r="D698">
        <f t="shared" si="51"/>
        <v>2.1152999994228594E-2</v>
      </c>
      <c r="E698">
        <f ca="1">IF(B698&gt;0,C698-'Real Analysis'!$B$14,0)</f>
        <v>-4.6664572371426516E-2</v>
      </c>
      <c r="F698">
        <f t="shared" ca="1" si="54"/>
        <v>-0.12150001582020892</v>
      </c>
      <c r="G698">
        <f t="shared" ca="1" si="55"/>
        <v>-1.1453122062065149</v>
      </c>
      <c r="H698">
        <f ca="1">IF(AND(B698&gt;'Real Analysis'!$B$31,B698&lt;'Real Analysis'!$B$32),FilterInput(E698,'Real Analysis'!$B$26,'Real Analysis'!$B$27),0)</f>
        <v>-4.6664572371426516E-2</v>
      </c>
      <c r="I698" t="e">
        <f>MEDIAN2("Real Values",H698,'Real Analysis'!$B$5,2)</f>
        <v>#VALUE!</v>
      </c>
      <c r="J698" t="e">
        <f>AVERAGE2("Real Values",I698,'Real Analysis'!$B$6,2)</f>
        <v>#VALUE!</v>
      </c>
      <c r="K698" t="e">
        <f>INTEGRAL2(J698,$B698,K697,J697,$B697,'Real Analysis'!$B$19)</f>
        <v>#VALUE!</v>
      </c>
      <c r="L698" t="e">
        <f>IF(AND(B698&lt;'Real Analysis'!$B$32,B698&gt;0),INTEGRAL2(K698,$B698,L697,K697,$B697,'Real Analysis'!$B$20),0)</f>
        <v>#VALUE!</v>
      </c>
      <c r="N698">
        <f>'Real Analysis'!$B$28*'Real Input'!U698+IF('Real Input'!U698 &gt; 0,'Real Analysis'!$B$29,0)</f>
        <v>-1.0010680000000001</v>
      </c>
      <c r="O698" t="e">
        <f t="shared" si="52"/>
        <v>#VALUE!</v>
      </c>
      <c r="P698" t="e">
        <f t="shared" si="53"/>
        <v>#VALUE!</v>
      </c>
    </row>
    <row r="699" spans="1:16" x14ac:dyDescent="0.3">
      <c r="A699">
        <v>697</v>
      </c>
      <c r="B699">
        <f>'Real Input'!M699</f>
        <v>14.958132999992813</v>
      </c>
      <c r="C699">
        <f ca="1">INDIRECT(CONCATENATE("'Real Input'!",'Real Analysis'!$B$2,A699+2))</f>
        <v>9.8346525299999996</v>
      </c>
      <c r="D699">
        <f t="shared" si="51"/>
        <v>5.8359999966342002E-3</v>
      </c>
      <c r="E699">
        <f ca="1">IF(B699&gt;0,C699-'Real Analysis'!$B$14,0)</f>
        <v>-2.1845272371427527E-2</v>
      </c>
      <c r="F699">
        <f t="shared" ca="1" si="54"/>
        <v>-0.12162750482969505</v>
      </c>
      <c r="G699">
        <f t="shared" ca="1" si="55"/>
        <v>-1.1460220243242916</v>
      </c>
      <c r="H699">
        <f ca="1">IF(AND(B699&gt;'Real Analysis'!$B$31,B699&lt;'Real Analysis'!$B$32),FilterInput(E699,'Real Analysis'!$B$26,'Real Analysis'!$B$27),0)</f>
        <v>-2.1845272371427527E-2</v>
      </c>
      <c r="I699" t="e">
        <f>MEDIAN2("Real Values",H699,'Real Analysis'!$B$5,2)</f>
        <v>#VALUE!</v>
      </c>
      <c r="J699" t="e">
        <f>AVERAGE2("Real Values",I699,'Real Analysis'!$B$6,2)</f>
        <v>#VALUE!</v>
      </c>
      <c r="K699" t="e">
        <f>INTEGRAL2(J699,$B699,K698,J698,$B698,'Real Analysis'!$B$19)</f>
        <v>#VALUE!</v>
      </c>
      <c r="L699" t="e">
        <f>IF(AND(B699&lt;'Real Analysis'!$B$32,B699&gt;0),INTEGRAL2(K699,$B699,L698,K698,$B698,'Real Analysis'!$B$20),0)</f>
        <v>#VALUE!</v>
      </c>
      <c r="N699">
        <f>'Real Analysis'!$B$28*'Real Input'!U699+IF('Real Input'!U699 &gt; 0,'Real Analysis'!$B$29,0)</f>
        <v>-1.0010680000000001</v>
      </c>
      <c r="O699" t="e">
        <f t="shared" si="52"/>
        <v>#VALUE!</v>
      </c>
      <c r="P699" t="e">
        <f t="shared" si="53"/>
        <v>#VALUE!</v>
      </c>
    </row>
    <row r="700" spans="1:16" x14ac:dyDescent="0.3">
      <c r="A700">
        <v>698</v>
      </c>
      <c r="B700">
        <f>'Real Input'!M700</f>
        <v>14.990680999995675</v>
      </c>
      <c r="C700">
        <f ca="1">INDIRECT(CONCATENATE("'Real Input'!",'Real Analysis'!$B$2,A700+2))</f>
        <v>9.8851053600000007</v>
      </c>
      <c r="D700">
        <f t="shared" si="51"/>
        <v>3.2548000002861954E-2</v>
      </c>
      <c r="E700">
        <f ca="1">IF(B700&gt;0,C700-'Real Analysis'!$B$14,0)</f>
        <v>2.8607557628573588E-2</v>
      </c>
      <c r="F700">
        <f t="shared" ca="1" si="54"/>
        <v>-0.12069638604391836</v>
      </c>
      <c r="G700">
        <f t="shared" ca="1" si="55"/>
        <v>-1.1499504502975944</v>
      </c>
      <c r="H700">
        <f ca="1">IF(AND(B700&gt;'Real Analysis'!$B$31,B700&lt;'Real Analysis'!$B$32),FilterInput(E700,'Real Analysis'!$B$26,'Real Analysis'!$B$27),0)</f>
        <v>2.8607557628573588E-2</v>
      </c>
      <c r="I700" t="e">
        <f>MEDIAN2("Real Values",H700,'Real Analysis'!$B$5,2)</f>
        <v>#VALUE!</v>
      </c>
      <c r="J700" t="e">
        <f>AVERAGE2("Real Values",I700,'Real Analysis'!$B$6,2)</f>
        <v>#VALUE!</v>
      </c>
      <c r="K700" t="e">
        <f>INTEGRAL2(J700,$B700,K699,J699,$B699,'Real Analysis'!$B$19)</f>
        <v>#VALUE!</v>
      </c>
      <c r="L700" t="e">
        <f>IF(AND(B700&lt;'Real Analysis'!$B$32,B700&gt;0),INTEGRAL2(K700,$B700,L699,K699,$B699,'Real Analysis'!$B$20),0)</f>
        <v>#VALUE!</v>
      </c>
      <c r="N700">
        <f>'Real Analysis'!$B$28*'Real Input'!U700+IF('Real Input'!U700 &gt; 0,'Real Analysis'!$B$29,0)</f>
        <v>-1.0010680000000001</v>
      </c>
      <c r="O700" t="e">
        <f t="shared" si="52"/>
        <v>#VALUE!</v>
      </c>
      <c r="P700" t="e">
        <f t="shared" si="53"/>
        <v>#VALUE!</v>
      </c>
    </row>
    <row r="701" spans="1:16" x14ac:dyDescent="0.3">
      <c r="A701">
        <v>699</v>
      </c>
      <c r="B701">
        <f>'Real Input'!M701</f>
        <v>15.011146999997436</v>
      </c>
      <c r="C701">
        <f ca="1">INDIRECT(CONCATENATE("'Real Input'!",'Real Analysis'!$B$2,A701+2))</f>
        <v>10.118112480000001</v>
      </c>
      <c r="D701">
        <f t="shared" si="51"/>
        <v>2.0466000001761131E-2</v>
      </c>
      <c r="E701">
        <f ca="1">IF(B701&gt;0,C701-'Real Analysis'!$B$14,0)</f>
        <v>0.26161467762857349</v>
      </c>
      <c r="F701">
        <f t="shared" ca="1" si="54"/>
        <v>-0.11534218005111123</v>
      </c>
      <c r="G701">
        <f t="shared" ca="1" si="55"/>
        <v>-1.1523110433547235</v>
      </c>
      <c r="H701">
        <f ca="1">IF(AND(B701&gt;'Real Analysis'!$B$31,B701&lt;'Real Analysis'!$B$32),FilterInput(E701,'Real Analysis'!$B$26,'Real Analysis'!$B$27),0)</f>
        <v>0.26161467762857349</v>
      </c>
      <c r="I701" t="e">
        <f>MEDIAN2("Real Values",H701,'Real Analysis'!$B$5,2)</f>
        <v>#VALUE!</v>
      </c>
      <c r="J701" t="e">
        <f>AVERAGE2("Real Values",I701,'Real Analysis'!$B$6,2)</f>
        <v>#VALUE!</v>
      </c>
      <c r="K701" t="e">
        <f>INTEGRAL2(J701,$B701,K700,J700,$B700,'Real Analysis'!$B$19)</f>
        <v>#VALUE!</v>
      </c>
      <c r="L701" t="e">
        <f>IF(AND(B701&lt;'Real Analysis'!$B$32,B701&gt;0),INTEGRAL2(K701,$B701,L700,K700,$B700,'Real Analysis'!$B$20),0)</f>
        <v>#VALUE!</v>
      </c>
      <c r="N701">
        <f>'Real Analysis'!$B$28*'Real Input'!U701+IF('Real Input'!U701 &gt; 0,'Real Analysis'!$B$29,0)</f>
        <v>-1.003055</v>
      </c>
      <c r="O701" t="e">
        <f t="shared" si="52"/>
        <v>#VALUE!</v>
      </c>
      <c r="P701" t="e">
        <f t="shared" si="53"/>
        <v>#VALUE!</v>
      </c>
    </row>
    <row r="702" spans="1:16" x14ac:dyDescent="0.3">
      <c r="A702">
        <v>700</v>
      </c>
      <c r="B702">
        <f>'Real Input'!M702</f>
        <v>15.032527999996091</v>
      </c>
      <c r="C702">
        <f ca="1">INDIRECT(CONCATENATE("'Real Input'!",'Real Analysis'!$B$2,A702+2))</f>
        <v>10.29874401</v>
      </c>
      <c r="D702">
        <f t="shared" si="51"/>
        <v>2.138099999865517E-2</v>
      </c>
      <c r="E702">
        <f ca="1">IF(B702&gt;0,C702-'Real Analysis'!$B$14,0)</f>
        <v>0.44224620762857292</v>
      </c>
      <c r="F702">
        <f t="shared" ca="1" si="54"/>
        <v>-0.10588651388639946</v>
      </c>
      <c r="G702">
        <f t="shared" ca="1" si="55"/>
        <v>-1.1545750029079862</v>
      </c>
      <c r="H702">
        <f ca="1">IF(AND(B702&gt;'Real Analysis'!$B$31,B702&lt;'Real Analysis'!$B$32),FilterInput(E702,'Real Analysis'!$B$26,'Real Analysis'!$B$27),0)</f>
        <v>0.44224620762857292</v>
      </c>
      <c r="I702" t="e">
        <f>MEDIAN2("Real Values",H702,'Real Analysis'!$B$5,2)</f>
        <v>#VALUE!</v>
      </c>
      <c r="J702" t="e">
        <f>AVERAGE2("Real Values",I702,'Real Analysis'!$B$6,2)</f>
        <v>#VALUE!</v>
      </c>
      <c r="K702" t="e">
        <f>INTEGRAL2(J702,$B702,K701,J701,$B701,'Real Analysis'!$B$19)</f>
        <v>#VALUE!</v>
      </c>
      <c r="L702" t="e">
        <f>IF(AND(B702&lt;'Real Analysis'!$B$32,B702&gt;0),INTEGRAL2(K702,$B702,L701,K701,$B701,'Real Analysis'!$B$20),0)</f>
        <v>#VALUE!</v>
      </c>
      <c r="N702">
        <f>'Real Analysis'!$B$28*'Real Input'!U702+IF('Real Input'!U702 &gt; 0,'Real Analysis'!$B$29,0)</f>
        <v>-1.003055</v>
      </c>
      <c r="O702" t="e">
        <f t="shared" si="52"/>
        <v>#VALUE!</v>
      </c>
      <c r="P702" t="e">
        <f t="shared" si="53"/>
        <v>#VALUE!</v>
      </c>
    </row>
    <row r="703" spans="1:16" x14ac:dyDescent="0.3">
      <c r="A703">
        <v>701</v>
      </c>
      <c r="B703">
        <f>'Real Input'!M703</f>
        <v>15.048139999998966</v>
      </c>
      <c r="C703">
        <f ca="1">INDIRECT(CONCATENATE("'Real Input'!",'Real Analysis'!$B$2,A703+2))</f>
        <v>10.093783680000001</v>
      </c>
      <c r="D703">
        <f t="shared" si="51"/>
        <v>1.5612000002874993E-2</v>
      </c>
      <c r="E703">
        <f ca="1">IF(B703&gt;0,C703-'Real Analysis'!$B$14,0)</f>
        <v>0.23728587762857423</v>
      </c>
      <c r="F703">
        <f t="shared" ca="1" si="54"/>
        <v>-0.10218200676417996</v>
      </c>
      <c r="G703">
        <f t="shared" ca="1" si="55"/>
        <v>-1.1561702683978823</v>
      </c>
      <c r="H703">
        <f ca="1">IF(AND(B703&gt;'Real Analysis'!$B$31,B703&lt;'Real Analysis'!$B$32),FilterInput(E703,'Real Analysis'!$B$26,'Real Analysis'!$B$27),0)</f>
        <v>0.23728587762857423</v>
      </c>
      <c r="I703" t="e">
        <f>MEDIAN2("Real Values",H703,'Real Analysis'!$B$5,2)</f>
        <v>#VALUE!</v>
      </c>
      <c r="J703" t="e">
        <f>AVERAGE2("Real Values",I703,'Real Analysis'!$B$6,2)</f>
        <v>#VALUE!</v>
      </c>
      <c r="K703" t="e">
        <f>INTEGRAL2(J703,$B703,K702,J702,$B702,'Real Analysis'!$B$19)</f>
        <v>#VALUE!</v>
      </c>
      <c r="L703" t="e">
        <f>IF(AND(B703&lt;'Real Analysis'!$B$32,B703&gt;0),INTEGRAL2(K703,$B703,L702,K702,$B702,'Real Analysis'!$B$20),0)</f>
        <v>#VALUE!</v>
      </c>
      <c r="N703">
        <f>'Real Analysis'!$B$28*'Real Input'!U703+IF('Real Input'!U703 &gt; 0,'Real Analysis'!$B$29,0)</f>
        <v>-1.003055</v>
      </c>
      <c r="O703" t="e">
        <f t="shared" si="52"/>
        <v>#VALUE!</v>
      </c>
      <c r="P703" t="e">
        <f t="shared" si="53"/>
        <v>#VALUE!</v>
      </c>
    </row>
    <row r="704" spans="1:16" x14ac:dyDescent="0.3">
      <c r="A704">
        <v>702</v>
      </c>
      <c r="B704">
        <f>'Real Input'!M704</f>
        <v>15.066653999994742</v>
      </c>
      <c r="C704">
        <f ca="1">INDIRECT(CONCATENATE("'Real Input'!",'Real Analysis'!$B$2,A704+2))</f>
        <v>9.9599164200000008</v>
      </c>
      <c r="D704">
        <f t="shared" si="51"/>
        <v>1.8513999995775521E-2</v>
      </c>
      <c r="E704">
        <f ca="1">IF(B704&gt;0,C704-'Real Analysis'!$B$14,0)</f>
        <v>0.10341861762857363</v>
      </c>
      <c r="F704">
        <f t="shared" ca="1" si="54"/>
        <v>-0.10026731447784144</v>
      </c>
      <c r="G704">
        <f t="shared" ca="1" si="55"/>
        <v>-1.1580266174577014</v>
      </c>
      <c r="H704">
        <f ca="1">IF(AND(B704&gt;'Real Analysis'!$B$31,B704&lt;'Real Analysis'!$B$32),FilterInput(E704,'Real Analysis'!$B$26,'Real Analysis'!$B$27),0)</f>
        <v>0.10341861762857363</v>
      </c>
      <c r="I704" t="e">
        <f>MEDIAN2("Real Values",H704,'Real Analysis'!$B$5,2)</f>
        <v>#VALUE!</v>
      </c>
      <c r="J704" t="e">
        <f>AVERAGE2("Real Values",I704,'Real Analysis'!$B$6,2)</f>
        <v>#VALUE!</v>
      </c>
      <c r="K704" t="e">
        <f>INTEGRAL2(J704,$B704,K703,J703,$B703,'Real Analysis'!$B$19)</f>
        <v>#VALUE!</v>
      </c>
      <c r="L704" t="e">
        <f>IF(AND(B704&lt;'Real Analysis'!$B$32,B704&gt;0),INTEGRAL2(K704,$B704,L703,K703,$B703,'Real Analysis'!$B$20),0)</f>
        <v>#VALUE!</v>
      </c>
      <c r="N704">
        <f>'Real Analysis'!$B$28*'Real Input'!U704+IF('Real Input'!U704 &gt; 0,'Real Analysis'!$B$29,0)</f>
        <v>-1.003055</v>
      </c>
      <c r="O704" t="e">
        <f t="shared" si="52"/>
        <v>#VALUE!</v>
      </c>
      <c r="P704" t="e">
        <f t="shared" si="53"/>
        <v>#VALUE!</v>
      </c>
    </row>
    <row r="705" spans="1:16" x14ac:dyDescent="0.3">
      <c r="A705">
        <v>703</v>
      </c>
      <c r="B705">
        <f>'Real Input'!M705</f>
        <v>15.078278000000864</v>
      </c>
      <c r="C705">
        <f ca="1">INDIRECT(CONCATENATE("'Real Input'!",'Real Analysis'!$B$2,A705+2))</f>
        <v>9.9287892899999992</v>
      </c>
      <c r="D705">
        <f t="shared" si="51"/>
        <v>1.1624000006122515E-2</v>
      </c>
      <c r="E705">
        <f ca="1">IF(B705&gt;0,C705-'Real Analysis'!$B$14,0)</f>
        <v>7.2291487628572071E-2</v>
      </c>
      <c r="F705">
        <f t="shared" ca="1" si="54"/>
        <v>-9.9426998225204316E-2</v>
      </c>
      <c r="G705">
        <f t="shared" ca="1" si="55"/>
        <v>-1.1591823568856798</v>
      </c>
      <c r="H705">
        <f ca="1">IF(AND(B705&gt;'Real Analysis'!$B$31,B705&lt;'Real Analysis'!$B$32),FilterInput(E705,'Real Analysis'!$B$26,'Real Analysis'!$B$27),0)</f>
        <v>7.2291487628572071E-2</v>
      </c>
      <c r="I705" t="e">
        <f>MEDIAN2("Real Values",H705,'Real Analysis'!$B$5,2)</f>
        <v>#VALUE!</v>
      </c>
      <c r="J705" t="e">
        <f>AVERAGE2("Real Values",I705,'Real Analysis'!$B$6,2)</f>
        <v>#VALUE!</v>
      </c>
      <c r="K705" t="e">
        <f>INTEGRAL2(J705,$B705,K704,J704,$B704,'Real Analysis'!$B$19)</f>
        <v>#VALUE!</v>
      </c>
      <c r="L705" t="e">
        <f>IF(AND(B705&lt;'Real Analysis'!$B$32,B705&gt;0),INTEGRAL2(K705,$B705,L704,K704,$B704,'Real Analysis'!$B$20),0)</f>
        <v>#VALUE!</v>
      </c>
      <c r="N705">
        <f>'Real Analysis'!$B$28*'Real Input'!U705+IF('Real Input'!U705 &gt; 0,'Real Analysis'!$B$29,0)</f>
        <v>-1.003055</v>
      </c>
      <c r="O705" t="e">
        <f t="shared" si="52"/>
        <v>#VALUE!</v>
      </c>
      <c r="P705" t="e">
        <f t="shared" si="53"/>
        <v>#VALUE!</v>
      </c>
    </row>
    <row r="706" spans="1:16" x14ac:dyDescent="0.3">
      <c r="A706">
        <v>704</v>
      </c>
      <c r="B706">
        <f>'Real Input'!M706</f>
        <v>15.109525000007125</v>
      </c>
      <c r="C706">
        <f ca="1">INDIRECT(CONCATENATE("'Real Input'!",'Real Analysis'!$B$2,A706+2))</f>
        <v>10.00506204</v>
      </c>
      <c r="D706">
        <f t="shared" si="51"/>
        <v>3.124700000626035E-2</v>
      </c>
      <c r="E706">
        <f ca="1">IF(B706&gt;0,C706-'Real Analysis'!$B$14,0)</f>
        <v>0.14856423762857318</v>
      </c>
      <c r="F706">
        <f t="shared" ca="1" si="54"/>
        <v>-9.4784811491094231E-2</v>
      </c>
      <c r="G706">
        <f t="shared" ca="1" si="55"/>
        <v>-1.1621440978909354</v>
      </c>
      <c r="H706">
        <f ca="1">IF(AND(B706&gt;'Real Analysis'!$B$31,B706&lt;'Real Analysis'!$B$32),FilterInput(E706,'Real Analysis'!$B$26,'Real Analysis'!$B$27),0)</f>
        <v>0.14856423762857318</v>
      </c>
      <c r="I706" t="e">
        <f>MEDIAN2("Real Values",H706,'Real Analysis'!$B$5,2)</f>
        <v>#VALUE!</v>
      </c>
      <c r="J706" t="e">
        <f>AVERAGE2("Real Values",I706,'Real Analysis'!$B$6,2)</f>
        <v>#VALUE!</v>
      </c>
      <c r="K706" t="e">
        <f>INTEGRAL2(J706,$B706,K705,J705,$B705,'Real Analysis'!$B$19)</f>
        <v>#VALUE!</v>
      </c>
      <c r="L706" t="e">
        <f>IF(AND(B706&lt;'Real Analysis'!$B$32,B706&gt;0),INTEGRAL2(K706,$B706,L705,K705,$B705,'Real Analysis'!$B$20),0)</f>
        <v>#VALUE!</v>
      </c>
      <c r="N706">
        <f>'Real Analysis'!$B$28*'Real Input'!U706+IF('Real Input'!U706 &gt; 0,'Real Analysis'!$B$29,0)</f>
        <v>-1.003055</v>
      </c>
      <c r="O706" t="e">
        <f t="shared" si="52"/>
        <v>#VALUE!</v>
      </c>
      <c r="P706" t="e">
        <f t="shared" si="53"/>
        <v>#VALUE!</v>
      </c>
    </row>
    <row r="707" spans="1:16" x14ac:dyDescent="0.3">
      <c r="A707">
        <v>705</v>
      </c>
      <c r="B707">
        <f>'Real Input'!M707</f>
        <v>15.129438000003574</v>
      </c>
      <c r="C707">
        <f ca="1">INDIRECT(CONCATENATE("'Real Input'!",'Real Analysis'!$B$2,A707+2))</f>
        <v>10.18318221</v>
      </c>
      <c r="D707">
        <f t="shared" ref="D707:D770" si="56">B707-B706</f>
        <v>1.9912999996449798E-2</v>
      </c>
      <c r="E707">
        <f ca="1">IF(B707&gt;0,C707-'Real Analysis'!$B$14,0)</f>
        <v>0.32668440762857287</v>
      </c>
      <c r="F707">
        <f t="shared" ca="1" si="54"/>
        <v>-8.8279544883146252E-2</v>
      </c>
      <c r="G707">
        <f t="shared" ca="1" si="55"/>
        <v>-1.1639020084678802</v>
      </c>
      <c r="H707">
        <f ca="1">IF(AND(B707&gt;'Real Analysis'!$B$31,B707&lt;'Real Analysis'!$B$32),FilterInput(E707,'Real Analysis'!$B$26,'Real Analysis'!$B$27),0)</f>
        <v>0.32668440762857287</v>
      </c>
      <c r="I707" t="e">
        <f>MEDIAN2("Real Values",H707,'Real Analysis'!$B$5,2)</f>
        <v>#VALUE!</v>
      </c>
      <c r="J707" t="e">
        <f>AVERAGE2("Real Values",I707,'Real Analysis'!$B$6,2)</f>
        <v>#VALUE!</v>
      </c>
      <c r="K707" t="e">
        <f>INTEGRAL2(J707,$B707,K706,J706,$B706,'Real Analysis'!$B$19)</f>
        <v>#VALUE!</v>
      </c>
      <c r="L707" t="e">
        <f>IF(AND(B707&lt;'Real Analysis'!$B$32,B707&gt;0),INTEGRAL2(K707,$B707,L706,K706,$B706,'Real Analysis'!$B$20),0)</f>
        <v>#VALUE!</v>
      </c>
      <c r="N707">
        <f>'Real Analysis'!$B$28*'Real Input'!U707+IF('Real Input'!U707 &gt; 0,'Real Analysis'!$B$29,0)</f>
        <v>-1.003055</v>
      </c>
      <c r="O707" t="e">
        <f t="shared" ref="O707:O770" si="57">_xlfn.COVARIANCE.P($L$102:$L$1200,N707:N1805)</f>
        <v>#VALUE!</v>
      </c>
      <c r="P707" t="e">
        <f t="shared" ref="P707:P770" si="58">N707-L707</f>
        <v>#VALUE!</v>
      </c>
    </row>
    <row r="708" spans="1:16" x14ac:dyDescent="0.3">
      <c r="A708">
        <v>706</v>
      </c>
      <c r="B708">
        <f>'Real Input'!M708</f>
        <v>15.149376000001212</v>
      </c>
      <c r="C708">
        <f ca="1">INDIRECT(CONCATENATE("'Real Input'!",'Real Analysis'!$B$2,A708+2))</f>
        <v>10.210424580000002</v>
      </c>
      <c r="D708">
        <f t="shared" si="56"/>
        <v>1.9937999997637235E-2</v>
      </c>
      <c r="E708">
        <f ca="1">IF(B708&gt;0,C708-'Real Analysis'!$B$14,0)</f>
        <v>0.35392677762857438</v>
      </c>
      <c r="F708">
        <f t="shared" ref="F708:F771" ca="1" si="59">IF(B708&gt;0,F707+E708*$D708,0)</f>
        <v>-8.1222952791623976E-2</v>
      </c>
      <c r="G708">
        <f t="shared" ca="1" si="55"/>
        <v>-1.1655214317004476</v>
      </c>
      <c r="H708">
        <f ca="1">IF(AND(B708&gt;'Real Analysis'!$B$31,B708&lt;'Real Analysis'!$B$32),FilterInput(E708,'Real Analysis'!$B$26,'Real Analysis'!$B$27),0)</f>
        <v>0.35392677762857438</v>
      </c>
      <c r="I708" t="e">
        <f>MEDIAN2("Real Values",H708,'Real Analysis'!$B$5,2)</f>
        <v>#VALUE!</v>
      </c>
      <c r="J708" t="e">
        <f>AVERAGE2("Real Values",I708,'Real Analysis'!$B$6,2)</f>
        <v>#VALUE!</v>
      </c>
      <c r="K708" t="e">
        <f>INTEGRAL2(J708,$B708,K707,J707,$B707,'Real Analysis'!$B$19)</f>
        <v>#VALUE!</v>
      </c>
      <c r="L708" t="e">
        <f>IF(AND(B708&lt;'Real Analysis'!$B$32,B708&gt;0),INTEGRAL2(K708,$B708,L707,K707,$B707,'Real Analysis'!$B$20),0)</f>
        <v>#VALUE!</v>
      </c>
      <c r="N708">
        <f>'Real Analysis'!$B$28*'Real Input'!U708+IF('Real Input'!U708 &gt; 0,'Real Analysis'!$B$29,0)</f>
        <v>-0.999081</v>
      </c>
      <c r="O708" t="e">
        <f t="shared" si="57"/>
        <v>#VALUE!</v>
      </c>
      <c r="P708" t="e">
        <f t="shared" si="58"/>
        <v>#VALUE!</v>
      </c>
    </row>
    <row r="709" spans="1:16" x14ac:dyDescent="0.3">
      <c r="A709">
        <v>707</v>
      </c>
      <c r="B709">
        <f>'Real Input'!M709</f>
        <v>15.171973999997135</v>
      </c>
      <c r="C709">
        <f ca="1">INDIRECT(CONCATENATE("'Real Input'!",'Real Analysis'!$B$2,A709+2))</f>
        <v>10.193571</v>
      </c>
      <c r="D709">
        <f t="shared" si="56"/>
        <v>2.2597999995923601E-2</v>
      </c>
      <c r="E709">
        <f ca="1">IF(B709&gt;0,C709-'Real Analysis'!$B$14,0)</f>
        <v>0.33707319762857324</v>
      </c>
      <c r="F709">
        <f t="shared" ca="1" si="59"/>
        <v>-7.3605772672987527E-2</v>
      </c>
      <c r="G709">
        <f t="shared" ca="1" si="55"/>
        <v>-1.1671847749510118</v>
      </c>
      <c r="H709">
        <f ca="1">IF(AND(B709&gt;'Real Analysis'!$B$31,B709&lt;'Real Analysis'!$B$32),FilterInput(E709,'Real Analysis'!$B$26,'Real Analysis'!$B$27),0)</f>
        <v>0.33707319762857324</v>
      </c>
      <c r="I709" t="e">
        <f>MEDIAN2("Real Values",H709,'Real Analysis'!$B$5,2)</f>
        <v>#VALUE!</v>
      </c>
      <c r="J709" t="e">
        <f>AVERAGE2("Real Values",I709,'Real Analysis'!$B$6,2)</f>
        <v>#VALUE!</v>
      </c>
      <c r="K709" t="e">
        <f>INTEGRAL2(J709,$B709,K708,J708,$B708,'Real Analysis'!$B$19)</f>
        <v>#VALUE!</v>
      </c>
      <c r="L709" t="e">
        <f>IF(AND(B709&lt;'Real Analysis'!$B$32,B709&gt;0),INTEGRAL2(K709,$B709,L708,K708,$B708,'Real Analysis'!$B$20),0)</f>
        <v>#VALUE!</v>
      </c>
      <c r="N709">
        <f>'Real Analysis'!$B$28*'Real Input'!U709+IF('Real Input'!U709 &gt; 0,'Real Analysis'!$B$29,0)</f>
        <v>-0.999081</v>
      </c>
      <c r="O709" t="e">
        <f t="shared" si="57"/>
        <v>#VALUE!</v>
      </c>
      <c r="P709" t="e">
        <f t="shared" si="58"/>
        <v>#VALUE!</v>
      </c>
    </row>
    <row r="710" spans="1:16" x14ac:dyDescent="0.3">
      <c r="A710">
        <v>708</v>
      </c>
      <c r="B710">
        <f>'Real Input'!M710</f>
        <v>15.187661000003573</v>
      </c>
      <c r="C710">
        <f ca="1">INDIRECT(CONCATENATE("'Real Input'!",'Real Analysis'!$B$2,A710+2))</f>
        <v>10.0014912</v>
      </c>
      <c r="D710">
        <f t="shared" si="56"/>
        <v>1.5687000006437302E-2</v>
      </c>
      <c r="E710">
        <f ca="1">IF(B710&gt;0,C710-'Real Analysis'!$B$14,0)</f>
        <v>0.14499339762857311</v>
      </c>
      <c r="F710">
        <f t="shared" ca="1" si="59"/>
        <v>-7.1331261243454736E-2</v>
      </c>
      <c r="G710">
        <f t="shared" ca="1" si="55"/>
        <v>-1.168303748446597</v>
      </c>
      <c r="H710">
        <f ca="1">IF(AND(B710&gt;'Real Analysis'!$B$31,B710&lt;'Real Analysis'!$B$32),FilterInput(E710,'Real Analysis'!$B$26,'Real Analysis'!$B$27),0)</f>
        <v>0.14499339762857311</v>
      </c>
      <c r="I710" t="e">
        <f>MEDIAN2("Real Values",H710,'Real Analysis'!$B$5,2)</f>
        <v>#VALUE!</v>
      </c>
      <c r="J710" t="e">
        <f>AVERAGE2("Real Values",I710,'Real Analysis'!$B$6,2)</f>
        <v>#VALUE!</v>
      </c>
      <c r="K710" t="e">
        <f>INTEGRAL2(J710,$B710,K709,J709,$B709,'Real Analysis'!$B$19)</f>
        <v>#VALUE!</v>
      </c>
      <c r="L710" t="e">
        <f>IF(AND(B710&lt;'Real Analysis'!$B$32,B710&gt;0),INTEGRAL2(K710,$B710,L709,K709,$B709,'Real Analysis'!$B$20),0)</f>
        <v>#VALUE!</v>
      </c>
      <c r="N710">
        <f>'Real Analysis'!$B$28*'Real Input'!U710+IF('Real Input'!U710 &gt; 0,'Real Analysis'!$B$29,0)</f>
        <v>-0.99709399999999992</v>
      </c>
      <c r="O710" t="e">
        <f t="shared" si="57"/>
        <v>#VALUE!</v>
      </c>
      <c r="P710" t="e">
        <f t="shared" si="58"/>
        <v>#VALUE!</v>
      </c>
    </row>
    <row r="711" spans="1:16" x14ac:dyDescent="0.3">
      <c r="A711">
        <v>709</v>
      </c>
      <c r="B711">
        <f>'Real Input'!M711</f>
        <v>15.21059800000512</v>
      </c>
      <c r="C711">
        <f ca="1">INDIRECT(CONCATENATE("'Real Input'!",'Real Analysis'!$B$2,A711+2))</f>
        <v>10.000157040000001</v>
      </c>
      <c r="D711">
        <f t="shared" si="56"/>
        <v>2.2937000001547858E-2</v>
      </c>
      <c r="E711">
        <f ca="1">IF(B711&gt;0,C711-'Real Analysis'!$B$14,0)</f>
        <v>0.14365923762857413</v>
      </c>
      <c r="F711">
        <f t="shared" ca="1" si="59"/>
        <v>-6.8036149309745761E-2</v>
      </c>
      <c r="G711">
        <f t="shared" ca="1" si="55"/>
        <v>-1.16986429360342</v>
      </c>
      <c r="H711">
        <f ca="1">IF(AND(B711&gt;'Real Analysis'!$B$31,B711&lt;'Real Analysis'!$B$32),FilterInput(E711,'Real Analysis'!$B$26,'Real Analysis'!$B$27),0)</f>
        <v>0.14365923762857413</v>
      </c>
      <c r="I711" t="e">
        <f>MEDIAN2("Real Values",H711,'Real Analysis'!$B$5,2)</f>
        <v>#VALUE!</v>
      </c>
      <c r="J711" t="e">
        <f>AVERAGE2("Real Values",I711,'Real Analysis'!$B$6,2)</f>
        <v>#VALUE!</v>
      </c>
      <c r="K711" t="e">
        <f>INTEGRAL2(J711,$B711,K710,J710,$B710,'Real Analysis'!$B$19)</f>
        <v>#VALUE!</v>
      </c>
      <c r="L711" t="e">
        <f>IF(AND(B711&lt;'Real Analysis'!$B$32,B711&gt;0),INTEGRAL2(K711,$B711,L710,K710,$B710,'Real Analysis'!$B$20),0)</f>
        <v>#VALUE!</v>
      </c>
      <c r="N711">
        <f>'Real Analysis'!$B$28*'Real Input'!U711+IF('Real Input'!U711 &gt; 0,'Real Analysis'!$B$29,0)</f>
        <v>-0.99709399999999992</v>
      </c>
      <c r="O711" t="e">
        <f t="shared" si="57"/>
        <v>#VALUE!</v>
      </c>
      <c r="P711" t="e">
        <f t="shared" si="58"/>
        <v>#VALUE!</v>
      </c>
    </row>
    <row r="712" spans="1:16" x14ac:dyDescent="0.3">
      <c r="A712">
        <v>710</v>
      </c>
      <c r="B712">
        <f>'Real Input'!M712</f>
        <v>15.227759000001242</v>
      </c>
      <c r="C712">
        <f ca="1">INDIRECT(CONCATENATE("'Real Input'!",'Real Analysis'!$B$2,A712+2))</f>
        <v>10.00419876</v>
      </c>
      <c r="D712">
        <f t="shared" si="56"/>
        <v>1.7160999996121973E-2</v>
      </c>
      <c r="E712">
        <f ca="1">IF(B712&gt;0,C712-'Real Analysis'!$B$14,0)</f>
        <v>0.14770095762857238</v>
      </c>
      <c r="F712">
        <f t="shared" ca="1" si="59"/>
        <v>-6.5501453176454616E-2</v>
      </c>
      <c r="G712">
        <f t="shared" ca="1" si="55"/>
        <v>-1.1709883640411272</v>
      </c>
      <c r="H712">
        <f ca="1">IF(AND(B712&gt;'Real Analysis'!$B$31,B712&lt;'Real Analysis'!$B$32),FilterInput(E712,'Real Analysis'!$B$26,'Real Analysis'!$B$27),0)</f>
        <v>0.14770095762857238</v>
      </c>
      <c r="I712" t="e">
        <f>MEDIAN2("Real Values",H712,'Real Analysis'!$B$5,2)</f>
        <v>#VALUE!</v>
      </c>
      <c r="J712" t="e">
        <f>AVERAGE2("Real Values",I712,'Real Analysis'!$B$6,2)</f>
        <v>#VALUE!</v>
      </c>
      <c r="K712" t="e">
        <f>INTEGRAL2(J712,$B712,K711,J711,$B711,'Real Analysis'!$B$19)</f>
        <v>#VALUE!</v>
      </c>
      <c r="L712" t="e">
        <f>IF(AND(B712&lt;'Real Analysis'!$B$32,B712&gt;0),INTEGRAL2(K712,$B712,L711,K711,$B711,'Real Analysis'!$B$20),0)</f>
        <v>#VALUE!</v>
      </c>
      <c r="N712">
        <f>'Real Analysis'!$B$28*'Real Input'!U712+IF('Real Input'!U712 &gt; 0,'Real Analysis'!$B$29,0)</f>
        <v>-0.99709399999999992</v>
      </c>
      <c r="O712" t="e">
        <f t="shared" si="57"/>
        <v>#VALUE!</v>
      </c>
      <c r="P712" t="e">
        <f t="shared" si="58"/>
        <v>#VALUE!</v>
      </c>
    </row>
    <row r="713" spans="1:16" x14ac:dyDescent="0.3">
      <c r="A713">
        <v>711</v>
      </c>
      <c r="B713">
        <f>'Real Input'!M713</f>
        <v>15.244133000000147</v>
      </c>
      <c r="C713">
        <f ca="1">INDIRECT(CONCATENATE("'Real Input'!",'Real Analysis'!$B$2,A713+2))</f>
        <v>9.8895689099999995</v>
      </c>
      <c r="D713">
        <f t="shared" si="56"/>
        <v>1.6373999998904765E-2</v>
      </c>
      <c r="E713">
        <f ca="1">IF(B713&gt;0,C713-'Real Analysis'!$B$14,0)</f>
        <v>3.3071107628572349E-2</v>
      </c>
      <c r="F713">
        <f t="shared" ca="1" si="59"/>
        <v>-6.4959946860180598E-2</v>
      </c>
      <c r="G713">
        <f t="shared" ca="1" si="55"/>
        <v>-1.1720520182109446</v>
      </c>
      <c r="H713">
        <f ca="1">IF(AND(B713&gt;'Real Analysis'!$B$31,B713&lt;'Real Analysis'!$B$32),FilterInput(E713,'Real Analysis'!$B$26,'Real Analysis'!$B$27),0)</f>
        <v>3.3071107628572349E-2</v>
      </c>
      <c r="I713" t="e">
        <f>MEDIAN2("Real Values",H713,'Real Analysis'!$B$5,2)</f>
        <v>#VALUE!</v>
      </c>
      <c r="J713" t="e">
        <f>AVERAGE2("Real Values",I713,'Real Analysis'!$B$6,2)</f>
        <v>#VALUE!</v>
      </c>
      <c r="K713" t="e">
        <f>INTEGRAL2(J713,$B713,K712,J712,$B712,'Real Analysis'!$B$19)</f>
        <v>#VALUE!</v>
      </c>
      <c r="L713" t="e">
        <f>IF(AND(B713&lt;'Real Analysis'!$B$32,B713&gt;0),INTEGRAL2(K713,$B713,L712,K712,$B712,'Real Analysis'!$B$20),0)</f>
        <v>#VALUE!</v>
      </c>
      <c r="N713">
        <f>'Real Analysis'!$B$28*'Real Input'!U713+IF('Real Input'!U713 &gt; 0,'Real Analysis'!$B$29,0)</f>
        <v>-0.99510699999999996</v>
      </c>
      <c r="O713" t="e">
        <f t="shared" si="57"/>
        <v>#VALUE!</v>
      </c>
      <c r="P713" t="e">
        <f t="shared" si="58"/>
        <v>#VALUE!</v>
      </c>
    </row>
    <row r="714" spans="1:16" x14ac:dyDescent="0.3">
      <c r="A714">
        <v>712</v>
      </c>
      <c r="B714">
        <f>'Real Input'!M714</f>
        <v>15.269520999994711</v>
      </c>
      <c r="C714">
        <f ca="1">INDIRECT(CONCATENATE("'Real Input'!",'Real Analysis'!$B$2,A714+2))</f>
        <v>9.9744646499999998</v>
      </c>
      <c r="D714">
        <f t="shared" si="56"/>
        <v>2.538799999456387E-2</v>
      </c>
      <c r="E714">
        <f ca="1">IF(B714&gt;0,C714-'Real Analysis'!$B$14,0)</f>
        <v>0.11796684762857268</v>
      </c>
      <c r="F714">
        <f t="shared" ca="1" si="59"/>
        <v>-6.1965004533227674E-2</v>
      </c>
      <c r="G714">
        <f t="shared" ca="1" si="55"/>
        <v>-1.1736251857456974</v>
      </c>
      <c r="H714">
        <f ca="1">IF(AND(B714&gt;'Real Analysis'!$B$31,B714&lt;'Real Analysis'!$B$32),FilterInput(E714,'Real Analysis'!$B$26,'Real Analysis'!$B$27),0)</f>
        <v>0.11796684762857268</v>
      </c>
      <c r="I714" t="e">
        <f>MEDIAN2("Real Values",H714,'Real Analysis'!$B$5,2)</f>
        <v>#VALUE!</v>
      </c>
      <c r="J714" t="e">
        <f>AVERAGE2("Real Values",I714,'Real Analysis'!$B$6,2)</f>
        <v>#VALUE!</v>
      </c>
      <c r="K714" t="e">
        <f>INTEGRAL2(J714,$B714,K713,J713,$B713,'Real Analysis'!$B$19)</f>
        <v>#VALUE!</v>
      </c>
      <c r="L714" t="e">
        <f>IF(AND(B714&lt;'Real Analysis'!$B$32,B714&gt;0),INTEGRAL2(K714,$B714,L713,K713,$B713,'Real Analysis'!$B$20),0)</f>
        <v>#VALUE!</v>
      </c>
      <c r="N714">
        <f>'Real Analysis'!$B$28*'Real Input'!U714+IF('Real Input'!U714 &gt; 0,'Real Analysis'!$B$29,0)</f>
        <v>-0.99510699999999996</v>
      </c>
      <c r="O714" t="e">
        <f t="shared" si="57"/>
        <v>#VALUE!</v>
      </c>
      <c r="P714" t="e">
        <f t="shared" si="58"/>
        <v>#VALUE!</v>
      </c>
    </row>
    <row r="715" spans="1:16" x14ac:dyDescent="0.3">
      <c r="A715">
        <v>713</v>
      </c>
      <c r="B715">
        <f>'Real Input'!M715</f>
        <v>15.280324999999721</v>
      </c>
      <c r="C715">
        <f ca="1">INDIRECT(CONCATENATE("'Real Input'!",'Real Analysis'!$B$2,A715+2))</f>
        <v>9.9708839999999999</v>
      </c>
      <c r="D715">
        <f t="shared" si="56"/>
        <v>1.0804000005009584E-2</v>
      </c>
      <c r="E715">
        <f ca="1">IF(B715&gt;0,C715-'Real Analysis'!$B$14,0)</f>
        <v>0.11438619762857272</v>
      </c>
      <c r="F715">
        <f t="shared" ca="1" si="59"/>
        <v>-6.0729176053475546E-2</v>
      </c>
      <c r="G715">
        <f t="shared" ca="1" si="55"/>
        <v>-1.1742813037640834</v>
      </c>
      <c r="H715">
        <f ca="1">IF(AND(B715&gt;'Real Analysis'!$B$31,B715&lt;'Real Analysis'!$B$32),FilterInput(E715,'Real Analysis'!$B$26,'Real Analysis'!$B$27),0)</f>
        <v>0.11438619762857272</v>
      </c>
      <c r="I715" t="e">
        <f>MEDIAN2("Real Values",H715,'Real Analysis'!$B$5,2)</f>
        <v>#VALUE!</v>
      </c>
      <c r="J715" t="e">
        <f>AVERAGE2("Real Values",I715,'Real Analysis'!$B$6,2)</f>
        <v>#VALUE!</v>
      </c>
      <c r="K715" t="e">
        <f>INTEGRAL2(J715,$B715,K714,J714,$B714,'Real Analysis'!$B$19)</f>
        <v>#VALUE!</v>
      </c>
      <c r="L715" t="e">
        <f>IF(AND(B715&lt;'Real Analysis'!$B$32,B715&gt;0),INTEGRAL2(K715,$B715,L714,K714,$B714,'Real Analysis'!$B$20),0)</f>
        <v>#VALUE!</v>
      </c>
      <c r="N715">
        <f>'Real Analysis'!$B$28*'Real Input'!U715+IF('Real Input'!U715 &gt; 0,'Real Analysis'!$B$29,0)</f>
        <v>-0.99510699999999996</v>
      </c>
      <c r="O715" t="e">
        <f t="shared" si="57"/>
        <v>#VALUE!</v>
      </c>
      <c r="P715" t="e">
        <f t="shared" si="58"/>
        <v>#VALUE!</v>
      </c>
    </row>
    <row r="716" spans="1:16" x14ac:dyDescent="0.3">
      <c r="A716">
        <v>714</v>
      </c>
      <c r="B716">
        <f>'Real Input'!M716</f>
        <v>15.305550999997649</v>
      </c>
      <c r="C716">
        <f ca="1">INDIRECT(CONCATENATE("'Real Input'!",'Real Analysis'!$B$2,A716+2))</f>
        <v>10.151505720000001</v>
      </c>
      <c r="D716">
        <f t="shared" si="56"/>
        <v>2.5225999997928739E-2</v>
      </c>
      <c r="E716">
        <f ca="1">IF(B716&gt;0,C716-'Real Analysis'!$B$14,0)</f>
        <v>0.29500791762857403</v>
      </c>
      <c r="F716">
        <f t="shared" ca="1" si="59"/>
        <v>-5.3287306323988176E-2</v>
      </c>
      <c r="G716">
        <f t="shared" ca="1" si="55"/>
        <v>-1.175625529353302</v>
      </c>
      <c r="H716">
        <f ca="1">IF(AND(B716&gt;'Real Analysis'!$B$31,B716&lt;'Real Analysis'!$B$32),FilterInput(E716,'Real Analysis'!$B$26,'Real Analysis'!$B$27),0)</f>
        <v>0.29500791762857403</v>
      </c>
      <c r="I716" t="e">
        <f>MEDIAN2("Real Values",H716,'Real Analysis'!$B$5,2)</f>
        <v>#VALUE!</v>
      </c>
      <c r="J716" t="e">
        <f>AVERAGE2("Real Values",I716,'Real Analysis'!$B$6,2)</f>
        <v>#VALUE!</v>
      </c>
      <c r="K716" t="e">
        <f>INTEGRAL2(J716,$B716,K715,J715,$B715,'Real Analysis'!$B$19)</f>
        <v>#VALUE!</v>
      </c>
      <c r="L716" t="e">
        <f>IF(AND(B716&lt;'Real Analysis'!$B$32,B716&gt;0),INTEGRAL2(K716,$B716,L715,K715,$B715,'Real Analysis'!$B$20),0)</f>
        <v>#VALUE!</v>
      </c>
      <c r="N716">
        <f>'Real Analysis'!$B$28*'Real Input'!U716+IF('Real Input'!U716 &gt; 0,'Real Analysis'!$B$29,0)</f>
        <v>-0.99510699999999996</v>
      </c>
      <c r="O716" t="e">
        <f t="shared" si="57"/>
        <v>#VALUE!</v>
      </c>
      <c r="P716" t="e">
        <f t="shared" si="58"/>
        <v>#VALUE!</v>
      </c>
    </row>
    <row r="717" spans="1:16" x14ac:dyDescent="0.3">
      <c r="A717">
        <v>715</v>
      </c>
      <c r="B717">
        <f>'Real Input'!M717</f>
        <v>15.331890000001295</v>
      </c>
      <c r="C717">
        <f ca="1">INDIRECT(CONCATENATE("'Real Input'!",'Real Analysis'!$B$2,A717+2))</f>
        <v>10.184928390000001</v>
      </c>
      <c r="D717">
        <f t="shared" si="56"/>
        <v>2.6339000003645197E-2</v>
      </c>
      <c r="E717">
        <f ca="1">IF(B717&gt;0,C717-'Real Analysis'!$B$14,0)</f>
        <v>0.32843058762857424</v>
      </c>
      <c r="F717">
        <f t="shared" ca="1" si="59"/>
        <v>-4.4636773075241963E-2</v>
      </c>
      <c r="G717">
        <f t="shared" ca="1" si="55"/>
        <v>-1.1768012173194935</v>
      </c>
      <c r="H717">
        <f ca="1">IF(AND(B717&gt;'Real Analysis'!$B$31,B717&lt;'Real Analysis'!$B$32),FilterInput(E717,'Real Analysis'!$B$26,'Real Analysis'!$B$27),0)</f>
        <v>0.32843058762857424</v>
      </c>
      <c r="I717" t="e">
        <f>MEDIAN2("Real Values",H717,'Real Analysis'!$B$5,2)</f>
        <v>#VALUE!</v>
      </c>
      <c r="J717" t="e">
        <f>AVERAGE2("Real Values",I717,'Real Analysis'!$B$6,2)</f>
        <v>#VALUE!</v>
      </c>
      <c r="K717" t="e">
        <f>INTEGRAL2(J717,$B717,K716,J716,$B716,'Real Analysis'!$B$19)</f>
        <v>#VALUE!</v>
      </c>
      <c r="L717" t="e">
        <f>IF(AND(B717&lt;'Real Analysis'!$B$32,B717&gt;0),INTEGRAL2(K717,$B717,L716,K716,$B716,'Real Analysis'!$B$20),0)</f>
        <v>#VALUE!</v>
      </c>
      <c r="N717">
        <f>'Real Analysis'!$B$28*'Real Input'!U717+IF('Real Input'!U717 &gt; 0,'Real Analysis'!$B$29,0)</f>
        <v>-0.99312</v>
      </c>
      <c r="O717" t="e">
        <f t="shared" si="57"/>
        <v>#VALUE!</v>
      </c>
      <c r="P717" t="e">
        <f t="shared" si="58"/>
        <v>#VALUE!</v>
      </c>
    </row>
    <row r="718" spans="1:16" x14ac:dyDescent="0.3">
      <c r="A718">
        <v>716</v>
      </c>
      <c r="B718">
        <f>'Real Input'!M718</f>
        <v>15.337560999993002</v>
      </c>
      <c r="C718">
        <f ca="1">INDIRECT(CONCATENATE("'Real Input'!",'Real Analysis'!$B$2,A718+2))</f>
        <v>10.261485629999999</v>
      </c>
      <c r="D718">
        <f t="shared" si="56"/>
        <v>5.6709999917075038E-3</v>
      </c>
      <c r="E718">
        <f ca="1">IF(B718&gt;0,C718-'Real Analysis'!$B$14,0)</f>
        <v>0.40498782762857211</v>
      </c>
      <c r="F718">
        <f t="shared" ca="1" si="59"/>
        <v>-4.2340087108118693E-2</v>
      </c>
      <c r="G718">
        <f t="shared" ca="1" si="55"/>
        <v>-1.1770413279531324</v>
      </c>
      <c r="H718">
        <f ca="1">IF(AND(B718&gt;'Real Analysis'!$B$31,B718&lt;'Real Analysis'!$B$32),FilterInput(E718,'Real Analysis'!$B$26,'Real Analysis'!$B$27),0)</f>
        <v>0.40498782762857211</v>
      </c>
      <c r="I718" t="e">
        <f>MEDIAN2("Real Values",H718,'Real Analysis'!$B$5,2)</f>
        <v>#VALUE!</v>
      </c>
      <c r="J718" t="e">
        <f>AVERAGE2("Real Values",I718,'Real Analysis'!$B$6,2)</f>
        <v>#VALUE!</v>
      </c>
      <c r="K718" t="e">
        <f>INTEGRAL2(J718,$B718,K717,J717,$B717,'Real Analysis'!$B$19)</f>
        <v>#VALUE!</v>
      </c>
      <c r="L718" t="e">
        <f>IF(AND(B718&lt;'Real Analysis'!$B$32,B718&gt;0),INTEGRAL2(K718,$B718,L717,K717,$B717,'Real Analysis'!$B$20),0)</f>
        <v>#VALUE!</v>
      </c>
      <c r="N718">
        <f>'Real Analysis'!$B$28*'Real Input'!U718+IF('Real Input'!U718 &gt; 0,'Real Analysis'!$B$29,0)</f>
        <v>-0.99312</v>
      </c>
      <c r="O718" t="e">
        <f t="shared" si="57"/>
        <v>#VALUE!</v>
      </c>
      <c r="P718" t="e">
        <f t="shared" si="58"/>
        <v>#VALUE!</v>
      </c>
    </row>
    <row r="719" spans="1:16" x14ac:dyDescent="0.3">
      <c r="A719">
        <v>717</v>
      </c>
      <c r="B719">
        <f>'Real Input'!M719</f>
        <v>15.368329000004451</v>
      </c>
      <c r="C719">
        <f ca="1">INDIRECT(CONCATENATE("'Real Input'!",'Real Analysis'!$B$2,A719+2))</f>
        <v>10.39296906</v>
      </c>
      <c r="D719">
        <f t="shared" si="56"/>
        <v>3.0768000011448748E-2</v>
      </c>
      <c r="E719">
        <f ca="1">IF(B719&gt;0,C719-'Real Analysis'!$B$14,0)</f>
        <v>0.53647125762857328</v>
      </c>
      <c r="F719">
        <f t="shared" ca="1" si="59"/>
        <v>-2.5833939447260826E-2</v>
      </c>
      <c r="G719">
        <f t="shared" ca="1" si="55"/>
        <v>-1.1778361866023415</v>
      </c>
      <c r="H719">
        <f ca="1">IF(AND(B719&gt;'Real Analysis'!$B$31,B719&lt;'Real Analysis'!$B$32),FilterInput(E719,'Real Analysis'!$B$26,'Real Analysis'!$B$27),0)</f>
        <v>0.53647125762857328</v>
      </c>
      <c r="I719" t="e">
        <f>MEDIAN2("Real Values",H719,'Real Analysis'!$B$5,2)</f>
        <v>#VALUE!</v>
      </c>
      <c r="J719" t="e">
        <f>AVERAGE2("Real Values",I719,'Real Analysis'!$B$6,2)</f>
        <v>#VALUE!</v>
      </c>
      <c r="K719" t="e">
        <f>INTEGRAL2(J719,$B719,K718,J718,$B718,'Real Analysis'!$B$19)</f>
        <v>#VALUE!</v>
      </c>
      <c r="L719" t="e">
        <f>IF(AND(B719&lt;'Real Analysis'!$B$32,B719&gt;0),INTEGRAL2(K719,$B719,L718,K718,$B718,'Real Analysis'!$B$20),0)</f>
        <v>#VALUE!</v>
      </c>
      <c r="N719">
        <f>'Real Analysis'!$B$28*'Real Input'!U719+IF('Real Input'!U719 &gt; 0,'Real Analysis'!$B$29,0)</f>
        <v>-0.99312</v>
      </c>
      <c r="O719" t="e">
        <f t="shared" si="57"/>
        <v>#VALUE!</v>
      </c>
      <c r="P719" t="e">
        <f t="shared" si="58"/>
        <v>#VALUE!</v>
      </c>
    </row>
    <row r="720" spans="1:16" x14ac:dyDescent="0.3">
      <c r="A720">
        <v>718</v>
      </c>
      <c r="B720">
        <f>'Real Input'!M720</f>
        <v>15.384090999999898</v>
      </c>
      <c r="C720">
        <f ca="1">INDIRECT(CONCATENATE("'Real Input'!",'Real Analysis'!$B$2,A720+2))</f>
        <v>10.343958300000001</v>
      </c>
      <c r="D720">
        <f t="shared" si="56"/>
        <v>1.5761999995447695E-2</v>
      </c>
      <c r="E720">
        <f ca="1">IF(B720&gt;0,C720-'Real Analysis'!$B$14,0)</f>
        <v>0.48746049762857346</v>
      </c>
      <c r="F720">
        <f t="shared" ca="1" si="59"/>
        <v>-1.815058708585832E-2</v>
      </c>
      <c r="G720">
        <f t="shared" ca="1" si="55"/>
        <v>-1.178122276155906</v>
      </c>
      <c r="H720">
        <f ca="1">IF(AND(B720&gt;'Real Analysis'!$B$31,B720&lt;'Real Analysis'!$B$32),FilterInput(E720,'Real Analysis'!$B$26,'Real Analysis'!$B$27),0)</f>
        <v>0.48746049762857346</v>
      </c>
      <c r="I720" t="e">
        <f>MEDIAN2("Real Values",H720,'Real Analysis'!$B$5,2)</f>
        <v>#VALUE!</v>
      </c>
      <c r="J720" t="e">
        <f>AVERAGE2("Real Values",I720,'Real Analysis'!$B$6,2)</f>
        <v>#VALUE!</v>
      </c>
      <c r="K720" t="e">
        <f>INTEGRAL2(J720,$B720,K719,J719,$B719,'Real Analysis'!$B$19)</f>
        <v>#VALUE!</v>
      </c>
      <c r="L720" t="e">
        <f>IF(AND(B720&lt;'Real Analysis'!$B$32,B720&gt;0),INTEGRAL2(K720,$B720,L719,K719,$B719,'Real Analysis'!$B$20),0)</f>
        <v>#VALUE!</v>
      </c>
      <c r="N720">
        <f>'Real Analysis'!$B$28*'Real Input'!U720+IF('Real Input'!U720 &gt; 0,'Real Analysis'!$B$29,0)</f>
        <v>-0.99312</v>
      </c>
      <c r="O720" t="e">
        <f t="shared" si="57"/>
        <v>#VALUE!</v>
      </c>
      <c r="P720" t="e">
        <f t="shared" si="58"/>
        <v>#VALUE!</v>
      </c>
    </row>
    <row r="721" spans="1:16" x14ac:dyDescent="0.3">
      <c r="A721">
        <v>719</v>
      </c>
      <c r="B721">
        <f>'Real Input'!M721</f>
        <v>15.409184000003734</v>
      </c>
      <c r="C721">
        <f ca="1">INDIRECT(CONCATENATE("'Real Input'!",'Real Analysis'!$B$2,A721+2))</f>
        <v>10.482926760000002</v>
      </c>
      <c r="D721">
        <f t="shared" si="56"/>
        <v>2.5093000003835186E-2</v>
      </c>
      <c r="E721">
        <f ca="1">IF(B721&gt;0,C721-'Real Analysis'!$B$14,0)</f>
        <v>0.62642895762857442</v>
      </c>
      <c r="F721">
        <f t="shared" ca="1" si="59"/>
        <v>-2.4316052496820284E-3</v>
      </c>
      <c r="G721">
        <f t="shared" ca="1" si="55"/>
        <v>-1.1781832924264457</v>
      </c>
      <c r="H721">
        <f ca="1">IF(AND(B721&gt;'Real Analysis'!$B$31,B721&lt;'Real Analysis'!$B$32),FilterInput(E721,'Real Analysis'!$B$26,'Real Analysis'!$B$27),0)</f>
        <v>0.62642895762857442</v>
      </c>
      <c r="I721" t="e">
        <f>MEDIAN2("Real Values",H721,'Real Analysis'!$B$5,2)</f>
        <v>#VALUE!</v>
      </c>
      <c r="J721" t="e">
        <f>AVERAGE2("Real Values",I721,'Real Analysis'!$B$6,2)</f>
        <v>#VALUE!</v>
      </c>
      <c r="K721" t="e">
        <f>INTEGRAL2(J721,$B721,K720,J720,$B720,'Real Analysis'!$B$19)</f>
        <v>#VALUE!</v>
      </c>
      <c r="L721" t="e">
        <f>IF(AND(B721&lt;'Real Analysis'!$B$32,B721&gt;0),INTEGRAL2(K721,$B721,L720,K720,$B720,'Real Analysis'!$B$20),0)</f>
        <v>#VALUE!</v>
      </c>
      <c r="N721">
        <f>'Real Analysis'!$B$28*'Real Input'!U721+IF('Real Input'!U721 &gt; 0,'Real Analysis'!$B$29,0)</f>
        <v>-0.99113300000000004</v>
      </c>
      <c r="O721" t="e">
        <f t="shared" si="57"/>
        <v>#VALUE!</v>
      </c>
      <c r="P721" t="e">
        <f t="shared" si="58"/>
        <v>#VALUE!</v>
      </c>
    </row>
    <row r="722" spans="1:16" x14ac:dyDescent="0.3">
      <c r="A722">
        <v>720</v>
      </c>
      <c r="B722">
        <f>'Real Input'!M722</f>
        <v>15.430563999994774</v>
      </c>
      <c r="C722">
        <f ca="1">INDIRECT(CONCATENATE("'Real Input'!",'Real Analysis'!$B$2,A722+2))</f>
        <v>10.387504890000001</v>
      </c>
      <c r="D722">
        <f t="shared" si="56"/>
        <v>2.1379999991040677E-2</v>
      </c>
      <c r="E722">
        <f ca="1">IF(B722&gt;0,C722-'Real Analysis'!$B$14,0)</f>
        <v>0.53100708762857352</v>
      </c>
      <c r="F722">
        <f t="shared" ca="1" si="59"/>
        <v>8.9213262790594095E-3</v>
      </c>
      <c r="G722">
        <f t="shared" ca="1" si="55"/>
        <v>-1.1779925544706793</v>
      </c>
      <c r="H722">
        <f ca="1">IF(AND(B722&gt;'Real Analysis'!$B$31,B722&lt;'Real Analysis'!$B$32),FilterInput(E722,'Real Analysis'!$B$26,'Real Analysis'!$B$27),0)</f>
        <v>0.53100708762857352</v>
      </c>
      <c r="I722" t="e">
        <f>MEDIAN2("Real Values",H722,'Real Analysis'!$B$5,2)</f>
        <v>#VALUE!</v>
      </c>
      <c r="J722" t="e">
        <f>AVERAGE2("Real Values",I722,'Real Analysis'!$B$6,2)</f>
        <v>#VALUE!</v>
      </c>
      <c r="K722" t="e">
        <f>INTEGRAL2(J722,$B722,K721,J721,$B721,'Real Analysis'!$B$19)</f>
        <v>#VALUE!</v>
      </c>
      <c r="L722" t="e">
        <f>IF(AND(B722&lt;'Real Analysis'!$B$32,B722&gt;0),INTEGRAL2(K722,$B722,L721,K721,$B721,'Real Analysis'!$B$20),0)</f>
        <v>#VALUE!</v>
      </c>
      <c r="N722">
        <f>'Real Analysis'!$B$28*'Real Input'!U722+IF('Real Input'!U722 &gt; 0,'Real Analysis'!$B$29,0)</f>
        <v>-0.99113300000000004</v>
      </c>
      <c r="O722" t="e">
        <f t="shared" si="57"/>
        <v>#VALUE!</v>
      </c>
      <c r="P722" t="e">
        <f t="shared" si="58"/>
        <v>#VALUE!</v>
      </c>
    </row>
    <row r="723" spans="1:16" x14ac:dyDescent="0.3">
      <c r="A723">
        <v>721</v>
      </c>
      <c r="B723">
        <f>'Real Input'!M723</f>
        <v>15.449940000005881</v>
      </c>
      <c r="C723">
        <f ca="1">INDIRECT(CONCATENATE("'Real Input'!",'Real Analysis'!$B$2,A723+2))</f>
        <v>10.271737080000001</v>
      </c>
      <c r="D723">
        <f t="shared" si="56"/>
        <v>1.9376000011106953E-2</v>
      </c>
      <c r="E723">
        <f ca="1">IF(B723&gt;0,C723-'Real Analysis'!$B$14,0)</f>
        <v>0.41523927762857404</v>
      </c>
      <c r="F723">
        <f t="shared" ca="1" si="59"/>
        <v>1.6967002527002704E-2</v>
      </c>
      <c r="G723">
        <f t="shared" ca="1" si="55"/>
        <v>-1.1776638018295276</v>
      </c>
      <c r="H723">
        <f ca="1">IF(AND(B723&gt;'Real Analysis'!$B$31,B723&lt;'Real Analysis'!$B$32),FilterInput(E723,'Real Analysis'!$B$26,'Real Analysis'!$B$27),0)</f>
        <v>0.41523927762857404</v>
      </c>
      <c r="I723" t="e">
        <f>MEDIAN2("Real Values",H723,'Real Analysis'!$B$5,2)</f>
        <v>#VALUE!</v>
      </c>
      <c r="J723" t="e">
        <f>AVERAGE2("Real Values",I723,'Real Analysis'!$B$6,2)</f>
        <v>#VALUE!</v>
      </c>
      <c r="K723" t="e">
        <f>INTEGRAL2(J723,$B723,K722,J722,$B722,'Real Analysis'!$B$19)</f>
        <v>#VALUE!</v>
      </c>
      <c r="L723" t="e">
        <f>IF(AND(B723&lt;'Real Analysis'!$B$32,B723&gt;0),INTEGRAL2(K723,$B723,L722,K722,$B722,'Real Analysis'!$B$20),0)</f>
        <v>#VALUE!</v>
      </c>
      <c r="N723">
        <f>'Real Analysis'!$B$28*'Real Input'!U723+IF('Real Input'!U723 &gt; 0,'Real Analysis'!$B$29,0)</f>
        <v>-0.98914599999999997</v>
      </c>
      <c r="O723" t="e">
        <f t="shared" si="57"/>
        <v>#VALUE!</v>
      </c>
      <c r="P723" t="e">
        <f t="shared" si="58"/>
        <v>#VALUE!</v>
      </c>
    </row>
    <row r="724" spans="1:16" x14ac:dyDescent="0.3">
      <c r="A724">
        <v>722</v>
      </c>
      <c r="B724">
        <f>'Real Input'!M724</f>
        <v>15.471531999995932</v>
      </c>
      <c r="C724">
        <f ca="1">INDIRECT(CONCATENATE("'Real Input'!",'Real Analysis'!$B$2,A724+2))</f>
        <v>10.25865054</v>
      </c>
      <c r="D724">
        <f t="shared" si="56"/>
        <v>2.1591999990050681E-2</v>
      </c>
      <c r="E724">
        <f ca="1">IF(B724&gt;0,C724-'Real Analysis'!$B$14,0)</f>
        <v>0.40215273762857251</v>
      </c>
      <c r="F724">
        <f t="shared" ca="1" si="59"/>
        <v>2.5650284433877693E-2</v>
      </c>
      <c r="G724">
        <f t="shared" ca="1" si="55"/>
        <v>-1.1771099608882865</v>
      </c>
      <c r="H724">
        <f ca="1">IF(AND(B724&gt;'Real Analysis'!$B$31,B724&lt;'Real Analysis'!$B$32),FilterInput(E724,'Real Analysis'!$B$26,'Real Analysis'!$B$27),0)</f>
        <v>0.40215273762857251</v>
      </c>
      <c r="I724" t="e">
        <f>MEDIAN2("Real Values",H724,'Real Analysis'!$B$5,2)</f>
        <v>#VALUE!</v>
      </c>
      <c r="J724" t="e">
        <f>AVERAGE2("Real Values",I724,'Real Analysis'!$B$6,2)</f>
        <v>#VALUE!</v>
      </c>
      <c r="K724" t="e">
        <f>INTEGRAL2(J724,$B724,K723,J723,$B723,'Real Analysis'!$B$19)</f>
        <v>#VALUE!</v>
      </c>
      <c r="L724" t="e">
        <f>IF(AND(B724&lt;'Real Analysis'!$B$32,B724&gt;0),INTEGRAL2(K724,$B724,L723,K723,$B723,'Real Analysis'!$B$20),0)</f>
        <v>#VALUE!</v>
      </c>
      <c r="N724">
        <f>'Real Analysis'!$B$28*'Real Input'!U724+IF('Real Input'!U724 &gt; 0,'Real Analysis'!$B$29,0)</f>
        <v>-0.98914599999999997</v>
      </c>
      <c r="O724" t="e">
        <f t="shared" si="57"/>
        <v>#VALUE!</v>
      </c>
      <c r="P724" t="e">
        <f t="shared" si="58"/>
        <v>#VALUE!</v>
      </c>
    </row>
    <row r="725" spans="1:16" x14ac:dyDescent="0.3">
      <c r="A725">
        <v>723</v>
      </c>
      <c r="B725">
        <f>'Real Input'!M725</f>
        <v>15.489065999994637</v>
      </c>
      <c r="C725">
        <f ca="1">INDIRECT(CONCATENATE("'Real Input'!",'Real Analysis'!$B$2,A725+2))</f>
        <v>10.401611670000001</v>
      </c>
      <c r="D725">
        <f t="shared" si="56"/>
        <v>1.753399999870453E-2</v>
      </c>
      <c r="E725">
        <f ca="1">IF(B725&gt;0,C725-'Real Analysis'!$B$14,0)</f>
        <v>0.54511386762857406</v>
      </c>
      <c r="F725">
        <f t="shared" ca="1" si="59"/>
        <v>3.5208310988170934E-2</v>
      </c>
      <c r="G725">
        <f t="shared" ca="1" si="55"/>
        <v>-1.1764926183634654</v>
      </c>
      <c r="H725">
        <f ca="1">IF(AND(B725&gt;'Real Analysis'!$B$31,B725&lt;'Real Analysis'!$B$32),FilterInput(E725,'Real Analysis'!$B$26,'Real Analysis'!$B$27),0)</f>
        <v>0.54511386762857406</v>
      </c>
      <c r="I725" t="e">
        <f>MEDIAN2("Real Values",H725,'Real Analysis'!$B$5,2)</f>
        <v>#VALUE!</v>
      </c>
      <c r="J725" t="e">
        <f>AVERAGE2("Real Values",I725,'Real Analysis'!$B$6,2)</f>
        <v>#VALUE!</v>
      </c>
      <c r="K725" t="e">
        <f>INTEGRAL2(J725,$B725,K724,J724,$B724,'Real Analysis'!$B$19)</f>
        <v>#VALUE!</v>
      </c>
      <c r="L725" t="e">
        <f>IF(AND(B725&lt;'Real Analysis'!$B$32,B725&gt;0),INTEGRAL2(K725,$B725,L724,K724,$B724,'Real Analysis'!$B$20),0)</f>
        <v>#VALUE!</v>
      </c>
      <c r="N725">
        <f>'Real Analysis'!$B$28*'Real Input'!U725+IF('Real Input'!U725 &gt; 0,'Real Analysis'!$B$29,0)</f>
        <v>-0.98914599999999997</v>
      </c>
      <c r="O725" t="e">
        <f t="shared" si="57"/>
        <v>#VALUE!</v>
      </c>
      <c r="P725" t="e">
        <f t="shared" si="58"/>
        <v>#VALUE!</v>
      </c>
    </row>
    <row r="726" spans="1:16" x14ac:dyDescent="0.3">
      <c r="A726">
        <v>724</v>
      </c>
      <c r="B726">
        <f>'Real Input'!M726</f>
        <v>15.510055999999167</v>
      </c>
      <c r="C726">
        <f ca="1">INDIRECT(CONCATENATE("'Real Input'!",'Real Analysis'!$B$2,A726+2))</f>
        <v>10.574149950000001</v>
      </c>
      <c r="D726">
        <f t="shared" si="56"/>
        <v>2.0990000004530884E-2</v>
      </c>
      <c r="E726">
        <f ca="1">IF(B726&gt;0,C726-'Real Analysis'!$B$14,0)</f>
        <v>0.71765214762857354</v>
      </c>
      <c r="F726">
        <f t="shared" ca="1" si="59"/>
        <v>5.0271829570146295E-2</v>
      </c>
      <c r="G726">
        <f t="shared" ca="1" si="55"/>
        <v>-1.1754374126605602</v>
      </c>
      <c r="H726">
        <f ca="1">IF(AND(B726&gt;'Real Analysis'!$B$31,B726&lt;'Real Analysis'!$B$32),FilterInput(E726,'Real Analysis'!$B$26,'Real Analysis'!$B$27),0)</f>
        <v>0.71765214762857354</v>
      </c>
      <c r="I726" t="e">
        <f>MEDIAN2("Real Values",H726,'Real Analysis'!$B$5,2)</f>
        <v>#VALUE!</v>
      </c>
      <c r="J726" t="e">
        <f>AVERAGE2("Real Values",I726,'Real Analysis'!$B$6,2)</f>
        <v>#VALUE!</v>
      </c>
      <c r="K726" t="e">
        <f>INTEGRAL2(J726,$B726,K725,J725,$B725,'Real Analysis'!$B$19)</f>
        <v>#VALUE!</v>
      </c>
      <c r="L726" t="e">
        <f>IF(AND(B726&lt;'Real Analysis'!$B$32,B726&gt;0),INTEGRAL2(K726,$B726,L725,K725,$B725,'Real Analysis'!$B$20),0)</f>
        <v>#VALUE!</v>
      </c>
      <c r="N726">
        <f>'Real Analysis'!$B$28*'Real Input'!U726+IF('Real Input'!U726 &gt; 0,'Real Analysis'!$B$29,0)</f>
        <v>-0.9871589999999999</v>
      </c>
      <c r="O726" t="e">
        <f t="shared" si="57"/>
        <v>#VALUE!</v>
      </c>
      <c r="P726" t="e">
        <f t="shared" si="58"/>
        <v>#VALUE!</v>
      </c>
    </row>
    <row r="727" spans="1:16" x14ac:dyDescent="0.3">
      <c r="A727">
        <v>725</v>
      </c>
      <c r="B727">
        <f>'Real Input'!M727</f>
        <v>15.5320950000023</v>
      </c>
      <c r="C727">
        <f ca="1">INDIRECT(CONCATENATE("'Real Input'!",'Real Analysis'!$B$2,A727+2))</f>
        <v>10.706006160000001</v>
      </c>
      <c r="D727">
        <f t="shared" si="56"/>
        <v>2.2039000003132969E-2</v>
      </c>
      <c r="E727">
        <f ca="1">IF(B727&gt;0,C727-'Real Analysis'!$B$14,0)</f>
        <v>0.84950835762857402</v>
      </c>
      <c r="F727">
        <f t="shared" ca="1" si="59"/>
        <v>6.8994144266583929E-2</v>
      </c>
      <c r="G727">
        <f t="shared" ca="1" si="55"/>
        <v>-1.1739168507148527</v>
      </c>
      <c r="H727">
        <f ca="1">IF(AND(B727&gt;'Real Analysis'!$B$31,B727&lt;'Real Analysis'!$B$32),FilterInput(E727,'Real Analysis'!$B$26,'Real Analysis'!$B$27),0)</f>
        <v>0.84950835762857402</v>
      </c>
      <c r="I727" t="e">
        <f>MEDIAN2("Real Values",H727,'Real Analysis'!$B$5,2)</f>
        <v>#VALUE!</v>
      </c>
      <c r="J727" t="e">
        <f>AVERAGE2("Real Values",I727,'Real Analysis'!$B$6,2)</f>
        <v>#VALUE!</v>
      </c>
      <c r="K727" t="e">
        <f>INTEGRAL2(J727,$B727,K726,J726,$B726,'Real Analysis'!$B$19)</f>
        <v>#VALUE!</v>
      </c>
      <c r="L727" t="e">
        <f>IF(AND(B727&lt;'Real Analysis'!$B$32,B727&gt;0),INTEGRAL2(K727,$B727,L726,K726,$B726,'Real Analysis'!$B$20),0)</f>
        <v>#VALUE!</v>
      </c>
      <c r="N727">
        <f>'Real Analysis'!$B$28*'Real Input'!U727+IF('Real Input'!U727 &gt; 0,'Real Analysis'!$B$29,0)</f>
        <v>-0.98517199999999994</v>
      </c>
      <c r="O727" t="e">
        <f t="shared" si="57"/>
        <v>#VALUE!</v>
      </c>
      <c r="P727" t="e">
        <f t="shared" si="58"/>
        <v>#VALUE!</v>
      </c>
    </row>
    <row r="728" spans="1:16" x14ac:dyDescent="0.3">
      <c r="A728">
        <v>726</v>
      </c>
      <c r="B728">
        <f>'Real Input'!M728</f>
        <v>15.549629999994067</v>
      </c>
      <c r="C728">
        <f ca="1">INDIRECT(CONCATENATE("'Real Input'!",'Real Analysis'!$B$2,A728+2))</f>
        <v>10.32549588</v>
      </c>
      <c r="D728">
        <f t="shared" si="56"/>
        <v>1.7534999991767108E-2</v>
      </c>
      <c r="E728">
        <f ca="1">IF(B728&gt;0,C728-'Real Analysis'!$B$14,0)</f>
        <v>0.46899807762857293</v>
      </c>
      <c r="F728">
        <f t="shared" ca="1" si="59"/>
        <v>7.7218025553939751E-2</v>
      </c>
      <c r="G728">
        <f t="shared" ca="1" si="55"/>
        <v>-1.1725628326374002</v>
      </c>
      <c r="H728">
        <f ca="1">IF(AND(B728&gt;'Real Analysis'!$B$31,B728&lt;'Real Analysis'!$B$32),FilterInput(E728,'Real Analysis'!$B$26,'Real Analysis'!$B$27),0)</f>
        <v>0.46899807762857293</v>
      </c>
      <c r="I728" t="e">
        <f>MEDIAN2("Real Values",H728,'Real Analysis'!$B$5,2)</f>
        <v>#VALUE!</v>
      </c>
      <c r="J728" t="e">
        <f>AVERAGE2("Real Values",I728,'Real Analysis'!$B$6,2)</f>
        <v>#VALUE!</v>
      </c>
      <c r="K728" t="e">
        <f>INTEGRAL2(J728,$B728,K727,J727,$B727,'Real Analysis'!$B$19)</f>
        <v>#VALUE!</v>
      </c>
      <c r="L728" t="e">
        <f>IF(AND(B728&lt;'Real Analysis'!$B$32,B728&gt;0),INTEGRAL2(K728,$B728,L727,K727,$B727,'Real Analysis'!$B$20),0)</f>
        <v>#VALUE!</v>
      </c>
      <c r="N728">
        <f>'Real Analysis'!$B$28*'Real Input'!U728+IF('Real Input'!U728 &gt; 0,'Real Analysis'!$B$29,0)</f>
        <v>-0.98517199999999994</v>
      </c>
      <c r="O728" t="e">
        <f t="shared" si="57"/>
        <v>#VALUE!</v>
      </c>
      <c r="P728" t="e">
        <f t="shared" si="58"/>
        <v>#VALUE!</v>
      </c>
    </row>
    <row r="729" spans="1:16" x14ac:dyDescent="0.3">
      <c r="A729">
        <v>727</v>
      </c>
      <c r="B729">
        <f>'Real Input'!M729</f>
        <v>15.569447000001674</v>
      </c>
      <c r="C729">
        <f ca="1">INDIRECT(CONCATENATE("'Real Input'!",'Real Analysis'!$B$2,A729+2))</f>
        <v>9.98004654</v>
      </c>
      <c r="D729">
        <f t="shared" si="56"/>
        <v>1.9817000007606111E-2</v>
      </c>
      <c r="E729">
        <f ca="1">IF(B729&gt;0,C729-'Real Analysis'!$B$14,0)</f>
        <v>0.12354873762857288</v>
      </c>
      <c r="F729">
        <f t="shared" ca="1" si="59"/>
        <v>7.9666390888464902E-2</v>
      </c>
      <c r="G729">
        <f t="shared" ca="1" si="55"/>
        <v>-1.1709840837685577</v>
      </c>
      <c r="H729">
        <f ca="1">IF(AND(B729&gt;'Real Analysis'!$B$31,B729&lt;'Real Analysis'!$B$32),FilterInput(E729,'Real Analysis'!$B$26,'Real Analysis'!$B$27),0)</f>
        <v>0.12354873762857288</v>
      </c>
      <c r="I729" t="e">
        <f>MEDIAN2("Real Values",H729,'Real Analysis'!$B$5,2)</f>
        <v>#VALUE!</v>
      </c>
      <c r="J729" t="e">
        <f>AVERAGE2("Real Values",I729,'Real Analysis'!$B$6,2)</f>
        <v>#VALUE!</v>
      </c>
      <c r="K729" t="e">
        <f>INTEGRAL2(J729,$B729,K728,J728,$B728,'Real Analysis'!$B$19)</f>
        <v>#VALUE!</v>
      </c>
      <c r="L729" t="e">
        <f>IF(AND(B729&lt;'Real Analysis'!$B$32,B729&gt;0),INTEGRAL2(K729,$B729,L728,K728,$B728,'Real Analysis'!$B$20),0)</f>
        <v>#VALUE!</v>
      </c>
      <c r="N729">
        <f>'Real Analysis'!$B$28*'Real Input'!U729+IF('Real Input'!U729 &gt; 0,'Real Analysis'!$B$29,0)</f>
        <v>-0.98318499999999998</v>
      </c>
      <c r="O729" t="e">
        <f t="shared" si="57"/>
        <v>#VALUE!</v>
      </c>
      <c r="P729" t="e">
        <f t="shared" si="58"/>
        <v>#VALUE!</v>
      </c>
    </row>
    <row r="730" spans="1:16" x14ac:dyDescent="0.3">
      <c r="A730">
        <v>728</v>
      </c>
      <c r="B730">
        <f>'Real Input'!M730</f>
        <v>15.590635000000475</v>
      </c>
      <c r="C730">
        <f ca="1">INDIRECT(CONCATENATE("'Real Input'!",'Real Analysis'!$B$2,A730+2))</f>
        <v>9.8918448300000001</v>
      </c>
      <c r="D730">
        <f t="shared" si="56"/>
        <v>2.1187999998801388E-2</v>
      </c>
      <c r="E730">
        <f ca="1">IF(B730&gt;0,C730-'Real Analysis'!$B$14,0)</f>
        <v>3.5347027628573002E-2</v>
      </c>
      <c r="F730">
        <f t="shared" ca="1" si="59"/>
        <v>8.0415323709816744E-2</v>
      </c>
      <c r="G730">
        <f t="shared" ca="1" si="55"/>
        <v>-1.1692802438898904</v>
      </c>
      <c r="H730">
        <f ca="1">IF(AND(B730&gt;'Real Analysis'!$B$31,B730&lt;'Real Analysis'!$B$32),FilterInput(E730,'Real Analysis'!$B$26,'Real Analysis'!$B$27),0)</f>
        <v>3.5347027628573002E-2</v>
      </c>
      <c r="I730" t="e">
        <f>MEDIAN2("Real Values",H730,'Real Analysis'!$B$5,2)</f>
        <v>#VALUE!</v>
      </c>
      <c r="J730" t="e">
        <f>AVERAGE2("Real Values",I730,'Real Analysis'!$B$6,2)</f>
        <v>#VALUE!</v>
      </c>
      <c r="K730" t="e">
        <f>INTEGRAL2(J730,$B730,K729,J729,$B729,'Real Analysis'!$B$19)</f>
        <v>#VALUE!</v>
      </c>
      <c r="L730" t="e">
        <f>IF(AND(B730&lt;'Real Analysis'!$B$32,B730&gt;0),INTEGRAL2(K730,$B730,L729,K729,$B729,'Real Analysis'!$B$20),0)</f>
        <v>#VALUE!</v>
      </c>
      <c r="N730">
        <f>'Real Analysis'!$B$28*'Real Input'!U730+IF('Real Input'!U730 &gt; 0,'Real Analysis'!$B$29,0)</f>
        <v>-0.9871589999999999</v>
      </c>
      <c r="O730" t="e">
        <f t="shared" si="57"/>
        <v>#VALUE!</v>
      </c>
      <c r="P730" t="e">
        <f t="shared" si="58"/>
        <v>#VALUE!</v>
      </c>
    </row>
    <row r="731" spans="1:16" x14ac:dyDescent="0.3">
      <c r="A731">
        <v>729</v>
      </c>
      <c r="B731">
        <f>'Real Input'!M731</f>
        <v>15.606226000003517</v>
      </c>
      <c r="C731">
        <f ca="1">INDIRECT(CONCATENATE("'Real Input'!",'Real Analysis'!$B$2,A731+2))</f>
        <v>9.1627067699999998</v>
      </c>
      <c r="D731">
        <f t="shared" si="56"/>
        <v>1.55910000030417E-2</v>
      </c>
      <c r="E731">
        <f ca="1">IF(B731&gt;0,C731-'Real Analysis'!$B$14,0)</f>
        <v>-0.69379103237142736</v>
      </c>
      <c r="F731">
        <f t="shared" ca="1" si="59"/>
        <v>6.9598427722003517E-2</v>
      </c>
      <c r="G731">
        <f t="shared" ca="1" si="55"/>
        <v>-1.168195134803065</v>
      </c>
      <c r="H731">
        <f ca="1">IF(AND(B731&gt;'Real Analysis'!$B$31,B731&lt;'Real Analysis'!$B$32),FilterInput(E731,'Real Analysis'!$B$26,'Real Analysis'!$B$27),0)</f>
        <v>-0.69379103237142736</v>
      </c>
      <c r="I731" t="e">
        <f>MEDIAN2("Real Values",H731,'Real Analysis'!$B$5,2)</f>
        <v>#VALUE!</v>
      </c>
      <c r="J731" t="e">
        <f>AVERAGE2("Real Values",I731,'Real Analysis'!$B$6,2)</f>
        <v>#VALUE!</v>
      </c>
      <c r="K731" t="e">
        <f>INTEGRAL2(J731,$B731,K730,J730,$B730,'Real Analysis'!$B$19)</f>
        <v>#VALUE!</v>
      </c>
      <c r="L731" t="e">
        <f>IF(AND(B731&lt;'Real Analysis'!$B$32,B731&gt;0),INTEGRAL2(K731,$B731,L730,K730,$B730,'Real Analysis'!$B$20),0)</f>
        <v>#VALUE!</v>
      </c>
      <c r="N731">
        <f>'Real Analysis'!$B$28*'Real Input'!U731+IF('Real Input'!U731 &gt; 0,'Real Analysis'!$B$29,0)</f>
        <v>-0.9871589999999999</v>
      </c>
      <c r="O731" t="e">
        <f t="shared" si="57"/>
        <v>#VALUE!</v>
      </c>
      <c r="P731" t="e">
        <f t="shared" si="58"/>
        <v>#VALUE!</v>
      </c>
    </row>
    <row r="732" spans="1:16" x14ac:dyDescent="0.3">
      <c r="A732">
        <v>730</v>
      </c>
      <c r="B732">
        <f>'Real Input'!M732</f>
        <v>15.632863000006182</v>
      </c>
      <c r="C732">
        <f ca="1">INDIRECT(CONCATENATE("'Real Input'!",'Real Analysis'!$B$2,A732+2))</f>
        <v>8.6873926500000014</v>
      </c>
      <c r="D732">
        <f t="shared" si="56"/>
        <v>2.6637000002665445E-2</v>
      </c>
      <c r="E732">
        <f ca="1">IF(B732&gt;0,C732-'Real Analysis'!$B$14,0)</f>
        <v>-1.1691051523714258</v>
      </c>
      <c r="F732">
        <f t="shared" ca="1" si="59"/>
        <v>3.8456973775169663E-2</v>
      </c>
      <c r="G732">
        <f t="shared" ca="1" si="55"/>
        <v>-1.1671707563925133</v>
      </c>
      <c r="H732">
        <f ca="1">IF(AND(B732&gt;'Real Analysis'!$B$31,B732&lt;'Real Analysis'!$B$32),FilterInput(E732,'Real Analysis'!$B$26,'Real Analysis'!$B$27),0)</f>
        <v>-1.1691051523714258</v>
      </c>
      <c r="I732" t="e">
        <f>MEDIAN2("Real Values",H732,'Real Analysis'!$B$5,2)</f>
        <v>#VALUE!</v>
      </c>
      <c r="J732" t="e">
        <f>AVERAGE2("Real Values",I732,'Real Analysis'!$B$6,2)</f>
        <v>#VALUE!</v>
      </c>
      <c r="K732" t="e">
        <f>INTEGRAL2(J732,$B732,K731,J731,$B731,'Real Analysis'!$B$19)</f>
        <v>#VALUE!</v>
      </c>
      <c r="L732" t="e">
        <f>IF(AND(B732&lt;'Real Analysis'!$B$32,B732&gt;0),INTEGRAL2(K732,$B732,L731,K731,$B731,'Real Analysis'!$B$20),0)</f>
        <v>#VALUE!</v>
      </c>
      <c r="N732">
        <f>'Real Analysis'!$B$28*'Real Input'!U732+IF('Real Input'!U732 &gt; 0,'Real Analysis'!$B$29,0)</f>
        <v>-0.98914599999999997</v>
      </c>
      <c r="O732" t="e">
        <f t="shared" si="57"/>
        <v>#VALUE!</v>
      </c>
      <c r="P732" t="e">
        <f t="shared" si="58"/>
        <v>#VALUE!</v>
      </c>
    </row>
    <row r="733" spans="1:16" x14ac:dyDescent="0.3">
      <c r="A733">
        <v>731</v>
      </c>
      <c r="B733">
        <f>'Real Input'!M733</f>
        <v>15.651767999996082</v>
      </c>
      <c r="C733">
        <f ca="1">INDIRECT(CONCATENATE("'Real Input'!",'Real Analysis'!$B$2,A733+2))</f>
        <v>9.6489099899999999</v>
      </c>
      <c r="D733">
        <f t="shared" si="56"/>
        <v>1.8904999989899807E-2</v>
      </c>
      <c r="E733">
        <f ca="1">IF(B733&gt;0,C733-'Real Analysis'!$B$14,0)</f>
        <v>-0.2075878123714272</v>
      </c>
      <c r="F733">
        <f t="shared" ca="1" si="59"/>
        <v>3.4532526184384509E-2</v>
      </c>
      <c r="G733">
        <f t="shared" ca="1" si="55"/>
        <v>-1.1665179189853463</v>
      </c>
      <c r="H733">
        <f ca="1">IF(AND(B733&gt;'Real Analysis'!$B$31,B733&lt;'Real Analysis'!$B$32),FilterInput(E733,'Real Analysis'!$B$26,'Real Analysis'!$B$27),0)</f>
        <v>-0.2075878123714272</v>
      </c>
      <c r="I733" t="e">
        <f>MEDIAN2("Real Values",H733,'Real Analysis'!$B$5,2)</f>
        <v>#VALUE!</v>
      </c>
      <c r="J733" t="e">
        <f>AVERAGE2("Real Values",I733,'Real Analysis'!$B$6,2)</f>
        <v>#VALUE!</v>
      </c>
      <c r="K733" t="e">
        <f>INTEGRAL2(J733,$B733,K732,J732,$B732,'Real Analysis'!$B$19)</f>
        <v>#VALUE!</v>
      </c>
      <c r="L733" t="e">
        <f>IF(AND(B733&lt;'Real Analysis'!$B$32,B733&gt;0),INTEGRAL2(K733,$B733,L732,K732,$B732,'Real Analysis'!$B$20),0)</f>
        <v>#VALUE!</v>
      </c>
      <c r="N733">
        <f>'Real Analysis'!$B$28*'Real Input'!U733+IF('Real Input'!U733 &gt; 0,'Real Analysis'!$B$29,0)</f>
        <v>-0.9871589999999999</v>
      </c>
      <c r="O733" t="e">
        <f t="shared" si="57"/>
        <v>#VALUE!</v>
      </c>
      <c r="P733" t="e">
        <f t="shared" si="58"/>
        <v>#VALUE!</v>
      </c>
    </row>
    <row r="734" spans="1:16" x14ac:dyDescent="0.3">
      <c r="A734">
        <v>732</v>
      </c>
      <c r="B734">
        <f>'Real Input'!M734</f>
        <v>15.667258000001311</v>
      </c>
      <c r="C734">
        <f ca="1">INDIRECT(CONCATENATE("'Real Input'!",'Real Analysis'!$B$2,A734+2))</f>
        <v>10.226051910000001</v>
      </c>
      <c r="D734">
        <f t="shared" si="56"/>
        <v>1.5490000005229376E-2</v>
      </c>
      <c r="E734">
        <f ca="1">IF(B734&gt;0,C734-'Real Analysis'!$B$14,0)</f>
        <v>0.36955410762857355</v>
      </c>
      <c r="F734">
        <f t="shared" ca="1" si="59"/>
        <v>4.0256919313483651E-2</v>
      </c>
      <c r="G734">
        <f t="shared" ca="1" si="55"/>
        <v>-1.1658943393049699</v>
      </c>
      <c r="H734">
        <f ca="1">IF(AND(B734&gt;'Real Analysis'!$B$31,B734&lt;'Real Analysis'!$B$32),FilterInput(E734,'Real Analysis'!$B$26,'Real Analysis'!$B$27),0)</f>
        <v>0.36955410762857355</v>
      </c>
      <c r="I734" t="e">
        <f>MEDIAN2("Real Values",H734,'Real Analysis'!$B$5,2)</f>
        <v>#VALUE!</v>
      </c>
      <c r="J734" t="e">
        <f>AVERAGE2("Real Values",I734,'Real Analysis'!$B$6,2)</f>
        <v>#VALUE!</v>
      </c>
      <c r="K734" t="e">
        <f>INTEGRAL2(J734,$B734,K733,J733,$B733,'Real Analysis'!$B$19)</f>
        <v>#VALUE!</v>
      </c>
      <c r="L734" t="e">
        <f>IF(AND(B734&lt;'Real Analysis'!$B$32,B734&gt;0),INTEGRAL2(K734,$B734,L733,K733,$B733,'Real Analysis'!$B$20),0)</f>
        <v>#VALUE!</v>
      </c>
      <c r="N734">
        <f>'Real Analysis'!$B$28*'Real Input'!U734+IF('Real Input'!U734 &gt; 0,'Real Analysis'!$B$29,0)</f>
        <v>-0.9871589999999999</v>
      </c>
      <c r="O734" t="e">
        <f t="shared" si="57"/>
        <v>#VALUE!</v>
      </c>
      <c r="P734" t="e">
        <f t="shared" si="58"/>
        <v>#VALUE!</v>
      </c>
    </row>
    <row r="735" spans="1:16" x14ac:dyDescent="0.3">
      <c r="A735">
        <v>733</v>
      </c>
      <c r="B735">
        <f>'Real Input'!M735</f>
        <v>15.68613099999493</v>
      </c>
      <c r="C735">
        <f ca="1">INDIRECT(CONCATENATE("'Real Input'!",'Real Analysis'!$B$2,A735+2))</f>
        <v>10.011713220000001</v>
      </c>
      <c r="D735">
        <f t="shared" si="56"/>
        <v>1.8872999993618578E-2</v>
      </c>
      <c r="E735">
        <f ca="1">IF(B735&gt;0,C735-'Real Analysis'!$B$14,0)</f>
        <v>0.1552154176285736</v>
      </c>
      <c r="F735">
        <f t="shared" ca="1" si="59"/>
        <v>4.3186299889397227E-2</v>
      </c>
      <c r="G735">
        <f t="shared" ca="1" si="55"/>
        <v>-1.1650792842674329</v>
      </c>
      <c r="H735">
        <f ca="1">IF(AND(B735&gt;'Real Analysis'!$B$31,B735&lt;'Real Analysis'!$B$32),FilterInput(E735,'Real Analysis'!$B$26,'Real Analysis'!$B$27),0)</f>
        <v>0.1552154176285736</v>
      </c>
      <c r="I735" t="e">
        <f>MEDIAN2("Real Values",H735,'Real Analysis'!$B$5,2)</f>
        <v>#VALUE!</v>
      </c>
      <c r="J735" t="e">
        <f>AVERAGE2("Real Values",I735,'Real Analysis'!$B$6,2)</f>
        <v>#VALUE!</v>
      </c>
      <c r="K735" t="e">
        <f>INTEGRAL2(J735,$B735,K734,J734,$B734,'Real Analysis'!$B$19)</f>
        <v>#VALUE!</v>
      </c>
      <c r="L735" t="e">
        <f>IF(AND(B735&lt;'Real Analysis'!$B$32,B735&gt;0),INTEGRAL2(K735,$B735,L734,K734,$B734,'Real Analysis'!$B$20),0)</f>
        <v>#VALUE!</v>
      </c>
      <c r="N735">
        <f>'Real Analysis'!$B$28*'Real Input'!U735+IF('Real Input'!U735 &gt; 0,'Real Analysis'!$B$29,0)</f>
        <v>-0.9871589999999999</v>
      </c>
      <c r="O735" t="e">
        <f t="shared" si="57"/>
        <v>#VALUE!</v>
      </c>
      <c r="P735" t="e">
        <f t="shared" si="58"/>
        <v>#VALUE!</v>
      </c>
    </row>
    <row r="736" spans="1:16" x14ac:dyDescent="0.3">
      <c r="A736">
        <v>734</v>
      </c>
      <c r="B736">
        <f>'Real Input'!M736</f>
        <v>15.712199000001419</v>
      </c>
      <c r="C736">
        <f ca="1">INDIRECT(CONCATENATE("'Real Input'!",'Real Analysis'!$B$2,A736+2))</f>
        <v>9.1658950200000007</v>
      </c>
      <c r="D736">
        <f t="shared" si="56"/>
        <v>2.6068000006489456E-2</v>
      </c>
      <c r="E736">
        <f ca="1">IF(B736&gt;0,C736-'Real Analysis'!$B$14,0)</f>
        <v>-0.69060278237142647</v>
      </c>
      <c r="F736">
        <f t="shared" ca="1" si="59"/>
        <v>2.5183666554057245E-2</v>
      </c>
      <c r="G736">
        <f t="shared" ca="1" si="55"/>
        <v>-1.1644227964475382</v>
      </c>
      <c r="H736">
        <f ca="1">IF(AND(B736&gt;'Real Analysis'!$B$31,B736&lt;'Real Analysis'!$B$32),FilterInput(E736,'Real Analysis'!$B$26,'Real Analysis'!$B$27),0)</f>
        <v>-0.69060278237142647</v>
      </c>
      <c r="I736" t="e">
        <f>MEDIAN2("Real Values",H736,'Real Analysis'!$B$5,2)</f>
        <v>#VALUE!</v>
      </c>
      <c r="J736" t="e">
        <f>AVERAGE2("Real Values",I736,'Real Analysis'!$B$6,2)</f>
        <v>#VALUE!</v>
      </c>
      <c r="K736" t="e">
        <f>INTEGRAL2(J736,$B736,K735,J735,$B735,'Real Analysis'!$B$19)</f>
        <v>#VALUE!</v>
      </c>
      <c r="L736" t="e">
        <f>IF(AND(B736&lt;'Real Analysis'!$B$32,B736&gt;0),INTEGRAL2(K736,$B736,L735,K735,$B735,'Real Analysis'!$B$20),0)</f>
        <v>#VALUE!</v>
      </c>
      <c r="N736">
        <f>'Real Analysis'!$B$28*'Real Input'!U736+IF('Real Input'!U736 &gt; 0,'Real Analysis'!$B$29,0)</f>
        <v>-0.9871589999999999</v>
      </c>
      <c r="O736" t="e">
        <f t="shared" si="57"/>
        <v>#VALUE!</v>
      </c>
      <c r="P736" t="e">
        <f t="shared" si="58"/>
        <v>#VALUE!</v>
      </c>
    </row>
    <row r="737" spans="1:16" x14ac:dyDescent="0.3">
      <c r="A737">
        <v>735</v>
      </c>
      <c r="B737">
        <f>'Real Input'!M737</f>
        <v>15.73123299999861</v>
      </c>
      <c r="C737">
        <f ca="1">INDIRECT(CONCATENATE("'Real Input'!",'Real Analysis'!$B$2,A737+2))</f>
        <v>8.3507821199999999</v>
      </c>
      <c r="D737">
        <f t="shared" si="56"/>
        <v>1.9033999997191131E-2</v>
      </c>
      <c r="E737">
        <f ca="1">IF(B737&gt;0,C737-'Real Analysis'!$B$14,0)</f>
        <v>-1.5057156823714273</v>
      </c>
      <c r="F737">
        <f t="shared" ca="1" si="59"/>
        <v>-3.4761257399711434E-3</v>
      </c>
      <c r="G737">
        <f t="shared" ref="G737:G800" ca="1" si="60">IF(B737&gt;0,G736+F737*$D737,0)</f>
        <v>-1.164488961024863</v>
      </c>
      <c r="H737">
        <f ca="1">IF(AND(B737&gt;'Real Analysis'!$B$31,B737&lt;'Real Analysis'!$B$32),FilterInput(E737,'Real Analysis'!$B$26,'Real Analysis'!$B$27),0)</f>
        <v>-1.5057156823714273</v>
      </c>
      <c r="I737" t="e">
        <f>MEDIAN2("Real Values",H737,'Real Analysis'!$B$5,2)</f>
        <v>#VALUE!</v>
      </c>
      <c r="J737" t="e">
        <f>AVERAGE2("Real Values",I737,'Real Analysis'!$B$6,2)</f>
        <v>#VALUE!</v>
      </c>
      <c r="K737" t="e">
        <f>INTEGRAL2(J737,$B737,K736,J736,$B736,'Real Analysis'!$B$19)</f>
        <v>#VALUE!</v>
      </c>
      <c r="L737" t="e">
        <f>IF(AND(B737&lt;'Real Analysis'!$B$32,B737&gt;0),INTEGRAL2(K737,$B737,L736,K736,$B736,'Real Analysis'!$B$20),0)</f>
        <v>#VALUE!</v>
      </c>
      <c r="N737">
        <f>'Real Analysis'!$B$28*'Real Input'!U737+IF('Real Input'!U737 &gt; 0,'Real Analysis'!$B$29,0)</f>
        <v>-0.98517199999999994</v>
      </c>
      <c r="O737" t="e">
        <f t="shared" si="57"/>
        <v>#VALUE!</v>
      </c>
      <c r="P737" t="e">
        <f t="shared" si="58"/>
        <v>#VALUE!</v>
      </c>
    </row>
    <row r="738" spans="1:16" x14ac:dyDescent="0.3">
      <c r="A738">
        <v>736</v>
      </c>
      <c r="B738">
        <f>'Real Input'!M738</f>
        <v>15.747940000001108</v>
      </c>
      <c r="C738">
        <f ca="1">INDIRECT(CONCATENATE("'Real Input'!",'Real Analysis'!$B$2,A738+2))</f>
        <v>8.1650297700000003</v>
      </c>
      <c r="D738">
        <f t="shared" si="56"/>
        <v>1.6707000002497807E-2</v>
      </c>
      <c r="E738">
        <f ca="1">IF(B738&gt;0,C738-'Real Analysis'!$B$14,0)</f>
        <v>-1.6914680323714268</v>
      </c>
      <c r="F738">
        <f t="shared" ca="1" si="59"/>
        <v>-3.1735482161025536E-2</v>
      </c>
      <c r="G738">
        <f t="shared" ca="1" si="60"/>
        <v>-1.1650191657254065</v>
      </c>
      <c r="H738">
        <f ca="1">IF(AND(B738&gt;'Real Analysis'!$B$31,B738&lt;'Real Analysis'!$B$32),FilterInput(E738,'Real Analysis'!$B$26,'Real Analysis'!$B$27),0)</f>
        <v>-1.6914680323714268</v>
      </c>
      <c r="I738" t="e">
        <f>MEDIAN2("Real Values",H738,'Real Analysis'!$B$5,2)</f>
        <v>#VALUE!</v>
      </c>
      <c r="J738" t="e">
        <f>AVERAGE2("Real Values",I738,'Real Analysis'!$B$6,2)</f>
        <v>#VALUE!</v>
      </c>
      <c r="K738" t="e">
        <f>INTEGRAL2(J738,$B738,K737,J737,$B737,'Real Analysis'!$B$19)</f>
        <v>#VALUE!</v>
      </c>
      <c r="L738" t="e">
        <f>IF(AND(B738&lt;'Real Analysis'!$B$32,B738&gt;0),INTEGRAL2(K738,$B738,L737,K737,$B737,'Real Analysis'!$B$20),0)</f>
        <v>#VALUE!</v>
      </c>
      <c r="N738">
        <f>'Real Analysis'!$B$28*'Real Input'!U738+IF('Real Input'!U738 &gt; 0,'Real Analysis'!$B$29,0)</f>
        <v>-0.98517199999999994</v>
      </c>
      <c r="O738" t="e">
        <f t="shared" si="57"/>
        <v>#VALUE!</v>
      </c>
      <c r="P738" t="e">
        <f t="shared" si="58"/>
        <v>#VALUE!</v>
      </c>
    </row>
    <row r="739" spans="1:16" x14ac:dyDescent="0.3">
      <c r="A739">
        <v>737</v>
      </c>
      <c r="B739">
        <f>'Real Input'!M739</f>
        <v>15.771502999996301</v>
      </c>
      <c r="C739">
        <f ca="1">INDIRECT(CONCATENATE("'Real Input'!",'Real Analysis'!$B$2,A739+2))</f>
        <v>9.3219819299999997</v>
      </c>
      <c r="D739">
        <f t="shared" si="56"/>
        <v>2.3562999995192513E-2</v>
      </c>
      <c r="E739">
        <f ca="1">IF(B739&gt;0,C739-'Real Analysis'!$B$14,0)</f>
        <v>-0.53451587237142739</v>
      </c>
      <c r="F739">
        <f t="shared" ca="1" si="59"/>
        <v>-4.4330279659143802E-2</v>
      </c>
      <c r="G739">
        <f t="shared" ca="1" si="60"/>
        <v>-1.1660637201048019</v>
      </c>
      <c r="H739">
        <f ca="1">IF(AND(B739&gt;'Real Analysis'!$B$31,B739&lt;'Real Analysis'!$B$32),FilterInput(E739,'Real Analysis'!$B$26,'Real Analysis'!$B$27),0)</f>
        <v>-0.53451587237142739</v>
      </c>
      <c r="I739" t="e">
        <f>MEDIAN2("Real Values",H739,'Real Analysis'!$B$5,2)</f>
        <v>#VALUE!</v>
      </c>
      <c r="J739" t="e">
        <f>AVERAGE2("Real Values",I739,'Real Analysis'!$B$6,2)</f>
        <v>#VALUE!</v>
      </c>
      <c r="K739" t="e">
        <f>INTEGRAL2(J739,$B739,K738,J738,$B738,'Real Analysis'!$B$19)</f>
        <v>#VALUE!</v>
      </c>
      <c r="L739" t="e">
        <f>IF(AND(B739&lt;'Real Analysis'!$B$32,B739&gt;0),INTEGRAL2(K739,$B739,L738,K738,$B738,'Real Analysis'!$B$20),0)</f>
        <v>#VALUE!</v>
      </c>
      <c r="N739">
        <f>'Real Analysis'!$B$28*'Real Input'!U739+IF('Real Input'!U739 &gt; 0,'Real Analysis'!$B$29,0)</f>
        <v>-0.98318499999999998</v>
      </c>
      <c r="O739" t="e">
        <f t="shared" si="57"/>
        <v>#VALUE!</v>
      </c>
      <c r="P739" t="e">
        <f t="shared" si="58"/>
        <v>#VALUE!</v>
      </c>
    </row>
    <row r="740" spans="1:16" x14ac:dyDescent="0.3">
      <c r="A740">
        <v>738</v>
      </c>
      <c r="B740">
        <f>'Real Input'!M740</f>
        <v>15.791205999994418</v>
      </c>
      <c r="C740">
        <f ca="1">INDIRECT(CONCATENATE("'Real Input'!",'Real Analysis'!$B$2,A740+2))</f>
        <v>10.182632849999999</v>
      </c>
      <c r="D740">
        <f t="shared" si="56"/>
        <v>1.9702999998116866E-2</v>
      </c>
      <c r="E740">
        <f ca="1">IF(B740&gt;0,C740-'Real Analysis'!$B$14,0)</f>
        <v>0.32613504762857204</v>
      </c>
      <c r="F740">
        <f t="shared" ca="1" si="59"/>
        <v>-3.7904440816332201E-2</v>
      </c>
      <c r="G740">
        <f t="shared" ca="1" si="60"/>
        <v>-1.1668105513021347</v>
      </c>
      <c r="H740">
        <f ca="1">IF(AND(B740&gt;'Real Analysis'!$B$31,B740&lt;'Real Analysis'!$B$32),FilterInput(E740,'Real Analysis'!$B$26,'Real Analysis'!$B$27),0)</f>
        <v>0.32613504762857204</v>
      </c>
      <c r="I740" t="e">
        <f>MEDIAN2("Real Values",H740,'Real Analysis'!$B$5,2)</f>
        <v>#VALUE!</v>
      </c>
      <c r="J740" t="e">
        <f>AVERAGE2("Real Values",I740,'Real Analysis'!$B$6,2)</f>
        <v>#VALUE!</v>
      </c>
      <c r="K740" t="e">
        <f>INTEGRAL2(J740,$B740,K739,J739,$B739,'Real Analysis'!$B$19)</f>
        <v>#VALUE!</v>
      </c>
      <c r="L740" t="e">
        <f>IF(AND(B740&lt;'Real Analysis'!$B$32,B740&gt;0),INTEGRAL2(K740,$B740,L739,K739,$B739,'Real Analysis'!$B$20),0)</f>
        <v>#VALUE!</v>
      </c>
      <c r="N740">
        <f>'Real Analysis'!$B$28*'Real Input'!U740+IF('Real Input'!U740 &gt; 0,'Real Analysis'!$B$29,0)</f>
        <v>-0.98517199999999994</v>
      </c>
      <c r="O740" t="e">
        <f t="shared" si="57"/>
        <v>#VALUE!</v>
      </c>
      <c r="P740" t="e">
        <f t="shared" si="58"/>
        <v>#VALUE!</v>
      </c>
    </row>
    <row r="741" spans="1:16" x14ac:dyDescent="0.3">
      <c r="A741">
        <v>739</v>
      </c>
      <c r="B741">
        <f>'Real Input'!M741</f>
        <v>15.811014000006253</v>
      </c>
      <c r="C741">
        <f ca="1">INDIRECT(CONCATENATE("'Real Input'!",'Real Analysis'!$B$2,A741+2))</f>
        <v>9.949321620000001</v>
      </c>
      <c r="D741">
        <f t="shared" si="56"/>
        <v>1.9808000011835247E-2</v>
      </c>
      <c r="E741">
        <f ca="1">IF(B741&gt;0,C741-'Real Analysis'!$B$14,0)</f>
        <v>9.2823817628573835E-2</v>
      </c>
      <c r="F741">
        <f t="shared" ca="1" si="59"/>
        <v>-3.6065786635646815E-2</v>
      </c>
      <c r="G741">
        <f t="shared" ca="1" si="60"/>
        <v>-1.1675249424042404</v>
      </c>
      <c r="H741">
        <f ca="1">IF(AND(B741&gt;'Real Analysis'!$B$31,B741&lt;'Real Analysis'!$B$32),FilterInput(E741,'Real Analysis'!$B$26,'Real Analysis'!$B$27),0)</f>
        <v>9.2823817628573835E-2</v>
      </c>
      <c r="I741" t="e">
        <f>MEDIAN2("Real Values",H741,'Real Analysis'!$B$5,2)</f>
        <v>#VALUE!</v>
      </c>
      <c r="J741" t="e">
        <f>AVERAGE2("Real Values",I741,'Real Analysis'!$B$6,2)</f>
        <v>#VALUE!</v>
      </c>
      <c r="K741" t="e">
        <f>INTEGRAL2(J741,$B741,K740,J740,$B740,'Real Analysis'!$B$19)</f>
        <v>#VALUE!</v>
      </c>
      <c r="L741" t="e">
        <f>IF(AND(B741&lt;'Real Analysis'!$B$32,B741&gt;0),INTEGRAL2(K741,$B741,L740,K740,$B740,'Real Analysis'!$B$20),0)</f>
        <v>#VALUE!</v>
      </c>
      <c r="N741">
        <f>'Real Analysis'!$B$28*'Real Input'!U741+IF('Real Input'!U741 &gt; 0,'Real Analysis'!$B$29,0)</f>
        <v>-0.98318499999999998</v>
      </c>
      <c r="O741" t="e">
        <f t="shared" si="57"/>
        <v>#VALUE!</v>
      </c>
      <c r="P741" t="e">
        <f t="shared" si="58"/>
        <v>#VALUE!</v>
      </c>
    </row>
    <row r="742" spans="1:16" x14ac:dyDescent="0.3">
      <c r="A742">
        <v>740</v>
      </c>
      <c r="B742">
        <f>'Real Input'!M742</f>
        <v>15.833064000005834</v>
      </c>
      <c r="C742">
        <f ca="1">INDIRECT(CONCATENATE("'Real Input'!",'Real Analysis'!$B$2,A742+2))</f>
        <v>9.9618391800000019</v>
      </c>
      <c r="D742">
        <f t="shared" si="56"/>
        <v>2.2049999999580905E-2</v>
      </c>
      <c r="E742">
        <f ca="1">IF(B742&gt;0,C742-'Real Analysis'!$B$14,0)</f>
        <v>0.10534137762857476</v>
      </c>
      <c r="F742">
        <f t="shared" ca="1" si="59"/>
        <v>-3.374300925898089E-2</v>
      </c>
      <c r="G742">
        <f t="shared" ca="1" si="60"/>
        <v>-1.1682689757583868</v>
      </c>
      <c r="H742">
        <f ca="1">IF(AND(B742&gt;'Real Analysis'!$B$31,B742&lt;'Real Analysis'!$B$32),FilterInput(E742,'Real Analysis'!$B$26,'Real Analysis'!$B$27),0)</f>
        <v>0.10534137762857476</v>
      </c>
      <c r="I742" t="e">
        <f>MEDIAN2("Real Values",H742,'Real Analysis'!$B$5,2)</f>
        <v>#VALUE!</v>
      </c>
      <c r="J742" t="e">
        <f>AVERAGE2("Real Values",I742,'Real Analysis'!$B$6,2)</f>
        <v>#VALUE!</v>
      </c>
      <c r="K742" t="e">
        <f>INTEGRAL2(J742,$B742,K741,J741,$B741,'Real Analysis'!$B$19)</f>
        <v>#VALUE!</v>
      </c>
      <c r="L742" t="e">
        <f>IF(AND(B742&lt;'Real Analysis'!$B$32,B742&gt;0),INTEGRAL2(K742,$B742,L741,K741,$B741,'Real Analysis'!$B$20),0)</f>
        <v>#VALUE!</v>
      </c>
      <c r="N742">
        <f>'Real Analysis'!$B$28*'Real Input'!U742+IF('Real Input'!U742 &gt; 0,'Real Analysis'!$B$29,0)</f>
        <v>-0.98517199999999994</v>
      </c>
      <c r="O742" t="e">
        <f t="shared" si="57"/>
        <v>#VALUE!</v>
      </c>
      <c r="P742" t="e">
        <f t="shared" si="58"/>
        <v>#VALUE!</v>
      </c>
    </row>
    <row r="743" spans="1:16" x14ac:dyDescent="0.3">
      <c r="A743">
        <v>741</v>
      </c>
      <c r="B743">
        <f>'Real Input'!M743</f>
        <v>15.851758000004338</v>
      </c>
      <c r="C743">
        <f ca="1">INDIRECT(CONCATENATE("'Real Input'!",'Real Analysis'!$B$2,A743+2))</f>
        <v>10.00321776</v>
      </c>
      <c r="D743">
        <f t="shared" si="56"/>
        <v>1.8693999998504296E-2</v>
      </c>
      <c r="E743">
        <f ca="1">IF(B743&gt;0,C743-'Real Analysis'!$B$14,0)</f>
        <v>0.14671995762857293</v>
      </c>
      <c r="F743">
        <f t="shared" ca="1" si="59"/>
        <v>-3.1000226371291798E-2</v>
      </c>
      <c r="G743">
        <f t="shared" ca="1" si="60"/>
        <v>-1.1688484939901254</v>
      </c>
      <c r="H743">
        <f ca="1">IF(AND(B743&gt;'Real Analysis'!$B$31,B743&lt;'Real Analysis'!$B$32),FilterInput(E743,'Real Analysis'!$B$26,'Real Analysis'!$B$27),0)</f>
        <v>0.14671995762857293</v>
      </c>
      <c r="I743" t="e">
        <f>MEDIAN2("Real Values",H743,'Real Analysis'!$B$5,2)</f>
        <v>#VALUE!</v>
      </c>
      <c r="J743" t="e">
        <f>AVERAGE2("Real Values",I743,'Real Analysis'!$B$6,2)</f>
        <v>#VALUE!</v>
      </c>
      <c r="K743" t="e">
        <f>INTEGRAL2(J743,$B743,K742,J742,$B742,'Real Analysis'!$B$19)</f>
        <v>#VALUE!</v>
      </c>
      <c r="L743" t="e">
        <f>IF(AND(B743&lt;'Real Analysis'!$B$32,B743&gt;0),INTEGRAL2(K743,$B743,L742,K742,$B742,'Real Analysis'!$B$20),0)</f>
        <v>#VALUE!</v>
      </c>
      <c r="N743">
        <f>'Real Analysis'!$B$28*'Real Input'!U743+IF('Real Input'!U743 &gt; 0,'Real Analysis'!$B$29,0)</f>
        <v>-0.98318499999999998</v>
      </c>
      <c r="O743" t="e">
        <f t="shared" si="57"/>
        <v>#VALUE!</v>
      </c>
      <c r="P743" t="e">
        <f t="shared" si="58"/>
        <v>#VALUE!</v>
      </c>
    </row>
    <row r="744" spans="1:16" x14ac:dyDescent="0.3">
      <c r="A744">
        <v>742</v>
      </c>
      <c r="B744">
        <f>'Real Input'!M744</f>
        <v>15.872119999999995</v>
      </c>
      <c r="C744">
        <f ca="1">INDIRECT(CONCATENATE("'Real Input'!",'Real Analysis'!$B$2,A744+2))</f>
        <v>10.302295230000002</v>
      </c>
      <c r="D744">
        <f t="shared" si="56"/>
        <v>2.0361999995657243E-2</v>
      </c>
      <c r="E744">
        <f ca="1">IF(B744&gt;0,C744-'Real Analysis'!$B$14,0)</f>
        <v>0.44579742762857499</v>
      </c>
      <c r="F744">
        <f t="shared" ca="1" si="59"/>
        <v>-2.1922899151854747E-2</v>
      </c>
      <c r="G744">
        <f t="shared" ca="1" si="60"/>
        <v>-1.1692948880625602</v>
      </c>
      <c r="H744">
        <f ca="1">IF(AND(B744&gt;'Real Analysis'!$B$31,B744&lt;'Real Analysis'!$B$32),FilterInput(E744,'Real Analysis'!$B$26,'Real Analysis'!$B$27),0)</f>
        <v>0.44579742762857499</v>
      </c>
      <c r="I744" t="e">
        <f>MEDIAN2("Real Values",H744,'Real Analysis'!$B$5,2)</f>
        <v>#VALUE!</v>
      </c>
      <c r="J744" t="e">
        <f>AVERAGE2("Real Values",I744,'Real Analysis'!$B$6,2)</f>
        <v>#VALUE!</v>
      </c>
      <c r="K744" t="e">
        <f>INTEGRAL2(J744,$B744,K743,J743,$B743,'Real Analysis'!$B$19)</f>
        <v>#VALUE!</v>
      </c>
      <c r="L744" t="e">
        <f>IF(AND(B744&lt;'Real Analysis'!$B$32,B744&gt;0),INTEGRAL2(K744,$B744,L743,K743,$B743,'Real Analysis'!$B$20),0)</f>
        <v>#VALUE!</v>
      </c>
      <c r="N744">
        <f>'Real Analysis'!$B$28*'Real Input'!U744+IF('Real Input'!U744 &gt; 0,'Real Analysis'!$B$29,0)</f>
        <v>-0.98318499999999998</v>
      </c>
      <c r="O744" t="e">
        <f t="shared" si="57"/>
        <v>#VALUE!</v>
      </c>
      <c r="P744" t="e">
        <f t="shared" si="58"/>
        <v>#VALUE!</v>
      </c>
    </row>
    <row r="745" spans="1:16" x14ac:dyDescent="0.3">
      <c r="A745">
        <v>743</v>
      </c>
      <c r="B745">
        <f>'Real Input'!M745</f>
        <v>15.886606000000029</v>
      </c>
      <c r="C745">
        <f ca="1">INDIRECT(CONCATENATE("'Real Input'!",'Real Analysis'!$B$2,A745+2))</f>
        <v>10.13339646</v>
      </c>
      <c r="D745">
        <f t="shared" si="56"/>
        <v>1.4486000000033528E-2</v>
      </c>
      <c r="E745">
        <f ca="1">IF(B745&gt;0,C745-'Real Analysis'!$B$14,0)</f>
        <v>0.27689865762857302</v>
      </c>
      <c r="F745">
        <f t="shared" ca="1" si="59"/>
        <v>-1.7911745197437955E-2</v>
      </c>
      <c r="G745">
        <f t="shared" ca="1" si="60"/>
        <v>-1.1695543576034908</v>
      </c>
      <c r="H745">
        <f ca="1">IF(AND(B745&gt;'Real Analysis'!$B$31,B745&lt;'Real Analysis'!$B$32),FilterInput(E745,'Real Analysis'!$B$26,'Real Analysis'!$B$27),0)</f>
        <v>0.27689865762857302</v>
      </c>
      <c r="I745" t="e">
        <f>MEDIAN2("Real Values",H745,'Real Analysis'!$B$5,2)</f>
        <v>#VALUE!</v>
      </c>
      <c r="J745" t="e">
        <f>AVERAGE2("Real Values",I745,'Real Analysis'!$B$6,2)</f>
        <v>#VALUE!</v>
      </c>
      <c r="K745" t="e">
        <f>INTEGRAL2(J745,$B745,K744,J744,$B744,'Real Analysis'!$B$19)</f>
        <v>#VALUE!</v>
      </c>
      <c r="L745" t="e">
        <f>IF(AND(B745&lt;'Real Analysis'!$B$32,B745&gt;0),INTEGRAL2(K745,$B745,L744,K744,$B744,'Real Analysis'!$B$20),0)</f>
        <v>#VALUE!</v>
      </c>
      <c r="N745">
        <f>'Real Analysis'!$B$28*'Real Input'!U745+IF('Real Input'!U745 &gt; 0,'Real Analysis'!$B$29,0)</f>
        <v>-0.98318499999999998</v>
      </c>
      <c r="O745" t="e">
        <f t="shared" si="57"/>
        <v>#VALUE!</v>
      </c>
      <c r="P745" t="e">
        <f t="shared" si="58"/>
        <v>#VALUE!</v>
      </c>
    </row>
    <row r="746" spans="1:16" x14ac:dyDescent="0.3">
      <c r="A746">
        <v>744</v>
      </c>
      <c r="B746">
        <f>'Real Input'!M746</f>
        <v>15.912100999994436</v>
      </c>
      <c r="C746">
        <f ca="1">INDIRECT(CONCATENATE("'Real Input'!",'Real Analysis'!$B$2,A746+2))</f>
        <v>10.034276220000001</v>
      </c>
      <c r="D746">
        <f t="shared" si="56"/>
        <v>2.5494999994407408E-2</v>
      </c>
      <c r="E746">
        <f ca="1">IF(B746&gt;0,C746-'Real Analysis'!$B$14,0)</f>
        <v>0.17777841762857349</v>
      </c>
      <c r="F746">
        <f t="shared" ca="1" si="59"/>
        <v>-1.3379284440991715E-2</v>
      </c>
      <c r="G746">
        <f t="shared" ca="1" si="60"/>
        <v>-1.1698954624602391</v>
      </c>
      <c r="H746">
        <f ca="1">IF(AND(B746&gt;'Real Analysis'!$B$31,B746&lt;'Real Analysis'!$B$32),FilterInput(E746,'Real Analysis'!$B$26,'Real Analysis'!$B$27),0)</f>
        <v>0.17777841762857349</v>
      </c>
      <c r="I746" t="e">
        <f>MEDIAN2("Real Values",H746,'Real Analysis'!$B$5,2)</f>
        <v>#VALUE!</v>
      </c>
      <c r="J746" t="e">
        <f>AVERAGE2("Real Values",I746,'Real Analysis'!$B$6,2)</f>
        <v>#VALUE!</v>
      </c>
      <c r="K746" t="e">
        <f>INTEGRAL2(J746,$B746,K745,J745,$B745,'Real Analysis'!$B$19)</f>
        <v>#VALUE!</v>
      </c>
      <c r="L746" t="e">
        <f>IF(AND(B746&lt;'Real Analysis'!$B$32,B746&gt;0),INTEGRAL2(K746,$B746,L745,K745,$B745,'Real Analysis'!$B$20),0)</f>
        <v>#VALUE!</v>
      </c>
      <c r="N746">
        <f>'Real Analysis'!$B$28*'Real Input'!U746+IF('Real Input'!U746 &gt; 0,'Real Analysis'!$B$29,0)</f>
        <v>-0.98119800000000001</v>
      </c>
      <c r="O746" t="e">
        <f t="shared" si="57"/>
        <v>#VALUE!</v>
      </c>
      <c r="P746" t="e">
        <f t="shared" si="58"/>
        <v>#VALUE!</v>
      </c>
    </row>
    <row r="747" spans="1:16" x14ac:dyDescent="0.3">
      <c r="A747">
        <v>745</v>
      </c>
      <c r="B747">
        <f>'Real Input'!M747</f>
        <v>15.931593000001158</v>
      </c>
      <c r="C747">
        <f ca="1">INDIRECT(CONCATENATE("'Real Input'!",'Real Analysis'!$B$2,A747+2))</f>
        <v>9.8660935799999994</v>
      </c>
      <c r="D747">
        <f t="shared" si="56"/>
        <v>1.9492000006721355E-2</v>
      </c>
      <c r="E747">
        <f ca="1">IF(B747&gt;0,C747-'Real Analysis'!$B$14,0)</f>
        <v>9.5957776285722218E-3</v>
      </c>
      <c r="F747">
        <f t="shared" ca="1" si="59"/>
        <v>-1.3192243543391088E-2</v>
      </c>
      <c r="G747">
        <f t="shared" ca="1" si="60"/>
        <v>-1.1701526056714755</v>
      </c>
      <c r="H747">
        <f ca="1">IF(AND(B747&gt;'Real Analysis'!$B$31,B747&lt;'Real Analysis'!$B$32),FilterInput(E747,'Real Analysis'!$B$26,'Real Analysis'!$B$27),0)</f>
        <v>9.5957776285722218E-3</v>
      </c>
      <c r="I747" t="e">
        <f>MEDIAN2("Real Values",H747,'Real Analysis'!$B$5,2)</f>
        <v>#VALUE!</v>
      </c>
      <c r="J747" t="e">
        <f>AVERAGE2("Real Values",I747,'Real Analysis'!$B$6,2)</f>
        <v>#VALUE!</v>
      </c>
      <c r="K747" t="e">
        <f>INTEGRAL2(J747,$B747,K746,J746,$B746,'Real Analysis'!$B$19)</f>
        <v>#VALUE!</v>
      </c>
      <c r="L747" t="e">
        <f>IF(AND(B747&lt;'Real Analysis'!$B$32,B747&gt;0),INTEGRAL2(K747,$B747,L746,K746,$B746,'Real Analysis'!$B$20),0)</f>
        <v>#VALUE!</v>
      </c>
      <c r="N747">
        <f>'Real Analysis'!$B$28*'Real Input'!U747+IF('Real Input'!U747 &gt; 0,'Real Analysis'!$B$29,0)</f>
        <v>-0.98318499999999998</v>
      </c>
      <c r="O747" t="e">
        <f t="shared" si="57"/>
        <v>#VALUE!</v>
      </c>
      <c r="P747" t="e">
        <f t="shared" si="58"/>
        <v>#VALUE!</v>
      </c>
    </row>
    <row r="748" spans="1:16" x14ac:dyDescent="0.3">
      <c r="A748">
        <v>746</v>
      </c>
      <c r="B748">
        <f>'Real Input'!M748</f>
        <v>15.946718999999575</v>
      </c>
      <c r="C748">
        <f ca="1">INDIRECT(CONCATENATE("'Real Input'!",'Real Analysis'!$B$2,A748+2))</f>
        <v>10.046705490000001</v>
      </c>
      <c r="D748">
        <f t="shared" si="56"/>
        <v>1.5125999998417683E-2</v>
      </c>
      <c r="E748">
        <f ca="1">IF(B748&gt;0,C748-'Real Analysis'!$B$14,0)</f>
        <v>0.19020768762857365</v>
      </c>
      <c r="F748">
        <f t="shared" ca="1" si="59"/>
        <v>-1.0315162060622253E-2</v>
      </c>
      <c r="G748">
        <f t="shared" ca="1" si="60"/>
        <v>-1.1703086328127881</v>
      </c>
      <c r="H748">
        <f ca="1">IF(AND(B748&gt;'Real Analysis'!$B$31,B748&lt;'Real Analysis'!$B$32),FilterInput(E748,'Real Analysis'!$B$26,'Real Analysis'!$B$27),0)</f>
        <v>0.19020768762857365</v>
      </c>
      <c r="I748" t="e">
        <f>MEDIAN2("Real Values",H748,'Real Analysis'!$B$5,2)</f>
        <v>#VALUE!</v>
      </c>
      <c r="J748" t="e">
        <f>AVERAGE2("Real Values",I748,'Real Analysis'!$B$6,2)</f>
        <v>#VALUE!</v>
      </c>
      <c r="K748" t="e">
        <f>INTEGRAL2(J748,$B748,K747,J747,$B747,'Real Analysis'!$B$19)</f>
        <v>#VALUE!</v>
      </c>
      <c r="L748" t="e">
        <f>IF(AND(B748&lt;'Real Analysis'!$B$32,B748&gt;0),INTEGRAL2(K748,$B748,L747,K747,$B747,'Real Analysis'!$B$20),0)</f>
        <v>#VALUE!</v>
      </c>
      <c r="N748">
        <f>'Real Analysis'!$B$28*'Real Input'!U748+IF('Real Input'!U748 &gt; 0,'Real Analysis'!$B$29,0)</f>
        <v>-0.98119800000000001</v>
      </c>
      <c r="O748" t="e">
        <f t="shared" si="57"/>
        <v>#VALUE!</v>
      </c>
      <c r="P748" t="e">
        <f t="shared" si="58"/>
        <v>#VALUE!</v>
      </c>
    </row>
    <row r="749" spans="1:16" x14ac:dyDescent="0.3">
      <c r="A749">
        <v>747</v>
      </c>
      <c r="B749">
        <f>'Real Input'!M749</f>
        <v>15.96976100000029</v>
      </c>
      <c r="C749">
        <f ca="1">INDIRECT(CONCATENATE("'Real Input'!",'Real Analysis'!$B$2,A749+2))</f>
        <v>10.191373559999999</v>
      </c>
      <c r="D749">
        <f t="shared" si="56"/>
        <v>2.3042000000714324E-2</v>
      </c>
      <c r="E749">
        <f ca="1">IF(B749&gt;0,C749-'Real Analysis'!$B$14,0)</f>
        <v>0.33487575762857169</v>
      </c>
      <c r="F749">
        <f t="shared" ca="1" si="59"/>
        <v>-2.5989548531054939E-3</v>
      </c>
      <c r="G749">
        <f t="shared" ca="1" si="60"/>
        <v>-1.1703685179305152</v>
      </c>
      <c r="H749">
        <f ca="1">IF(AND(B749&gt;'Real Analysis'!$B$31,B749&lt;'Real Analysis'!$B$32),FilterInput(E749,'Real Analysis'!$B$26,'Real Analysis'!$B$27),0)</f>
        <v>0.33487575762857169</v>
      </c>
      <c r="I749" t="e">
        <f>MEDIAN2("Real Values",H749,'Real Analysis'!$B$5,2)</f>
        <v>#VALUE!</v>
      </c>
      <c r="J749" t="e">
        <f>AVERAGE2("Real Values",I749,'Real Analysis'!$B$6,2)</f>
        <v>#VALUE!</v>
      </c>
      <c r="K749" t="e">
        <f>INTEGRAL2(J749,$B749,K748,J748,$B748,'Real Analysis'!$B$19)</f>
        <v>#VALUE!</v>
      </c>
      <c r="L749" t="e">
        <f>IF(AND(B749&lt;'Real Analysis'!$B$32,B749&gt;0),INTEGRAL2(K749,$B749,L748,K748,$B748,'Real Analysis'!$B$20),0)</f>
        <v>#VALUE!</v>
      </c>
      <c r="N749">
        <f>'Real Analysis'!$B$28*'Real Input'!U749+IF('Real Input'!U749 &gt; 0,'Real Analysis'!$B$29,0)</f>
        <v>-0.97921099999999994</v>
      </c>
      <c r="O749" t="e">
        <f t="shared" si="57"/>
        <v>#VALUE!</v>
      </c>
      <c r="P749" t="e">
        <f t="shared" si="58"/>
        <v>#VALUE!</v>
      </c>
    </row>
    <row r="750" spans="1:16" x14ac:dyDescent="0.3">
      <c r="A750">
        <v>748</v>
      </c>
      <c r="B750">
        <f>'Real Input'!M750</f>
        <v>15.988339999996242</v>
      </c>
      <c r="C750">
        <f ca="1">INDIRECT(CONCATENATE("'Real Input'!",'Real Analysis'!$B$2,A750+2))</f>
        <v>10.333324259999999</v>
      </c>
      <c r="D750">
        <f t="shared" si="56"/>
        <v>1.8578999995952472E-2</v>
      </c>
      <c r="E750">
        <f ca="1">IF(B750&gt;0,C750-'Real Analysis'!$B$14,0)</f>
        <v>0.47682645762857234</v>
      </c>
      <c r="F750">
        <f t="shared" ca="1" si="59"/>
        <v>6.2600039012457838E-3</v>
      </c>
      <c r="G750">
        <f t="shared" ca="1" si="60"/>
        <v>-1.1702522133180593</v>
      </c>
      <c r="H750">
        <f ca="1">IF(AND(B750&gt;'Real Analysis'!$B$31,B750&lt;'Real Analysis'!$B$32),FilterInput(E750,'Real Analysis'!$B$26,'Real Analysis'!$B$27),0)</f>
        <v>0.47682645762857234</v>
      </c>
      <c r="I750" t="e">
        <f>MEDIAN2("Real Values",H750,'Real Analysis'!$B$5,2)</f>
        <v>#VALUE!</v>
      </c>
      <c r="J750" t="e">
        <f>AVERAGE2("Real Values",I750,'Real Analysis'!$B$6,2)</f>
        <v>#VALUE!</v>
      </c>
      <c r="K750" t="e">
        <f>INTEGRAL2(J750,$B750,K749,J749,$B749,'Real Analysis'!$B$19)</f>
        <v>#VALUE!</v>
      </c>
      <c r="L750" t="e">
        <f>IF(AND(B750&lt;'Real Analysis'!$B$32,B750&gt;0),INTEGRAL2(K750,$B750,L749,K749,$B749,'Real Analysis'!$B$20),0)</f>
        <v>#VALUE!</v>
      </c>
      <c r="N750">
        <f>'Real Analysis'!$B$28*'Real Input'!U750+IF('Real Input'!U750 &gt; 0,'Real Analysis'!$B$29,0)</f>
        <v>-0.97921099999999994</v>
      </c>
      <c r="O750" t="e">
        <f t="shared" si="57"/>
        <v>#VALUE!</v>
      </c>
      <c r="P750" t="e">
        <f t="shared" si="58"/>
        <v>#VALUE!</v>
      </c>
    </row>
    <row r="751" spans="1:16" x14ac:dyDescent="0.3">
      <c r="A751">
        <v>749</v>
      </c>
      <c r="B751">
        <f>'Real Input'!M751</f>
        <v>16.011887999993633</v>
      </c>
      <c r="C751">
        <f ca="1">INDIRECT(CONCATENATE("'Real Input'!",'Real Analysis'!$B$2,A751+2))</f>
        <v>10.333353690000001</v>
      </c>
      <c r="D751">
        <f t="shared" si="56"/>
        <v>2.3547999997390434E-2</v>
      </c>
      <c r="E751">
        <f ca="1">IF(B751&gt;0,C751-'Real Analysis'!$B$14,0)</f>
        <v>0.47685588762857378</v>
      </c>
      <c r="F751">
        <f t="shared" ca="1" si="59"/>
        <v>1.7489006341879051E-2</v>
      </c>
      <c r="G751">
        <f t="shared" ca="1" si="60"/>
        <v>-1.1698403821967664</v>
      </c>
      <c r="H751">
        <f ca="1">IF(AND(B751&gt;'Real Analysis'!$B$31,B751&lt;'Real Analysis'!$B$32),FilterInput(E751,'Real Analysis'!$B$26,'Real Analysis'!$B$27),0)</f>
        <v>0.47685588762857378</v>
      </c>
      <c r="I751" t="e">
        <f>MEDIAN2("Real Values",H751,'Real Analysis'!$B$5,2)</f>
        <v>#VALUE!</v>
      </c>
      <c r="J751" t="e">
        <f>AVERAGE2("Real Values",I751,'Real Analysis'!$B$6,2)</f>
        <v>#VALUE!</v>
      </c>
      <c r="K751" t="e">
        <f>INTEGRAL2(J751,$B751,K750,J750,$B750,'Real Analysis'!$B$19)</f>
        <v>#VALUE!</v>
      </c>
      <c r="L751" t="e">
        <f>IF(AND(B751&lt;'Real Analysis'!$B$32,B751&gt;0),INTEGRAL2(K751,$B751,L750,K750,$B750,'Real Analysis'!$B$20),0)</f>
        <v>#VALUE!</v>
      </c>
      <c r="N751">
        <f>'Real Analysis'!$B$28*'Real Input'!U751+IF('Real Input'!U751 &gt; 0,'Real Analysis'!$B$29,0)</f>
        <v>-0.97722399999999987</v>
      </c>
      <c r="O751" t="e">
        <f t="shared" si="57"/>
        <v>#VALUE!</v>
      </c>
      <c r="P751" t="e">
        <f t="shared" si="58"/>
        <v>#VALUE!</v>
      </c>
    </row>
    <row r="752" spans="1:16" x14ac:dyDescent="0.3">
      <c r="A752">
        <v>750</v>
      </c>
      <c r="B752">
        <f>'Real Input'!M752</f>
        <v>16.032540999993216</v>
      </c>
      <c r="C752">
        <f ca="1">INDIRECT(CONCATENATE("'Real Input'!",'Real Analysis'!$B$2,A752+2))</f>
        <v>10.242483660000001</v>
      </c>
      <c r="D752">
        <f t="shared" si="56"/>
        <v>2.0652999999583699E-2</v>
      </c>
      <c r="E752">
        <f ca="1">IF(B752&gt;0,C752-'Real Analysis'!$B$14,0)</f>
        <v>0.38598585762857418</v>
      </c>
      <c r="F752">
        <f t="shared" ca="1" si="59"/>
        <v>2.5460772259321307E-2</v>
      </c>
      <c r="G752">
        <f t="shared" ca="1" si="60"/>
        <v>-1.1693145408673054</v>
      </c>
      <c r="H752">
        <f ca="1">IF(AND(B752&gt;'Real Analysis'!$B$31,B752&lt;'Real Analysis'!$B$32),FilterInput(E752,'Real Analysis'!$B$26,'Real Analysis'!$B$27),0)</f>
        <v>0.38598585762857418</v>
      </c>
      <c r="I752" t="e">
        <f>MEDIAN2("Real Values",H752,'Real Analysis'!$B$5,2)</f>
        <v>#VALUE!</v>
      </c>
      <c r="J752" t="e">
        <f>AVERAGE2("Real Values",I752,'Real Analysis'!$B$6,2)</f>
        <v>#VALUE!</v>
      </c>
      <c r="K752" t="e">
        <f>INTEGRAL2(J752,$B752,K751,J751,$B751,'Real Analysis'!$B$19)</f>
        <v>#VALUE!</v>
      </c>
      <c r="L752" t="e">
        <f>IF(AND(B752&lt;'Real Analysis'!$B$32,B752&gt;0),INTEGRAL2(K752,$B752,L751,K751,$B751,'Real Analysis'!$B$20),0)</f>
        <v>#VALUE!</v>
      </c>
      <c r="N752">
        <f>'Real Analysis'!$B$28*'Real Input'!U752+IF('Real Input'!U752 &gt; 0,'Real Analysis'!$B$29,0)</f>
        <v>-0.97921099999999994</v>
      </c>
      <c r="O752" t="e">
        <f t="shared" si="57"/>
        <v>#VALUE!</v>
      </c>
      <c r="P752" t="e">
        <f t="shared" si="58"/>
        <v>#VALUE!</v>
      </c>
    </row>
    <row r="753" spans="1:16" x14ac:dyDescent="0.3">
      <c r="A753">
        <v>751</v>
      </c>
      <c r="B753">
        <f>'Real Input'!M753</f>
        <v>16.046833999993396</v>
      </c>
      <c r="C753">
        <f ca="1">INDIRECT(CONCATENATE("'Real Input'!",'Real Analysis'!$B$2,A753+2))</f>
        <v>10.081658520000001</v>
      </c>
      <c r="D753">
        <f t="shared" si="56"/>
        <v>1.4293000000179745E-2</v>
      </c>
      <c r="E753">
        <f ca="1">IF(B753&gt;0,C753-'Real Analysis'!$B$14,0)</f>
        <v>0.22516071762857415</v>
      </c>
      <c r="F753">
        <f t="shared" ca="1" si="59"/>
        <v>2.8678994396426988E-2</v>
      </c>
      <c r="G753">
        <f t="shared" ca="1" si="60"/>
        <v>-1.168904632000392</v>
      </c>
      <c r="H753">
        <f ca="1">IF(AND(B753&gt;'Real Analysis'!$B$31,B753&lt;'Real Analysis'!$B$32),FilterInput(E753,'Real Analysis'!$B$26,'Real Analysis'!$B$27),0)</f>
        <v>0.22516071762857415</v>
      </c>
      <c r="I753" t="e">
        <f>MEDIAN2("Real Values",H753,'Real Analysis'!$B$5,2)</f>
        <v>#VALUE!</v>
      </c>
      <c r="J753" t="e">
        <f>AVERAGE2("Real Values",I753,'Real Analysis'!$B$6,2)</f>
        <v>#VALUE!</v>
      </c>
      <c r="K753" t="e">
        <f>INTEGRAL2(J753,$B753,K752,J752,$B752,'Real Analysis'!$B$19)</f>
        <v>#VALUE!</v>
      </c>
      <c r="L753" t="e">
        <f>IF(AND(B753&lt;'Real Analysis'!$B$32,B753&gt;0),INTEGRAL2(K753,$B753,L752,K752,$B752,'Real Analysis'!$B$20),0)</f>
        <v>#VALUE!</v>
      </c>
      <c r="N753">
        <f>'Real Analysis'!$B$28*'Real Input'!U753+IF('Real Input'!U753 &gt; 0,'Real Analysis'!$B$29,0)</f>
        <v>-0.97722399999999987</v>
      </c>
      <c r="O753" t="e">
        <f t="shared" si="57"/>
        <v>#VALUE!</v>
      </c>
      <c r="P753" t="e">
        <f t="shared" si="58"/>
        <v>#VALUE!</v>
      </c>
    </row>
    <row r="754" spans="1:16" x14ac:dyDescent="0.3">
      <c r="A754">
        <v>752</v>
      </c>
      <c r="B754">
        <f>'Real Input'!M754</f>
        <v>16.073931000006269</v>
      </c>
      <c r="C754">
        <f ca="1">INDIRECT(CONCATENATE("'Real Input'!",'Real Analysis'!$B$2,A754+2))</f>
        <v>10.04351724</v>
      </c>
      <c r="D754">
        <f t="shared" si="56"/>
        <v>2.7097000012872741E-2</v>
      </c>
      <c r="E754">
        <f ca="1">IF(B754&gt;0,C754-'Real Analysis'!$B$14,0)</f>
        <v>0.18701943762857276</v>
      </c>
      <c r="F754">
        <f t="shared" ca="1" si="59"/>
        <v>3.3746660100255878E-2</v>
      </c>
      <c r="G754">
        <f t="shared" ca="1" si="60"/>
        <v>-1.1679901987512209</v>
      </c>
      <c r="H754">
        <f ca="1">IF(AND(B754&gt;'Real Analysis'!$B$31,B754&lt;'Real Analysis'!$B$32),FilterInput(E754,'Real Analysis'!$B$26,'Real Analysis'!$B$27),0)</f>
        <v>0.18701943762857276</v>
      </c>
      <c r="I754" t="e">
        <f>MEDIAN2("Real Values",H754,'Real Analysis'!$B$5,2)</f>
        <v>#VALUE!</v>
      </c>
      <c r="J754" t="e">
        <f>AVERAGE2("Real Values",I754,'Real Analysis'!$B$6,2)</f>
        <v>#VALUE!</v>
      </c>
      <c r="K754" t="e">
        <f>INTEGRAL2(J754,$B754,K753,J753,$B753,'Real Analysis'!$B$19)</f>
        <v>#VALUE!</v>
      </c>
      <c r="L754" t="e">
        <f>IF(AND(B754&lt;'Real Analysis'!$B$32,B754&gt;0),INTEGRAL2(K754,$B754,L753,K753,$B753,'Real Analysis'!$B$20),0)</f>
        <v>#VALUE!</v>
      </c>
      <c r="N754">
        <f>'Real Analysis'!$B$28*'Real Input'!U754+IF('Real Input'!U754 &gt; 0,'Real Analysis'!$B$29,0)</f>
        <v>-0.97722399999999987</v>
      </c>
      <c r="O754" t="e">
        <f t="shared" si="57"/>
        <v>#VALUE!</v>
      </c>
      <c r="P754" t="e">
        <f t="shared" si="58"/>
        <v>#VALUE!</v>
      </c>
    </row>
    <row r="755" spans="1:16" x14ac:dyDescent="0.3">
      <c r="A755">
        <v>753</v>
      </c>
      <c r="B755">
        <f>'Real Input'!M755</f>
        <v>16.089105999999447</v>
      </c>
      <c r="C755">
        <f ca="1">INDIRECT(CONCATENATE("'Real Input'!",'Real Analysis'!$B$2,A755+2))</f>
        <v>10.179993960000001</v>
      </c>
      <c r="D755">
        <f t="shared" si="56"/>
        <v>1.5174999993178062E-2</v>
      </c>
      <c r="E755">
        <f ca="1">IF(B755&gt;0,C755-'Real Analysis'!$B$14,0)</f>
        <v>0.32349615762857376</v>
      </c>
      <c r="F755">
        <f t="shared" ca="1" si="59"/>
        <v>3.8655714290062614E-2</v>
      </c>
      <c r="G755">
        <f t="shared" ca="1" si="60"/>
        <v>-1.1674035982871329</v>
      </c>
      <c r="H755">
        <f ca="1">IF(AND(B755&gt;'Real Analysis'!$B$31,B755&lt;'Real Analysis'!$B$32),FilterInput(E755,'Real Analysis'!$B$26,'Real Analysis'!$B$27),0)</f>
        <v>0.32349615762857376</v>
      </c>
      <c r="I755" t="e">
        <f>MEDIAN2("Real Values",H755,'Real Analysis'!$B$5,2)</f>
        <v>#VALUE!</v>
      </c>
      <c r="J755" t="e">
        <f>AVERAGE2("Real Values",I755,'Real Analysis'!$B$6,2)</f>
        <v>#VALUE!</v>
      </c>
      <c r="K755" t="e">
        <f>INTEGRAL2(J755,$B755,K754,J754,$B754,'Real Analysis'!$B$19)</f>
        <v>#VALUE!</v>
      </c>
      <c r="L755" t="e">
        <f>IF(AND(B755&lt;'Real Analysis'!$B$32,B755&gt;0),INTEGRAL2(K755,$B755,L754,K754,$B754,'Real Analysis'!$B$20),0)</f>
        <v>#VALUE!</v>
      </c>
      <c r="N755">
        <f>'Real Analysis'!$B$28*'Real Input'!U755+IF('Real Input'!U755 &gt; 0,'Real Analysis'!$B$29,0)</f>
        <v>-0.97523699999999991</v>
      </c>
      <c r="O755" t="e">
        <f t="shared" si="57"/>
        <v>#VALUE!</v>
      </c>
      <c r="P755" t="e">
        <f t="shared" si="58"/>
        <v>#VALUE!</v>
      </c>
    </row>
    <row r="756" spans="1:16" x14ac:dyDescent="0.3">
      <c r="A756">
        <v>754</v>
      </c>
      <c r="B756">
        <f>'Real Input'!M756</f>
        <v>16.108244000002742</v>
      </c>
      <c r="C756">
        <f ca="1">INDIRECT(CONCATENATE("'Real Input'!",'Real Analysis'!$B$2,A756+2))</f>
        <v>10.255089510000001</v>
      </c>
      <c r="D756">
        <f t="shared" si="56"/>
        <v>1.9138000003295019E-2</v>
      </c>
      <c r="E756">
        <f ca="1">IF(B756&gt;0,C756-'Real Analysis'!$B$14,0)</f>
        <v>0.3985917076285741</v>
      </c>
      <c r="F756">
        <f t="shared" ca="1" si="59"/>
        <v>4.6283962391971634E-2</v>
      </c>
      <c r="G756">
        <f t="shared" ca="1" si="60"/>
        <v>-1.1665178158147229</v>
      </c>
      <c r="H756">
        <f ca="1">IF(AND(B756&gt;'Real Analysis'!$B$31,B756&lt;'Real Analysis'!$B$32),FilterInput(E756,'Real Analysis'!$B$26,'Real Analysis'!$B$27),0)</f>
        <v>0.3985917076285741</v>
      </c>
      <c r="I756" t="e">
        <f>MEDIAN2("Real Values",H756,'Real Analysis'!$B$5,2)</f>
        <v>#VALUE!</v>
      </c>
      <c r="J756" t="e">
        <f>AVERAGE2("Real Values",I756,'Real Analysis'!$B$6,2)</f>
        <v>#VALUE!</v>
      </c>
      <c r="K756" t="e">
        <f>INTEGRAL2(J756,$B756,K755,J755,$B755,'Real Analysis'!$B$19)</f>
        <v>#VALUE!</v>
      </c>
      <c r="L756" t="e">
        <f>IF(AND(B756&lt;'Real Analysis'!$B$32,B756&gt;0),INTEGRAL2(K756,$B756,L755,K755,$B755,'Real Analysis'!$B$20),0)</f>
        <v>#VALUE!</v>
      </c>
      <c r="N756">
        <f>'Real Analysis'!$B$28*'Real Input'!U756+IF('Real Input'!U756 &gt; 0,'Real Analysis'!$B$29,0)</f>
        <v>-0.97324999999999995</v>
      </c>
      <c r="O756" t="e">
        <f t="shared" si="57"/>
        <v>#VALUE!</v>
      </c>
      <c r="P756" t="e">
        <f t="shared" si="58"/>
        <v>#VALUE!</v>
      </c>
    </row>
    <row r="757" spans="1:16" x14ac:dyDescent="0.3">
      <c r="A757">
        <v>755</v>
      </c>
      <c r="B757">
        <f>'Real Input'!M757</f>
        <v>16.124121999993804</v>
      </c>
      <c r="C757">
        <f ca="1">INDIRECT(CONCATENATE("'Real Input'!",'Real Analysis'!$B$2,A757+2))</f>
        <v>10.28690334</v>
      </c>
      <c r="D757">
        <f t="shared" si="56"/>
        <v>1.5877999991062097E-2</v>
      </c>
      <c r="E757">
        <f ca="1">IF(B757&gt;0,C757-'Real Analysis'!$B$14,0)</f>
        <v>0.43040553762857314</v>
      </c>
      <c r="F757">
        <f t="shared" ca="1" si="59"/>
        <v>5.3117941514591198E-2</v>
      </c>
      <c r="G757">
        <f t="shared" ca="1" si="60"/>
        <v>-1.165674409139829</v>
      </c>
      <c r="H757">
        <f ca="1">IF(AND(B757&gt;'Real Analysis'!$B$31,B757&lt;'Real Analysis'!$B$32),FilterInput(E757,'Real Analysis'!$B$26,'Real Analysis'!$B$27),0)</f>
        <v>0.43040553762857314</v>
      </c>
      <c r="I757" t="e">
        <f>MEDIAN2("Real Values",H757,'Real Analysis'!$B$5,2)</f>
        <v>#VALUE!</v>
      </c>
      <c r="J757" t="e">
        <f>AVERAGE2("Real Values",I757,'Real Analysis'!$B$6,2)</f>
        <v>#VALUE!</v>
      </c>
      <c r="K757" t="e">
        <f>INTEGRAL2(J757,$B757,K756,J756,$B756,'Real Analysis'!$B$19)</f>
        <v>#VALUE!</v>
      </c>
      <c r="L757" t="e">
        <f>IF(AND(B757&lt;'Real Analysis'!$B$32,B757&gt;0),INTEGRAL2(K757,$B757,L756,K756,$B756,'Real Analysis'!$B$20),0)</f>
        <v>#VALUE!</v>
      </c>
      <c r="N757">
        <f>'Real Analysis'!$B$28*'Real Input'!U757+IF('Real Input'!U757 &gt; 0,'Real Analysis'!$B$29,0)</f>
        <v>-0.97324999999999995</v>
      </c>
      <c r="O757" t="e">
        <f t="shared" si="57"/>
        <v>#VALUE!</v>
      </c>
      <c r="P757" t="e">
        <f t="shared" si="58"/>
        <v>#VALUE!</v>
      </c>
    </row>
    <row r="758" spans="1:16" x14ac:dyDescent="0.3">
      <c r="A758">
        <v>756</v>
      </c>
      <c r="B758">
        <f>'Real Input'!M758</f>
        <v>16.150970000002417</v>
      </c>
      <c r="C758">
        <f ca="1">INDIRECT(CONCATENATE("'Real Input'!",'Real Analysis'!$B$2,A758+2))</f>
        <v>9.8841047400000015</v>
      </c>
      <c r="D758">
        <f t="shared" si="56"/>
        <v>2.6848000008612871E-2</v>
      </c>
      <c r="E758">
        <f ca="1">IF(B758&gt;0,C758-'Real Analysis'!$B$14,0)</f>
        <v>2.7606937628574357E-2</v>
      </c>
      <c r="F758">
        <f t="shared" ca="1" si="59"/>
        <v>5.3859132576280937E-2</v>
      </c>
      <c r="G758">
        <f t="shared" ca="1" si="60"/>
        <v>-1.1642283991479572</v>
      </c>
      <c r="H758">
        <f ca="1">IF(AND(B758&gt;'Real Analysis'!$B$31,B758&lt;'Real Analysis'!$B$32),FilterInput(E758,'Real Analysis'!$B$26,'Real Analysis'!$B$27),0)</f>
        <v>2.7606937628574357E-2</v>
      </c>
      <c r="I758" t="e">
        <f>MEDIAN2("Real Values",H758,'Real Analysis'!$B$5,2)</f>
        <v>#VALUE!</v>
      </c>
      <c r="J758" t="e">
        <f>AVERAGE2("Real Values",I758,'Real Analysis'!$B$6,2)</f>
        <v>#VALUE!</v>
      </c>
      <c r="K758" t="e">
        <f>INTEGRAL2(J758,$B758,K757,J757,$B757,'Real Analysis'!$B$19)</f>
        <v>#VALUE!</v>
      </c>
      <c r="L758" t="e">
        <f>IF(AND(B758&lt;'Real Analysis'!$B$32,B758&gt;0),INTEGRAL2(K758,$B758,L757,K757,$B757,'Real Analysis'!$B$20),0)</f>
        <v>#VALUE!</v>
      </c>
      <c r="N758">
        <f>'Real Analysis'!$B$28*'Real Input'!U758+IF('Real Input'!U758 &gt; 0,'Real Analysis'!$B$29,0)</f>
        <v>-0.97722399999999987</v>
      </c>
      <c r="O758" t="e">
        <f t="shared" si="57"/>
        <v>#VALUE!</v>
      </c>
      <c r="P758" t="e">
        <f t="shared" si="58"/>
        <v>#VALUE!</v>
      </c>
    </row>
    <row r="759" spans="1:16" x14ac:dyDescent="0.3">
      <c r="A759">
        <v>757</v>
      </c>
      <c r="B759">
        <f>'Real Input'!M759</f>
        <v>16.168692000006558</v>
      </c>
      <c r="C759">
        <f ca="1">INDIRECT(CONCATENATE("'Real Input'!",'Real Analysis'!$B$2,A759+2))</f>
        <v>10.149435810000002</v>
      </c>
      <c r="D759">
        <f t="shared" si="56"/>
        <v>1.7722000004141591E-2</v>
      </c>
      <c r="E759">
        <f ca="1">IF(B759&gt;0,C759-'Real Analysis'!$B$14,0)</f>
        <v>0.29293800762857458</v>
      </c>
      <c r="F759">
        <f t="shared" ca="1" si="59"/>
        <v>5.9050579948687766E-2</v>
      </c>
      <c r="G759">
        <f t="shared" ca="1" si="60"/>
        <v>-1.1631819047698619</v>
      </c>
      <c r="H759">
        <f ca="1">IF(AND(B759&gt;'Real Analysis'!$B$31,B759&lt;'Real Analysis'!$B$32),FilterInput(E759,'Real Analysis'!$B$26,'Real Analysis'!$B$27),0)</f>
        <v>0.29293800762857458</v>
      </c>
      <c r="I759" t="e">
        <f>MEDIAN2("Real Values",H759,'Real Analysis'!$B$5,2)</f>
        <v>#VALUE!</v>
      </c>
      <c r="J759" t="e">
        <f>AVERAGE2("Real Values",I759,'Real Analysis'!$B$6,2)</f>
        <v>#VALUE!</v>
      </c>
      <c r="K759" t="e">
        <f>INTEGRAL2(J759,$B759,K758,J758,$B758,'Real Analysis'!$B$19)</f>
        <v>#VALUE!</v>
      </c>
      <c r="L759" t="e">
        <f>IF(AND(B759&lt;'Real Analysis'!$B$32,B759&gt;0),INTEGRAL2(K759,$B759,L758,K758,$B758,'Real Analysis'!$B$20),0)</f>
        <v>#VALUE!</v>
      </c>
      <c r="N759">
        <f>'Real Analysis'!$B$28*'Real Input'!U759+IF('Real Input'!U759 &gt; 0,'Real Analysis'!$B$29,0)</f>
        <v>-0.97722399999999987</v>
      </c>
      <c r="O759" t="e">
        <f t="shared" si="57"/>
        <v>#VALUE!</v>
      </c>
      <c r="P759" t="e">
        <f t="shared" si="58"/>
        <v>#VALUE!</v>
      </c>
    </row>
    <row r="760" spans="1:16" x14ac:dyDescent="0.3">
      <c r="A760">
        <v>758</v>
      </c>
      <c r="B760">
        <f>'Real Input'!M760</f>
        <v>16.188219999996363</v>
      </c>
      <c r="C760">
        <f ca="1">INDIRECT(CONCATENATE("'Real Input'!",'Real Analysis'!$B$2,A760+2))</f>
        <v>10.59547689</v>
      </c>
      <c r="D760">
        <f t="shared" si="56"/>
        <v>1.9527999989804812E-2</v>
      </c>
      <c r="E760">
        <f ca="1">IF(B760&gt;0,C760-'Real Analysis'!$B$14,0)</f>
        <v>0.73897908762857334</v>
      </c>
      <c r="F760">
        <f t="shared" ca="1" si="59"/>
        <v>7.3481363564364521E-2</v>
      </c>
      <c r="G760">
        <f t="shared" ca="1" si="60"/>
        <v>-1.1617469607029263</v>
      </c>
      <c r="H760">
        <f ca="1">IF(AND(B760&gt;'Real Analysis'!$B$31,B760&lt;'Real Analysis'!$B$32),FilterInput(E760,'Real Analysis'!$B$26,'Real Analysis'!$B$27),0)</f>
        <v>0.73897908762857334</v>
      </c>
      <c r="I760" t="e">
        <f>MEDIAN2("Real Values",H760,'Real Analysis'!$B$5,2)</f>
        <v>#VALUE!</v>
      </c>
      <c r="J760" t="e">
        <f>AVERAGE2("Real Values",I760,'Real Analysis'!$B$6,2)</f>
        <v>#VALUE!</v>
      </c>
      <c r="K760" t="e">
        <f>INTEGRAL2(J760,$B760,K759,J759,$B759,'Real Analysis'!$B$19)</f>
        <v>#VALUE!</v>
      </c>
      <c r="L760" t="e">
        <f>IF(AND(B760&lt;'Real Analysis'!$B$32,B760&gt;0),INTEGRAL2(K760,$B760,L759,K759,$B759,'Real Analysis'!$B$20),0)</f>
        <v>#VALUE!</v>
      </c>
      <c r="N760">
        <f>'Real Analysis'!$B$28*'Real Input'!U760+IF('Real Input'!U760 &gt; 0,'Real Analysis'!$B$29,0)</f>
        <v>-0.97523699999999991</v>
      </c>
      <c r="O760" t="e">
        <f t="shared" si="57"/>
        <v>#VALUE!</v>
      </c>
      <c r="P760" t="e">
        <f t="shared" si="58"/>
        <v>#VALUE!</v>
      </c>
    </row>
    <row r="761" spans="1:16" x14ac:dyDescent="0.3">
      <c r="A761">
        <v>759</v>
      </c>
      <c r="B761">
        <f>'Real Input'!M761</f>
        <v>16.207978000005824</v>
      </c>
      <c r="C761">
        <f ca="1">INDIRECT(CONCATENATE("'Real Input'!",'Real Analysis'!$B$2,A761+2))</f>
        <v>10.583861850000002</v>
      </c>
      <c r="D761">
        <f t="shared" si="56"/>
        <v>1.9758000009460375E-2</v>
      </c>
      <c r="E761">
        <f ca="1">IF(B761&gt;0,C761-'Real Analysis'!$B$14,0)</f>
        <v>0.72736404762857454</v>
      </c>
      <c r="F761">
        <f t="shared" ca="1" si="59"/>
        <v>8.7852622424291038E-2</v>
      </c>
      <c r="G761">
        <f t="shared" ca="1" si="60"/>
        <v>-1.1600111685882359</v>
      </c>
      <c r="H761">
        <f ca="1">IF(AND(B761&gt;'Real Analysis'!$B$31,B761&lt;'Real Analysis'!$B$32),FilterInput(E761,'Real Analysis'!$B$26,'Real Analysis'!$B$27),0)</f>
        <v>0.72736404762857454</v>
      </c>
      <c r="I761" t="e">
        <f>MEDIAN2("Real Values",H761,'Real Analysis'!$B$5,2)</f>
        <v>#VALUE!</v>
      </c>
      <c r="J761" t="e">
        <f>AVERAGE2("Real Values",I761,'Real Analysis'!$B$6,2)</f>
        <v>#VALUE!</v>
      </c>
      <c r="K761" t="e">
        <f>INTEGRAL2(J761,$B761,K760,J760,$B760,'Real Analysis'!$B$19)</f>
        <v>#VALUE!</v>
      </c>
      <c r="L761" t="e">
        <f>IF(AND(B761&lt;'Real Analysis'!$B$32,B761&gt;0),INTEGRAL2(K761,$B761,L760,K760,$B760,'Real Analysis'!$B$20),0)</f>
        <v>#VALUE!</v>
      </c>
      <c r="N761">
        <f>'Real Analysis'!$B$28*'Real Input'!U761+IF('Real Input'!U761 &gt; 0,'Real Analysis'!$B$29,0)</f>
        <v>-0.97324999999999995</v>
      </c>
      <c r="O761" t="e">
        <f t="shared" si="57"/>
        <v>#VALUE!</v>
      </c>
      <c r="P761" t="e">
        <f t="shared" si="58"/>
        <v>#VALUE!</v>
      </c>
    </row>
    <row r="762" spans="1:16" x14ac:dyDescent="0.3">
      <c r="A762">
        <v>760</v>
      </c>
      <c r="B762">
        <f>'Real Input'!M762</f>
        <v>16.231165999997756</v>
      </c>
      <c r="C762">
        <f ca="1">INDIRECT(CONCATENATE("'Real Input'!",'Real Analysis'!$B$2,A762+2))</f>
        <v>10.436770709999999</v>
      </c>
      <c r="D762">
        <f t="shared" si="56"/>
        <v>2.3187999991932884E-2</v>
      </c>
      <c r="E762">
        <f ca="1">IF(B762&gt;0,C762-'Real Analysis'!$B$14,0)</f>
        <v>0.5802729076285722</v>
      </c>
      <c r="F762">
        <f t="shared" ca="1" si="59"/>
        <v>0.10130799060170124</v>
      </c>
      <c r="G762">
        <f t="shared" ca="1" si="60"/>
        <v>-1.157662038902981</v>
      </c>
      <c r="H762">
        <f ca="1">IF(AND(B762&gt;'Real Analysis'!$B$31,B762&lt;'Real Analysis'!$B$32),FilterInput(E762,'Real Analysis'!$B$26,'Real Analysis'!$B$27),0)</f>
        <v>0.5802729076285722</v>
      </c>
      <c r="I762" t="e">
        <f>MEDIAN2("Real Values",H762,'Real Analysis'!$B$5,2)</f>
        <v>#VALUE!</v>
      </c>
      <c r="J762" t="e">
        <f>AVERAGE2("Real Values",I762,'Real Analysis'!$B$6,2)</f>
        <v>#VALUE!</v>
      </c>
      <c r="K762" t="e">
        <f>INTEGRAL2(J762,$B762,K761,J761,$B761,'Real Analysis'!$B$19)</f>
        <v>#VALUE!</v>
      </c>
      <c r="L762" t="e">
        <f>IF(AND(B762&lt;'Real Analysis'!$B$32,B762&gt;0),INTEGRAL2(K762,$B762,L761,K761,$B761,'Real Analysis'!$B$20),0)</f>
        <v>#VALUE!</v>
      </c>
      <c r="N762">
        <f>'Real Analysis'!$B$28*'Real Input'!U762+IF('Real Input'!U762 &gt; 0,'Real Analysis'!$B$29,0)</f>
        <v>-0.97722399999999987</v>
      </c>
      <c r="O762" t="e">
        <f t="shared" si="57"/>
        <v>#VALUE!</v>
      </c>
      <c r="P762" t="e">
        <f t="shared" si="58"/>
        <v>#VALUE!</v>
      </c>
    </row>
    <row r="763" spans="1:16" x14ac:dyDescent="0.3">
      <c r="A763">
        <v>761</v>
      </c>
      <c r="B763">
        <f>'Real Input'!M763</f>
        <v>16.248852000004263</v>
      </c>
      <c r="C763">
        <f ca="1">INDIRECT(CONCATENATE("'Real Input'!",'Real Analysis'!$B$2,A763+2))</f>
        <v>10.430158770000002</v>
      </c>
      <c r="D763">
        <f t="shared" si="56"/>
        <v>1.768600000650622E-2</v>
      </c>
      <c r="E763">
        <f ca="1">IF(B763&gt;0,C763-'Real Analysis'!$B$14,0)</f>
        <v>0.57366096762857488</v>
      </c>
      <c r="F763">
        <f t="shared" ca="1" si="59"/>
        <v>0.11145375847891259</v>
      </c>
      <c r="G763">
        <f t="shared" ca="1" si="60"/>
        <v>-1.1556908677297979</v>
      </c>
      <c r="H763">
        <f ca="1">IF(AND(B763&gt;'Real Analysis'!$B$31,B763&lt;'Real Analysis'!$B$32),FilterInput(E763,'Real Analysis'!$B$26,'Real Analysis'!$B$27),0)</f>
        <v>0.57366096762857488</v>
      </c>
      <c r="I763" t="e">
        <f>MEDIAN2("Real Values",H763,'Real Analysis'!$B$5,2)</f>
        <v>#VALUE!</v>
      </c>
      <c r="J763" t="e">
        <f>AVERAGE2("Real Values",I763,'Real Analysis'!$B$6,2)</f>
        <v>#VALUE!</v>
      </c>
      <c r="K763" t="e">
        <f>INTEGRAL2(J763,$B763,K762,J762,$B762,'Real Analysis'!$B$19)</f>
        <v>#VALUE!</v>
      </c>
      <c r="L763" t="e">
        <f>IF(AND(B763&lt;'Real Analysis'!$B$32,B763&gt;0),INTEGRAL2(K763,$B763,L762,K762,$B762,'Real Analysis'!$B$20),0)</f>
        <v>#VALUE!</v>
      </c>
      <c r="N763">
        <f>'Real Analysis'!$B$28*'Real Input'!U763+IF('Real Input'!U763 &gt; 0,'Real Analysis'!$B$29,0)</f>
        <v>-0.97722399999999987</v>
      </c>
      <c r="O763" t="e">
        <f t="shared" si="57"/>
        <v>#VALUE!</v>
      </c>
      <c r="P763" t="e">
        <f t="shared" si="58"/>
        <v>#VALUE!</v>
      </c>
    </row>
    <row r="764" spans="1:16" x14ac:dyDescent="0.3">
      <c r="A764">
        <v>762</v>
      </c>
      <c r="B764">
        <f>'Real Input'!M764</f>
        <v>16.26906200000667</v>
      </c>
      <c r="C764">
        <f ca="1">INDIRECT(CONCATENATE("'Real Input'!",'Real Analysis'!$B$2,A764+2))</f>
        <v>10.652070780000001</v>
      </c>
      <c r="D764">
        <f t="shared" si="56"/>
        <v>2.0210000002407469E-2</v>
      </c>
      <c r="E764">
        <f ca="1">IF(B764&gt;0,C764-'Real Analysis'!$B$14,0)</f>
        <v>0.7955729776285736</v>
      </c>
      <c r="F764">
        <f t="shared" ca="1" si="59"/>
        <v>0.12753228835870137</v>
      </c>
      <c r="G764">
        <f t="shared" ca="1" si="60"/>
        <v>-1.1531134401817615</v>
      </c>
      <c r="H764">
        <f ca="1">IF(AND(B764&gt;'Real Analysis'!$B$31,B764&lt;'Real Analysis'!$B$32),FilterInput(E764,'Real Analysis'!$B$26,'Real Analysis'!$B$27),0)</f>
        <v>0.7955729776285736</v>
      </c>
      <c r="I764" t="e">
        <f>MEDIAN2("Real Values",H764,'Real Analysis'!$B$5,2)</f>
        <v>#VALUE!</v>
      </c>
      <c r="J764" t="e">
        <f>AVERAGE2("Real Values",I764,'Real Analysis'!$B$6,2)</f>
        <v>#VALUE!</v>
      </c>
      <c r="K764" t="e">
        <f>INTEGRAL2(J764,$B764,K763,J763,$B763,'Real Analysis'!$B$19)</f>
        <v>#VALUE!</v>
      </c>
      <c r="L764" t="e">
        <f>IF(AND(B764&lt;'Real Analysis'!$B$32,B764&gt;0),INTEGRAL2(K764,$B764,L763,K763,$B763,'Real Analysis'!$B$20),0)</f>
        <v>#VALUE!</v>
      </c>
      <c r="N764">
        <f>'Real Analysis'!$B$28*'Real Input'!U764+IF('Real Input'!U764 &gt; 0,'Real Analysis'!$B$29,0)</f>
        <v>-0.97523699999999991</v>
      </c>
      <c r="O764" t="e">
        <f t="shared" si="57"/>
        <v>#VALUE!</v>
      </c>
      <c r="P764" t="e">
        <f t="shared" si="58"/>
        <v>#VALUE!</v>
      </c>
    </row>
    <row r="765" spans="1:16" x14ac:dyDescent="0.3">
      <c r="A765">
        <v>763</v>
      </c>
      <c r="B765">
        <f>'Real Input'!M765</f>
        <v>16.288060000006226</v>
      </c>
      <c r="C765">
        <f ca="1">INDIRECT(CONCATENATE("'Real Input'!",'Real Analysis'!$B$2,A765+2))</f>
        <v>10.8045378</v>
      </c>
      <c r="D765">
        <f t="shared" si="56"/>
        <v>1.8997999999555759E-2</v>
      </c>
      <c r="E765">
        <f ca="1">IF(B765&gt;0,C765-'Real Analysis'!$B$14,0)</f>
        <v>0.94803999762857316</v>
      </c>
      <c r="F765">
        <f t="shared" ca="1" si="59"/>
        <v>0.14554315223322783</v>
      </c>
      <c r="G765">
        <f t="shared" ca="1" si="60"/>
        <v>-1.1503484113756994</v>
      </c>
      <c r="H765">
        <f ca="1">IF(AND(B765&gt;'Real Analysis'!$B$31,B765&lt;'Real Analysis'!$B$32),FilterInput(E765,'Real Analysis'!$B$26,'Real Analysis'!$B$27),0)</f>
        <v>0.94803999762857316</v>
      </c>
      <c r="I765" t="e">
        <f>MEDIAN2("Real Values",H765,'Real Analysis'!$B$5,2)</f>
        <v>#VALUE!</v>
      </c>
      <c r="J765" t="e">
        <f>AVERAGE2("Real Values",I765,'Real Analysis'!$B$6,2)</f>
        <v>#VALUE!</v>
      </c>
      <c r="K765" t="e">
        <f>INTEGRAL2(J765,$B765,K764,J764,$B764,'Real Analysis'!$B$19)</f>
        <v>#VALUE!</v>
      </c>
      <c r="L765" t="e">
        <f>IF(AND(B765&lt;'Real Analysis'!$B$32,B765&gt;0),INTEGRAL2(K765,$B765,L764,K764,$B764,'Real Analysis'!$B$20),0)</f>
        <v>#VALUE!</v>
      </c>
      <c r="N765">
        <f>'Real Analysis'!$B$28*'Real Input'!U765+IF('Real Input'!U765 &gt; 0,'Real Analysis'!$B$29,0)</f>
        <v>-0.97324999999999995</v>
      </c>
      <c r="O765" t="e">
        <f t="shared" si="57"/>
        <v>#VALUE!</v>
      </c>
      <c r="P765" t="e">
        <f t="shared" si="58"/>
        <v>#VALUE!</v>
      </c>
    </row>
    <row r="766" spans="1:16" x14ac:dyDescent="0.3">
      <c r="A766">
        <v>764</v>
      </c>
      <c r="B766">
        <f>'Real Input'!M766</f>
        <v>16.308783000000403</v>
      </c>
      <c r="C766">
        <f ca="1">INDIRECT(CONCATENATE("'Real Input'!",'Real Analysis'!$B$2,A766+2))</f>
        <v>10.661203890000001</v>
      </c>
      <c r="D766">
        <f t="shared" si="56"/>
        <v>2.0722999994177371E-2</v>
      </c>
      <c r="E766">
        <f ca="1">IF(B766&gt;0,C766-'Real Analysis'!$B$14,0)</f>
        <v>0.8047060876285741</v>
      </c>
      <c r="F766">
        <f t="shared" ca="1" si="59"/>
        <v>0.16221907648246928</v>
      </c>
      <c r="G766">
        <f t="shared" ca="1" si="60"/>
        <v>-1.1469867454546978</v>
      </c>
      <c r="H766">
        <f ca="1">IF(AND(B766&gt;'Real Analysis'!$B$31,B766&lt;'Real Analysis'!$B$32),FilterInput(E766,'Real Analysis'!$B$26,'Real Analysis'!$B$27),0)</f>
        <v>0.8047060876285741</v>
      </c>
      <c r="I766" t="e">
        <f>MEDIAN2("Real Values",H766,'Real Analysis'!$B$5,2)</f>
        <v>#VALUE!</v>
      </c>
      <c r="J766" t="e">
        <f>AVERAGE2("Real Values",I766,'Real Analysis'!$B$6,2)</f>
        <v>#VALUE!</v>
      </c>
      <c r="K766" t="e">
        <f>INTEGRAL2(J766,$B766,K765,J765,$B765,'Real Analysis'!$B$19)</f>
        <v>#VALUE!</v>
      </c>
      <c r="L766" t="e">
        <f>IF(AND(B766&lt;'Real Analysis'!$B$32,B766&gt;0),INTEGRAL2(K766,$B766,L765,K765,$B765,'Real Analysis'!$B$20),0)</f>
        <v>#VALUE!</v>
      </c>
      <c r="N766">
        <f>'Real Analysis'!$B$28*'Real Input'!U766+IF('Real Input'!U766 &gt; 0,'Real Analysis'!$B$29,0)</f>
        <v>-0.97126299999999999</v>
      </c>
      <c r="O766" t="e">
        <f t="shared" si="57"/>
        <v>#VALUE!</v>
      </c>
      <c r="P766" t="e">
        <f t="shared" si="58"/>
        <v>#VALUE!</v>
      </c>
    </row>
    <row r="767" spans="1:16" x14ac:dyDescent="0.3">
      <c r="A767">
        <v>765</v>
      </c>
      <c r="B767">
        <f>'Real Input'!M767</f>
        <v>16.328875000006519</v>
      </c>
      <c r="C767">
        <f ca="1">INDIRECT(CONCATENATE("'Real Input'!",'Real Analysis'!$B$2,A767+2))</f>
        <v>10.528366680000001</v>
      </c>
      <c r="D767">
        <f t="shared" si="56"/>
        <v>2.0092000006115995E-2</v>
      </c>
      <c r="E767">
        <f ca="1">IF(B767&gt;0,C767-'Real Analysis'!$B$14,0)</f>
        <v>0.67186887762857417</v>
      </c>
      <c r="F767">
        <f t="shared" ca="1" si="59"/>
        <v>0.17571826597589174</v>
      </c>
      <c r="G767">
        <f t="shared" ca="1" si="60"/>
        <v>-1.1434562140536355</v>
      </c>
      <c r="H767">
        <f ca="1">IF(AND(B767&gt;'Real Analysis'!$B$31,B767&lt;'Real Analysis'!$B$32),FilterInput(E767,'Real Analysis'!$B$26,'Real Analysis'!$B$27),0)</f>
        <v>0.67186887762857417</v>
      </c>
      <c r="I767" t="e">
        <f>MEDIAN2("Real Values",H767,'Real Analysis'!$B$5,2)</f>
        <v>#VALUE!</v>
      </c>
      <c r="J767" t="e">
        <f>AVERAGE2("Real Values",I767,'Real Analysis'!$B$6,2)</f>
        <v>#VALUE!</v>
      </c>
      <c r="K767" t="e">
        <f>INTEGRAL2(J767,$B767,K766,J766,$B766,'Real Analysis'!$B$19)</f>
        <v>#VALUE!</v>
      </c>
      <c r="L767" t="e">
        <f>IF(AND(B767&lt;'Real Analysis'!$B$32,B767&gt;0),INTEGRAL2(K767,$B767,L766,K766,$B766,'Real Analysis'!$B$20),0)</f>
        <v>#VALUE!</v>
      </c>
      <c r="N767">
        <f>'Real Analysis'!$B$28*'Real Input'!U767+IF('Real Input'!U767 &gt; 0,'Real Analysis'!$B$29,0)</f>
        <v>-0.96927599999999992</v>
      </c>
      <c r="O767" t="e">
        <f t="shared" si="57"/>
        <v>#VALUE!</v>
      </c>
      <c r="P767" t="e">
        <f t="shared" si="58"/>
        <v>#VALUE!</v>
      </c>
    </row>
    <row r="768" spans="1:16" x14ac:dyDescent="0.3">
      <c r="A768">
        <v>766</v>
      </c>
      <c r="B768">
        <f>'Real Input'!M768</f>
        <v>16.336725999994087</v>
      </c>
      <c r="C768">
        <f ca="1">INDIRECT(CONCATENATE("'Real Input'!",'Real Analysis'!$B$2,A768+2))</f>
        <v>10.474244910000001</v>
      </c>
      <c r="D768">
        <f t="shared" si="56"/>
        <v>7.850999987567775E-3</v>
      </c>
      <c r="E768">
        <f ca="1">IF(B768&gt;0,C768-'Real Analysis'!$B$14,0)</f>
        <v>0.6177471076285741</v>
      </c>
      <c r="F768">
        <f t="shared" ca="1" si="59"/>
        <v>0.1805681985102037</v>
      </c>
      <c r="G768">
        <f t="shared" ca="1" si="60"/>
        <v>-1.1420385731293767</v>
      </c>
      <c r="H768">
        <f ca="1">IF(AND(B768&gt;'Real Analysis'!$B$31,B768&lt;'Real Analysis'!$B$32),FilterInput(E768,'Real Analysis'!$B$26,'Real Analysis'!$B$27),0)</f>
        <v>0.6177471076285741</v>
      </c>
      <c r="I768" t="e">
        <f>MEDIAN2("Real Values",H768,'Real Analysis'!$B$5,2)</f>
        <v>#VALUE!</v>
      </c>
      <c r="J768" t="e">
        <f>AVERAGE2("Real Values",I768,'Real Analysis'!$B$6,2)</f>
        <v>#VALUE!</v>
      </c>
      <c r="K768" t="e">
        <f>INTEGRAL2(J768,$B768,K767,J767,$B767,'Real Analysis'!$B$19)</f>
        <v>#VALUE!</v>
      </c>
      <c r="L768" t="e">
        <f>IF(AND(B768&lt;'Real Analysis'!$B$32,B768&gt;0),INTEGRAL2(K768,$B768,L767,K767,$B767,'Real Analysis'!$B$20),0)</f>
        <v>#VALUE!</v>
      </c>
      <c r="N768">
        <f>'Real Analysis'!$B$28*'Real Input'!U768+IF('Real Input'!U768 &gt; 0,'Real Analysis'!$B$29,0)</f>
        <v>-0.96927599999999992</v>
      </c>
      <c r="O768" t="e">
        <f t="shared" si="57"/>
        <v>#VALUE!</v>
      </c>
      <c r="P768" t="e">
        <f t="shared" si="58"/>
        <v>#VALUE!</v>
      </c>
    </row>
    <row r="769" spans="1:16" x14ac:dyDescent="0.3">
      <c r="A769">
        <v>767</v>
      </c>
      <c r="B769">
        <f>'Real Input'!M769</f>
        <v>16.388292999996338</v>
      </c>
      <c r="C769">
        <f ca="1">INDIRECT(CONCATENATE("'Real Input'!",'Real Analysis'!$B$2,A769+2))</f>
        <v>10.055809170000002</v>
      </c>
      <c r="D769">
        <f t="shared" si="56"/>
        <v>5.1567000002251007E-2</v>
      </c>
      <c r="E769">
        <f ca="1">IF(B769&gt;0,C769-'Real Analysis'!$B$14,0)</f>
        <v>0.19931136762857449</v>
      </c>
      <c r="F769">
        <f t="shared" ca="1" si="59"/>
        <v>0.19084608780515505</v>
      </c>
      <c r="G769">
        <f t="shared" ca="1" si="60"/>
        <v>-1.1321972129190987</v>
      </c>
      <c r="H769">
        <f ca="1">IF(AND(B769&gt;'Real Analysis'!$B$31,B769&lt;'Real Analysis'!$B$32),FilterInput(E769,'Real Analysis'!$B$26,'Real Analysis'!$B$27),0)</f>
        <v>0.19931136762857449</v>
      </c>
      <c r="I769" t="e">
        <f>MEDIAN2("Real Values",H769,'Real Analysis'!$B$5,2)</f>
        <v>#VALUE!</v>
      </c>
      <c r="J769" t="e">
        <f>AVERAGE2("Real Values",I769,'Real Analysis'!$B$6,2)</f>
        <v>#VALUE!</v>
      </c>
      <c r="K769" t="e">
        <f>INTEGRAL2(J769,$B769,K768,J768,$B768,'Real Analysis'!$B$19)</f>
        <v>#VALUE!</v>
      </c>
      <c r="L769" t="e">
        <f>IF(AND(B769&lt;'Real Analysis'!$B$32,B769&gt;0),INTEGRAL2(K769,$B769,L768,K768,$B768,'Real Analysis'!$B$20),0)</f>
        <v>#VALUE!</v>
      </c>
      <c r="N769">
        <f>'Real Analysis'!$B$28*'Real Input'!U769+IF('Real Input'!U769 &gt; 0,'Real Analysis'!$B$29,0)</f>
        <v>-0.96331499999999992</v>
      </c>
      <c r="O769" t="e">
        <f t="shared" si="57"/>
        <v>#VALUE!</v>
      </c>
      <c r="P769" t="e">
        <f t="shared" si="58"/>
        <v>#VALUE!</v>
      </c>
    </row>
    <row r="770" spans="1:16" x14ac:dyDescent="0.3">
      <c r="A770">
        <v>768</v>
      </c>
      <c r="B770">
        <f>'Real Input'!M770</f>
        <v>16.409929000001284</v>
      </c>
      <c r="C770">
        <f ca="1">INDIRECT(CONCATENATE("'Real Input'!",'Real Analysis'!$B$2,A770+2))</f>
        <v>9.9435827700000008</v>
      </c>
      <c r="D770">
        <f t="shared" si="56"/>
        <v>2.1636000004946254E-2</v>
      </c>
      <c r="E770">
        <f ca="1">IF(B770&gt;0,C770-'Real Analysis'!$B$14,0)</f>
        <v>8.7084967628573651E-2</v>
      </c>
      <c r="F770">
        <f t="shared" ca="1" si="59"/>
        <v>0.19273025816519762</v>
      </c>
      <c r="G770">
        <f t="shared" ca="1" si="60"/>
        <v>-1.1280273010524833</v>
      </c>
      <c r="H770">
        <f ca="1">IF(AND(B770&gt;'Real Analysis'!$B$31,B770&lt;'Real Analysis'!$B$32),FilterInput(E770,'Real Analysis'!$B$26,'Real Analysis'!$B$27),0)</f>
        <v>8.7084967628573651E-2</v>
      </c>
      <c r="I770" t="e">
        <f>MEDIAN2("Real Values",H770,'Real Analysis'!$B$5,2)</f>
        <v>#VALUE!</v>
      </c>
      <c r="J770" t="e">
        <f>AVERAGE2("Real Values",I770,'Real Analysis'!$B$6,2)</f>
        <v>#VALUE!</v>
      </c>
      <c r="K770" t="e">
        <f>INTEGRAL2(J770,$B770,K769,J769,$B769,'Real Analysis'!$B$19)</f>
        <v>#VALUE!</v>
      </c>
      <c r="L770" t="e">
        <f>IF(AND(B770&lt;'Real Analysis'!$B$32,B770&gt;0),INTEGRAL2(K770,$B770,L769,K769,$B769,'Real Analysis'!$B$20),0)</f>
        <v>#VALUE!</v>
      </c>
      <c r="N770">
        <f>'Real Analysis'!$B$28*'Real Input'!U770+IF('Real Input'!U770 &gt; 0,'Real Analysis'!$B$29,0)</f>
        <v>-0.96927599999999992</v>
      </c>
      <c r="O770" t="e">
        <f t="shared" si="57"/>
        <v>#VALUE!</v>
      </c>
      <c r="P770" t="e">
        <f t="shared" si="58"/>
        <v>#VALUE!</v>
      </c>
    </row>
    <row r="771" spans="1:16" x14ac:dyDescent="0.3">
      <c r="A771">
        <v>769</v>
      </c>
      <c r="B771">
        <f>'Real Input'!M771</f>
        <v>16.429648000004818</v>
      </c>
      <c r="C771">
        <f ca="1">INDIRECT(CONCATENATE("'Real Input'!",'Real Analysis'!$B$2,A771+2))</f>
        <v>9.8954352900000018</v>
      </c>
      <c r="D771">
        <f t="shared" ref="D771:D834" si="61">B771-B770</f>
        <v>1.9719000003533438E-2</v>
      </c>
      <c r="E771">
        <f ca="1">IF(B771&gt;0,C771-'Real Analysis'!$B$14,0)</f>
        <v>3.893748762857463E-2</v>
      </c>
      <c r="F771">
        <f t="shared" ca="1" si="59"/>
        <v>0.19349806648388307</v>
      </c>
      <c r="G771">
        <f t="shared" ca="1" si="60"/>
        <v>-1.1242117126788038</v>
      </c>
      <c r="H771">
        <f ca="1">IF(AND(B771&gt;'Real Analysis'!$B$31,B771&lt;'Real Analysis'!$B$32),FilterInput(E771,'Real Analysis'!$B$26,'Real Analysis'!$B$27),0)</f>
        <v>3.893748762857463E-2</v>
      </c>
      <c r="I771" t="e">
        <f>MEDIAN2("Real Values",H771,'Real Analysis'!$B$5,2)</f>
        <v>#VALUE!</v>
      </c>
      <c r="J771" t="e">
        <f>AVERAGE2("Real Values",I771,'Real Analysis'!$B$6,2)</f>
        <v>#VALUE!</v>
      </c>
      <c r="K771" t="e">
        <f>INTEGRAL2(J771,$B771,K770,J770,$B770,'Real Analysis'!$B$19)</f>
        <v>#VALUE!</v>
      </c>
      <c r="L771" t="e">
        <f>IF(AND(B771&lt;'Real Analysis'!$B$32,B771&gt;0),INTEGRAL2(K771,$B771,L770,K770,$B770,'Real Analysis'!$B$20),0)</f>
        <v>#VALUE!</v>
      </c>
      <c r="N771">
        <f>'Real Analysis'!$B$28*'Real Input'!U771+IF('Real Input'!U771 &gt; 0,'Real Analysis'!$B$29,0)</f>
        <v>-0.96728899999999995</v>
      </c>
      <c r="O771" t="e">
        <f t="shared" ref="O771:O834" si="62">_xlfn.COVARIANCE.P($L$102:$L$1200,N771:N1869)</f>
        <v>#VALUE!</v>
      </c>
      <c r="P771" t="e">
        <f t="shared" ref="P771:P834" si="63">N771-L771</f>
        <v>#VALUE!</v>
      </c>
    </row>
    <row r="772" spans="1:16" x14ac:dyDescent="0.3">
      <c r="A772">
        <v>770</v>
      </c>
      <c r="B772">
        <f>'Real Input'!M772</f>
        <v>16.444742000006954</v>
      </c>
      <c r="C772">
        <f ca="1">INDIRECT(CONCATENATE("'Real Input'!",'Real Analysis'!$B$2,A772+2))</f>
        <v>9.8231257800000016</v>
      </c>
      <c r="D772">
        <f t="shared" si="61"/>
        <v>1.5094000002136454E-2</v>
      </c>
      <c r="E772">
        <f ca="1">IF(B772&gt;0,C772-'Real Analysis'!$B$14,0)</f>
        <v>-3.3372022371425558E-2</v>
      </c>
      <c r="F772">
        <f t="shared" ref="F772:F835" ca="1" si="64">IF(B772&gt;0,F771+E772*$D772,0)</f>
        <v>0.19299434917813749</v>
      </c>
      <c r="G772">
        <f t="shared" ca="1" si="60"/>
        <v>-1.1212986559718967</v>
      </c>
      <c r="H772">
        <f ca="1">IF(AND(B772&gt;'Real Analysis'!$B$31,B772&lt;'Real Analysis'!$B$32),FilterInput(E772,'Real Analysis'!$B$26,'Real Analysis'!$B$27),0)</f>
        <v>-3.3372022371425558E-2</v>
      </c>
      <c r="I772" t="e">
        <f>MEDIAN2("Real Values",H772,'Real Analysis'!$B$5,2)</f>
        <v>#VALUE!</v>
      </c>
      <c r="J772" t="e">
        <f>AVERAGE2("Real Values",I772,'Real Analysis'!$B$6,2)</f>
        <v>#VALUE!</v>
      </c>
      <c r="K772" t="e">
        <f>INTEGRAL2(J772,$B772,K771,J771,$B771,'Real Analysis'!$B$19)</f>
        <v>#VALUE!</v>
      </c>
      <c r="L772" t="e">
        <f>IF(AND(B772&lt;'Real Analysis'!$B$32,B772&gt;0),INTEGRAL2(K772,$B772,L771,K771,$B771,'Real Analysis'!$B$20),0)</f>
        <v>#VALUE!</v>
      </c>
      <c r="N772">
        <f>'Real Analysis'!$B$28*'Real Input'!U772+IF('Real Input'!U772 &gt; 0,'Real Analysis'!$B$29,0)</f>
        <v>-0.96530199999999999</v>
      </c>
      <c r="O772" t="e">
        <f t="shared" si="62"/>
        <v>#VALUE!</v>
      </c>
      <c r="P772" t="e">
        <f t="shared" si="63"/>
        <v>#VALUE!</v>
      </c>
    </row>
    <row r="773" spans="1:16" x14ac:dyDescent="0.3">
      <c r="A773">
        <v>771</v>
      </c>
      <c r="B773">
        <f>'Real Input'!M773</f>
        <v>16.469893999994383</v>
      </c>
      <c r="C773">
        <f ca="1">INDIRECT(CONCATENATE("'Real Input'!",'Real Analysis'!$B$2,A773+2))</f>
        <v>10.066609979999999</v>
      </c>
      <c r="D773">
        <f t="shared" si="61"/>
        <v>2.5151999987429008E-2</v>
      </c>
      <c r="E773">
        <f ca="1">IF(B773&gt;0,C773-'Real Analysis'!$B$14,0)</f>
        <v>0.21011217762857193</v>
      </c>
      <c r="F773">
        <f t="shared" ca="1" si="64"/>
        <v>0.19827909066721</v>
      </c>
      <c r="G773">
        <f t="shared" ca="1" si="60"/>
        <v>-1.1163115402859276</v>
      </c>
      <c r="H773">
        <f ca="1">IF(AND(B773&gt;'Real Analysis'!$B$31,B773&lt;'Real Analysis'!$B$32),FilterInput(E773,'Real Analysis'!$B$26,'Real Analysis'!$B$27),0)</f>
        <v>0.21011217762857193</v>
      </c>
      <c r="I773" t="e">
        <f>MEDIAN2("Real Values",H773,'Real Analysis'!$B$5,2)</f>
        <v>#VALUE!</v>
      </c>
      <c r="J773" t="e">
        <f>AVERAGE2("Real Values",I773,'Real Analysis'!$B$6,2)</f>
        <v>#VALUE!</v>
      </c>
      <c r="K773" t="e">
        <f>INTEGRAL2(J773,$B773,K772,J772,$B772,'Real Analysis'!$B$19)</f>
        <v>#VALUE!</v>
      </c>
      <c r="L773" t="e">
        <f>IF(AND(B773&lt;'Real Analysis'!$B$32,B773&gt;0),INTEGRAL2(K773,$B773,L772,K772,$B772,'Real Analysis'!$B$20),0)</f>
        <v>#VALUE!</v>
      </c>
      <c r="N773">
        <f>'Real Analysis'!$B$28*'Real Input'!U773+IF('Real Input'!U773 &gt; 0,'Real Analysis'!$B$29,0)</f>
        <v>-0.97126299999999999</v>
      </c>
      <c r="O773" t="e">
        <f t="shared" si="62"/>
        <v>#VALUE!</v>
      </c>
      <c r="P773" t="e">
        <f t="shared" si="63"/>
        <v>#VALUE!</v>
      </c>
    </row>
    <row r="774" spans="1:16" x14ac:dyDescent="0.3">
      <c r="A774">
        <v>772</v>
      </c>
      <c r="B774">
        <f>'Real Input'!M774</f>
        <v>16.491639999992913</v>
      </c>
      <c r="C774">
        <f ca="1">INDIRECT(CONCATENATE("'Real Input'!",'Real Analysis'!$B$2,A774+2))</f>
        <v>10.177659179999999</v>
      </c>
      <c r="D774">
        <f t="shared" si="61"/>
        <v>2.1745999998529442E-2</v>
      </c>
      <c r="E774">
        <f ca="1">IF(B774&gt;0,C774-'Real Analysis'!$B$14,0)</f>
        <v>0.321161377628572</v>
      </c>
      <c r="F774">
        <f t="shared" ca="1" si="64"/>
        <v>0.20526306598464863</v>
      </c>
      <c r="G774">
        <f t="shared" ca="1" si="60"/>
        <v>-1.1118478896533273</v>
      </c>
      <c r="H774">
        <f ca="1">IF(AND(B774&gt;'Real Analysis'!$B$31,B774&lt;'Real Analysis'!$B$32),FilterInput(E774,'Real Analysis'!$B$26,'Real Analysis'!$B$27),0)</f>
        <v>0.321161377628572</v>
      </c>
      <c r="I774" t="e">
        <f>MEDIAN2("Real Values",H774,'Real Analysis'!$B$5,2)</f>
        <v>#VALUE!</v>
      </c>
      <c r="J774" t="e">
        <f>AVERAGE2("Real Values",I774,'Real Analysis'!$B$6,2)</f>
        <v>#VALUE!</v>
      </c>
      <c r="K774" t="e">
        <f>INTEGRAL2(J774,$B774,K773,J773,$B773,'Real Analysis'!$B$19)</f>
        <v>#VALUE!</v>
      </c>
      <c r="L774" t="e">
        <f>IF(AND(B774&lt;'Real Analysis'!$B$32,B774&gt;0),INTEGRAL2(K774,$B774,L773,K773,$B773,'Real Analysis'!$B$20),0)</f>
        <v>#VALUE!</v>
      </c>
      <c r="N774">
        <f>'Real Analysis'!$B$28*'Real Input'!U774+IF('Real Input'!U774 &gt; 0,'Real Analysis'!$B$29,0)</f>
        <v>-0.96728899999999995</v>
      </c>
      <c r="O774" t="e">
        <f t="shared" si="62"/>
        <v>#VALUE!</v>
      </c>
      <c r="P774" t="e">
        <f t="shared" si="63"/>
        <v>#VALUE!</v>
      </c>
    </row>
    <row r="775" spans="1:16" x14ac:dyDescent="0.3">
      <c r="A775">
        <v>773</v>
      </c>
      <c r="B775">
        <f>'Real Input'!M775</f>
        <v>16.512713999996777</v>
      </c>
      <c r="C775">
        <f ca="1">INDIRECT(CONCATENATE("'Real Input'!",'Real Analysis'!$B$2,A775+2))</f>
        <v>10.29533994</v>
      </c>
      <c r="D775">
        <f t="shared" si="61"/>
        <v>2.1074000003864057E-2</v>
      </c>
      <c r="E775">
        <f ca="1">IF(B775&gt;0,C775-'Real Analysis'!$B$14,0)</f>
        <v>0.43884213762857271</v>
      </c>
      <c r="F775">
        <f t="shared" ca="1" si="64"/>
        <v>0.2145112251947289</v>
      </c>
      <c r="G775">
        <f t="shared" ca="1" si="60"/>
        <v>-1.1073272800927447</v>
      </c>
      <c r="H775">
        <f ca="1">IF(AND(B775&gt;'Real Analysis'!$B$31,B775&lt;'Real Analysis'!$B$32),FilterInput(E775,'Real Analysis'!$B$26,'Real Analysis'!$B$27),0)</f>
        <v>0.43884213762857271</v>
      </c>
      <c r="I775" t="e">
        <f>MEDIAN2("Real Values",H775,'Real Analysis'!$B$5,2)</f>
        <v>#VALUE!</v>
      </c>
      <c r="J775" t="e">
        <f>AVERAGE2("Real Values",I775,'Real Analysis'!$B$6,2)</f>
        <v>#VALUE!</v>
      </c>
      <c r="K775" t="e">
        <f>INTEGRAL2(J775,$B775,K774,J774,$B774,'Real Analysis'!$B$19)</f>
        <v>#VALUE!</v>
      </c>
      <c r="L775" t="e">
        <f>IF(AND(B775&lt;'Real Analysis'!$B$32,B775&gt;0),INTEGRAL2(K775,$B775,L774,K774,$B774,'Real Analysis'!$B$20),0)</f>
        <v>#VALUE!</v>
      </c>
      <c r="N775">
        <f>'Real Analysis'!$B$28*'Real Input'!U775+IF('Real Input'!U775 &gt; 0,'Real Analysis'!$B$29,0)</f>
        <v>-0.97126299999999999</v>
      </c>
      <c r="O775" t="e">
        <f t="shared" si="62"/>
        <v>#VALUE!</v>
      </c>
      <c r="P775" t="e">
        <f t="shared" si="63"/>
        <v>#VALUE!</v>
      </c>
    </row>
    <row r="776" spans="1:16" x14ac:dyDescent="0.3">
      <c r="A776">
        <v>774</v>
      </c>
      <c r="B776">
        <f>'Real Input'!M776</f>
        <v>16.530939999996917</v>
      </c>
      <c r="C776">
        <f ca="1">INDIRECT(CONCATENATE("'Real Input'!",'Real Analysis'!$B$2,A776+2))</f>
        <v>10.351551240000001</v>
      </c>
      <c r="D776">
        <f t="shared" si="61"/>
        <v>1.822600000014063E-2</v>
      </c>
      <c r="E776">
        <f ca="1">IF(B776&gt;0,C776-'Real Analysis'!$B$14,0)</f>
        <v>0.49505343762857379</v>
      </c>
      <c r="F776">
        <f t="shared" ca="1" si="64"/>
        <v>0.22353406914901691</v>
      </c>
      <c r="G776">
        <f t="shared" ca="1" si="60"/>
        <v>-1.1032531481484034</v>
      </c>
      <c r="H776">
        <f ca="1">IF(AND(B776&gt;'Real Analysis'!$B$31,B776&lt;'Real Analysis'!$B$32),FilterInput(E776,'Real Analysis'!$B$26,'Real Analysis'!$B$27),0)</f>
        <v>0.49505343762857379</v>
      </c>
      <c r="I776" t="e">
        <f>MEDIAN2("Real Values",H776,'Real Analysis'!$B$5,2)</f>
        <v>#VALUE!</v>
      </c>
      <c r="J776" t="e">
        <f>AVERAGE2("Real Values",I776,'Real Analysis'!$B$6,2)</f>
        <v>#VALUE!</v>
      </c>
      <c r="K776" t="e">
        <f>INTEGRAL2(J776,$B776,K775,J775,$B775,'Real Analysis'!$B$19)</f>
        <v>#VALUE!</v>
      </c>
      <c r="L776" t="e">
        <f>IF(AND(B776&lt;'Real Analysis'!$B$32,B776&gt;0),INTEGRAL2(K776,$B776,L775,K775,$B775,'Real Analysis'!$B$20),0)</f>
        <v>#VALUE!</v>
      </c>
      <c r="N776">
        <f>'Real Analysis'!$B$28*'Real Input'!U776+IF('Real Input'!U776 &gt; 0,'Real Analysis'!$B$29,0)</f>
        <v>-0.96728899999999995</v>
      </c>
      <c r="O776" t="e">
        <f t="shared" si="62"/>
        <v>#VALUE!</v>
      </c>
      <c r="P776" t="e">
        <f t="shared" si="63"/>
        <v>#VALUE!</v>
      </c>
    </row>
    <row r="777" spans="1:16" x14ac:dyDescent="0.3">
      <c r="A777">
        <v>775</v>
      </c>
      <c r="B777">
        <f>'Real Input'!M777</f>
        <v>16.54520799999591</v>
      </c>
      <c r="C777">
        <f ca="1">INDIRECT(CONCATENATE("'Real Input'!",'Real Analysis'!$B$2,A777+2))</f>
        <v>10.350609479999999</v>
      </c>
      <c r="D777">
        <f t="shared" si="61"/>
        <v>1.4267999998992309E-2</v>
      </c>
      <c r="E777">
        <f ca="1">IF(B777&gt;0,C777-'Real Analysis'!$B$14,0)</f>
        <v>0.49411167762857211</v>
      </c>
      <c r="F777">
        <f t="shared" ca="1" si="64"/>
        <v>0.23058405456492348</v>
      </c>
      <c r="G777">
        <f t="shared" ca="1" si="60"/>
        <v>-1.0999631748581034</v>
      </c>
      <c r="H777">
        <f ca="1">IF(AND(B777&gt;'Real Analysis'!$B$31,B777&lt;'Real Analysis'!$B$32),FilterInput(E777,'Real Analysis'!$B$26,'Real Analysis'!$B$27),0)</f>
        <v>0.49411167762857211</v>
      </c>
      <c r="I777" t="e">
        <f>MEDIAN2("Real Values",H777,'Real Analysis'!$B$5,2)</f>
        <v>#VALUE!</v>
      </c>
      <c r="J777" t="e">
        <f>AVERAGE2("Real Values",I777,'Real Analysis'!$B$6,2)</f>
        <v>#VALUE!</v>
      </c>
      <c r="K777" t="e">
        <f>INTEGRAL2(J777,$B777,K776,J776,$B776,'Real Analysis'!$B$19)</f>
        <v>#VALUE!</v>
      </c>
      <c r="L777" t="e">
        <f>IF(AND(B777&lt;'Real Analysis'!$B$32,B777&gt;0),INTEGRAL2(K777,$B777,L776,K776,$B776,'Real Analysis'!$B$20),0)</f>
        <v>#VALUE!</v>
      </c>
      <c r="N777">
        <f>'Real Analysis'!$B$28*'Real Input'!U777+IF('Real Input'!U777 &gt; 0,'Real Analysis'!$B$29,0)</f>
        <v>-0.96530199999999999</v>
      </c>
      <c r="O777" t="e">
        <f t="shared" si="62"/>
        <v>#VALUE!</v>
      </c>
      <c r="P777" t="e">
        <f t="shared" si="63"/>
        <v>#VALUE!</v>
      </c>
    </row>
    <row r="778" spans="1:16" x14ac:dyDescent="0.3">
      <c r="A778">
        <v>776</v>
      </c>
      <c r="B778">
        <f>'Real Input'!M778</f>
        <v>16.56902799999807</v>
      </c>
      <c r="C778">
        <f ca="1">INDIRECT(CONCATENATE("'Real Input'!",'Real Analysis'!$B$2,A778+2))</f>
        <v>10.219047570000001</v>
      </c>
      <c r="D778">
        <f t="shared" si="61"/>
        <v>2.3820000002160668E-2</v>
      </c>
      <c r="E778">
        <f ca="1">IF(B778&gt;0,C778-'Real Analysis'!$B$14,0)</f>
        <v>0.3625497676285736</v>
      </c>
      <c r="F778">
        <f t="shared" ca="1" si="64"/>
        <v>0.23921999003061944</v>
      </c>
      <c r="G778">
        <f t="shared" ca="1" si="60"/>
        <v>-1.0942649546950571</v>
      </c>
      <c r="H778">
        <f ca="1">IF(AND(B778&gt;'Real Analysis'!$B$31,B778&lt;'Real Analysis'!$B$32),FilterInput(E778,'Real Analysis'!$B$26,'Real Analysis'!$B$27),0)</f>
        <v>0.3625497676285736</v>
      </c>
      <c r="I778" t="e">
        <f>MEDIAN2("Real Values",H778,'Real Analysis'!$B$5,2)</f>
        <v>#VALUE!</v>
      </c>
      <c r="J778" t="e">
        <f>AVERAGE2("Real Values",I778,'Real Analysis'!$B$6,2)</f>
        <v>#VALUE!</v>
      </c>
      <c r="K778" t="e">
        <f>INTEGRAL2(J778,$B778,K777,J777,$B777,'Real Analysis'!$B$19)</f>
        <v>#VALUE!</v>
      </c>
      <c r="L778" t="e">
        <f>IF(AND(B778&lt;'Real Analysis'!$B$32,B778&gt;0),INTEGRAL2(K778,$B778,L777,K777,$B777,'Real Analysis'!$B$20),0)</f>
        <v>#VALUE!</v>
      </c>
      <c r="N778">
        <f>'Real Analysis'!$B$28*'Real Input'!U778+IF('Real Input'!U778 &gt; 0,'Real Analysis'!$B$29,0)</f>
        <v>-0.96728899999999995</v>
      </c>
      <c r="O778" t="e">
        <f t="shared" si="62"/>
        <v>#VALUE!</v>
      </c>
      <c r="P778" t="e">
        <f t="shared" si="63"/>
        <v>#VALUE!</v>
      </c>
    </row>
    <row r="779" spans="1:16" x14ac:dyDescent="0.3">
      <c r="A779">
        <v>777</v>
      </c>
      <c r="B779">
        <f>'Real Input'!M779</f>
        <v>16.580289999998058</v>
      </c>
      <c r="C779">
        <f ca="1">INDIRECT(CONCATENATE("'Real Input'!",'Real Analysis'!$B$2,A779+2))</f>
        <v>10.015097670000001</v>
      </c>
      <c r="D779">
        <f t="shared" si="61"/>
        <v>1.1261999999987893E-2</v>
      </c>
      <c r="E779">
        <f ca="1">IF(B779&gt;0,C779-'Real Analysis'!$B$14,0)</f>
        <v>0.15859986762857403</v>
      </c>
      <c r="F779">
        <f t="shared" ca="1" si="64"/>
        <v>0.24100614173985052</v>
      </c>
      <c r="G779">
        <f t="shared" ca="1" si="60"/>
        <v>-1.0915507435267859</v>
      </c>
      <c r="H779">
        <f ca="1">IF(AND(B779&gt;'Real Analysis'!$B$31,B779&lt;'Real Analysis'!$B$32),FilterInput(E779,'Real Analysis'!$B$26,'Real Analysis'!$B$27),0)</f>
        <v>0.15859986762857403</v>
      </c>
      <c r="I779" t="e">
        <f>MEDIAN2("Real Values",H779,'Real Analysis'!$B$5,2)</f>
        <v>#VALUE!</v>
      </c>
      <c r="J779" t="e">
        <f>AVERAGE2("Real Values",I779,'Real Analysis'!$B$6,2)</f>
        <v>#VALUE!</v>
      </c>
      <c r="K779" t="e">
        <f>INTEGRAL2(J779,$B779,K778,J778,$B778,'Real Analysis'!$B$19)</f>
        <v>#VALUE!</v>
      </c>
      <c r="L779" t="e">
        <f>IF(AND(B779&lt;'Real Analysis'!$B$32,B779&gt;0),INTEGRAL2(K779,$B779,L778,K778,$B778,'Real Analysis'!$B$20),0)</f>
        <v>#VALUE!</v>
      </c>
      <c r="N779">
        <f>'Real Analysis'!$B$28*'Real Input'!U779+IF('Real Input'!U779 &gt; 0,'Real Analysis'!$B$29,0)</f>
        <v>-0.96530199999999999</v>
      </c>
      <c r="O779" t="e">
        <f t="shared" si="62"/>
        <v>#VALUE!</v>
      </c>
      <c r="P779" t="e">
        <f t="shared" si="63"/>
        <v>#VALUE!</v>
      </c>
    </row>
    <row r="780" spans="1:16" x14ac:dyDescent="0.3">
      <c r="A780">
        <v>778</v>
      </c>
      <c r="B780">
        <f>'Real Input'!M780</f>
        <v>16.612483000004431</v>
      </c>
      <c r="C780">
        <f ca="1">INDIRECT(CONCATENATE("'Real Input'!",'Real Analysis'!$B$2,A780+2))</f>
        <v>9.8357708699999993</v>
      </c>
      <c r="D780">
        <f t="shared" si="61"/>
        <v>3.219300000637304E-2</v>
      </c>
      <c r="E780">
        <f ca="1">IF(B780&gt;0,C780-'Real Analysis'!$B$14,0)</f>
        <v>-2.0726932371427864E-2</v>
      </c>
      <c r="F780">
        <f t="shared" ca="1" si="64"/>
        <v>0.24033887960588504</v>
      </c>
      <c r="G780">
        <f t="shared" ca="1" si="60"/>
        <v>-1.0838135139741021</v>
      </c>
      <c r="H780">
        <f ca="1">IF(AND(B780&gt;'Real Analysis'!$B$31,B780&lt;'Real Analysis'!$B$32),FilterInput(E780,'Real Analysis'!$B$26,'Real Analysis'!$B$27),0)</f>
        <v>-2.0726932371427864E-2</v>
      </c>
      <c r="I780" t="e">
        <f>MEDIAN2("Real Values",H780,'Real Analysis'!$B$5,2)</f>
        <v>#VALUE!</v>
      </c>
      <c r="J780" t="e">
        <f>AVERAGE2("Real Values",I780,'Real Analysis'!$B$6,2)</f>
        <v>#VALUE!</v>
      </c>
      <c r="K780" t="e">
        <f>INTEGRAL2(J780,$B780,K779,J779,$B779,'Real Analysis'!$B$19)</f>
        <v>#VALUE!</v>
      </c>
      <c r="L780" t="e">
        <f>IF(AND(B780&lt;'Real Analysis'!$B$32,B780&gt;0),INTEGRAL2(K780,$B780,L779,K779,$B779,'Real Analysis'!$B$20),0)</f>
        <v>#VALUE!</v>
      </c>
      <c r="N780">
        <f>'Real Analysis'!$B$28*'Real Input'!U780+IF('Real Input'!U780 &gt; 0,'Real Analysis'!$B$29,0)</f>
        <v>-0.96331499999999992</v>
      </c>
      <c r="O780" t="e">
        <f t="shared" si="62"/>
        <v>#VALUE!</v>
      </c>
      <c r="P780" t="e">
        <f t="shared" si="63"/>
        <v>#VALUE!</v>
      </c>
    </row>
    <row r="781" spans="1:16" x14ac:dyDescent="0.3">
      <c r="A781">
        <v>779</v>
      </c>
      <c r="B781">
        <f>'Real Input'!M781</f>
        <v>16.631515999994008</v>
      </c>
      <c r="C781">
        <f ca="1">INDIRECT(CONCATENATE("'Real Input'!",'Real Analysis'!$B$2,A781+2))</f>
        <v>10.21224924</v>
      </c>
      <c r="D781">
        <f t="shared" si="61"/>
        <v>1.9032999989576638E-2</v>
      </c>
      <c r="E781">
        <f ca="1">IF(B781&gt;0,C781-'Real Analysis'!$B$14,0)</f>
        <v>0.35575143762857309</v>
      </c>
      <c r="F781">
        <f t="shared" ca="1" si="64"/>
        <v>0.24710989671456154</v>
      </c>
      <c r="G781">
        <f t="shared" ca="1" si="60"/>
        <v>-1.0791102713125096</v>
      </c>
      <c r="H781">
        <f ca="1">IF(AND(B781&gt;'Real Analysis'!$B$31,B781&lt;'Real Analysis'!$B$32),FilterInput(E781,'Real Analysis'!$B$26,'Real Analysis'!$B$27),0)</f>
        <v>0.35575143762857309</v>
      </c>
      <c r="I781" t="e">
        <f>MEDIAN2("Real Values",H781,'Real Analysis'!$B$5,2)</f>
        <v>#VALUE!</v>
      </c>
      <c r="J781" t="e">
        <f>AVERAGE2("Real Values",I781,'Real Analysis'!$B$6,2)</f>
        <v>#VALUE!</v>
      </c>
      <c r="K781" t="e">
        <f>INTEGRAL2(J781,$B781,K780,J780,$B780,'Real Analysis'!$B$19)</f>
        <v>#VALUE!</v>
      </c>
      <c r="L781" t="e">
        <f>IF(AND(B781&lt;'Real Analysis'!$B$32,B781&gt;0),INTEGRAL2(K781,$B781,L780,K780,$B780,'Real Analysis'!$B$20),0)</f>
        <v>#VALUE!</v>
      </c>
      <c r="N781">
        <f>'Real Analysis'!$B$28*'Real Input'!U781+IF('Real Input'!U781 &gt; 0,'Real Analysis'!$B$29,0)</f>
        <v>-0.96331499999999992</v>
      </c>
      <c r="O781" t="e">
        <f t="shared" si="62"/>
        <v>#VALUE!</v>
      </c>
      <c r="P781" t="e">
        <f t="shared" si="63"/>
        <v>#VALUE!</v>
      </c>
    </row>
    <row r="782" spans="1:16" x14ac:dyDescent="0.3">
      <c r="A782">
        <v>780</v>
      </c>
      <c r="B782">
        <f>'Real Input'!M782</f>
        <v>16.652646999995341</v>
      </c>
      <c r="C782">
        <f ca="1">INDIRECT(CONCATENATE("'Real Input'!",'Real Analysis'!$B$2,A782+2))</f>
        <v>10.339740000000001</v>
      </c>
      <c r="D782">
        <f t="shared" si="61"/>
        <v>2.1131000001332723E-2</v>
      </c>
      <c r="E782">
        <f ca="1">IF(B782&gt;0,C782-'Real Analysis'!$B$14,0)</f>
        <v>0.48324219762857368</v>
      </c>
      <c r="F782">
        <f t="shared" ca="1" si="64"/>
        <v>0.25732128759329498</v>
      </c>
      <c r="G782">
        <f t="shared" ca="1" si="60"/>
        <v>-1.0736728151840327</v>
      </c>
      <c r="H782">
        <f ca="1">IF(AND(B782&gt;'Real Analysis'!$B$31,B782&lt;'Real Analysis'!$B$32),FilterInput(E782,'Real Analysis'!$B$26,'Real Analysis'!$B$27),0)</f>
        <v>0.48324219762857368</v>
      </c>
      <c r="I782" t="e">
        <f>MEDIAN2("Real Values",H782,'Real Analysis'!$B$5,2)</f>
        <v>#VALUE!</v>
      </c>
      <c r="J782" t="e">
        <f>AVERAGE2("Real Values",I782,'Real Analysis'!$B$6,2)</f>
        <v>#VALUE!</v>
      </c>
      <c r="K782" t="e">
        <f>INTEGRAL2(J782,$B782,K781,J781,$B781,'Real Analysis'!$B$19)</f>
        <v>#VALUE!</v>
      </c>
      <c r="L782" t="e">
        <f>IF(AND(B782&lt;'Real Analysis'!$B$32,B782&gt;0),INTEGRAL2(K782,$B782,L781,K781,$B781,'Real Analysis'!$B$20),0)</f>
        <v>#VALUE!</v>
      </c>
      <c r="N782">
        <f>'Real Analysis'!$B$28*'Real Input'!U782+IF('Real Input'!U782 &gt; 0,'Real Analysis'!$B$29,0)</f>
        <v>-0.95934099999999989</v>
      </c>
      <c r="O782" t="e">
        <f t="shared" si="62"/>
        <v>#VALUE!</v>
      </c>
      <c r="P782" t="e">
        <f t="shared" si="63"/>
        <v>#VALUE!</v>
      </c>
    </row>
    <row r="783" spans="1:16" x14ac:dyDescent="0.3">
      <c r="A783">
        <v>781</v>
      </c>
      <c r="B783">
        <f>'Real Input'!M783</f>
        <v>16.666282000005594</v>
      </c>
      <c r="C783">
        <f ca="1">INDIRECT(CONCATENATE("'Real Input'!",'Real Analysis'!$B$2,A783+2))</f>
        <v>9.9040680900000009</v>
      </c>
      <c r="D783">
        <f t="shared" si="61"/>
        <v>1.3635000010253862E-2</v>
      </c>
      <c r="E783">
        <f ca="1">IF(B783&gt;0,C783-'Real Analysis'!$B$14,0)</f>
        <v>4.7570287628573737E-2</v>
      </c>
      <c r="F783">
        <f t="shared" ca="1" si="64"/>
        <v>0.25796990846559836</v>
      </c>
      <c r="G783">
        <f t="shared" ca="1" si="60"/>
        <v>-1.0701553954794591</v>
      </c>
      <c r="H783">
        <f ca="1">IF(AND(B783&gt;'Real Analysis'!$B$31,B783&lt;'Real Analysis'!$B$32),FilterInput(E783,'Real Analysis'!$B$26,'Real Analysis'!$B$27),0)</f>
        <v>4.7570287628573737E-2</v>
      </c>
      <c r="I783" t="e">
        <f>MEDIAN2("Real Values",H783,'Real Analysis'!$B$5,2)</f>
        <v>#VALUE!</v>
      </c>
      <c r="J783" t="e">
        <f>AVERAGE2("Real Values",I783,'Real Analysis'!$B$6,2)</f>
        <v>#VALUE!</v>
      </c>
      <c r="K783" t="e">
        <f>INTEGRAL2(J783,$B783,K782,J782,$B782,'Real Analysis'!$B$19)</f>
        <v>#VALUE!</v>
      </c>
      <c r="L783" t="e">
        <f>IF(AND(B783&lt;'Real Analysis'!$B$32,B783&gt;0),INTEGRAL2(K783,$B783,L782,K782,$B782,'Real Analysis'!$B$20),0)</f>
        <v>#VALUE!</v>
      </c>
      <c r="N783">
        <f>'Real Analysis'!$B$28*'Real Input'!U783+IF('Real Input'!U783 &gt; 0,'Real Analysis'!$B$29,0)</f>
        <v>-0.95735399999999993</v>
      </c>
      <c r="O783" t="e">
        <f t="shared" si="62"/>
        <v>#VALUE!</v>
      </c>
      <c r="P783" t="e">
        <f t="shared" si="63"/>
        <v>#VALUE!</v>
      </c>
    </row>
    <row r="784" spans="1:16" x14ac:dyDescent="0.3">
      <c r="A784">
        <v>782</v>
      </c>
      <c r="B784">
        <f>'Real Input'!M784</f>
        <v>16.690967000002274</v>
      </c>
      <c r="C784">
        <f ca="1">INDIRECT(CONCATENATE("'Real Input'!",'Real Analysis'!$B$2,A784+2))</f>
        <v>8.4198347099999999</v>
      </c>
      <c r="D784">
        <f t="shared" si="61"/>
        <v>2.4684999996679835E-2</v>
      </c>
      <c r="E784">
        <f ca="1">IF(B784&gt;0,C784-'Real Analysis'!$B$14,0)</f>
        <v>-1.4366630923714272</v>
      </c>
      <c r="F784">
        <f t="shared" ca="1" si="64"/>
        <v>0.22250588003517963</v>
      </c>
      <c r="G784">
        <f t="shared" ca="1" si="60"/>
        <v>-1.0646628378315295</v>
      </c>
      <c r="H784">
        <f ca="1">IF(AND(B784&gt;'Real Analysis'!$B$31,B784&lt;'Real Analysis'!$B$32),FilterInput(E784,'Real Analysis'!$B$26,'Real Analysis'!$B$27),0)</f>
        <v>-1.4366630923714272</v>
      </c>
      <c r="I784" t="e">
        <f>MEDIAN2("Real Values",H784,'Real Analysis'!$B$5,2)</f>
        <v>#VALUE!</v>
      </c>
      <c r="J784" t="e">
        <f>AVERAGE2("Real Values",I784,'Real Analysis'!$B$6,2)</f>
        <v>#VALUE!</v>
      </c>
      <c r="K784" t="e">
        <f>INTEGRAL2(J784,$B784,K783,J783,$B783,'Real Analysis'!$B$19)</f>
        <v>#VALUE!</v>
      </c>
      <c r="L784" t="e">
        <f>IF(AND(B784&lt;'Real Analysis'!$B$32,B784&gt;0),INTEGRAL2(K784,$B784,L783,K783,$B783,'Real Analysis'!$B$20),0)</f>
        <v>#VALUE!</v>
      </c>
      <c r="N784">
        <f>'Real Analysis'!$B$28*'Real Input'!U784+IF('Real Input'!U784 &gt; 0,'Real Analysis'!$B$29,0)</f>
        <v>-0.95536699999999997</v>
      </c>
      <c r="O784" t="e">
        <f t="shared" si="62"/>
        <v>#VALUE!</v>
      </c>
      <c r="P784" t="e">
        <f t="shared" si="63"/>
        <v>#VALUE!</v>
      </c>
    </row>
    <row r="785" spans="1:16" x14ac:dyDescent="0.3">
      <c r="A785">
        <v>783</v>
      </c>
      <c r="B785">
        <f>'Real Input'!M785</f>
        <v>16.711506000006921</v>
      </c>
      <c r="C785">
        <f ca="1">INDIRECT(CONCATENATE("'Real Input'!",'Real Analysis'!$B$2,A785+2))</f>
        <v>8.3772691200000011</v>
      </c>
      <c r="D785">
        <f t="shared" si="61"/>
        <v>2.0539000004646368E-2</v>
      </c>
      <c r="E785">
        <f ca="1">IF(B785&gt;0,C785-'Real Analysis'!$B$14,0)</f>
        <v>-1.479228682371426</v>
      </c>
      <c r="F785">
        <f t="shared" ca="1" si="64"/>
        <v>0.19212400212107986</v>
      </c>
      <c r="G785">
        <f t="shared" ca="1" si="60"/>
        <v>-1.0607168029510718</v>
      </c>
      <c r="H785">
        <f ca="1">IF(AND(B785&gt;'Real Analysis'!$B$31,B785&lt;'Real Analysis'!$B$32),FilterInput(E785,'Real Analysis'!$B$26,'Real Analysis'!$B$27),0)</f>
        <v>-1.479228682371426</v>
      </c>
      <c r="I785" t="e">
        <f>MEDIAN2("Real Values",H785,'Real Analysis'!$B$5,2)</f>
        <v>#VALUE!</v>
      </c>
      <c r="J785" t="e">
        <f>AVERAGE2("Real Values",I785,'Real Analysis'!$B$6,2)</f>
        <v>#VALUE!</v>
      </c>
      <c r="K785" t="e">
        <f>INTEGRAL2(J785,$B785,K784,J784,$B784,'Real Analysis'!$B$19)</f>
        <v>#VALUE!</v>
      </c>
      <c r="L785" t="e">
        <f>IF(AND(B785&lt;'Real Analysis'!$B$32,B785&gt;0),INTEGRAL2(K785,$B785,L784,K784,$B784,'Real Analysis'!$B$20),0)</f>
        <v>#VALUE!</v>
      </c>
      <c r="N785">
        <f>'Real Analysis'!$B$28*'Real Input'!U785+IF('Real Input'!U785 &gt; 0,'Real Analysis'!$B$29,0)</f>
        <v>-0.95139299999999993</v>
      </c>
      <c r="O785" t="e">
        <f t="shared" si="62"/>
        <v>#VALUE!</v>
      </c>
      <c r="P785" t="e">
        <f t="shared" si="63"/>
        <v>#VALUE!</v>
      </c>
    </row>
    <row r="786" spans="1:16" x14ac:dyDescent="0.3">
      <c r="A786">
        <v>784</v>
      </c>
      <c r="B786">
        <f>'Real Input'!M786</f>
        <v>16.730964000002132</v>
      </c>
      <c r="C786">
        <f ca="1">INDIRECT(CONCATENATE("'Real Input'!",'Real Analysis'!$B$2,A786+2))</f>
        <v>9.6576212699999999</v>
      </c>
      <c r="D786">
        <f t="shared" si="61"/>
        <v>1.9457999995211139E-2</v>
      </c>
      <c r="E786">
        <f ca="1">IF(B786&gt;0,C786-'Real Analysis'!$B$14,0)</f>
        <v>-0.19887653237142722</v>
      </c>
      <c r="F786">
        <f t="shared" ca="1" si="64"/>
        <v>0.18825426255514902</v>
      </c>
      <c r="G786">
        <f t="shared" ca="1" si="60"/>
        <v>-1.0570537515111753</v>
      </c>
      <c r="H786">
        <f ca="1">IF(AND(B786&gt;'Real Analysis'!$B$31,B786&lt;'Real Analysis'!$B$32),FilterInput(E786,'Real Analysis'!$B$26,'Real Analysis'!$B$27),0)</f>
        <v>-0.19887653237142722</v>
      </c>
      <c r="I786" t="e">
        <f>MEDIAN2("Real Values",H786,'Real Analysis'!$B$5,2)</f>
        <v>#VALUE!</v>
      </c>
      <c r="J786" t="e">
        <f>AVERAGE2("Real Values",I786,'Real Analysis'!$B$6,2)</f>
        <v>#VALUE!</v>
      </c>
      <c r="K786" t="e">
        <f>INTEGRAL2(J786,$B786,K785,J785,$B785,'Real Analysis'!$B$19)</f>
        <v>#VALUE!</v>
      </c>
      <c r="L786" t="e">
        <f>IF(AND(B786&lt;'Real Analysis'!$B$32,B786&gt;0),INTEGRAL2(K786,$B786,L785,K785,$B785,'Real Analysis'!$B$20),0)</f>
        <v>#VALUE!</v>
      </c>
      <c r="N786">
        <f>'Real Analysis'!$B$28*'Real Input'!U786+IF('Real Input'!U786 &gt; 0,'Real Analysis'!$B$29,0)</f>
        <v>-0.94940599999999997</v>
      </c>
      <c r="O786" t="e">
        <f t="shared" si="62"/>
        <v>#VALUE!</v>
      </c>
      <c r="P786" t="e">
        <f t="shared" si="63"/>
        <v>#VALUE!</v>
      </c>
    </row>
    <row r="787" spans="1:16" x14ac:dyDescent="0.3">
      <c r="A787">
        <v>785</v>
      </c>
      <c r="B787">
        <f>'Real Input'!M787</f>
        <v>16.751571999993757</v>
      </c>
      <c r="C787">
        <f ca="1">INDIRECT(CONCATENATE("'Real Input'!",'Real Analysis'!$B$2,A787+2))</f>
        <v>10.219685220000001</v>
      </c>
      <c r="D787">
        <f t="shared" si="61"/>
        <v>2.0607999991625547E-2</v>
      </c>
      <c r="E787">
        <f ca="1">IF(B787&gt;0,C787-'Real Analysis'!$B$14,0)</f>
        <v>0.36318741762857343</v>
      </c>
      <c r="F787">
        <f t="shared" ca="1" si="64"/>
        <v>0.19573882885459717</v>
      </c>
      <c r="G787">
        <f t="shared" ca="1" si="60"/>
        <v>-1.053019965727779</v>
      </c>
      <c r="H787">
        <f ca="1">IF(AND(B787&gt;'Real Analysis'!$B$31,B787&lt;'Real Analysis'!$B$32),FilterInput(E787,'Real Analysis'!$B$26,'Real Analysis'!$B$27),0)</f>
        <v>0.36318741762857343</v>
      </c>
      <c r="I787" t="e">
        <f>MEDIAN2("Real Values",H787,'Real Analysis'!$B$5,2)</f>
        <v>#VALUE!</v>
      </c>
      <c r="J787" t="e">
        <f>AVERAGE2("Real Values",I787,'Real Analysis'!$B$6,2)</f>
        <v>#VALUE!</v>
      </c>
      <c r="K787" t="e">
        <f>INTEGRAL2(J787,$B787,K786,J786,$B786,'Real Analysis'!$B$19)</f>
        <v>#VALUE!</v>
      </c>
      <c r="L787" t="e">
        <f>IF(AND(B787&lt;'Real Analysis'!$B$32,B787&gt;0),INTEGRAL2(K787,$B787,L786,K786,$B786,'Real Analysis'!$B$20),0)</f>
        <v>#VALUE!</v>
      </c>
      <c r="N787">
        <f>'Real Analysis'!$B$28*'Real Input'!U787+IF('Real Input'!U787 &gt; 0,'Real Analysis'!$B$29,0)</f>
        <v>-0.9474189999999999</v>
      </c>
      <c r="O787" t="e">
        <f t="shared" si="62"/>
        <v>#VALUE!</v>
      </c>
      <c r="P787" t="e">
        <f t="shared" si="63"/>
        <v>#VALUE!</v>
      </c>
    </row>
    <row r="788" spans="1:16" x14ac:dyDescent="0.3">
      <c r="A788">
        <v>786</v>
      </c>
      <c r="B788">
        <f>'Real Input'!M788</f>
        <v>16.768802999999025</v>
      </c>
      <c r="C788">
        <f ca="1">INDIRECT(CONCATENATE("'Real Input'!",'Real Analysis'!$B$2,A788+2))</f>
        <v>9.9342240300000011</v>
      </c>
      <c r="D788">
        <f t="shared" si="61"/>
        <v>1.723100000526756E-2</v>
      </c>
      <c r="E788">
        <f ca="1">IF(B788&gt;0,C788-'Real Analysis'!$B$14,0)</f>
        <v>7.7726227628573952E-2</v>
      </c>
      <c r="F788">
        <f t="shared" ca="1" si="64"/>
        <v>0.19707812948327455</v>
      </c>
      <c r="G788">
        <f t="shared" ca="1" si="60"/>
        <v>-1.0496241124776147</v>
      </c>
      <c r="H788">
        <f ca="1">IF(AND(B788&gt;'Real Analysis'!$B$31,B788&lt;'Real Analysis'!$B$32),FilterInput(E788,'Real Analysis'!$B$26,'Real Analysis'!$B$27),0)</f>
        <v>7.7726227628573952E-2</v>
      </c>
      <c r="I788" t="e">
        <f>MEDIAN2("Real Values",H788,'Real Analysis'!$B$5,2)</f>
        <v>#VALUE!</v>
      </c>
      <c r="J788" t="e">
        <f>AVERAGE2("Real Values",I788,'Real Analysis'!$B$6,2)</f>
        <v>#VALUE!</v>
      </c>
      <c r="K788" t="e">
        <f>INTEGRAL2(J788,$B788,K787,J787,$B787,'Real Analysis'!$B$19)</f>
        <v>#VALUE!</v>
      </c>
      <c r="L788" t="e">
        <f>IF(AND(B788&lt;'Real Analysis'!$B$32,B788&gt;0),INTEGRAL2(K788,$B788,L787,K787,$B787,'Real Analysis'!$B$20),0)</f>
        <v>#VALUE!</v>
      </c>
      <c r="N788">
        <f>'Real Analysis'!$B$28*'Real Input'!U788+IF('Real Input'!U788 &gt; 0,'Real Analysis'!$B$29,0)</f>
        <v>-0.94344499999999987</v>
      </c>
      <c r="O788" t="e">
        <f t="shared" si="62"/>
        <v>#VALUE!</v>
      </c>
      <c r="P788" t="e">
        <f t="shared" si="63"/>
        <v>#VALUE!</v>
      </c>
    </row>
    <row r="789" spans="1:16" x14ac:dyDescent="0.3">
      <c r="A789">
        <v>787</v>
      </c>
      <c r="B789">
        <f>'Real Input'!M789</f>
        <v>16.786829000004218</v>
      </c>
      <c r="C789">
        <f ca="1">INDIRECT(CONCATENATE("'Real Input'!",'Real Analysis'!$B$2,A789+2))</f>
        <v>9.7558389900000009</v>
      </c>
      <c r="D789">
        <f t="shared" si="61"/>
        <v>1.8026000005193055E-2</v>
      </c>
      <c r="E789">
        <f ca="1">IF(B789&gt;0,C789-'Real Analysis'!$B$14,0)</f>
        <v>-0.10065881237142627</v>
      </c>
      <c r="F789">
        <f t="shared" ca="1" si="64"/>
        <v>0.19526365373094448</v>
      </c>
      <c r="G789">
        <f t="shared" ca="1" si="60"/>
        <v>-1.0461042898544466</v>
      </c>
      <c r="H789">
        <f ca="1">IF(AND(B789&gt;'Real Analysis'!$B$31,B789&lt;'Real Analysis'!$B$32),FilterInput(E789,'Real Analysis'!$B$26,'Real Analysis'!$B$27),0)</f>
        <v>-0.10065881237142627</v>
      </c>
      <c r="I789" t="e">
        <f>MEDIAN2("Real Values",H789,'Real Analysis'!$B$5,2)</f>
        <v>#VALUE!</v>
      </c>
      <c r="J789" t="e">
        <f>AVERAGE2("Real Values",I789,'Real Analysis'!$B$6,2)</f>
        <v>#VALUE!</v>
      </c>
      <c r="K789" t="e">
        <f>INTEGRAL2(J789,$B789,K788,J788,$B788,'Real Analysis'!$B$19)</f>
        <v>#VALUE!</v>
      </c>
      <c r="L789" t="e">
        <f>IF(AND(B789&lt;'Real Analysis'!$B$32,B789&gt;0),INTEGRAL2(K789,$B789,L788,K788,$B788,'Real Analysis'!$B$20),0)</f>
        <v>#VALUE!</v>
      </c>
      <c r="N789">
        <f>'Real Analysis'!$B$28*'Real Input'!U789+IF('Real Input'!U789 &gt; 0,'Real Analysis'!$B$29,0)</f>
        <v>-0.93947099999999995</v>
      </c>
      <c r="O789" t="e">
        <f t="shared" si="62"/>
        <v>#VALUE!</v>
      </c>
      <c r="P789" t="e">
        <f t="shared" si="63"/>
        <v>#VALUE!</v>
      </c>
    </row>
    <row r="790" spans="1:16" x14ac:dyDescent="0.3">
      <c r="A790">
        <v>788</v>
      </c>
      <c r="B790">
        <f>'Real Input'!M790</f>
        <v>16.815285999997286</v>
      </c>
      <c r="C790">
        <f ca="1">INDIRECT(CONCATENATE("'Real Input'!",'Real Analysis'!$B$2,A790+2))</f>
        <v>9.6542171999999997</v>
      </c>
      <c r="D790">
        <f t="shared" si="61"/>
        <v>2.8456999993068166E-2</v>
      </c>
      <c r="E790">
        <f ca="1">IF(B790&gt;0,C790-'Real Analysis'!$B$14,0)</f>
        <v>-0.20228060237142742</v>
      </c>
      <c r="F790">
        <f t="shared" ca="1" si="64"/>
        <v>0.18950735463066296</v>
      </c>
      <c r="G790">
        <f t="shared" ca="1" si="60"/>
        <v>-1.0407114790650354</v>
      </c>
      <c r="H790">
        <f ca="1">IF(AND(B790&gt;'Real Analysis'!$B$31,B790&lt;'Real Analysis'!$B$32),FilterInput(E790,'Real Analysis'!$B$26,'Real Analysis'!$B$27),0)</f>
        <v>-0.20228060237142742</v>
      </c>
      <c r="I790" t="e">
        <f>MEDIAN2("Real Values",H790,'Real Analysis'!$B$5,2)</f>
        <v>#VALUE!</v>
      </c>
      <c r="J790" t="e">
        <f>AVERAGE2("Real Values",I790,'Real Analysis'!$B$6,2)</f>
        <v>#VALUE!</v>
      </c>
      <c r="K790" t="e">
        <f>INTEGRAL2(J790,$B790,K789,J789,$B789,'Real Analysis'!$B$19)</f>
        <v>#VALUE!</v>
      </c>
      <c r="L790" t="e">
        <f>IF(AND(B790&lt;'Real Analysis'!$B$32,B790&gt;0),INTEGRAL2(K790,$B790,L789,K789,$B789,'Real Analysis'!$B$20),0)</f>
        <v>#VALUE!</v>
      </c>
      <c r="N790">
        <f>'Real Analysis'!$B$28*'Real Input'!U790+IF('Real Input'!U790 &gt; 0,'Real Analysis'!$B$29,0)</f>
        <v>-0.93748399999999987</v>
      </c>
      <c r="O790" t="e">
        <f t="shared" si="62"/>
        <v>#VALUE!</v>
      </c>
      <c r="P790" t="e">
        <f t="shared" si="63"/>
        <v>#VALUE!</v>
      </c>
    </row>
    <row r="791" spans="1:16" x14ac:dyDescent="0.3">
      <c r="A791">
        <v>789</v>
      </c>
      <c r="B791">
        <f>'Real Input'!M791</f>
        <v>16.832154999996419</v>
      </c>
      <c r="C791">
        <f ca="1">INDIRECT(CONCATENATE("'Real Input'!",'Real Analysis'!$B$2,A791+2))</f>
        <v>9.9669992399999998</v>
      </c>
      <c r="D791">
        <f t="shared" si="61"/>
        <v>1.6868999999132939E-2</v>
      </c>
      <c r="E791">
        <f ca="1">IF(B791&gt;0,C791-'Real Analysis'!$B$14,0)</f>
        <v>0.11050143762857267</v>
      </c>
      <c r="F791">
        <f t="shared" ca="1" si="64"/>
        <v>0.19137140338192354</v>
      </c>
      <c r="G791">
        <f t="shared" ca="1" si="60"/>
        <v>-1.0374832348615517</v>
      </c>
      <c r="H791">
        <f ca="1">IF(AND(B791&gt;'Real Analysis'!$B$31,B791&lt;'Real Analysis'!$B$32),FilterInput(E791,'Real Analysis'!$B$26,'Real Analysis'!$B$27),0)</f>
        <v>0.11050143762857267</v>
      </c>
      <c r="I791" t="e">
        <f>MEDIAN2("Real Values",H791,'Real Analysis'!$B$5,2)</f>
        <v>#VALUE!</v>
      </c>
      <c r="J791" t="e">
        <f>AVERAGE2("Real Values",I791,'Real Analysis'!$B$6,2)</f>
        <v>#VALUE!</v>
      </c>
      <c r="K791" t="e">
        <f>INTEGRAL2(J791,$B791,K790,J790,$B790,'Real Analysis'!$B$19)</f>
        <v>#VALUE!</v>
      </c>
      <c r="L791" t="e">
        <f>IF(AND(B791&lt;'Real Analysis'!$B$32,B791&gt;0),INTEGRAL2(K791,$B791,L790,K790,$B790,'Real Analysis'!$B$20),0)</f>
        <v>#VALUE!</v>
      </c>
      <c r="N791">
        <f>'Real Analysis'!$B$28*'Real Input'!U791+IF('Real Input'!U791 &gt; 0,'Real Analysis'!$B$29,0)</f>
        <v>-0.93549699999999991</v>
      </c>
      <c r="O791" t="e">
        <f t="shared" si="62"/>
        <v>#VALUE!</v>
      </c>
      <c r="P791" t="e">
        <f t="shared" si="63"/>
        <v>#VALUE!</v>
      </c>
    </row>
    <row r="792" spans="1:16" x14ac:dyDescent="0.3">
      <c r="A792">
        <v>790</v>
      </c>
      <c r="B792">
        <f>'Real Input'!M792</f>
        <v>16.852400000003399</v>
      </c>
      <c r="C792">
        <f ca="1">INDIRECT(CONCATENATE("'Real Input'!",'Real Analysis'!$B$2,A792+2))</f>
        <v>10.044203939999999</v>
      </c>
      <c r="D792">
        <f t="shared" si="61"/>
        <v>2.0245000006980263E-2</v>
      </c>
      <c r="E792">
        <f ca="1">IF(B792&gt;0,C792-'Real Analysis'!$B$14,0)</f>
        <v>0.18770613762857202</v>
      </c>
      <c r="F792">
        <f t="shared" ca="1" si="64"/>
        <v>0.19517151413952422</v>
      </c>
      <c r="G792">
        <f t="shared" ca="1" si="60"/>
        <v>-1.0335319875564346</v>
      </c>
      <c r="H792">
        <f ca="1">IF(AND(B792&gt;'Real Analysis'!$B$31,B792&lt;'Real Analysis'!$B$32),FilterInput(E792,'Real Analysis'!$B$26,'Real Analysis'!$B$27),0)</f>
        <v>0.18770613762857202</v>
      </c>
      <c r="I792" t="e">
        <f>MEDIAN2("Real Values",H792,'Real Analysis'!$B$5,2)</f>
        <v>#VALUE!</v>
      </c>
      <c r="J792" t="e">
        <f>AVERAGE2("Real Values",I792,'Real Analysis'!$B$6,2)</f>
        <v>#VALUE!</v>
      </c>
      <c r="K792" t="e">
        <f>INTEGRAL2(J792,$B792,K791,J791,$B791,'Real Analysis'!$B$19)</f>
        <v>#VALUE!</v>
      </c>
      <c r="L792" t="e">
        <f>IF(AND(B792&lt;'Real Analysis'!$B$32,B792&gt;0),INTEGRAL2(K792,$B792,L791,K791,$B791,'Real Analysis'!$B$20),0)</f>
        <v>#VALUE!</v>
      </c>
      <c r="N792">
        <f>'Real Analysis'!$B$28*'Real Input'!U792+IF('Real Input'!U792 &gt; 0,'Real Analysis'!$B$29,0)</f>
        <v>-0.93152299999999988</v>
      </c>
      <c r="O792" t="e">
        <f t="shared" si="62"/>
        <v>#VALUE!</v>
      </c>
      <c r="P792" t="e">
        <f t="shared" si="63"/>
        <v>#VALUE!</v>
      </c>
    </row>
    <row r="793" spans="1:16" x14ac:dyDescent="0.3">
      <c r="A793">
        <v>791</v>
      </c>
      <c r="B793">
        <f>'Real Input'!M793</f>
        <v>16.870198999997228</v>
      </c>
      <c r="C793">
        <f ca="1">INDIRECT(CONCATENATE("'Real Input'!",'Real Analysis'!$B$2,A793+2))</f>
        <v>10.101612059999999</v>
      </c>
      <c r="D793">
        <f t="shared" si="61"/>
        <v>1.7798999993829057E-2</v>
      </c>
      <c r="E793">
        <f ca="1">IF(B793&gt;0,C793-'Real Analysis'!$B$14,0)</f>
        <v>0.24511425762857186</v>
      </c>
      <c r="F793">
        <f t="shared" ca="1" si="64"/>
        <v>0.19953430280954257</v>
      </c>
      <c r="G793">
        <f t="shared" ca="1" si="60"/>
        <v>-1.0299804765019589</v>
      </c>
      <c r="H793">
        <f ca="1">IF(AND(B793&gt;'Real Analysis'!$B$31,B793&lt;'Real Analysis'!$B$32),FilterInput(E793,'Real Analysis'!$B$26,'Real Analysis'!$B$27),0)</f>
        <v>0.24511425762857186</v>
      </c>
      <c r="I793" t="e">
        <f>MEDIAN2("Real Values",H793,'Real Analysis'!$B$5,2)</f>
        <v>#VALUE!</v>
      </c>
      <c r="J793" t="e">
        <f>AVERAGE2("Real Values",I793,'Real Analysis'!$B$6,2)</f>
        <v>#VALUE!</v>
      </c>
      <c r="K793" t="e">
        <f>INTEGRAL2(J793,$B793,K792,J792,$B792,'Real Analysis'!$B$19)</f>
        <v>#VALUE!</v>
      </c>
      <c r="L793" t="e">
        <f>IF(AND(B793&lt;'Real Analysis'!$B$32,B793&gt;0),INTEGRAL2(K793,$B793,L792,K792,$B792,'Real Analysis'!$B$20),0)</f>
        <v>#VALUE!</v>
      </c>
      <c r="N793">
        <f>'Real Analysis'!$B$28*'Real Input'!U793+IF('Real Input'!U793 &gt; 0,'Real Analysis'!$B$29,0)</f>
        <v>-0.92754899999999996</v>
      </c>
      <c r="O793" t="e">
        <f t="shared" si="62"/>
        <v>#VALUE!</v>
      </c>
      <c r="P793" t="e">
        <f t="shared" si="63"/>
        <v>#VALUE!</v>
      </c>
    </row>
    <row r="794" spans="1:16" x14ac:dyDescent="0.3">
      <c r="A794">
        <v>792</v>
      </c>
      <c r="B794">
        <f>'Real Input'!M794</f>
        <v>16.891808999993373</v>
      </c>
      <c r="C794">
        <f ca="1">INDIRECT(CONCATENATE("'Real Input'!",'Real Analysis'!$B$2,A794+2))</f>
        <v>9.8052127200000001</v>
      </c>
      <c r="D794">
        <f t="shared" si="61"/>
        <v>2.1609999996144325E-2</v>
      </c>
      <c r="E794">
        <f ca="1">IF(B794&gt;0,C794-'Real Analysis'!$B$14,0)</f>
        <v>-5.1285082371427038E-2</v>
      </c>
      <c r="F794">
        <f t="shared" ca="1" si="64"/>
        <v>0.19842603217969376</v>
      </c>
      <c r="G794">
        <f t="shared" ca="1" si="60"/>
        <v>-1.0256924899473208</v>
      </c>
      <c r="H794">
        <f ca="1">IF(AND(B794&gt;'Real Analysis'!$B$31,B794&lt;'Real Analysis'!$B$32),FilterInput(E794,'Real Analysis'!$B$26,'Real Analysis'!$B$27),0)</f>
        <v>-5.1285082371427038E-2</v>
      </c>
      <c r="I794" t="e">
        <f>MEDIAN2("Real Values",H794,'Real Analysis'!$B$5,2)</f>
        <v>#VALUE!</v>
      </c>
      <c r="J794" t="e">
        <f>AVERAGE2("Real Values",I794,'Real Analysis'!$B$6,2)</f>
        <v>#VALUE!</v>
      </c>
      <c r="K794" t="e">
        <f>INTEGRAL2(J794,$B794,K793,J793,$B793,'Real Analysis'!$B$19)</f>
        <v>#VALUE!</v>
      </c>
      <c r="L794" t="e">
        <f>IF(AND(B794&lt;'Real Analysis'!$B$32,B794&gt;0),INTEGRAL2(K794,$B794,L793,K793,$B793,'Real Analysis'!$B$20),0)</f>
        <v>#VALUE!</v>
      </c>
      <c r="N794">
        <f>'Real Analysis'!$B$28*'Real Input'!U794+IF('Real Input'!U794 &gt; 0,'Real Analysis'!$B$29,0)</f>
        <v>-0.92357499999999992</v>
      </c>
      <c r="O794" t="e">
        <f t="shared" si="62"/>
        <v>#VALUE!</v>
      </c>
      <c r="P794" t="e">
        <f t="shared" si="63"/>
        <v>#VALUE!</v>
      </c>
    </row>
    <row r="795" spans="1:16" x14ac:dyDescent="0.3">
      <c r="A795">
        <v>793</v>
      </c>
      <c r="B795">
        <f>'Real Input'!M795</f>
        <v>16.910401999994065</v>
      </c>
      <c r="C795">
        <f ca="1">INDIRECT(CONCATENATE("'Real Input'!",'Real Analysis'!$B$2,A795+2))</f>
        <v>9.347380020000001</v>
      </c>
      <c r="D795">
        <f t="shared" si="61"/>
        <v>1.8593000000691973E-2</v>
      </c>
      <c r="E795">
        <f ca="1">IF(B795&gt;0,C795-'Real Analysis'!$B$14,0)</f>
        <v>-0.50911778237142613</v>
      </c>
      <c r="F795">
        <f t="shared" ca="1" si="64"/>
        <v>0.18896000525170953</v>
      </c>
      <c r="G795">
        <f t="shared" ca="1" si="60"/>
        <v>-1.0221791565695451</v>
      </c>
      <c r="H795">
        <f ca="1">IF(AND(B795&gt;'Real Analysis'!$B$31,B795&lt;'Real Analysis'!$B$32),FilterInput(E795,'Real Analysis'!$B$26,'Real Analysis'!$B$27),0)</f>
        <v>-0.50911778237142613</v>
      </c>
      <c r="I795" t="e">
        <f>MEDIAN2("Real Values",H795,'Real Analysis'!$B$5,2)</f>
        <v>#VALUE!</v>
      </c>
      <c r="J795" t="e">
        <f>AVERAGE2("Real Values",I795,'Real Analysis'!$B$6,2)</f>
        <v>#VALUE!</v>
      </c>
      <c r="K795" t="e">
        <f>INTEGRAL2(J795,$B795,K794,J794,$B794,'Real Analysis'!$B$19)</f>
        <v>#VALUE!</v>
      </c>
      <c r="L795" t="e">
        <f>IF(AND(B795&lt;'Real Analysis'!$B$32,B795&gt;0),INTEGRAL2(K795,$B795,L794,K794,$B794,'Real Analysis'!$B$20),0)</f>
        <v>#VALUE!</v>
      </c>
      <c r="N795">
        <f>'Real Analysis'!$B$28*'Real Input'!U795+IF('Real Input'!U795 &gt; 0,'Real Analysis'!$B$29,0)</f>
        <v>-0.91960099999999989</v>
      </c>
      <c r="O795" t="e">
        <f t="shared" si="62"/>
        <v>#VALUE!</v>
      </c>
      <c r="P795" t="e">
        <f t="shared" si="63"/>
        <v>#VALUE!</v>
      </c>
    </row>
    <row r="796" spans="1:16" x14ac:dyDescent="0.3">
      <c r="A796">
        <v>794</v>
      </c>
      <c r="B796">
        <f>'Real Input'!M796</f>
        <v>16.929067999997642</v>
      </c>
      <c r="C796">
        <f ca="1">INDIRECT(CONCATENATE("'Real Input'!",'Real Analysis'!$B$2,A796+2))</f>
        <v>9.3865513499999995</v>
      </c>
      <c r="D796">
        <f t="shared" si="61"/>
        <v>1.866600000357721E-2</v>
      </c>
      <c r="E796">
        <f ca="1">IF(B796&gt;0,C796-'Real Analysis'!$B$14,0)</f>
        <v>-0.46994645237142763</v>
      </c>
      <c r="F796">
        <f t="shared" ca="1" si="64"/>
        <v>0.18018798477006337</v>
      </c>
      <c r="G796">
        <f t="shared" ca="1" si="60"/>
        <v>-1.0188157676451826</v>
      </c>
      <c r="H796">
        <f ca="1">IF(AND(B796&gt;'Real Analysis'!$B$31,B796&lt;'Real Analysis'!$B$32),FilterInput(E796,'Real Analysis'!$B$26,'Real Analysis'!$B$27),0)</f>
        <v>-0.46994645237142763</v>
      </c>
      <c r="I796" t="e">
        <f>MEDIAN2("Real Values",H796,'Real Analysis'!$B$5,2)</f>
        <v>#VALUE!</v>
      </c>
      <c r="J796" t="e">
        <f>AVERAGE2("Real Values",I796,'Real Analysis'!$B$6,2)</f>
        <v>#VALUE!</v>
      </c>
      <c r="K796" t="e">
        <f>INTEGRAL2(J796,$B796,K795,J795,$B795,'Real Analysis'!$B$19)</f>
        <v>#VALUE!</v>
      </c>
      <c r="L796" t="e">
        <f>IF(AND(B796&lt;'Real Analysis'!$B$32,B796&gt;0),INTEGRAL2(K796,$B796,L795,K795,$B795,'Real Analysis'!$B$20),0)</f>
        <v>#VALUE!</v>
      </c>
      <c r="N796">
        <f>'Real Analysis'!$B$28*'Real Input'!U796+IF('Real Input'!U796 &gt; 0,'Real Analysis'!$B$29,0)</f>
        <v>-0.91761399999999993</v>
      </c>
      <c r="O796" t="e">
        <f t="shared" si="62"/>
        <v>#VALUE!</v>
      </c>
      <c r="P796" t="e">
        <f t="shared" si="63"/>
        <v>#VALUE!</v>
      </c>
    </row>
    <row r="797" spans="1:16" x14ac:dyDescent="0.3">
      <c r="A797">
        <v>795</v>
      </c>
      <c r="B797">
        <f>'Real Input'!M797</f>
        <v>16.9520909999992</v>
      </c>
      <c r="C797">
        <f ca="1">INDIRECT(CONCATENATE("'Real Input'!",'Real Analysis'!$B$2,A797+2))</f>
        <v>9.6852854700000002</v>
      </c>
      <c r="D797">
        <f t="shared" si="61"/>
        <v>2.3023000001558103E-2</v>
      </c>
      <c r="E797">
        <f ca="1">IF(B797&gt;0,C797-'Real Analysis'!$B$14,0)</f>
        <v>-0.17121233237142697</v>
      </c>
      <c r="F797">
        <f t="shared" ca="1" si="64"/>
        <v>0.17624616324160924</v>
      </c>
      <c r="G797">
        <f t="shared" ca="1" si="60"/>
        <v>-1.0147580522285964</v>
      </c>
      <c r="H797">
        <f ca="1">IF(AND(B797&gt;'Real Analysis'!$B$31,B797&lt;'Real Analysis'!$B$32),FilterInput(E797,'Real Analysis'!$B$26,'Real Analysis'!$B$27),0)</f>
        <v>-0.17121233237142697</v>
      </c>
      <c r="I797" t="e">
        <f>MEDIAN2("Real Values",H797,'Real Analysis'!$B$5,2)</f>
        <v>#VALUE!</v>
      </c>
      <c r="J797" t="e">
        <f>AVERAGE2("Real Values",I797,'Real Analysis'!$B$6,2)</f>
        <v>#VALUE!</v>
      </c>
      <c r="K797" t="e">
        <f>INTEGRAL2(J797,$B797,K796,J796,$B796,'Real Analysis'!$B$19)</f>
        <v>#VALUE!</v>
      </c>
      <c r="L797" t="e">
        <f>IF(AND(B797&lt;'Real Analysis'!$B$32,B797&gt;0),INTEGRAL2(K797,$B797,L796,K796,$B796,'Real Analysis'!$B$20),0)</f>
        <v>#VALUE!</v>
      </c>
      <c r="N797">
        <f>'Real Analysis'!$B$28*'Real Input'!U797+IF('Real Input'!U797 &gt; 0,'Real Analysis'!$B$29,0)</f>
        <v>-0.9136399999999999</v>
      </c>
      <c r="O797" t="e">
        <f t="shared" si="62"/>
        <v>#VALUE!</v>
      </c>
      <c r="P797" t="e">
        <f t="shared" si="63"/>
        <v>#VALUE!</v>
      </c>
    </row>
    <row r="798" spans="1:16" x14ac:dyDescent="0.3">
      <c r="A798">
        <v>796</v>
      </c>
      <c r="B798">
        <f>'Real Input'!M798</f>
        <v>16.966167000005953</v>
      </c>
      <c r="C798">
        <f ca="1">INDIRECT(CONCATENATE("'Real Input'!",'Real Analysis'!$B$2,A798+2))</f>
        <v>9.79417647</v>
      </c>
      <c r="D798">
        <f t="shared" si="61"/>
        <v>1.407600000675302E-2</v>
      </c>
      <c r="E798">
        <f ca="1">IF(B798&gt;0,C798-'Real Analysis'!$B$14,0)</f>
        <v>-6.2321332371427118E-2</v>
      </c>
      <c r="F798">
        <f t="shared" ca="1" si="64"/>
        <v>0.17536892816672817</v>
      </c>
      <c r="G798">
        <f t="shared" ca="1" si="60"/>
        <v>-1.0122895591945373</v>
      </c>
      <c r="H798">
        <f ca="1">IF(AND(B798&gt;'Real Analysis'!$B$31,B798&lt;'Real Analysis'!$B$32),FilterInput(E798,'Real Analysis'!$B$26,'Real Analysis'!$B$27),0)</f>
        <v>-6.2321332371427118E-2</v>
      </c>
      <c r="I798" t="e">
        <f>MEDIAN2("Real Values",H798,'Real Analysis'!$B$5,2)</f>
        <v>#VALUE!</v>
      </c>
      <c r="J798" t="e">
        <f>AVERAGE2("Real Values",I798,'Real Analysis'!$B$6,2)</f>
        <v>#VALUE!</v>
      </c>
      <c r="K798" t="e">
        <f>INTEGRAL2(J798,$B798,K797,J797,$B797,'Real Analysis'!$B$19)</f>
        <v>#VALUE!</v>
      </c>
      <c r="L798" t="e">
        <f>IF(AND(B798&lt;'Real Analysis'!$B$32,B798&gt;0),INTEGRAL2(K798,$B798,L797,K797,$B797,'Real Analysis'!$B$20),0)</f>
        <v>#VALUE!</v>
      </c>
      <c r="N798">
        <f>'Real Analysis'!$B$28*'Real Input'!U798+IF('Real Input'!U798 &gt; 0,'Real Analysis'!$B$29,0)</f>
        <v>-0.91165299999999994</v>
      </c>
      <c r="O798" t="e">
        <f t="shared" si="62"/>
        <v>#VALUE!</v>
      </c>
      <c r="P798" t="e">
        <f t="shared" si="63"/>
        <v>#VALUE!</v>
      </c>
    </row>
    <row r="799" spans="1:16" x14ac:dyDescent="0.3">
      <c r="A799">
        <v>797</v>
      </c>
      <c r="B799">
        <f>'Real Input'!M799</f>
        <v>16.982866000005743</v>
      </c>
      <c r="C799">
        <f ca="1">INDIRECT(CONCATENATE("'Real Input'!",'Real Analysis'!$B$2,A799+2))</f>
        <v>9.6328608300000003</v>
      </c>
      <c r="D799">
        <f t="shared" si="61"/>
        <v>1.6698999999789521E-2</v>
      </c>
      <c r="E799">
        <f ca="1">IF(B799&gt;0,C799-'Real Analysis'!$B$14,0)</f>
        <v>-0.22363697237142688</v>
      </c>
      <c r="F799">
        <f t="shared" ca="1" si="64"/>
        <v>0.17163441436514479</v>
      </c>
      <c r="G799">
        <f t="shared" ca="1" si="60"/>
        <v>-1.0094234361090899</v>
      </c>
      <c r="H799">
        <f ca="1">IF(AND(B799&gt;'Real Analysis'!$B$31,B799&lt;'Real Analysis'!$B$32),FilterInput(E799,'Real Analysis'!$B$26,'Real Analysis'!$B$27),0)</f>
        <v>-0.22363697237142688</v>
      </c>
      <c r="I799" t="e">
        <f>MEDIAN2("Real Values",H799,'Real Analysis'!$B$5,2)</f>
        <v>#VALUE!</v>
      </c>
      <c r="J799" t="e">
        <f>AVERAGE2("Real Values",I799,'Real Analysis'!$B$6,2)</f>
        <v>#VALUE!</v>
      </c>
      <c r="K799" t="e">
        <f>INTEGRAL2(J799,$B799,K798,J798,$B798,'Real Analysis'!$B$19)</f>
        <v>#VALUE!</v>
      </c>
      <c r="L799" t="e">
        <f>IF(AND(B799&lt;'Real Analysis'!$B$32,B799&gt;0),INTEGRAL2(K799,$B799,L798,K798,$B798,'Real Analysis'!$B$20),0)</f>
        <v>#VALUE!</v>
      </c>
      <c r="N799">
        <f>'Real Analysis'!$B$28*'Real Input'!U799+IF('Real Input'!U799 &gt; 0,'Real Analysis'!$B$29,0)</f>
        <v>-0.90767900000000001</v>
      </c>
      <c r="O799" t="e">
        <f t="shared" si="62"/>
        <v>#VALUE!</v>
      </c>
      <c r="P799" t="e">
        <f t="shared" si="63"/>
        <v>#VALUE!</v>
      </c>
    </row>
    <row r="800" spans="1:16" x14ac:dyDescent="0.3">
      <c r="A800">
        <v>798</v>
      </c>
      <c r="B800">
        <f>'Real Input'!M800</f>
        <v>17.002632000003359</v>
      </c>
      <c r="C800">
        <f ca="1">INDIRECT(CONCATENATE("'Real Input'!",'Real Analysis'!$B$2,A800+2))</f>
        <v>9.2492211600000012</v>
      </c>
      <c r="D800">
        <f t="shared" si="61"/>
        <v>1.9765999997616746E-2</v>
      </c>
      <c r="E800">
        <f ca="1">IF(B800&gt;0,C800-'Real Analysis'!$B$14,0)</f>
        <v>-0.60727664237142598</v>
      </c>
      <c r="F800">
        <f t="shared" ca="1" si="64"/>
        <v>0.15963098425347849</v>
      </c>
      <c r="G800">
        <f t="shared" ca="1" si="60"/>
        <v>-1.006268170074716</v>
      </c>
      <c r="H800">
        <f ca="1">IF(AND(B800&gt;'Real Analysis'!$B$31,B800&lt;'Real Analysis'!$B$32),FilterInput(E800,'Real Analysis'!$B$26,'Real Analysis'!$B$27),0)</f>
        <v>-0.60727664237142598</v>
      </c>
      <c r="I800" t="e">
        <f>MEDIAN2("Real Values",H800,'Real Analysis'!$B$5,2)</f>
        <v>#VALUE!</v>
      </c>
      <c r="J800" t="e">
        <f>AVERAGE2("Real Values",I800,'Real Analysis'!$B$6,2)</f>
        <v>#VALUE!</v>
      </c>
      <c r="K800" t="e">
        <f>INTEGRAL2(J800,$B800,K799,J799,$B799,'Real Analysis'!$B$19)</f>
        <v>#VALUE!</v>
      </c>
      <c r="L800" t="e">
        <f>IF(AND(B800&lt;'Real Analysis'!$B$32,B800&gt;0),INTEGRAL2(K800,$B800,L799,K799,$B799,'Real Analysis'!$B$20),0)</f>
        <v>#VALUE!</v>
      </c>
      <c r="N800">
        <f>'Real Analysis'!$B$28*'Real Input'!U800+IF('Real Input'!U800 &gt; 0,'Real Analysis'!$B$29,0)</f>
        <v>-0.90569199999999994</v>
      </c>
      <c r="O800" t="e">
        <f t="shared" si="62"/>
        <v>#VALUE!</v>
      </c>
      <c r="P800" t="e">
        <f t="shared" si="63"/>
        <v>#VALUE!</v>
      </c>
    </row>
    <row r="801" spans="1:16" x14ac:dyDescent="0.3">
      <c r="A801">
        <v>799</v>
      </c>
      <c r="B801">
        <f>'Real Input'!M801</f>
        <v>17.025712000002386</v>
      </c>
      <c r="C801">
        <f ca="1">INDIRECT(CONCATENATE("'Real Input'!",'Real Analysis'!$B$2,A801+2))</f>
        <v>9.1645314300000003</v>
      </c>
      <c r="D801">
        <f t="shared" si="61"/>
        <v>2.3079999999026768E-2</v>
      </c>
      <c r="E801">
        <f ca="1">IF(B801&gt;0,C801-'Real Analysis'!$B$14,0)</f>
        <v>-0.69196637237142689</v>
      </c>
      <c r="F801">
        <f t="shared" ca="1" si="64"/>
        <v>0.14366040037981939</v>
      </c>
      <c r="G801">
        <f t="shared" ref="G801:G864" ca="1" si="65">IF(B801&gt;0,G800+F801*$D801,0)</f>
        <v>-1.0029524880340897</v>
      </c>
      <c r="H801">
        <f ca="1">IF(AND(B801&gt;'Real Analysis'!$B$31,B801&lt;'Real Analysis'!$B$32),FilterInput(E801,'Real Analysis'!$B$26,'Real Analysis'!$B$27),0)</f>
        <v>-0.69196637237142689</v>
      </c>
      <c r="I801" t="e">
        <f>MEDIAN2("Real Values",H801,'Real Analysis'!$B$5,2)</f>
        <v>#VALUE!</v>
      </c>
      <c r="J801" t="e">
        <f>AVERAGE2("Real Values",I801,'Real Analysis'!$B$6,2)</f>
        <v>#VALUE!</v>
      </c>
      <c r="K801" t="e">
        <f>INTEGRAL2(J801,$B801,K800,J800,$B800,'Real Analysis'!$B$19)</f>
        <v>#VALUE!</v>
      </c>
      <c r="L801" t="e">
        <f>IF(AND(B801&lt;'Real Analysis'!$B$32,B801&gt;0),INTEGRAL2(K801,$B801,L800,K800,$B800,'Real Analysis'!$B$20),0)</f>
        <v>#VALUE!</v>
      </c>
      <c r="N801">
        <f>'Real Analysis'!$B$28*'Real Input'!U801+IF('Real Input'!U801 &gt; 0,'Real Analysis'!$B$29,0)</f>
        <v>-0.89973099999999995</v>
      </c>
      <c r="O801" t="e">
        <f t="shared" si="62"/>
        <v>#VALUE!</v>
      </c>
      <c r="P801" t="e">
        <f t="shared" si="63"/>
        <v>#VALUE!</v>
      </c>
    </row>
    <row r="802" spans="1:16" x14ac:dyDescent="0.3">
      <c r="A802">
        <v>800</v>
      </c>
      <c r="B802">
        <f>'Real Input'!M802</f>
        <v>17.050281000003451</v>
      </c>
      <c r="C802">
        <f ca="1">INDIRECT(CONCATENATE("'Real Input'!",'Real Analysis'!$B$2,A802+2))</f>
        <v>9.7469609399999992</v>
      </c>
      <c r="D802">
        <f t="shared" si="61"/>
        <v>2.4569000001065433E-2</v>
      </c>
      <c r="E802">
        <f ca="1">IF(B802&gt;0,C802-'Real Analysis'!$B$14,0)</f>
        <v>-0.1095368623714279</v>
      </c>
      <c r="F802">
        <f t="shared" ca="1" si="64"/>
        <v>0.14096918920809909</v>
      </c>
      <c r="G802">
        <f t="shared" ca="1" si="65"/>
        <v>-0.99948901602428564</v>
      </c>
      <c r="H802">
        <f ca="1">IF(AND(B802&gt;'Real Analysis'!$B$31,B802&lt;'Real Analysis'!$B$32),FilterInput(E802,'Real Analysis'!$B$26,'Real Analysis'!$B$27),0)</f>
        <v>-0.1095368623714279</v>
      </c>
      <c r="I802" t="e">
        <f>MEDIAN2("Real Values",H802,'Real Analysis'!$B$5,2)</f>
        <v>#VALUE!</v>
      </c>
      <c r="J802" t="e">
        <f>AVERAGE2("Real Values",I802,'Real Analysis'!$B$6,2)</f>
        <v>#VALUE!</v>
      </c>
      <c r="K802" t="e">
        <f>INTEGRAL2(J802,$B802,K801,J801,$B801,'Real Analysis'!$B$19)</f>
        <v>#VALUE!</v>
      </c>
      <c r="L802" t="e">
        <f>IF(AND(B802&lt;'Real Analysis'!$B$32,B802&gt;0),INTEGRAL2(K802,$B802,L801,K801,$B801,'Real Analysis'!$B$20),0)</f>
        <v>#VALUE!</v>
      </c>
      <c r="N802">
        <f>'Real Analysis'!$B$28*'Real Input'!U802+IF('Real Input'!U802 &gt; 0,'Real Analysis'!$B$29,0)</f>
        <v>-0.89575700000000003</v>
      </c>
      <c r="O802" t="e">
        <f t="shared" si="62"/>
        <v>#VALUE!</v>
      </c>
      <c r="P802" t="e">
        <f t="shared" si="63"/>
        <v>#VALUE!</v>
      </c>
    </row>
    <row r="803" spans="1:16" x14ac:dyDescent="0.3">
      <c r="A803">
        <v>801</v>
      </c>
      <c r="B803">
        <f>'Real Input'!M803</f>
        <v>17.07241900000372</v>
      </c>
      <c r="C803">
        <f ca="1">INDIRECT(CONCATENATE("'Real Input'!",'Real Analysis'!$B$2,A803+2))</f>
        <v>9.6055596000000012</v>
      </c>
      <c r="D803">
        <f t="shared" si="61"/>
        <v>2.2138000000268221E-2</v>
      </c>
      <c r="E803">
        <f ca="1">IF(B803&gt;0,C803-'Real Analysis'!$B$14,0)</f>
        <v>-0.25093820237142594</v>
      </c>
      <c r="F803">
        <f t="shared" ca="1" si="64"/>
        <v>0.13541391928393315</v>
      </c>
      <c r="G803">
        <f t="shared" ca="1" si="65"/>
        <v>-0.99649122267914159</v>
      </c>
      <c r="H803">
        <f ca="1">IF(AND(B803&gt;'Real Analysis'!$B$31,B803&lt;'Real Analysis'!$B$32),FilterInput(E803,'Real Analysis'!$B$26,'Real Analysis'!$B$27),0)</f>
        <v>-0.25093820237142594</v>
      </c>
      <c r="I803" t="e">
        <f>MEDIAN2("Real Values",H803,'Real Analysis'!$B$5,2)</f>
        <v>#VALUE!</v>
      </c>
      <c r="J803" t="e">
        <f>AVERAGE2("Real Values",I803,'Real Analysis'!$B$6,2)</f>
        <v>#VALUE!</v>
      </c>
      <c r="K803" t="e">
        <f>INTEGRAL2(J803,$B803,K802,J802,$B802,'Real Analysis'!$B$19)</f>
        <v>#VALUE!</v>
      </c>
      <c r="L803" t="e">
        <f>IF(AND(B803&lt;'Real Analysis'!$B$32,B803&gt;0),INTEGRAL2(K803,$B803,L802,K802,$B802,'Real Analysis'!$B$20),0)</f>
        <v>#VALUE!</v>
      </c>
      <c r="N803">
        <f>'Real Analysis'!$B$28*'Real Input'!U803+IF('Real Input'!U803 &gt; 0,'Real Analysis'!$B$29,0)</f>
        <v>-0.89178299999999999</v>
      </c>
      <c r="O803" t="e">
        <f t="shared" si="62"/>
        <v>#VALUE!</v>
      </c>
      <c r="P803" t="e">
        <f t="shared" si="63"/>
        <v>#VALUE!</v>
      </c>
    </row>
    <row r="804" spans="1:16" x14ac:dyDescent="0.3">
      <c r="A804">
        <v>802</v>
      </c>
      <c r="B804">
        <f>'Real Input'!M804</f>
        <v>17.091975999996066</v>
      </c>
      <c r="C804">
        <f ca="1">INDIRECT(CONCATENATE("'Real Input'!",'Real Analysis'!$B$2,A804+2))</f>
        <v>9.6997061700000007</v>
      </c>
      <c r="D804">
        <f t="shared" si="61"/>
        <v>1.9556999992346391E-2</v>
      </c>
      <c r="E804">
        <f ca="1">IF(B804&gt;0,C804-'Real Analysis'!$B$14,0)</f>
        <v>-0.15679163237142646</v>
      </c>
      <c r="F804">
        <f t="shared" ca="1" si="64"/>
        <v>0.1323475453308452</v>
      </c>
      <c r="G804">
        <f t="shared" ca="1" si="65"/>
        <v>-0.99390290173611917</v>
      </c>
      <c r="H804">
        <f ca="1">IF(AND(B804&gt;'Real Analysis'!$B$31,B804&lt;'Real Analysis'!$B$32),FilterInput(E804,'Real Analysis'!$B$26,'Real Analysis'!$B$27),0)</f>
        <v>-0.15679163237142646</v>
      </c>
      <c r="I804" t="e">
        <f>MEDIAN2("Real Values",H804,'Real Analysis'!$B$5,2)</f>
        <v>#VALUE!</v>
      </c>
      <c r="J804" t="e">
        <f>AVERAGE2("Real Values",I804,'Real Analysis'!$B$6,2)</f>
        <v>#VALUE!</v>
      </c>
      <c r="K804" t="e">
        <f>INTEGRAL2(J804,$B804,K803,J803,$B803,'Real Analysis'!$B$19)</f>
        <v>#VALUE!</v>
      </c>
      <c r="L804" t="e">
        <f>IF(AND(B804&lt;'Real Analysis'!$B$32,B804&gt;0),INTEGRAL2(K804,$B804,L803,K803,$B803,'Real Analysis'!$B$20),0)</f>
        <v>#VALUE!</v>
      </c>
      <c r="N804">
        <f>'Real Analysis'!$B$28*'Real Input'!U804+IF('Real Input'!U804 &gt; 0,'Real Analysis'!$B$29,0)</f>
        <v>-0.89178299999999999</v>
      </c>
      <c r="O804" t="e">
        <f t="shared" si="62"/>
        <v>#VALUE!</v>
      </c>
      <c r="P804" t="e">
        <f t="shared" si="63"/>
        <v>#VALUE!</v>
      </c>
    </row>
    <row r="805" spans="1:16" x14ac:dyDescent="0.3">
      <c r="A805">
        <v>803</v>
      </c>
      <c r="B805">
        <f>'Real Input'!M805</f>
        <v>17.101974999997765</v>
      </c>
      <c r="C805">
        <f ca="1">INDIRECT(CONCATENATE("'Real Input'!",'Real Analysis'!$B$2,A805+2))</f>
        <v>9.6933198600000008</v>
      </c>
      <c r="D805">
        <f t="shared" si="61"/>
        <v>9.9990000016987324E-3</v>
      </c>
      <c r="E805">
        <f ca="1">IF(B805&gt;0,C805-'Real Analysis'!$B$14,0)</f>
        <v>-0.16317794237142635</v>
      </c>
      <c r="F805">
        <f t="shared" ca="1" si="64"/>
        <v>0.1307159290847961</v>
      </c>
      <c r="G805">
        <f t="shared" ca="1" si="65"/>
        <v>-0.99259587316097819</v>
      </c>
      <c r="H805">
        <f ca="1">IF(AND(B805&gt;'Real Analysis'!$B$31,B805&lt;'Real Analysis'!$B$32),FilterInput(E805,'Real Analysis'!$B$26,'Real Analysis'!$B$27),0)</f>
        <v>-0.16317794237142635</v>
      </c>
      <c r="I805" t="e">
        <f>MEDIAN2("Real Values",H805,'Real Analysis'!$B$5,2)</f>
        <v>#VALUE!</v>
      </c>
      <c r="J805" t="e">
        <f>AVERAGE2("Real Values",I805,'Real Analysis'!$B$6,2)</f>
        <v>#VALUE!</v>
      </c>
      <c r="K805" t="e">
        <f>INTEGRAL2(J805,$B805,K804,J804,$B804,'Real Analysis'!$B$19)</f>
        <v>#VALUE!</v>
      </c>
      <c r="L805" t="e">
        <f>IF(AND(B805&lt;'Real Analysis'!$B$32,B805&gt;0),INTEGRAL2(K805,$B805,L804,K804,$B804,'Real Analysis'!$B$20),0)</f>
        <v>#VALUE!</v>
      </c>
      <c r="N805">
        <f>'Real Analysis'!$B$28*'Real Input'!U805+IF('Real Input'!U805 &gt; 0,'Real Analysis'!$B$29,0)</f>
        <v>-0.88780899999999996</v>
      </c>
      <c r="O805" t="e">
        <f t="shared" si="62"/>
        <v>#VALUE!</v>
      </c>
      <c r="P805" t="e">
        <f t="shared" si="63"/>
        <v>#VALUE!</v>
      </c>
    </row>
    <row r="806" spans="1:16" x14ac:dyDescent="0.3">
      <c r="A806">
        <v>804</v>
      </c>
      <c r="B806">
        <f>'Real Input'!M806</f>
        <v>17.132593999995152</v>
      </c>
      <c r="C806">
        <f ca="1">INDIRECT(CONCATENATE("'Real Input'!",'Real Analysis'!$B$2,A806+2))</f>
        <v>9.1144317600000004</v>
      </c>
      <c r="D806">
        <f t="shared" si="61"/>
        <v>3.0618999997386709E-2</v>
      </c>
      <c r="E806">
        <f ca="1">IF(B806&gt;0,C806-'Real Analysis'!$B$14,0)</f>
        <v>-0.7420660423714267</v>
      </c>
      <c r="F806">
        <f t="shared" ca="1" si="64"/>
        <v>0.10799460893536461</v>
      </c>
      <c r="G806">
        <f t="shared" ca="1" si="65"/>
        <v>-0.98928918623026851</v>
      </c>
      <c r="H806">
        <f ca="1">IF(AND(B806&gt;'Real Analysis'!$B$31,B806&lt;'Real Analysis'!$B$32),FilterInput(E806,'Real Analysis'!$B$26,'Real Analysis'!$B$27),0)</f>
        <v>-0.7420660423714267</v>
      </c>
      <c r="I806" t="e">
        <f>MEDIAN2("Real Values",H806,'Real Analysis'!$B$5,2)</f>
        <v>#VALUE!</v>
      </c>
      <c r="J806" t="e">
        <f>AVERAGE2("Real Values",I806,'Real Analysis'!$B$6,2)</f>
        <v>#VALUE!</v>
      </c>
      <c r="K806" t="e">
        <f>INTEGRAL2(J806,$B806,K805,J805,$B805,'Real Analysis'!$B$19)</f>
        <v>#VALUE!</v>
      </c>
      <c r="L806" t="e">
        <f>IF(AND(B806&lt;'Real Analysis'!$B$32,B806&gt;0),INTEGRAL2(K806,$B806,L805,K805,$B805,'Real Analysis'!$B$20),0)</f>
        <v>#VALUE!</v>
      </c>
      <c r="N806">
        <f>'Real Analysis'!$B$28*'Real Input'!U806+IF('Real Input'!U806 &gt; 0,'Real Analysis'!$B$29,0)</f>
        <v>-0.88780899999999996</v>
      </c>
      <c r="O806" t="e">
        <f t="shared" si="62"/>
        <v>#VALUE!</v>
      </c>
      <c r="P806" t="e">
        <f t="shared" si="63"/>
        <v>#VALUE!</v>
      </c>
    </row>
    <row r="807" spans="1:16" x14ac:dyDescent="0.3">
      <c r="A807">
        <v>805</v>
      </c>
      <c r="B807">
        <f>'Real Input'!M807</f>
        <v>17.14909799999441</v>
      </c>
      <c r="C807">
        <f ca="1">INDIRECT(CONCATENATE("'Real Input'!",'Real Analysis'!$B$2,A807+2))</f>
        <v>8.7379828200000009</v>
      </c>
      <c r="D807">
        <f t="shared" si="61"/>
        <v>1.6503999999258667E-2</v>
      </c>
      <c r="E807">
        <f ca="1">IF(B807&gt;0,C807-'Real Analysis'!$B$14,0)</f>
        <v>-1.1185149823714262</v>
      </c>
      <c r="F807">
        <f t="shared" ca="1" si="64"/>
        <v>8.9534637667135791E-2</v>
      </c>
      <c r="G807">
        <f t="shared" ca="1" si="65"/>
        <v>-0.9878115065702765</v>
      </c>
      <c r="H807">
        <f ca="1">IF(AND(B807&gt;'Real Analysis'!$B$31,B807&lt;'Real Analysis'!$B$32),FilterInput(E807,'Real Analysis'!$B$26,'Real Analysis'!$B$27),0)</f>
        <v>-1.1185149823714262</v>
      </c>
      <c r="I807" t="e">
        <f>MEDIAN2("Real Values",H807,'Real Analysis'!$B$5,2)</f>
        <v>#VALUE!</v>
      </c>
      <c r="J807" t="e">
        <f>AVERAGE2("Real Values",I807,'Real Analysis'!$B$6,2)</f>
        <v>#VALUE!</v>
      </c>
      <c r="K807" t="e">
        <f>INTEGRAL2(J807,$B807,K806,J806,$B806,'Real Analysis'!$B$19)</f>
        <v>#VALUE!</v>
      </c>
      <c r="L807" t="e">
        <f>IF(AND(B807&lt;'Real Analysis'!$B$32,B807&gt;0),INTEGRAL2(K807,$B807,L806,K806,$B806,'Real Analysis'!$B$20),0)</f>
        <v>#VALUE!</v>
      </c>
      <c r="N807">
        <f>'Real Analysis'!$B$28*'Real Input'!U807+IF('Real Input'!U807 &gt; 0,'Real Analysis'!$B$29,0)</f>
        <v>-0.88184799999999997</v>
      </c>
      <c r="O807" t="e">
        <f t="shared" si="62"/>
        <v>#VALUE!</v>
      </c>
      <c r="P807" t="e">
        <f t="shared" si="63"/>
        <v>#VALUE!</v>
      </c>
    </row>
    <row r="808" spans="1:16" x14ac:dyDescent="0.3">
      <c r="A808">
        <v>806</v>
      </c>
      <c r="B808">
        <f>'Real Input'!M808</f>
        <v>17.17214999999851</v>
      </c>
      <c r="C808">
        <f ca="1">INDIRECT(CONCATENATE("'Real Input'!",'Real Analysis'!$B$2,A808+2))</f>
        <v>9.2125710000000005</v>
      </c>
      <c r="D808">
        <f t="shared" si="61"/>
        <v>2.3052000004099682E-2</v>
      </c>
      <c r="E808">
        <f ca="1">IF(B808&gt;0,C808-'Real Analysis'!$B$14,0)</f>
        <v>-0.64392680237142663</v>
      </c>
      <c r="F808">
        <f t="shared" ca="1" si="64"/>
        <v>7.4690837016229764E-2</v>
      </c>
      <c r="G808">
        <f t="shared" ca="1" si="65"/>
        <v>-0.98608973339507211</v>
      </c>
      <c r="H808">
        <f ca="1">IF(AND(B808&gt;'Real Analysis'!$B$31,B808&lt;'Real Analysis'!$B$32),FilterInput(E808,'Real Analysis'!$B$26,'Real Analysis'!$B$27),0)</f>
        <v>-0.64392680237142663</v>
      </c>
      <c r="I808" t="e">
        <f>MEDIAN2("Real Values",H808,'Real Analysis'!$B$5,2)</f>
        <v>#VALUE!</v>
      </c>
      <c r="J808" t="e">
        <f>AVERAGE2("Real Values",I808,'Real Analysis'!$B$6,2)</f>
        <v>#VALUE!</v>
      </c>
      <c r="K808" t="e">
        <f>INTEGRAL2(J808,$B808,K807,J807,$B807,'Real Analysis'!$B$19)</f>
        <v>#VALUE!</v>
      </c>
      <c r="L808" t="e">
        <f>IF(AND(B808&lt;'Real Analysis'!$B$32,B808&gt;0),INTEGRAL2(K808,$B808,L807,K807,$B807,'Real Analysis'!$B$20),0)</f>
        <v>#VALUE!</v>
      </c>
      <c r="N808">
        <f>'Real Analysis'!$B$28*'Real Input'!U808+IF('Real Input'!U808 &gt; 0,'Real Analysis'!$B$29,0)</f>
        <v>-0.88184799999999997</v>
      </c>
      <c r="O808" t="e">
        <f t="shared" si="62"/>
        <v>#VALUE!</v>
      </c>
      <c r="P808" t="e">
        <f t="shared" si="63"/>
        <v>#VALUE!</v>
      </c>
    </row>
    <row r="809" spans="1:16" x14ac:dyDescent="0.3">
      <c r="A809">
        <v>807</v>
      </c>
      <c r="B809">
        <f>'Real Input'!M809</f>
        <v>17.184187000006204</v>
      </c>
      <c r="C809">
        <f ca="1">INDIRECT(CONCATENATE("'Real Input'!",'Real Analysis'!$B$2,A809+2))</f>
        <v>9.5151015900000004</v>
      </c>
      <c r="D809">
        <f t="shared" si="61"/>
        <v>1.2037000007694587E-2</v>
      </c>
      <c r="E809">
        <f ca="1">IF(B809&gt;0,C809-'Real Analysis'!$B$14,0)</f>
        <v>-0.3413962123714267</v>
      </c>
      <c r="F809">
        <f t="shared" ca="1" si="64"/>
        <v>7.0581450805287993E-2</v>
      </c>
      <c r="G809">
        <f t="shared" ca="1" si="65"/>
        <v>-0.9852401444711858</v>
      </c>
      <c r="H809">
        <f ca="1">IF(AND(B809&gt;'Real Analysis'!$B$31,B809&lt;'Real Analysis'!$B$32),FilterInput(E809,'Real Analysis'!$B$26,'Real Analysis'!$B$27),0)</f>
        <v>-0.3413962123714267</v>
      </c>
      <c r="I809" t="e">
        <f>MEDIAN2("Real Values",H809,'Real Analysis'!$B$5,2)</f>
        <v>#VALUE!</v>
      </c>
      <c r="J809" t="e">
        <f>AVERAGE2("Real Values",I809,'Real Analysis'!$B$6,2)</f>
        <v>#VALUE!</v>
      </c>
      <c r="K809" t="e">
        <f>INTEGRAL2(J809,$B809,K808,J808,$B808,'Real Analysis'!$B$19)</f>
        <v>#VALUE!</v>
      </c>
      <c r="L809" t="e">
        <f>IF(AND(B809&lt;'Real Analysis'!$B$32,B809&gt;0),INTEGRAL2(K809,$B809,L808,K808,$B808,'Real Analysis'!$B$20),0)</f>
        <v>#VALUE!</v>
      </c>
      <c r="N809">
        <f>'Real Analysis'!$B$28*'Real Input'!U809+IF('Real Input'!U809 &gt; 0,'Real Analysis'!$B$29,0)</f>
        <v>-0.87787399999999993</v>
      </c>
      <c r="O809" t="e">
        <f t="shared" si="62"/>
        <v>#VALUE!</v>
      </c>
      <c r="P809" t="e">
        <f t="shared" si="63"/>
        <v>#VALUE!</v>
      </c>
    </row>
    <row r="810" spans="1:16" x14ac:dyDescent="0.3">
      <c r="A810">
        <v>808</v>
      </c>
      <c r="B810">
        <f>'Real Input'!M810</f>
        <v>17.209308999998029</v>
      </c>
      <c r="C810">
        <f ca="1">INDIRECT(CONCATENATE("'Real Input'!",'Real Analysis'!$B$2,A810+2))</f>
        <v>9.1302552900000009</v>
      </c>
      <c r="D810">
        <f t="shared" si="61"/>
        <v>2.512199999182485E-2</v>
      </c>
      <c r="E810">
        <f ca="1">IF(B810&gt;0,C810-'Real Analysis'!$B$14,0)</f>
        <v>-0.72624251237142623</v>
      </c>
      <c r="F810">
        <f t="shared" ca="1" si="64"/>
        <v>5.2336786415430166E-2</v>
      </c>
      <c r="G810">
        <f t="shared" ca="1" si="65"/>
        <v>-0.98392533972328522</v>
      </c>
      <c r="H810">
        <f ca="1">IF(AND(B810&gt;'Real Analysis'!$B$31,B810&lt;'Real Analysis'!$B$32),FilterInput(E810,'Real Analysis'!$B$26,'Real Analysis'!$B$27),0)</f>
        <v>-0.72624251237142623</v>
      </c>
      <c r="I810" t="e">
        <f>MEDIAN2("Real Values",H810,'Real Analysis'!$B$5,2)</f>
        <v>#VALUE!</v>
      </c>
      <c r="J810" t="e">
        <f>AVERAGE2("Real Values",I810,'Real Analysis'!$B$6,2)</f>
        <v>#VALUE!</v>
      </c>
      <c r="K810" t="e">
        <f>INTEGRAL2(J810,$B810,K809,J809,$B809,'Real Analysis'!$B$19)</f>
        <v>#VALUE!</v>
      </c>
      <c r="L810" t="e">
        <f>IF(AND(B810&lt;'Real Analysis'!$B$32,B810&gt;0),INTEGRAL2(K810,$B810,L809,K809,$B809,'Real Analysis'!$B$20),0)</f>
        <v>#VALUE!</v>
      </c>
      <c r="N810">
        <f>'Real Analysis'!$B$28*'Real Input'!U810+IF('Real Input'!U810 &gt; 0,'Real Analysis'!$B$29,0)</f>
        <v>-0.87588699999999997</v>
      </c>
      <c r="O810" t="e">
        <f t="shared" si="62"/>
        <v>#VALUE!</v>
      </c>
      <c r="P810" t="e">
        <f t="shared" si="63"/>
        <v>#VALUE!</v>
      </c>
    </row>
    <row r="811" spans="1:16" x14ac:dyDescent="0.3">
      <c r="A811">
        <v>809</v>
      </c>
      <c r="B811">
        <f>'Real Input'!M811</f>
        <v>17.22954000000027</v>
      </c>
      <c r="C811">
        <f ca="1">INDIRECT(CONCATENATE("'Real Input'!",'Real Analysis'!$B$2,A811+2))</f>
        <v>8.8403894100000002</v>
      </c>
      <c r="D811">
        <f t="shared" si="61"/>
        <v>2.0231000002240762E-2</v>
      </c>
      <c r="E811">
        <f ca="1">IF(B811&gt;0,C811-'Real Analysis'!$B$14,0)</f>
        <v>-1.0161083923714269</v>
      </c>
      <c r="F811">
        <f t="shared" ca="1" si="64"/>
        <v>3.1779897527086973E-2</v>
      </c>
      <c r="G811">
        <f t="shared" ca="1" si="65"/>
        <v>-0.98328240061634353</v>
      </c>
      <c r="H811">
        <f ca="1">IF(AND(B811&gt;'Real Analysis'!$B$31,B811&lt;'Real Analysis'!$B$32),FilterInput(E811,'Real Analysis'!$B$26,'Real Analysis'!$B$27),0)</f>
        <v>-1.0161083923714269</v>
      </c>
      <c r="I811" t="e">
        <f>MEDIAN2("Real Values",H811,'Real Analysis'!$B$5,2)</f>
        <v>#VALUE!</v>
      </c>
      <c r="J811" t="e">
        <f>AVERAGE2("Real Values",I811,'Real Analysis'!$B$6,2)</f>
        <v>#VALUE!</v>
      </c>
      <c r="K811" t="e">
        <f>INTEGRAL2(J811,$B811,K810,J810,$B810,'Real Analysis'!$B$19)</f>
        <v>#VALUE!</v>
      </c>
      <c r="L811" t="e">
        <f>IF(AND(B811&lt;'Real Analysis'!$B$32,B811&gt;0),INTEGRAL2(K811,$B811,L810,K810,$B810,'Real Analysis'!$B$20),0)</f>
        <v>#VALUE!</v>
      </c>
      <c r="N811">
        <f>'Real Analysis'!$B$28*'Real Input'!U811+IF('Real Input'!U811 &gt; 0,'Real Analysis'!$B$29,0)</f>
        <v>-0.87191299999999994</v>
      </c>
      <c r="O811" t="e">
        <f t="shared" si="62"/>
        <v>#VALUE!</v>
      </c>
      <c r="P811" t="e">
        <f t="shared" si="63"/>
        <v>#VALUE!</v>
      </c>
    </row>
    <row r="812" spans="1:16" x14ac:dyDescent="0.3">
      <c r="A812">
        <v>810</v>
      </c>
      <c r="B812">
        <f>'Real Input'!M812</f>
        <v>17.251128999996581</v>
      </c>
      <c r="C812">
        <f ca="1">INDIRECT(CONCATENATE("'Real Input'!",'Real Analysis'!$B$2,A812+2))</f>
        <v>9.1124697600000015</v>
      </c>
      <c r="D812">
        <f t="shared" si="61"/>
        <v>2.1588999996311031E-2</v>
      </c>
      <c r="E812">
        <f ca="1">IF(B812&gt;0,C812-'Real Analysis'!$B$14,0)</f>
        <v>-0.74402804237142561</v>
      </c>
      <c r="F812">
        <f t="shared" ca="1" si="64"/>
        <v>1.571707612307496E-2</v>
      </c>
      <c r="G812">
        <f t="shared" ca="1" si="65"/>
        <v>-0.98294308465998048</v>
      </c>
      <c r="H812">
        <f ca="1">IF(AND(B812&gt;'Real Analysis'!$B$31,B812&lt;'Real Analysis'!$B$32),FilterInput(E812,'Real Analysis'!$B$26,'Real Analysis'!$B$27),0)</f>
        <v>-0.74402804237142561</v>
      </c>
      <c r="I812" t="e">
        <f>MEDIAN2("Real Values",H812,'Real Analysis'!$B$5,2)</f>
        <v>#VALUE!</v>
      </c>
      <c r="J812" t="e">
        <f>AVERAGE2("Real Values",I812,'Real Analysis'!$B$6,2)</f>
        <v>#VALUE!</v>
      </c>
      <c r="K812" t="e">
        <f>INTEGRAL2(J812,$B812,K811,J811,$B811,'Real Analysis'!$B$19)</f>
        <v>#VALUE!</v>
      </c>
      <c r="L812" t="e">
        <f>IF(AND(B812&lt;'Real Analysis'!$B$32,B812&gt;0),INTEGRAL2(K812,$B812,L811,K811,$B811,'Real Analysis'!$B$20),0)</f>
        <v>#VALUE!</v>
      </c>
      <c r="N812">
        <f>'Real Analysis'!$B$28*'Real Input'!U812+IF('Real Input'!U812 &gt; 0,'Real Analysis'!$B$29,0)</f>
        <v>-0.87390000000000001</v>
      </c>
      <c r="O812" t="e">
        <f t="shared" si="62"/>
        <v>#VALUE!</v>
      </c>
      <c r="P812" t="e">
        <f t="shared" si="63"/>
        <v>#VALUE!</v>
      </c>
    </row>
    <row r="813" spans="1:16" x14ac:dyDescent="0.3">
      <c r="A813">
        <v>811</v>
      </c>
      <c r="B813">
        <f>'Real Input'!M813</f>
        <v>17.26578800000425</v>
      </c>
      <c r="C813">
        <f ca="1">INDIRECT(CONCATENATE("'Real Input'!",'Real Analysis'!$B$2,A813+2))</f>
        <v>9.2020644899999997</v>
      </c>
      <c r="D813">
        <f t="shared" si="61"/>
        <v>1.465900000766851E-2</v>
      </c>
      <c r="E813">
        <f ca="1">IF(B813&gt;0,C813-'Real Analysis'!$B$14,0)</f>
        <v>-0.65443331237142743</v>
      </c>
      <c r="F813">
        <f t="shared" ca="1" si="64"/>
        <v>6.1237381920036769E-3</v>
      </c>
      <c r="G813">
        <f t="shared" ca="1" si="65"/>
        <v>-0.9828533167817769</v>
      </c>
      <c r="H813">
        <f ca="1">IF(AND(B813&gt;'Real Analysis'!$B$31,B813&lt;'Real Analysis'!$B$32),FilterInput(E813,'Real Analysis'!$B$26,'Real Analysis'!$B$27),0)</f>
        <v>-0.65443331237142743</v>
      </c>
      <c r="I813" t="e">
        <f>MEDIAN2("Real Values",H813,'Real Analysis'!$B$5,2)</f>
        <v>#VALUE!</v>
      </c>
      <c r="J813" t="e">
        <f>AVERAGE2("Real Values",I813,'Real Analysis'!$B$6,2)</f>
        <v>#VALUE!</v>
      </c>
      <c r="K813" t="e">
        <f>INTEGRAL2(J813,$B813,K812,J812,$B812,'Real Analysis'!$B$19)</f>
        <v>#VALUE!</v>
      </c>
      <c r="L813" t="e">
        <f>IF(AND(B813&lt;'Real Analysis'!$B$32,B813&gt;0),INTEGRAL2(K813,$B813,L812,K812,$B812,'Real Analysis'!$B$20),0)</f>
        <v>#VALUE!</v>
      </c>
      <c r="N813">
        <f>'Real Analysis'!$B$28*'Real Input'!U813+IF('Real Input'!U813 &gt; 0,'Real Analysis'!$B$29,0)</f>
        <v>-0.86992599999999998</v>
      </c>
      <c r="O813" t="e">
        <f t="shared" si="62"/>
        <v>#VALUE!</v>
      </c>
      <c r="P813" t="e">
        <f t="shared" si="63"/>
        <v>#VALUE!</v>
      </c>
    </row>
    <row r="814" spans="1:16" x14ac:dyDescent="0.3">
      <c r="A814">
        <v>812</v>
      </c>
      <c r="B814">
        <f>'Real Input'!M814</f>
        <v>17.290540000001783</v>
      </c>
      <c r="C814">
        <f ca="1">INDIRECT(CONCATENATE("'Real Input'!",'Real Analysis'!$B$2,A814+2))</f>
        <v>9.2516148000000005</v>
      </c>
      <c r="D814">
        <f t="shared" si="61"/>
        <v>2.4751999997533858E-2</v>
      </c>
      <c r="E814">
        <f ca="1">IF(B814&gt;0,C814-'Real Analysis'!$B$14,0)</f>
        <v>-0.60488300237142667</v>
      </c>
      <c r="F814">
        <f t="shared" ca="1" si="64"/>
        <v>-8.8483258812021483E-3</v>
      </c>
      <c r="G814">
        <f t="shared" ca="1" si="65"/>
        <v>-0.98307233054396659</v>
      </c>
      <c r="H814">
        <f ca="1">IF(AND(B814&gt;'Real Analysis'!$B$31,B814&lt;'Real Analysis'!$B$32),FilterInput(E814,'Real Analysis'!$B$26,'Real Analysis'!$B$27),0)</f>
        <v>-0.60488300237142667</v>
      </c>
      <c r="I814" t="e">
        <f>MEDIAN2("Real Values",H814,'Real Analysis'!$B$5,2)</f>
        <v>#VALUE!</v>
      </c>
      <c r="J814" t="e">
        <f>AVERAGE2("Real Values",I814,'Real Analysis'!$B$6,2)</f>
        <v>#VALUE!</v>
      </c>
      <c r="K814" t="e">
        <f>INTEGRAL2(J814,$B814,K813,J813,$B813,'Real Analysis'!$B$19)</f>
        <v>#VALUE!</v>
      </c>
      <c r="L814" t="e">
        <f>IF(AND(B814&lt;'Real Analysis'!$B$32,B814&gt;0),INTEGRAL2(K814,$B814,L813,K813,$B813,'Real Analysis'!$B$20),0)</f>
        <v>#VALUE!</v>
      </c>
      <c r="N814">
        <f>'Real Analysis'!$B$28*'Real Input'!U814+IF('Real Input'!U814 &gt; 0,'Real Analysis'!$B$29,0)</f>
        <v>-0.86992599999999998</v>
      </c>
      <c r="O814" t="e">
        <f t="shared" si="62"/>
        <v>#VALUE!</v>
      </c>
      <c r="P814" t="e">
        <f t="shared" si="63"/>
        <v>#VALUE!</v>
      </c>
    </row>
    <row r="815" spans="1:16" x14ac:dyDescent="0.3">
      <c r="A815">
        <v>813</v>
      </c>
      <c r="B815">
        <f>'Real Input'!M815</f>
        <v>17.310494000004837</v>
      </c>
      <c r="C815">
        <f ca="1">INDIRECT(CONCATENATE("'Real Input'!",'Real Analysis'!$B$2,A815+2))</f>
        <v>9.2468079000000003</v>
      </c>
      <c r="D815">
        <f t="shared" si="61"/>
        <v>1.9954000003053807E-2</v>
      </c>
      <c r="E815">
        <f ca="1">IF(B815&gt;0,C815-'Real Analysis'!$B$14,0)</f>
        <v>-0.60968990237142684</v>
      </c>
      <c r="F815">
        <f t="shared" ca="1" si="64"/>
        <v>-2.1014078194983472E-2</v>
      </c>
      <c r="G815">
        <f t="shared" ca="1" si="65"/>
        <v>-0.98349164546033341</v>
      </c>
      <c r="H815">
        <f ca="1">IF(AND(B815&gt;'Real Analysis'!$B$31,B815&lt;'Real Analysis'!$B$32),FilterInput(E815,'Real Analysis'!$B$26,'Real Analysis'!$B$27),0)</f>
        <v>-0.60968990237142684</v>
      </c>
      <c r="I815" t="e">
        <f>MEDIAN2("Real Values",H815,'Real Analysis'!$B$5,2)</f>
        <v>#VALUE!</v>
      </c>
      <c r="J815" t="e">
        <f>AVERAGE2("Real Values",I815,'Real Analysis'!$B$6,2)</f>
        <v>#VALUE!</v>
      </c>
      <c r="K815" t="e">
        <f>INTEGRAL2(J815,$B815,K814,J814,$B814,'Real Analysis'!$B$19)</f>
        <v>#VALUE!</v>
      </c>
      <c r="L815" t="e">
        <f>IF(AND(B815&lt;'Real Analysis'!$B$32,B815&gt;0),INTEGRAL2(K815,$B815,L814,K814,$B814,'Real Analysis'!$B$20),0)</f>
        <v>#VALUE!</v>
      </c>
      <c r="N815">
        <f>'Real Analysis'!$B$28*'Real Input'!U815+IF('Real Input'!U815 &gt; 0,'Real Analysis'!$B$29,0)</f>
        <v>-0.86595199999999994</v>
      </c>
      <c r="O815" t="e">
        <f t="shared" si="62"/>
        <v>#VALUE!</v>
      </c>
      <c r="P815" t="e">
        <f t="shared" si="63"/>
        <v>#VALUE!</v>
      </c>
    </row>
    <row r="816" spans="1:16" x14ac:dyDescent="0.3">
      <c r="A816">
        <v>814</v>
      </c>
      <c r="B816">
        <f>'Real Input'!M816</f>
        <v>17.330820999995922</v>
      </c>
      <c r="C816">
        <f ca="1">INDIRECT(CONCATENATE("'Real Input'!",'Real Analysis'!$B$2,A816+2))</f>
        <v>9.3799688400000001</v>
      </c>
      <c r="D816">
        <f t="shared" si="61"/>
        <v>2.0326999991084449E-2</v>
      </c>
      <c r="E816">
        <f ca="1">IF(B816&gt;0,C816-'Real Analysis'!$B$14,0)</f>
        <v>-0.47652896237142706</v>
      </c>
      <c r="F816">
        <f t="shared" ca="1" si="64"/>
        <v>-3.0700482408858951E-2</v>
      </c>
      <c r="G816">
        <f t="shared" ca="1" si="65"/>
        <v>-0.98411569416598454</v>
      </c>
      <c r="H816">
        <f ca="1">IF(AND(B816&gt;'Real Analysis'!$B$31,B816&lt;'Real Analysis'!$B$32),FilterInput(E816,'Real Analysis'!$B$26,'Real Analysis'!$B$27),0)</f>
        <v>-0.47652896237142706</v>
      </c>
      <c r="I816" t="e">
        <f>MEDIAN2("Real Values",H816,'Real Analysis'!$B$5,2)</f>
        <v>#VALUE!</v>
      </c>
      <c r="J816" t="e">
        <f>AVERAGE2("Real Values",I816,'Real Analysis'!$B$6,2)</f>
        <v>#VALUE!</v>
      </c>
      <c r="K816" t="e">
        <f>INTEGRAL2(J816,$B816,K815,J815,$B815,'Real Analysis'!$B$19)</f>
        <v>#VALUE!</v>
      </c>
      <c r="L816" t="e">
        <f>IF(AND(B816&lt;'Real Analysis'!$B$32,B816&gt;0),INTEGRAL2(K816,$B816,L815,K815,$B815,'Real Analysis'!$B$20),0)</f>
        <v>#VALUE!</v>
      </c>
      <c r="N816">
        <f>'Real Analysis'!$B$28*'Real Input'!U816+IF('Real Input'!U816 &gt; 0,'Real Analysis'!$B$29,0)</f>
        <v>-0.86793899999999991</v>
      </c>
      <c r="O816" t="e">
        <f t="shared" si="62"/>
        <v>#VALUE!</v>
      </c>
      <c r="P816" t="e">
        <f t="shared" si="63"/>
        <v>#VALUE!</v>
      </c>
    </row>
    <row r="817" spans="1:16" x14ac:dyDescent="0.3">
      <c r="A817">
        <v>815</v>
      </c>
      <c r="B817">
        <f>'Real Input'!M817</f>
        <v>17.352037000004202</v>
      </c>
      <c r="C817">
        <f ca="1">INDIRECT(CONCATENATE("'Real Input'!",'Real Analysis'!$B$2,A817+2))</f>
        <v>9.4918518900000013</v>
      </c>
      <c r="D817">
        <f t="shared" si="61"/>
        <v>2.1216000008280389E-2</v>
      </c>
      <c r="E817">
        <f ca="1">IF(B817&gt;0,C817-'Real Analysis'!$B$14,0)</f>
        <v>-0.36464591237142585</v>
      </c>
      <c r="F817">
        <f t="shared" ca="1" si="64"/>
        <v>-3.843681008875053E-2</v>
      </c>
      <c r="G817">
        <f t="shared" ca="1" si="65"/>
        <v>-0.98493116952914572</v>
      </c>
      <c r="H817">
        <f ca="1">IF(AND(B817&gt;'Real Analysis'!$B$31,B817&lt;'Real Analysis'!$B$32),FilterInput(E817,'Real Analysis'!$B$26,'Real Analysis'!$B$27),0)</f>
        <v>-0.36464591237142585</v>
      </c>
      <c r="I817" t="e">
        <f>MEDIAN2("Real Values",H817,'Real Analysis'!$B$5,2)</f>
        <v>#VALUE!</v>
      </c>
      <c r="J817" t="e">
        <f>AVERAGE2("Real Values",I817,'Real Analysis'!$B$6,2)</f>
        <v>#VALUE!</v>
      </c>
      <c r="K817" t="e">
        <f>INTEGRAL2(J817,$B817,K816,J816,$B816,'Real Analysis'!$B$19)</f>
        <v>#VALUE!</v>
      </c>
      <c r="L817" t="e">
        <f>IF(AND(B817&lt;'Real Analysis'!$B$32,B817&gt;0),INTEGRAL2(K817,$B817,L816,K816,$B816,'Real Analysis'!$B$20),0)</f>
        <v>#VALUE!</v>
      </c>
      <c r="N817">
        <f>'Real Analysis'!$B$28*'Real Input'!U817+IF('Real Input'!U817 &gt; 0,'Real Analysis'!$B$29,0)</f>
        <v>-0.86595199999999994</v>
      </c>
      <c r="O817" t="e">
        <f t="shared" si="62"/>
        <v>#VALUE!</v>
      </c>
      <c r="P817" t="e">
        <f t="shared" si="63"/>
        <v>#VALUE!</v>
      </c>
    </row>
    <row r="818" spans="1:16" x14ac:dyDescent="0.3">
      <c r="A818">
        <v>816</v>
      </c>
      <c r="B818">
        <f>'Real Input'!M818</f>
        <v>17.369202000001678</v>
      </c>
      <c r="C818">
        <f ca="1">INDIRECT(CONCATENATE("'Real Input'!",'Real Analysis'!$B$2,A818+2))</f>
        <v>9.4318539300000008</v>
      </c>
      <c r="D818">
        <f t="shared" si="61"/>
        <v>1.7164999997476116E-2</v>
      </c>
      <c r="E818">
        <f ca="1">IF(B818&gt;0,C818-'Real Analysis'!$B$14,0)</f>
        <v>-0.42464387237142631</v>
      </c>
      <c r="F818">
        <f t="shared" ca="1" si="64"/>
        <v>-4.5725822156934312E-2</v>
      </c>
      <c r="G818">
        <f t="shared" ca="1" si="65"/>
        <v>-0.98571605326635414</v>
      </c>
      <c r="H818">
        <f ca="1">IF(AND(B818&gt;'Real Analysis'!$B$31,B818&lt;'Real Analysis'!$B$32),FilterInput(E818,'Real Analysis'!$B$26,'Real Analysis'!$B$27),0)</f>
        <v>-0.42464387237142631</v>
      </c>
      <c r="I818" t="e">
        <f>MEDIAN2("Real Values",H818,'Real Analysis'!$B$5,2)</f>
        <v>#VALUE!</v>
      </c>
      <c r="J818" t="e">
        <f>AVERAGE2("Real Values",I818,'Real Analysis'!$B$6,2)</f>
        <v>#VALUE!</v>
      </c>
      <c r="K818" t="e">
        <f>INTEGRAL2(J818,$B818,K817,J817,$B817,'Real Analysis'!$B$19)</f>
        <v>#VALUE!</v>
      </c>
      <c r="L818" t="e">
        <f>IF(AND(B818&lt;'Real Analysis'!$B$32,B818&gt;0),INTEGRAL2(K818,$B818,L817,K817,$B817,'Real Analysis'!$B$20),0)</f>
        <v>#VALUE!</v>
      </c>
      <c r="N818">
        <f>'Real Analysis'!$B$28*'Real Input'!U818+IF('Real Input'!U818 &gt; 0,'Real Analysis'!$B$29,0)</f>
        <v>-0.86793899999999991</v>
      </c>
      <c r="O818" t="e">
        <f t="shared" si="62"/>
        <v>#VALUE!</v>
      </c>
      <c r="P818" t="e">
        <f t="shared" si="63"/>
        <v>#VALUE!</v>
      </c>
    </row>
    <row r="819" spans="1:16" x14ac:dyDescent="0.3">
      <c r="A819">
        <v>817</v>
      </c>
      <c r="B819">
        <f>'Real Input'!M819</f>
        <v>17.387325000003329</v>
      </c>
      <c r="C819">
        <f ca="1">INDIRECT(CONCATENATE("'Real Input'!",'Real Analysis'!$B$2,A819+2))</f>
        <v>9.39382056</v>
      </c>
      <c r="D819">
        <f t="shared" si="61"/>
        <v>1.8123000001651235E-2</v>
      </c>
      <c r="E819">
        <f ca="1">IF(B819&gt;0,C819-'Real Analysis'!$B$14,0)</f>
        <v>-0.46267724237142716</v>
      </c>
      <c r="F819">
        <f t="shared" ca="1" si="64"/>
        <v>-5.4110921821195673E-2</v>
      </c>
      <c r="G819">
        <f t="shared" ca="1" si="65"/>
        <v>-0.98669670550260902</v>
      </c>
      <c r="H819">
        <f ca="1">IF(AND(B819&gt;'Real Analysis'!$B$31,B819&lt;'Real Analysis'!$B$32),FilterInput(E819,'Real Analysis'!$B$26,'Real Analysis'!$B$27),0)</f>
        <v>-0.46267724237142716</v>
      </c>
      <c r="I819" t="e">
        <f>MEDIAN2("Real Values",H819,'Real Analysis'!$B$5,2)</f>
        <v>#VALUE!</v>
      </c>
      <c r="J819" t="e">
        <f>AVERAGE2("Real Values",I819,'Real Analysis'!$B$6,2)</f>
        <v>#VALUE!</v>
      </c>
      <c r="K819" t="e">
        <f>INTEGRAL2(J819,$B819,K818,J818,$B818,'Real Analysis'!$B$19)</f>
        <v>#VALUE!</v>
      </c>
      <c r="L819" t="e">
        <f>IF(AND(B819&lt;'Real Analysis'!$B$32,B819&gt;0),INTEGRAL2(K819,$B819,L818,K818,$B818,'Real Analysis'!$B$20),0)</f>
        <v>#VALUE!</v>
      </c>
      <c r="N819">
        <f>'Real Analysis'!$B$28*'Real Input'!U819+IF('Real Input'!U819 &gt; 0,'Real Analysis'!$B$29,0)</f>
        <v>-0.86595199999999994</v>
      </c>
      <c r="O819" t="e">
        <f t="shared" si="62"/>
        <v>#VALUE!</v>
      </c>
      <c r="P819" t="e">
        <f t="shared" si="63"/>
        <v>#VALUE!</v>
      </c>
    </row>
    <row r="820" spans="1:16" x14ac:dyDescent="0.3">
      <c r="A820">
        <v>818</v>
      </c>
      <c r="B820">
        <f>'Real Input'!M820</f>
        <v>17.410115999999107</v>
      </c>
      <c r="C820">
        <f ca="1">INDIRECT(CONCATENATE("'Real Input'!",'Real Analysis'!$B$2,A820+2))</f>
        <v>9.48900699</v>
      </c>
      <c r="D820">
        <f t="shared" si="61"/>
        <v>2.2790999995777383E-2</v>
      </c>
      <c r="E820">
        <f ca="1">IF(B820&gt;0,C820-'Real Analysis'!$B$14,0)</f>
        <v>-0.36749081237142711</v>
      </c>
      <c r="F820">
        <f t="shared" ca="1" si="64"/>
        <v>-6.2486404924401093E-2</v>
      </c>
      <c r="G820">
        <f t="shared" ca="1" si="65"/>
        <v>-0.98812083315697719</v>
      </c>
      <c r="H820">
        <f ca="1">IF(AND(B820&gt;'Real Analysis'!$B$31,B820&lt;'Real Analysis'!$B$32),FilterInput(E820,'Real Analysis'!$B$26,'Real Analysis'!$B$27),0)</f>
        <v>-0.36749081237142711</v>
      </c>
      <c r="I820" t="e">
        <f>MEDIAN2("Real Values",H820,'Real Analysis'!$B$5,2)</f>
        <v>#VALUE!</v>
      </c>
      <c r="J820" t="e">
        <f>AVERAGE2("Real Values",I820,'Real Analysis'!$B$6,2)</f>
        <v>#VALUE!</v>
      </c>
      <c r="K820" t="e">
        <f>INTEGRAL2(J820,$B820,K819,J819,$B819,'Real Analysis'!$B$19)</f>
        <v>#VALUE!</v>
      </c>
      <c r="L820" t="e">
        <f>IF(AND(B820&lt;'Real Analysis'!$B$32,B820&gt;0),INTEGRAL2(K820,$B820,L819,K819,$B819,'Real Analysis'!$B$20),0)</f>
        <v>#VALUE!</v>
      </c>
      <c r="N820">
        <f>'Real Analysis'!$B$28*'Real Input'!U820+IF('Real Input'!U820 &gt; 0,'Real Analysis'!$B$29,0)</f>
        <v>-0.86793899999999991</v>
      </c>
      <c r="O820" t="e">
        <f t="shared" si="62"/>
        <v>#VALUE!</v>
      </c>
      <c r="P820" t="e">
        <f t="shared" si="63"/>
        <v>#VALUE!</v>
      </c>
    </row>
    <row r="821" spans="1:16" x14ac:dyDescent="0.3">
      <c r="A821">
        <v>819</v>
      </c>
      <c r="B821">
        <f>'Real Input'!M821</f>
        <v>17.429189999995288</v>
      </c>
      <c r="C821">
        <f ca="1">INDIRECT(CONCATENATE("'Real Input'!",'Real Analysis'!$B$2,A821+2))</f>
        <v>9.5910309900000001</v>
      </c>
      <c r="D821">
        <f t="shared" si="61"/>
        <v>1.9073999996180646E-2</v>
      </c>
      <c r="E821">
        <f ca="1">IF(B821&gt;0,C821-'Real Analysis'!$B$14,0)</f>
        <v>-0.265466812371427</v>
      </c>
      <c r="F821">
        <f t="shared" ca="1" si="64"/>
        <v>-6.7549918902559777E-2</v>
      </c>
      <c r="G821">
        <f t="shared" ca="1" si="65"/>
        <v>-0.98940928030986663</v>
      </c>
      <c r="H821">
        <f ca="1">IF(AND(B821&gt;'Real Analysis'!$B$31,B821&lt;'Real Analysis'!$B$32),FilterInput(E821,'Real Analysis'!$B$26,'Real Analysis'!$B$27),0)</f>
        <v>-0.265466812371427</v>
      </c>
      <c r="I821" t="e">
        <f>MEDIAN2("Real Values",H821,'Real Analysis'!$B$5,2)</f>
        <v>#VALUE!</v>
      </c>
      <c r="J821" t="e">
        <f>AVERAGE2("Real Values",I821,'Real Analysis'!$B$6,2)</f>
        <v>#VALUE!</v>
      </c>
      <c r="K821" t="e">
        <f>INTEGRAL2(J821,$B821,K820,J820,$B820,'Real Analysis'!$B$19)</f>
        <v>#VALUE!</v>
      </c>
      <c r="L821" t="e">
        <f>IF(AND(B821&lt;'Real Analysis'!$B$32,B821&gt;0),INTEGRAL2(K821,$B821,L820,K820,$B820,'Real Analysis'!$B$20),0)</f>
        <v>#VALUE!</v>
      </c>
      <c r="N821">
        <f>'Real Analysis'!$B$28*'Real Input'!U821+IF('Real Input'!U821 &gt; 0,'Real Analysis'!$B$29,0)</f>
        <v>-0.86595199999999994</v>
      </c>
      <c r="O821" t="e">
        <f t="shared" si="62"/>
        <v>#VALUE!</v>
      </c>
      <c r="P821" t="e">
        <f t="shared" si="63"/>
        <v>#VALUE!</v>
      </c>
    </row>
    <row r="822" spans="1:16" x14ac:dyDescent="0.3">
      <c r="A822">
        <v>820</v>
      </c>
      <c r="B822">
        <f>'Real Input'!M822</f>
        <v>17.450786999994307</v>
      </c>
      <c r="C822">
        <f ca="1">INDIRECT(CONCATENATE("'Real Input'!",'Real Analysis'!$B$2,A822+2))</f>
        <v>9.4785789600000001</v>
      </c>
      <c r="D822">
        <f t="shared" si="61"/>
        <v>2.1596999999019317E-2</v>
      </c>
      <c r="E822">
        <f ca="1">IF(B822&gt;0,C822-'Real Analysis'!$B$14,0)</f>
        <v>-0.37791884237142703</v>
      </c>
      <c r="F822">
        <f t="shared" ca="1" si="64"/>
        <v>-7.5711832140884866E-2</v>
      </c>
      <c r="G822">
        <f t="shared" ca="1" si="65"/>
        <v>-0.99104442874853904</v>
      </c>
      <c r="H822">
        <f ca="1">IF(AND(B822&gt;'Real Analysis'!$B$31,B822&lt;'Real Analysis'!$B$32),FilterInput(E822,'Real Analysis'!$B$26,'Real Analysis'!$B$27),0)</f>
        <v>-0.37791884237142703</v>
      </c>
      <c r="I822" t="e">
        <f>MEDIAN2("Real Values",H822,'Real Analysis'!$B$5,2)</f>
        <v>#VALUE!</v>
      </c>
      <c r="J822" t="e">
        <f>AVERAGE2("Real Values",I822,'Real Analysis'!$B$6,2)</f>
        <v>#VALUE!</v>
      </c>
      <c r="K822" t="e">
        <f>INTEGRAL2(J822,$B822,K821,J821,$B821,'Real Analysis'!$B$19)</f>
        <v>#VALUE!</v>
      </c>
      <c r="L822" t="e">
        <f>IF(AND(B822&lt;'Real Analysis'!$B$32,B822&gt;0),INTEGRAL2(K822,$B822,L821,K821,$B821,'Real Analysis'!$B$20),0)</f>
        <v>#VALUE!</v>
      </c>
      <c r="N822">
        <f>'Real Analysis'!$B$28*'Real Input'!U822+IF('Real Input'!U822 &gt; 0,'Real Analysis'!$B$29,0)</f>
        <v>-0.86197799999999991</v>
      </c>
      <c r="O822" t="e">
        <f t="shared" si="62"/>
        <v>#VALUE!</v>
      </c>
      <c r="P822" t="e">
        <f t="shared" si="63"/>
        <v>#VALUE!</v>
      </c>
    </row>
    <row r="823" spans="1:16" x14ac:dyDescent="0.3">
      <c r="A823">
        <v>821</v>
      </c>
      <c r="B823">
        <f>'Real Input'!M823</f>
        <v>17.472670999995898</v>
      </c>
      <c r="C823">
        <f ca="1">INDIRECT(CONCATENATE("'Real Input'!",'Real Analysis'!$B$2,A823+2))</f>
        <v>9.4572029700000009</v>
      </c>
      <c r="D823">
        <f t="shared" si="61"/>
        <v>2.188400000159163E-2</v>
      </c>
      <c r="E823">
        <f ca="1">IF(B823&gt;0,C823-'Real Analysis'!$B$14,0)</f>
        <v>-0.39929483237142627</v>
      </c>
      <c r="F823">
        <f t="shared" ca="1" si="64"/>
        <v>-8.4450000253136689E-2</v>
      </c>
      <c r="G823">
        <f t="shared" ca="1" si="65"/>
        <v>-0.99289253255421306</v>
      </c>
      <c r="H823">
        <f ca="1">IF(AND(B823&gt;'Real Analysis'!$B$31,B823&lt;'Real Analysis'!$B$32),FilterInput(E823,'Real Analysis'!$B$26,'Real Analysis'!$B$27),0)</f>
        <v>-0.39929483237142627</v>
      </c>
      <c r="I823" t="e">
        <f>MEDIAN2("Real Values",H823,'Real Analysis'!$B$5,2)</f>
        <v>#VALUE!</v>
      </c>
      <c r="J823" t="e">
        <f>AVERAGE2("Real Values",I823,'Real Analysis'!$B$6,2)</f>
        <v>#VALUE!</v>
      </c>
      <c r="K823" t="e">
        <f>INTEGRAL2(J823,$B823,K822,J822,$B822,'Real Analysis'!$B$19)</f>
        <v>#VALUE!</v>
      </c>
      <c r="L823" t="e">
        <f>IF(AND(B823&lt;'Real Analysis'!$B$32,B823&gt;0),INTEGRAL2(K823,$B823,L822,K822,$B822,'Real Analysis'!$B$20),0)</f>
        <v>#VALUE!</v>
      </c>
      <c r="N823">
        <f>'Real Analysis'!$B$28*'Real Input'!U823+IF('Real Input'!U823 &gt; 0,'Real Analysis'!$B$29,0)</f>
        <v>-0.85999099999999995</v>
      </c>
      <c r="O823" t="e">
        <f t="shared" si="62"/>
        <v>#VALUE!</v>
      </c>
      <c r="P823" t="e">
        <f t="shared" si="63"/>
        <v>#VALUE!</v>
      </c>
    </row>
    <row r="824" spans="1:16" x14ac:dyDescent="0.3">
      <c r="A824">
        <v>822</v>
      </c>
      <c r="B824">
        <f>'Real Input'!M824</f>
        <v>17.49282200000016</v>
      </c>
      <c r="C824">
        <f ca="1">INDIRECT(CONCATENATE("'Real Input'!",'Real Analysis'!$B$2,A824+2))</f>
        <v>9.6222660300000005</v>
      </c>
      <c r="D824">
        <f t="shared" si="61"/>
        <v>2.0151000004261732E-2</v>
      </c>
      <c r="E824">
        <f ca="1">IF(B824&gt;0,C824-'Real Analysis'!$B$14,0)</f>
        <v>-0.23423177237142667</v>
      </c>
      <c r="F824">
        <f t="shared" ca="1" si="64"/>
        <v>-8.9170004699191535E-2</v>
      </c>
      <c r="G824">
        <f t="shared" ca="1" si="65"/>
        <v>-0.99468939731928652</v>
      </c>
      <c r="H824">
        <f ca="1">IF(AND(B824&gt;'Real Analysis'!$B$31,B824&lt;'Real Analysis'!$B$32),FilterInput(E824,'Real Analysis'!$B$26,'Real Analysis'!$B$27),0)</f>
        <v>-0.23423177237142667</v>
      </c>
      <c r="I824" t="e">
        <f>MEDIAN2("Real Values",H824,'Real Analysis'!$B$5,2)</f>
        <v>#VALUE!</v>
      </c>
      <c r="J824" t="e">
        <f>AVERAGE2("Real Values",I824,'Real Analysis'!$B$6,2)</f>
        <v>#VALUE!</v>
      </c>
      <c r="K824" t="e">
        <f>INTEGRAL2(J824,$B824,K823,J823,$B823,'Real Analysis'!$B$19)</f>
        <v>#VALUE!</v>
      </c>
      <c r="L824" t="e">
        <f>IF(AND(B824&lt;'Real Analysis'!$B$32,B824&gt;0),INTEGRAL2(K824,$B824,L823,K823,$B823,'Real Analysis'!$B$20),0)</f>
        <v>#VALUE!</v>
      </c>
      <c r="N824">
        <f>'Real Analysis'!$B$28*'Real Input'!U824+IF('Real Input'!U824 &gt; 0,'Real Analysis'!$B$29,0)</f>
        <v>-0.85800399999999999</v>
      </c>
      <c r="O824" t="e">
        <f t="shared" si="62"/>
        <v>#VALUE!</v>
      </c>
      <c r="P824" t="e">
        <f t="shared" si="63"/>
        <v>#VALUE!</v>
      </c>
    </row>
    <row r="825" spans="1:16" x14ac:dyDescent="0.3">
      <c r="A825">
        <v>823</v>
      </c>
      <c r="B825">
        <f>'Real Input'!M825</f>
        <v>17.498500999994576</v>
      </c>
      <c r="C825">
        <f ca="1">INDIRECT(CONCATENATE("'Real Input'!",'Real Analysis'!$B$2,A825+2))</f>
        <v>9.859795560000002</v>
      </c>
      <c r="D825">
        <f t="shared" si="61"/>
        <v>5.6789999944157898E-3</v>
      </c>
      <c r="E825">
        <f ca="1">IF(B825&gt;0,C825-'Real Analysis'!$B$14,0)</f>
        <v>3.2977576285748711E-3</v>
      </c>
      <c r="F825">
        <f t="shared" ca="1" si="64"/>
        <v>-8.9151276733637277E-2</v>
      </c>
      <c r="G825">
        <f t="shared" ca="1" si="65"/>
        <v>-0.99519568741935904</v>
      </c>
      <c r="H825">
        <f ca="1">IF(AND(B825&gt;'Real Analysis'!$B$31,B825&lt;'Real Analysis'!$B$32),FilterInput(E825,'Real Analysis'!$B$26,'Real Analysis'!$B$27),0)</f>
        <v>3.2977576285748711E-3</v>
      </c>
      <c r="I825" t="e">
        <f>MEDIAN2("Real Values",H825,'Real Analysis'!$B$5,2)</f>
        <v>#VALUE!</v>
      </c>
      <c r="J825" t="e">
        <f>AVERAGE2("Real Values",I825,'Real Analysis'!$B$6,2)</f>
        <v>#VALUE!</v>
      </c>
      <c r="K825" t="e">
        <f>INTEGRAL2(J825,$B825,K824,J824,$B824,'Real Analysis'!$B$19)</f>
        <v>#VALUE!</v>
      </c>
      <c r="L825" t="e">
        <f>IF(AND(B825&lt;'Real Analysis'!$B$32,B825&gt;0),INTEGRAL2(K825,$B825,L824,K824,$B824,'Real Analysis'!$B$20),0)</f>
        <v>#VALUE!</v>
      </c>
      <c r="N825">
        <f>'Real Analysis'!$B$28*'Real Input'!U825+IF('Real Input'!U825 &gt; 0,'Real Analysis'!$B$29,0)</f>
        <v>-0.85601699999999992</v>
      </c>
      <c r="O825" t="e">
        <f t="shared" si="62"/>
        <v>#VALUE!</v>
      </c>
      <c r="P825" t="e">
        <f t="shared" si="63"/>
        <v>#VALUE!</v>
      </c>
    </row>
    <row r="826" spans="1:16" x14ac:dyDescent="0.3">
      <c r="A826">
        <v>824</v>
      </c>
      <c r="B826">
        <f>'Real Input'!M826</f>
        <v>17.530920999997761</v>
      </c>
      <c r="C826">
        <f ca="1">INDIRECT(CONCATENATE("'Real Input'!",'Real Analysis'!$B$2,A826+2))</f>
        <v>9.7385047200000017</v>
      </c>
      <c r="D826">
        <f t="shared" si="61"/>
        <v>3.2420000003185123E-2</v>
      </c>
      <c r="E826">
        <f ca="1">IF(B826&gt;0,C826-'Real Analysis'!$B$14,0)</f>
        <v>-0.11799308237142547</v>
      </c>
      <c r="F826">
        <f t="shared" ca="1" si="64"/>
        <v>-9.2976612464494707E-2</v>
      </c>
      <c r="G826">
        <f t="shared" ca="1" si="65"/>
        <v>-0.9982099891957541</v>
      </c>
      <c r="H826">
        <f ca="1">IF(AND(B826&gt;'Real Analysis'!$B$31,B826&lt;'Real Analysis'!$B$32),FilterInput(E826,'Real Analysis'!$B$26,'Real Analysis'!$B$27),0)</f>
        <v>-0.11799308237142547</v>
      </c>
      <c r="I826" t="e">
        <f>MEDIAN2("Real Values",H826,'Real Analysis'!$B$5,2)</f>
        <v>#VALUE!</v>
      </c>
      <c r="J826" t="e">
        <f>AVERAGE2("Real Values",I826,'Real Analysis'!$B$6,2)</f>
        <v>#VALUE!</v>
      </c>
      <c r="K826" t="e">
        <f>INTEGRAL2(J826,$B826,K825,J825,$B825,'Real Analysis'!$B$19)</f>
        <v>#VALUE!</v>
      </c>
      <c r="L826" t="e">
        <f>IF(AND(B826&lt;'Real Analysis'!$B$32,B826&gt;0),INTEGRAL2(K826,$B826,L825,K825,$B825,'Real Analysis'!$B$20),0)</f>
        <v>#VALUE!</v>
      </c>
      <c r="N826">
        <f>'Real Analysis'!$B$28*'Real Input'!U826+IF('Real Input'!U826 &gt; 0,'Real Analysis'!$B$29,0)</f>
        <v>-0.86595199999999994</v>
      </c>
      <c r="O826" t="e">
        <f t="shared" si="62"/>
        <v>#VALUE!</v>
      </c>
      <c r="P826" t="e">
        <f t="shared" si="63"/>
        <v>#VALUE!</v>
      </c>
    </row>
    <row r="827" spans="1:16" x14ac:dyDescent="0.3">
      <c r="A827">
        <v>825</v>
      </c>
      <c r="B827">
        <f>'Real Input'!M827</f>
        <v>17.550405000001774</v>
      </c>
      <c r="C827">
        <f ca="1">INDIRECT(CONCATENATE("'Real Input'!",'Real Analysis'!$B$2,A827+2))</f>
        <v>9.7268406300000017</v>
      </c>
      <c r="D827">
        <f t="shared" si="61"/>
        <v>1.9484000004013069E-2</v>
      </c>
      <c r="E827">
        <f ca="1">IF(B827&gt;0,C827-'Real Analysis'!$B$14,0)</f>
        <v>-0.12965717237142549</v>
      </c>
      <c r="F827">
        <f t="shared" ca="1" si="64"/>
        <v>-9.550285281149988E-2</v>
      </c>
      <c r="G827">
        <f t="shared" ca="1" si="65"/>
        <v>-1.0000707667803166</v>
      </c>
      <c r="H827">
        <f ca="1">IF(AND(B827&gt;'Real Analysis'!$B$31,B827&lt;'Real Analysis'!$B$32),FilterInput(E827,'Real Analysis'!$B$26,'Real Analysis'!$B$27),0)</f>
        <v>-0.12965717237142549</v>
      </c>
      <c r="I827" t="e">
        <f>MEDIAN2("Real Values",H827,'Real Analysis'!$B$5,2)</f>
        <v>#VALUE!</v>
      </c>
      <c r="J827" t="e">
        <f>AVERAGE2("Real Values",I827,'Real Analysis'!$B$6,2)</f>
        <v>#VALUE!</v>
      </c>
      <c r="K827" t="e">
        <f>INTEGRAL2(J827,$B827,K826,J826,$B826,'Real Analysis'!$B$19)</f>
        <v>#VALUE!</v>
      </c>
      <c r="L827" t="e">
        <f>IF(AND(B827&lt;'Real Analysis'!$B$32,B827&gt;0),INTEGRAL2(K827,$B827,L826,K826,$B826,'Real Analysis'!$B$20),0)</f>
        <v>#VALUE!</v>
      </c>
      <c r="N827">
        <f>'Real Analysis'!$B$28*'Real Input'!U827+IF('Real Input'!U827 &gt; 0,'Real Analysis'!$B$29,0)</f>
        <v>-0.86595199999999994</v>
      </c>
      <c r="O827" t="e">
        <f t="shared" si="62"/>
        <v>#VALUE!</v>
      </c>
      <c r="P827" t="e">
        <f t="shared" si="63"/>
        <v>#VALUE!</v>
      </c>
    </row>
    <row r="828" spans="1:16" x14ac:dyDescent="0.3">
      <c r="A828">
        <v>826</v>
      </c>
      <c r="B828">
        <f>'Real Input'!M828</f>
        <v>17.566690000006929</v>
      </c>
      <c r="C828">
        <f ca="1">INDIRECT(CONCATENATE("'Real Input'!",'Real Analysis'!$B$2,A828+2))</f>
        <v>9.9025769700000001</v>
      </c>
      <c r="D828">
        <f t="shared" si="61"/>
        <v>1.628500000515487E-2</v>
      </c>
      <c r="E828">
        <f ca="1">IF(B828&gt;0,C828-'Real Analysis'!$B$14,0)</f>
        <v>4.6079167628573003E-2</v>
      </c>
      <c r="F828">
        <f t="shared" ca="1" si="64"/>
        <v>-9.4752453566431041E-2</v>
      </c>
      <c r="G828">
        <f t="shared" ca="1" si="65"/>
        <v>-1.0016138104871344</v>
      </c>
      <c r="H828">
        <f ca="1">IF(AND(B828&gt;'Real Analysis'!$B$31,B828&lt;'Real Analysis'!$B$32),FilterInput(E828,'Real Analysis'!$B$26,'Real Analysis'!$B$27),0)</f>
        <v>4.6079167628573003E-2</v>
      </c>
      <c r="I828" t="e">
        <f>MEDIAN2("Real Values",H828,'Real Analysis'!$B$5,2)</f>
        <v>#VALUE!</v>
      </c>
      <c r="J828" t="e">
        <f>AVERAGE2("Real Values",I828,'Real Analysis'!$B$6,2)</f>
        <v>#VALUE!</v>
      </c>
      <c r="K828" t="e">
        <f>INTEGRAL2(J828,$B828,K827,J827,$B827,'Real Analysis'!$B$19)</f>
        <v>#VALUE!</v>
      </c>
      <c r="L828" t="e">
        <f>IF(AND(B828&lt;'Real Analysis'!$B$32,B828&gt;0),INTEGRAL2(K828,$B828,L827,K827,$B827,'Real Analysis'!$B$20),0)</f>
        <v>#VALUE!</v>
      </c>
      <c r="N828">
        <f>'Real Analysis'!$B$28*'Real Input'!U828+IF('Real Input'!U828 &gt; 0,'Real Analysis'!$B$29,0)</f>
        <v>-0.87390000000000001</v>
      </c>
      <c r="O828" t="e">
        <f t="shared" si="62"/>
        <v>#VALUE!</v>
      </c>
      <c r="P828" t="e">
        <f t="shared" si="63"/>
        <v>#VALUE!</v>
      </c>
    </row>
    <row r="829" spans="1:16" x14ac:dyDescent="0.3">
      <c r="A829">
        <v>827</v>
      </c>
      <c r="B829">
        <f>'Real Input'!M829</f>
        <v>17.582725999993272</v>
      </c>
      <c r="C829">
        <f ca="1">INDIRECT(CONCATENATE("'Real Input'!",'Real Analysis'!$B$2,A829+2))</f>
        <v>9.9023219100000013</v>
      </c>
      <c r="D829">
        <f t="shared" si="61"/>
        <v>1.6035999986343086E-2</v>
      </c>
      <c r="E829">
        <f ca="1">IF(B829&gt;0,C829-'Real Analysis'!$B$14,0)</f>
        <v>4.582410762857414E-2</v>
      </c>
      <c r="F829">
        <f t="shared" ca="1" si="64"/>
        <v>-9.4017618177125048E-2</v>
      </c>
      <c r="G829">
        <f t="shared" ca="1" si="65"/>
        <v>-1.0031214770109387</v>
      </c>
      <c r="H829">
        <f ca="1">IF(AND(B829&gt;'Real Analysis'!$B$31,B829&lt;'Real Analysis'!$B$32),FilterInput(E829,'Real Analysis'!$B$26,'Real Analysis'!$B$27),0)</f>
        <v>4.582410762857414E-2</v>
      </c>
      <c r="I829" t="e">
        <f>MEDIAN2("Real Values",H829,'Real Analysis'!$B$5,2)</f>
        <v>#VALUE!</v>
      </c>
      <c r="J829" t="e">
        <f>AVERAGE2("Real Values",I829,'Real Analysis'!$B$6,2)</f>
        <v>#VALUE!</v>
      </c>
      <c r="K829" t="e">
        <f>INTEGRAL2(J829,$B829,K828,J828,$B828,'Real Analysis'!$B$19)</f>
        <v>#VALUE!</v>
      </c>
      <c r="L829" t="e">
        <f>IF(AND(B829&lt;'Real Analysis'!$B$32,B829&gt;0),INTEGRAL2(K829,$B829,L828,K828,$B828,'Real Analysis'!$B$20),0)</f>
        <v>#VALUE!</v>
      </c>
      <c r="N829">
        <f>'Real Analysis'!$B$28*'Real Input'!U829+IF('Real Input'!U829 &gt; 0,'Real Analysis'!$B$29,0)</f>
        <v>-0.87191299999999994</v>
      </c>
      <c r="O829" t="e">
        <f t="shared" si="62"/>
        <v>#VALUE!</v>
      </c>
      <c r="P829" t="e">
        <f t="shared" si="63"/>
        <v>#VALUE!</v>
      </c>
    </row>
    <row r="830" spans="1:16" x14ac:dyDescent="0.3">
      <c r="A830">
        <v>828</v>
      </c>
      <c r="B830">
        <f>'Real Input'!M830</f>
        <v>17.606815999999526</v>
      </c>
      <c r="C830">
        <f ca="1">INDIRECT(CONCATENATE("'Real Input'!",'Real Analysis'!$B$2,A830+2))</f>
        <v>9.8155426499999994</v>
      </c>
      <c r="D830">
        <f t="shared" si="61"/>
        <v>2.4090000006253831E-2</v>
      </c>
      <c r="E830">
        <f ca="1">IF(B830&gt;0,C830-'Real Analysis'!$B$14,0)</f>
        <v>-4.0955152371427772E-2</v>
      </c>
      <c r="F830">
        <f t="shared" ca="1" si="64"/>
        <v>-9.5004227798008864E-2</v>
      </c>
      <c r="G830">
        <f t="shared" ca="1" si="65"/>
        <v>-1.0054101288591868</v>
      </c>
      <c r="H830">
        <f ca="1">IF(AND(B830&gt;'Real Analysis'!$B$31,B830&lt;'Real Analysis'!$B$32),FilterInput(E830,'Real Analysis'!$B$26,'Real Analysis'!$B$27),0)</f>
        <v>-4.0955152371427772E-2</v>
      </c>
      <c r="I830" t="e">
        <f>MEDIAN2("Real Values",H830,'Real Analysis'!$B$5,2)</f>
        <v>#VALUE!</v>
      </c>
      <c r="J830" t="e">
        <f>AVERAGE2("Real Values",I830,'Real Analysis'!$B$6,2)</f>
        <v>#VALUE!</v>
      </c>
      <c r="K830" t="e">
        <f>INTEGRAL2(J830,$B830,K829,J829,$B829,'Real Analysis'!$B$19)</f>
        <v>#VALUE!</v>
      </c>
      <c r="L830" t="e">
        <f>IF(AND(B830&lt;'Real Analysis'!$B$32,B830&gt;0),INTEGRAL2(K830,$B830,L829,K829,$B829,'Real Analysis'!$B$20),0)</f>
        <v>#VALUE!</v>
      </c>
      <c r="N830">
        <f>'Real Analysis'!$B$28*'Real Input'!U830+IF('Real Input'!U830 &gt; 0,'Real Analysis'!$B$29,0)</f>
        <v>-0.88184799999999997</v>
      </c>
      <c r="O830" t="e">
        <f t="shared" si="62"/>
        <v>#VALUE!</v>
      </c>
      <c r="P830" t="e">
        <f t="shared" si="63"/>
        <v>#VALUE!</v>
      </c>
    </row>
    <row r="831" spans="1:16" x14ac:dyDescent="0.3">
      <c r="A831">
        <v>829</v>
      </c>
      <c r="B831">
        <f>'Real Input'!M831</f>
        <v>17.632996999993338</v>
      </c>
      <c r="C831">
        <f ca="1">INDIRECT(CONCATENATE("'Real Input'!",'Real Analysis'!$B$2,A831+2))</f>
        <v>9.8012789100000006</v>
      </c>
      <c r="D831">
        <f t="shared" si="61"/>
        <v>2.6180999993812293E-2</v>
      </c>
      <c r="E831">
        <f ca="1">IF(B831&gt;0,C831-'Real Analysis'!$B$14,0)</f>
        <v>-5.521889237142652E-2</v>
      </c>
      <c r="F831">
        <f t="shared" ca="1" si="64"/>
        <v>-9.6449913618843502E-2</v>
      </c>
      <c r="G831">
        <f t="shared" ca="1" si="65"/>
        <v>-1.007935284047045</v>
      </c>
      <c r="H831">
        <f ca="1">IF(AND(B831&gt;'Real Analysis'!$B$31,B831&lt;'Real Analysis'!$B$32),FilterInput(E831,'Real Analysis'!$B$26,'Real Analysis'!$B$27),0)</f>
        <v>-5.521889237142652E-2</v>
      </c>
      <c r="I831" t="e">
        <f>MEDIAN2("Real Values",H831,'Real Analysis'!$B$5,2)</f>
        <v>#VALUE!</v>
      </c>
      <c r="J831" t="e">
        <f>AVERAGE2("Real Values",I831,'Real Analysis'!$B$6,2)</f>
        <v>#VALUE!</v>
      </c>
      <c r="K831" t="e">
        <f>INTEGRAL2(J831,$B831,K830,J830,$B830,'Real Analysis'!$B$19)</f>
        <v>#VALUE!</v>
      </c>
      <c r="L831" t="e">
        <f>IF(AND(B831&lt;'Real Analysis'!$B$32,B831&gt;0),INTEGRAL2(K831,$B831,L830,K830,$B830,'Real Analysis'!$B$20),0)</f>
        <v>#VALUE!</v>
      </c>
      <c r="N831">
        <f>'Real Analysis'!$B$28*'Real Input'!U831+IF('Real Input'!U831 &gt; 0,'Real Analysis'!$B$29,0)</f>
        <v>-0.88184799999999997</v>
      </c>
      <c r="O831" t="e">
        <f t="shared" si="62"/>
        <v>#VALUE!</v>
      </c>
      <c r="P831" t="e">
        <f t="shared" si="63"/>
        <v>#VALUE!</v>
      </c>
    </row>
    <row r="832" spans="1:16" x14ac:dyDescent="0.3">
      <c r="A832">
        <v>830</v>
      </c>
      <c r="B832">
        <f>'Real Input'!M832</f>
        <v>17.651532000003499</v>
      </c>
      <c r="C832">
        <f ca="1">INDIRECT(CONCATENATE("'Real Input'!",'Real Analysis'!$B$2,A832+2))</f>
        <v>10.020434310000002</v>
      </c>
      <c r="D832">
        <f t="shared" si="61"/>
        <v>1.8535000010160729E-2</v>
      </c>
      <c r="E832">
        <f ca="1">IF(B832&gt;0,C832-'Real Analysis'!$B$14,0)</f>
        <v>0.16393650762857526</v>
      </c>
      <c r="F832">
        <f t="shared" ca="1" si="64"/>
        <v>-9.3411350448282152E-2</v>
      </c>
      <c r="G832">
        <f t="shared" ca="1" si="65"/>
        <v>-1.0096666634285532</v>
      </c>
      <c r="H832">
        <f ca="1">IF(AND(B832&gt;'Real Analysis'!$B$31,B832&lt;'Real Analysis'!$B$32),FilterInput(E832,'Real Analysis'!$B$26,'Real Analysis'!$B$27),0)</f>
        <v>0.16393650762857526</v>
      </c>
      <c r="I832" t="e">
        <f>MEDIAN2("Real Values",H832,'Real Analysis'!$B$5,2)</f>
        <v>#VALUE!</v>
      </c>
      <c r="J832" t="e">
        <f>AVERAGE2("Real Values",I832,'Real Analysis'!$B$6,2)</f>
        <v>#VALUE!</v>
      </c>
      <c r="K832" t="e">
        <f>INTEGRAL2(J832,$B832,K831,J831,$B831,'Real Analysis'!$B$19)</f>
        <v>#VALUE!</v>
      </c>
      <c r="L832" t="e">
        <f>IF(AND(B832&lt;'Real Analysis'!$B$32,B832&gt;0),INTEGRAL2(K832,$B832,L831,K831,$B831,'Real Analysis'!$B$20),0)</f>
        <v>#VALUE!</v>
      </c>
      <c r="N832">
        <f>'Real Analysis'!$B$28*'Real Input'!U832+IF('Real Input'!U832 &gt; 0,'Real Analysis'!$B$29,0)</f>
        <v>-0.88979600000000003</v>
      </c>
      <c r="O832" t="e">
        <f t="shared" si="62"/>
        <v>#VALUE!</v>
      </c>
      <c r="P832" t="e">
        <f t="shared" si="63"/>
        <v>#VALUE!</v>
      </c>
    </row>
    <row r="833" spans="1:16" x14ac:dyDescent="0.3">
      <c r="A833">
        <v>831</v>
      </c>
      <c r="B833">
        <f>'Real Input'!M833</f>
        <v>17.672609999994165</v>
      </c>
      <c r="C833">
        <f ca="1">INDIRECT(CONCATENATE("'Real Input'!",'Real Analysis'!$B$2,A833+2))</f>
        <v>10.07494848</v>
      </c>
      <c r="D833">
        <f t="shared" si="61"/>
        <v>2.1077999990666285E-2</v>
      </c>
      <c r="E833">
        <f ca="1">IF(B833&gt;0,C833-'Real Analysis'!$B$14,0)</f>
        <v>0.21845067762857262</v>
      </c>
      <c r="F833">
        <f t="shared" ca="1" si="64"/>
        <v>-8.8806847067266048E-2</v>
      </c>
      <c r="G833">
        <f t="shared" ca="1" si="65"/>
        <v>-1.0115385341502081</v>
      </c>
      <c r="H833">
        <f ca="1">IF(AND(B833&gt;'Real Analysis'!$B$31,B833&lt;'Real Analysis'!$B$32),FilterInput(E833,'Real Analysis'!$B$26,'Real Analysis'!$B$27),0)</f>
        <v>0.21845067762857262</v>
      </c>
      <c r="I833" t="e">
        <f>MEDIAN2("Real Values",H833,'Real Analysis'!$B$5,2)</f>
        <v>#VALUE!</v>
      </c>
      <c r="J833" t="e">
        <f>AVERAGE2("Real Values",I833,'Real Analysis'!$B$6,2)</f>
        <v>#VALUE!</v>
      </c>
      <c r="K833" t="e">
        <f>INTEGRAL2(J833,$B833,K832,J832,$B832,'Real Analysis'!$B$19)</f>
        <v>#VALUE!</v>
      </c>
      <c r="L833" t="e">
        <f>IF(AND(B833&lt;'Real Analysis'!$B$32,B833&gt;0),INTEGRAL2(K833,$B833,L832,K832,$B832,'Real Analysis'!$B$20),0)</f>
        <v>#VALUE!</v>
      </c>
      <c r="N833">
        <f>'Real Analysis'!$B$28*'Real Input'!U833+IF('Real Input'!U833 &gt; 0,'Real Analysis'!$B$29,0)</f>
        <v>-0.88780899999999996</v>
      </c>
      <c r="O833" t="e">
        <f t="shared" si="62"/>
        <v>#VALUE!</v>
      </c>
      <c r="P833" t="e">
        <f t="shared" si="63"/>
        <v>#VALUE!</v>
      </c>
    </row>
    <row r="834" spans="1:16" x14ac:dyDescent="0.3">
      <c r="A834">
        <v>832</v>
      </c>
      <c r="B834">
        <f>'Real Input'!M834</f>
        <v>17.712639999997918</v>
      </c>
      <c r="C834">
        <f ca="1">INDIRECT(CONCATENATE("'Real Input'!",'Real Analysis'!$B$2,A834+2))</f>
        <v>10.26995166</v>
      </c>
      <c r="D834">
        <f t="shared" si="61"/>
        <v>4.003000000375323E-2</v>
      </c>
      <c r="E834">
        <f ca="1">IF(B834&gt;0,C834-'Real Analysis'!$B$14,0)</f>
        <v>0.41345385762857312</v>
      </c>
      <c r="F834">
        <f t="shared" ca="1" si="64"/>
        <v>-7.2256289144842473E-2</v>
      </c>
      <c r="G834">
        <f t="shared" ca="1" si="65"/>
        <v>-1.0144309534049474</v>
      </c>
      <c r="H834">
        <f ca="1">IF(AND(B834&gt;'Real Analysis'!$B$31,B834&lt;'Real Analysis'!$B$32),FilterInput(E834,'Real Analysis'!$B$26,'Real Analysis'!$B$27),0)</f>
        <v>0.41345385762857312</v>
      </c>
      <c r="I834" t="e">
        <f>MEDIAN2("Real Values",H834,'Real Analysis'!$B$5,2)</f>
        <v>#VALUE!</v>
      </c>
      <c r="J834" t="e">
        <f>AVERAGE2("Real Values",I834,'Real Analysis'!$B$6,2)</f>
        <v>#VALUE!</v>
      </c>
      <c r="K834" t="e">
        <f>INTEGRAL2(J834,$B834,K833,J833,$B833,'Real Analysis'!$B$19)</f>
        <v>#VALUE!</v>
      </c>
      <c r="L834" t="e">
        <f ca="1">IF(AND(B834&lt;'Real Analysis'!$B$32,B834&gt;'Real Analysis'!$B$31),INTEGRAL2(K834,$B834,L833,K833,$B833,'Real Analysis'!$B$20),0)</f>
        <v>#VALUE!</v>
      </c>
      <c r="N834">
        <f>'Real Analysis'!$B$28*'Real Input'!U834+IF('Real Input'!U834 &gt; 0,'Real Analysis'!$B$29,0)</f>
        <v>-0.89575700000000003</v>
      </c>
      <c r="O834" t="e">
        <f t="shared" si="62"/>
        <v>#VALUE!</v>
      </c>
      <c r="P834" t="e">
        <f t="shared" ca="1" si="63"/>
        <v>#VALUE!</v>
      </c>
    </row>
    <row r="835" spans="1:16" x14ac:dyDescent="0.3">
      <c r="A835">
        <v>833</v>
      </c>
      <c r="B835">
        <f>'Real Input'!M835</f>
        <v>17.73266500000318</v>
      </c>
      <c r="C835">
        <f ca="1">INDIRECT(CONCATENATE("'Real Input'!",'Real Analysis'!$B$2,A835+2))</f>
        <v>10.33175466</v>
      </c>
      <c r="D835">
        <f t="shared" ref="D835:D898" si="66">B835-B834</f>
        <v>2.0025000005261973E-2</v>
      </c>
      <c r="E835">
        <f ca="1">IF(B835&gt;0,C835-'Real Analysis'!$B$14,0)</f>
        <v>0.4752568576285725</v>
      </c>
      <c r="F835">
        <f t="shared" ca="1" si="64"/>
        <v>-6.2739270568329522E-2</v>
      </c>
      <c r="G835">
        <f t="shared" ca="1" si="65"/>
        <v>-1.0156873072984083</v>
      </c>
      <c r="H835">
        <f ca="1">IF(AND(B835&gt;'Real Analysis'!$B$31,B835&lt;'Real Analysis'!$B$32),FilterInput(E835,'Real Analysis'!$B$26,'Real Analysis'!$B$27),0)</f>
        <v>0.4752568576285725</v>
      </c>
      <c r="I835" t="e">
        <f>MEDIAN2("Real Values",H835,'Real Analysis'!$B$5,2)</f>
        <v>#VALUE!</v>
      </c>
      <c r="J835" t="e">
        <f>AVERAGE2("Real Values",I835,'Real Analysis'!$B$6,2)</f>
        <v>#VALUE!</v>
      </c>
      <c r="K835" t="e">
        <f>INTEGRAL2(J835,$B835,K834,J834,$B834,'Real Analysis'!$B$19)</f>
        <v>#VALUE!</v>
      </c>
      <c r="L835" t="e">
        <f ca="1">IF(AND(B835&lt;'Real Analysis'!$B$32,B835&gt;'Real Analysis'!$B$31),INTEGRAL2(K835,$B835,L834,K834,$B834,'Real Analysis'!$B$20),0)</f>
        <v>#VALUE!</v>
      </c>
      <c r="N835">
        <f>'Real Analysis'!$B$28*'Real Input'!U835+IF('Real Input'!U835 &gt; 0,'Real Analysis'!$B$29,0)</f>
        <v>-0.90370499999999998</v>
      </c>
      <c r="O835" t="e">
        <f t="shared" ref="O835:O898" si="67">_xlfn.COVARIANCE.P($L$102:$L$1200,N835:N1933)</f>
        <v>#VALUE!</v>
      </c>
      <c r="P835" t="e">
        <f t="shared" ref="P835:P898" ca="1" si="68">N835-L835</f>
        <v>#VALUE!</v>
      </c>
    </row>
    <row r="836" spans="1:16" x14ac:dyDescent="0.3">
      <c r="A836">
        <v>834</v>
      </c>
      <c r="B836">
        <f>'Real Input'!M836</f>
        <v>17.737426000006963</v>
      </c>
      <c r="C836">
        <f ca="1">INDIRECT(CONCATENATE("'Real Input'!",'Real Analysis'!$B$2,A836+2))</f>
        <v>10.35442557</v>
      </c>
      <c r="D836">
        <f t="shared" si="66"/>
        <v>4.761000003782101E-3</v>
      </c>
      <c r="E836">
        <f ca="1">IF(B836&gt;0,C836-'Real Analysis'!$B$14,0)</f>
        <v>0.49792776762857294</v>
      </c>
      <c r="F836">
        <f t="shared" ref="F836:F899" ca="1" si="69">IF(B836&gt;0,F835+E836*$D836,0)</f>
        <v>-6.0368636464766673E-2</v>
      </c>
      <c r="G836">
        <f t="shared" ca="1" si="65"/>
        <v>-1.0159747223768454</v>
      </c>
      <c r="H836">
        <f ca="1">IF(AND(B836&gt;'Real Analysis'!$B$31,B836&lt;'Real Analysis'!$B$32),FilterInput(E836,'Real Analysis'!$B$26,'Real Analysis'!$B$27),0)</f>
        <v>0.49792776762857294</v>
      </c>
      <c r="I836" t="e">
        <f>MEDIAN2("Real Values",H836,'Real Analysis'!$B$5,2)</f>
        <v>#VALUE!</v>
      </c>
      <c r="J836" t="e">
        <f>AVERAGE2("Real Values",I836,'Real Analysis'!$B$6,2)</f>
        <v>#VALUE!</v>
      </c>
      <c r="K836" t="e">
        <f>INTEGRAL2(J836,$B836,K835,J835,$B835,'Real Analysis'!$B$19)</f>
        <v>#VALUE!</v>
      </c>
      <c r="L836" t="e">
        <f ca="1">IF(AND(B836&lt;'Real Analysis'!$B$32,B836&gt;'Real Analysis'!$B$31),INTEGRAL2(K836,$B836,L835,K835,$B835,'Real Analysis'!$B$20),0)</f>
        <v>#VALUE!</v>
      </c>
      <c r="N836">
        <f>'Real Analysis'!$B$28*'Real Input'!U836+IF('Real Input'!U836 &gt; 0,'Real Analysis'!$B$29,0)</f>
        <v>-0.90370499999999998</v>
      </c>
      <c r="O836" t="e">
        <f t="shared" si="67"/>
        <v>#VALUE!</v>
      </c>
      <c r="P836" t="e">
        <f t="shared" ca="1" si="68"/>
        <v>#VALUE!</v>
      </c>
    </row>
    <row r="837" spans="1:16" x14ac:dyDescent="0.3">
      <c r="A837">
        <v>835</v>
      </c>
      <c r="B837">
        <f>'Real Input'!M837</f>
        <v>17.773205000004964</v>
      </c>
      <c r="C837">
        <f ca="1">INDIRECT(CONCATENATE("'Real Input'!",'Real Analysis'!$B$2,A837+2))</f>
        <v>10.385699850000002</v>
      </c>
      <c r="D837">
        <f t="shared" si="66"/>
        <v>3.5778999998001382E-2</v>
      </c>
      <c r="E837">
        <f ca="1">IF(B837&gt;0,C837-'Real Analysis'!$B$14,0)</f>
        <v>0.52920204762857459</v>
      </c>
      <c r="F837">
        <f t="shared" ca="1" si="69"/>
        <v>-4.1434316403721576E-2</v>
      </c>
      <c r="G837">
        <f t="shared" ca="1" si="65"/>
        <v>-1.0174572007833713</v>
      </c>
      <c r="H837">
        <f ca="1">IF(AND(B837&gt;'Real Analysis'!$B$31,B837&lt;'Real Analysis'!$B$32),FilterInput(E837,'Real Analysis'!$B$26,'Real Analysis'!$B$27),0)</f>
        <v>0.52920204762857459</v>
      </c>
      <c r="I837" t="e">
        <f>MEDIAN2("Real Values",H837,'Real Analysis'!$B$5,2)</f>
        <v>#VALUE!</v>
      </c>
      <c r="J837" t="e">
        <f>AVERAGE2("Real Values",I837,'Real Analysis'!$B$6,2)</f>
        <v>#VALUE!</v>
      </c>
      <c r="K837" t="e">
        <f>INTEGRAL2(J837,$B837,K836,J836,$B836,'Real Analysis'!$B$19)</f>
        <v>#VALUE!</v>
      </c>
      <c r="L837" t="e">
        <f ca="1">IF(AND(B837&lt;'Real Analysis'!$B$32,B837&gt;'Real Analysis'!$B$31),INTEGRAL2(K837,$B837,L836,K836,$B836,'Real Analysis'!$B$20),0)</f>
        <v>#VALUE!</v>
      </c>
      <c r="N837">
        <f>'Real Analysis'!$B$28*'Real Input'!U837+IF('Real Input'!U837 &gt; 0,'Real Analysis'!$B$29,0)</f>
        <v>-0.90370499999999998</v>
      </c>
      <c r="O837" t="e">
        <f t="shared" si="67"/>
        <v>#VALUE!</v>
      </c>
      <c r="P837" t="e">
        <f t="shared" ca="1" si="68"/>
        <v>#VALUE!</v>
      </c>
    </row>
    <row r="838" spans="1:16" x14ac:dyDescent="0.3">
      <c r="A838">
        <v>836</v>
      </c>
      <c r="B838">
        <f>'Real Input'!M838</f>
        <v>17.787469999995665</v>
      </c>
      <c r="C838">
        <f ca="1">INDIRECT(CONCATENATE("'Real Input'!",'Real Analysis'!$B$2,A838+2))</f>
        <v>10.240413750000002</v>
      </c>
      <c r="D838">
        <f t="shared" si="66"/>
        <v>1.4264999990700744E-2</v>
      </c>
      <c r="E838">
        <f ca="1">IF(B838&gt;0,C838-'Real Analysis'!$B$14,0)</f>
        <v>0.38391594762857473</v>
      </c>
      <c r="F838">
        <f t="shared" ca="1" si="69"/>
        <v>-3.5957755414370088E-2</v>
      </c>
      <c r="G838">
        <f t="shared" ca="1" si="65"/>
        <v>-1.0179701381640229</v>
      </c>
      <c r="H838">
        <f ca="1">IF(AND(B838&gt;'Real Analysis'!$B$31,B838&lt;'Real Analysis'!$B$32),FilterInput(E838,'Real Analysis'!$B$26,'Real Analysis'!$B$27),0)</f>
        <v>0.38391594762857473</v>
      </c>
      <c r="I838" t="e">
        <f>MEDIAN2("Real Values",H838,'Real Analysis'!$B$5,2)</f>
        <v>#VALUE!</v>
      </c>
      <c r="J838" t="e">
        <f>AVERAGE2("Real Values",I838,'Real Analysis'!$B$6,2)</f>
        <v>#VALUE!</v>
      </c>
      <c r="K838" t="e">
        <f>INTEGRAL2(J838,$B838,K837,J837,$B837,'Real Analysis'!$B$19)</f>
        <v>#VALUE!</v>
      </c>
      <c r="L838" t="e">
        <f ca="1">IF(AND(B838&lt;'Real Analysis'!$B$32,B838&gt;'Real Analysis'!$B$31),INTEGRAL2(K838,$B838,L837,K837,$B837,'Real Analysis'!$B$20),0)</f>
        <v>#VALUE!</v>
      </c>
      <c r="N838">
        <f>'Real Analysis'!$B$28*'Real Input'!U838+IF('Real Input'!U838 &gt; 0,'Real Analysis'!$B$29,0)</f>
        <v>-0.90370499999999998</v>
      </c>
      <c r="O838" t="e">
        <f t="shared" si="67"/>
        <v>#VALUE!</v>
      </c>
      <c r="P838" t="e">
        <f t="shared" ca="1" si="68"/>
        <v>#VALUE!</v>
      </c>
    </row>
    <row r="839" spans="1:16" x14ac:dyDescent="0.3">
      <c r="A839">
        <v>837</v>
      </c>
      <c r="B839">
        <f>'Real Input'!M839</f>
        <v>17.813957000005757</v>
      </c>
      <c r="C839">
        <f ca="1">INDIRECT(CONCATENATE("'Real Input'!",'Real Analysis'!$B$2,A839+2))</f>
        <v>10.184516369999999</v>
      </c>
      <c r="D839">
        <f t="shared" si="66"/>
        <v>2.6487000010092743E-2</v>
      </c>
      <c r="E839">
        <f ca="1">IF(B839&gt;0,C839-'Real Analysis'!$B$14,0)</f>
        <v>0.32801856762857184</v>
      </c>
      <c r="F839">
        <f t="shared" ca="1" si="69"/>
        <v>-2.7269527610281501E-2</v>
      </c>
      <c r="G839">
        <f t="shared" ca="1" si="65"/>
        <v>-1.0186924261421118</v>
      </c>
      <c r="H839">
        <f ca="1">IF(AND(B839&gt;'Real Analysis'!$B$31,B839&lt;'Real Analysis'!$B$32),FilterInput(E839,'Real Analysis'!$B$26,'Real Analysis'!$B$27),0)</f>
        <v>0.32801856762857184</v>
      </c>
      <c r="I839" t="e">
        <f>MEDIAN2("Real Values",H839,'Real Analysis'!$B$5,2)</f>
        <v>#VALUE!</v>
      </c>
      <c r="J839" t="e">
        <f>AVERAGE2("Real Values",I839,'Real Analysis'!$B$6,2)</f>
        <v>#VALUE!</v>
      </c>
      <c r="K839" t="e">
        <f>INTEGRAL2(J839,$B839,K838,J838,$B838,'Real Analysis'!$B$19)</f>
        <v>#VALUE!</v>
      </c>
      <c r="L839" t="e">
        <f ca="1">IF(AND(B839&lt;'Real Analysis'!$B$32,B839&gt;'Real Analysis'!$B$31),INTEGRAL2(K839,$B839,L838,K838,$B838,'Real Analysis'!$B$20),0)</f>
        <v>#VALUE!</v>
      </c>
      <c r="N839">
        <f>'Real Analysis'!$B$28*'Real Input'!U839+IF('Real Input'!U839 &gt; 0,'Real Analysis'!$B$29,0)</f>
        <v>-0.91165299999999994</v>
      </c>
      <c r="O839" t="e">
        <f t="shared" si="67"/>
        <v>#VALUE!</v>
      </c>
      <c r="P839" t="e">
        <f t="shared" ca="1" si="68"/>
        <v>#VALUE!</v>
      </c>
    </row>
    <row r="840" spans="1:16" x14ac:dyDescent="0.3">
      <c r="A840">
        <v>838</v>
      </c>
      <c r="B840">
        <f>'Real Input'!M840</f>
        <v>17.824382000006153</v>
      </c>
      <c r="C840">
        <f ca="1">INDIRECT(CONCATENATE("'Real Input'!",'Real Analysis'!$B$2,A840+2))</f>
        <v>10.145256750000001</v>
      </c>
      <c r="D840">
        <f t="shared" si="66"/>
        <v>1.0425000000395812E-2</v>
      </c>
      <c r="E840">
        <f ca="1">IF(B840&gt;0,C840-'Real Analysis'!$B$14,0)</f>
        <v>0.28875894762857435</v>
      </c>
      <c r="F840">
        <f t="shared" ca="1" si="69"/>
        <v>-2.4259215581139318E-2</v>
      </c>
      <c r="G840">
        <f t="shared" ca="1" si="65"/>
        <v>-1.0189453284645547</v>
      </c>
      <c r="H840">
        <f ca="1">IF(AND(B840&gt;'Real Analysis'!$B$31,B840&lt;'Real Analysis'!$B$32),FilterInput(E840,'Real Analysis'!$B$26,'Real Analysis'!$B$27),0)</f>
        <v>0.28875894762857435</v>
      </c>
      <c r="I840" t="e">
        <f>MEDIAN2("Real Values",H840,'Real Analysis'!$B$5,2)</f>
        <v>#VALUE!</v>
      </c>
      <c r="J840" t="e">
        <f>AVERAGE2("Real Values",I840,'Real Analysis'!$B$6,2)</f>
        <v>#VALUE!</v>
      </c>
      <c r="K840" t="e">
        <f>INTEGRAL2(J840,$B840,K839,J839,$B839,'Real Analysis'!$B$19)</f>
        <v>#VALUE!</v>
      </c>
      <c r="L840" t="e">
        <f ca="1">IF(AND(B840&lt;'Real Analysis'!$B$32,B840&gt;'Real Analysis'!$B$31),INTEGRAL2(K840,$B840,L839,K839,$B839,'Real Analysis'!$B$20),0)</f>
        <v>#VALUE!</v>
      </c>
      <c r="N840">
        <f>'Real Analysis'!$B$28*'Real Input'!U840+IF('Real Input'!U840 &gt; 0,'Real Analysis'!$B$29,0)</f>
        <v>-0.91165299999999994</v>
      </c>
      <c r="O840" t="e">
        <f t="shared" si="67"/>
        <v>#VALUE!</v>
      </c>
      <c r="P840" t="e">
        <f t="shared" ca="1" si="68"/>
        <v>#VALUE!</v>
      </c>
    </row>
    <row r="841" spans="1:16" x14ac:dyDescent="0.3">
      <c r="A841">
        <v>839</v>
      </c>
      <c r="B841">
        <f>'Real Input'!M841</f>
        <v>17.850562000006903</v>
      </c>
      <c r="C841">
        <f ca="1">INDIRECT(CONCATENATE("'Real Input'!",'Real Analysis'!$B$2,A841+2))</f>
        <v>10.299764250000001</v>
      </c>
      <c r="D841">
        <f t="shared" si="66"/>
        <v>2.6180000000749715E-2</v>
      </c>
      <c r="E841">
        <f ca="1">IF(B841&gt;0,C841-'Real Analysis'!$B$14,0)</f>
        <v>0.4432664476285737</v>
      </c>
      <c r="F841">
        <f t="shared" ca="1" si="69"/>
        <v>-1.2654499981890934E-2</v>
      </c>
      <c r="G841">
        <f t="shared" ca="1" si="65"/>
        <v>-1.01927662327409</v>
      </c>
      <c r="H841">
        <f ca="1">IF(AND(B841&gt;'Real Analysis'!$B$31,B841&lt;'Real Analysis'!$B$32),FilterInput(E841,'Real Analysis'!$B$26,'Real Analysis'!$B$27),0)</f>
        <v>0.4432664476285737</v>
      </c>
      <c r="I841" t="e">
        <f>MEDIAN2("Real Values",H841,'Real Analysis'!$B$5,2)</f>
        <v>#VALUE!</v>
      </c>
      <c r="J841" t="e">
        <f>AVERAGE2("Real Values",I841,'Real Analysis'!$B$6,2)</f>
        <v>#VALUE!</v>
      </c>
      <c r="K841" t="e">
        <f>INTEGRAL2(J841,$B841,K840,J840,$B840,'Real Analysis'!$B$19)</f>
        <v>#VALUE!</v>
      </c>
      <c r="L841" t="e">
        <f ca="1">IF(AND(B841&lt;'Real Analysis'!$B$32,B841&gt;'Real Analysis'!$B$31),INTEGRAL2(K841,$B841,L840,K840,$B840,'Real Analysis'!$B$20),0)</f>
        <v>#VALUE!</v>
      </c>
      <c r="N841">
        <f>'Real Analysis'!$B$28*'Real Input'!U841+IF('Real Input'!U841 &gt; 0,'Real Analysis'!$B$29,0)</f>
        <v>-0.91761399999999993</v>
      </c>
      <c r="O841" t="e">
        <f t="shared" si="67"/>
        <v>#VALUE!</v>
      </c>
      <c r="P841" t="e">
        <f t="shared" ca="1" si="68"/>
        <v>#VALUE!</v>
      </c>
    </row>
    <row r="842" spans="1:16" x14ac:dyDescent="0.3">
      <c r="A842">
        <v>840</v>
      </c>
      <c r="B842">
        <f>'Real Input'!M842</f>
        <v>17.854382000004989</v>
      </c>
      <c r="C842">
        <f ca="1">INDIRECT(CONCATENATE("'Real Input'!",'Real Analysis'!$B$2,A842+2))</f>
        <v>10.324338300000001</v>
      </c>
      <c r="D842">
        <f t="shared" si="66"/>
        <v>3.8199999980861321E-3</v>
      </c>
      <c r="E842">
        <f ca="1">IF(B842&gt;0,C842-'Real Analysis'!$B$14,0)</f>
        <v>0.46784049762857371</v>
      </c>
      <c r="F842">
        <f t="shared" ca="1" si="69"/>
        <v>-1.0867349281845167E-2</v>
      </c>
      <c r="G842">
        <f t="shared" ca="1" si="65"/>
        <v>-1.0193181365483259</v>
      </c>
      <c r="H842">
        <f ca="1">IF(AND(B842&gt;'Real Analysis'!$B$31,B842&lt;'Real Analysis'!$B$32),FilterInput(E842,'Real Analysis'!$B$26,'Real Analysis'!$B$27),0)</f>
        <v>0.46784049762857371</v>
      </c>
      <c r="I842" t="e">
        <f>MEDIAN2("Real Values",H842,'Real Analysis'!$B$5,2)</f>
        <v>#VALUE!</v>
      </c>
      <c r="J842" t="e">
        <f>AVERAGE2("Real Values",I842,'Real Analysis'!$B$6,2)</f>
        <v>#VALUE!</v>
      </c>
      <c r="K842" t="e">
        <f>INTEGRAL2(J842,$B842,K841,J841,$B841,'Real Analysis'!$B$19)</f>
        <v>#VALUE!</v>
      </c>
      <c r="L842" t="e">
        <f ca="1">IF(AND(B842&lt;'Real Analysis'!$B$32,B842&gt;'Real Analysis'!$B$31),INTEGRAL2(K842,$B842,L841,K841,$B841,'Real Analysis'!$B$20),0)</f>
        <v>#VALUE!</v>
      </c>
      <c r="N842">
        <f>'Real Analysis'!$B$28*'Real Input'!U842+IF('Real Input'!U842 &gt; 0,'Real Analysis'!$B$29,0)</f>
        <v>-0.91761399999999993</v>
      </c>
      <c r="O842" t="e">
        <f t="shared" si="67"/>
        <v>#VALUE!</v>
      </c>
      <c r="P842" t="e">
        <f t="shared" ca="1" si="68"/>
        <v>#VALUE!</v>
      </c>
    </row>
    <row r="843" spans="1:16" x14ac:dyDescent="0.3">
      <c r="A843">
        <v>841</v>
      </c>
      <c r="B843">
        <f>'Real Input'!M843</f>
        <v>17.892170000006445</v>
      </c>
      <c r="C843">
        <f ca="1">INDIRECT(CONCATENATE("'Real Input'!",'Real Analysis'!$B$2,A843+2))</f>
        <v>10.279388879999999</v>
      </c>
      <c r="D843">
        <f t="shared" si="66"/>
        <v>3.7788000001455657E-2</v>
      </c>
      <c r="E843">
        <f ca="1">IF(B843&gt;0,C843-'Real Analysis'!$B$14,0)</f>
        <v>0.42289107762857192</v>
      </c>
      <c r="F843">
        <f t="shared" ca="1" si="69"/>
        <v>5.1128587601988948E-3</v>
      </c>
      <c r="G843">
        <f t="shared" ca="1" si="65"/>
        <v>-1.0191249318414881</v>
      </c>
      <c r="H843">
        <f ca="1">IF(AND(B843&gt;'Real Analysis'!$B$31,B843&lt;'Real Analysis'!$B$32),FilterInput(E843,'Real Analysis'!$B$26,'Real Analysis'!$B$27),0)</f>
        <v>0.42289107762857192</v>
      </c>
      <c r="I843" t="e">
        <f>MEDIAN2("Real Values",H843,'Real Analysis'!$B$5,2)</f>
        <v>#VALUE!</v>
      </c>
      <c r="J843" t="e">
        <f>AVERAGE2("Real Values",I843,'Real Analysis'!$B$6,2)</f>
        <v>#VALUE!</v>
      </c>
      <c r="K843" t="e">
        <f>INTEGRAL2(J843,$B843,K842,J842,$B842,'Real Analysis'!$B$19)</f>
        <v>#VALUE!</v>
      </c>
      <c r="L843" t="e">
        <f ca="1">IF(AND(B843&lt;'Real Analysis'!$B$32,B843&gt;'Real Analysis'!$B$31),INTEGRAL2(K843,$B843,L842,K842,$B842,'Real Analysis'!$B$20),0)</f>
        <v>#VALUE!</v>
      </c>
      <c r="N843">
        <f>'Real Analysis'!$B$28*'Real Input'!U843+IF('Real Input'!U843 &gt; 0,'Real Analysis'!$B$29,0)</f>
        <v>-0.92158799999999985</v>
      </c>
      <c r="O843" t="e">
        <f t="shared" si="67"/>
        <v>#VALUE!</v>
      </c>
      <c r="P843" t="e">
        <f t="shared" ca="1" si="68"/>
        <v>#VALUE!</v>
      </c>
    </row>
    <row r="844" spans="1:16" x14ac:dyDescent="0.3">
      <c r="A844">
        <v>842</v>
      </c>
      <c r="B844">
        <f>'Real Input'!M844</f>
        <v>17.908479999998235</v>
      </c>
      <c r="C844">
        <f ca="1">INDIRECT(CONCATENATE("'Real Input'!",'Real Analysis'!$B$2,A844+2))</f>
        <v>10.243925730000001</v>
      </c>
      <c r="D844">
        <f t="shared" si="66"/>
        <v>1.6309999991790392E-2</v>
      </c>
      <c r="E844">
        <f ca="1">IF(B844&gt;0,C844-'Real Analysis'!$B$14,0)</f>
        <v>0.3874279276285737</v>
      </c>
      <c r="F844">
        <f t="shared" ca="1" si="69"/>
        <v>1.1431808256640301E-2</v>
      </c>
      <c r="G844">
        <f t="shared" ca="1" si="65"/>
        <v>-1.0189384790489162</v>
      </c>
      <c r="H844">
        <f ca="1">IF(AND(B844&gt;'Real Analysis'!$B$31,B844&lt;'Real Analysis'!$B$32),FilterInput(E844,'Real Analysis'!$B$26,'Real Analysis'!$B$27),0)</f>
        <v>0.3874279276285737</v>
      </c>
      <c r="I844" t="e">
        <f>MEDIAN2("Real Values",H844,'Real Analysis'!$B$5,2)</f>
        <v>#VALUE!</v>
      </c>
      <c r="J844" t="e">
        <f>AVERAGE2("Real Values",I844,'Real Analysis'!$B$6,2)</f>
        <v>#VALUE!</v>
      </c>
      <c r="K844" t="e">
        <f>INTEGRAL2(J844,$B844,K843,J843,$B843,'Real Analysis'!$B$19)</f>
        <v>#VALUE!</v>
      </c>
      <c r="L844" t="e">
        <f ca="1">IF(AND(B844&lt;'Real Analysis'!$B$32,B844&gt;'Real Analysis'!$B$31),INTEGRAL2(K844,$B844,L843,K843,$B843,'Real Analysis'!$B$20),0)</f>
        <v>#VALUE!</v>
      </c>
      <c r="N844">
        <f>'Real Analysis'!$B$28*'Real Input'!U844+IF('Real Input'!U844 &gt; 0,'Real Analysis'!$B$29,0)</f>
        <v>-0.92158799999999985</v>
      </c>
      <c r="O844" t="e">
        <f t="shared" si="67"/>
        <v>#VALUE!</v>
      </c>
      <c r="P844" t="e">
        <f t="shared" ca="1" si="68"/>
        <v>#VALUE!</v>
      </c>
    </row>
    <row r="845" spans="1:16" x14ac:dyDescent="0.3">
      <c r="A845">
        <v>843</v>
      </c>
      <c r="B845">
        <f>'Real Input'!M845</f>
        <v>17.928702999997768</v>
      </c>
      <c r="C845">
        <f ca="1">INDIRECT(CONCATENATE("'Real Input'!",'Real Analysis'!$B$2,A845+2))</f>
        <v>10.261603350000001</v>
      </c>
      <c r="D845">
        <f t="shared" si="66"/>
        <v>2.0222999999532476E-2</v>
      </c>
      <c r="E845">
        <f ca="1">IF(B845&gt;0,C845-'Real Analysis'!$B$14,0)</f>
        <v>0.40510554762857431</v>
      </c>
      <c r="F845">
        <f t="shared" ca="1" si="69"/>
        <v>1.9624257746143563E-2</v>
      </c>
      <c r="G845">
        <f t="shared" ca="1" si="65"/>
        <v>-1.0185416176845252</v>
      </c>
      <c r="H845">
        <f ca="1">IF(AND(B845&gt;'Real Analysis'!$B$31,B845&lt;'Real Analysis'!$B$32),FilterInput(E845,'Real Analysis'!$B$26,'Real Analysis'!$B$27),0)</f>
        <v>0.40510554762857431</v>
      </c>
      <c r="I845" t="e">
        <f>MEDIAN2("Real Values",H845,'Real Analysis'!$B$5,2)</f>
        <v>#VALUE!</v>
      </c>
      <c r="J845" t="e">
        <f>AVERAGE2("Real Values",I845,'Real Analysis'!$B$6,2)</f>
        <v>#VALUE!</v>
      </c>
      <c r="K845" t="e">
        <f>INTEGRAL2(J845,$B845,K844,J844,$B844,'Real Analysis'!$B$19)</f>
        <v>#VALUE!</v>
      </c>
      <c r="L845" t="e">
        <f ca="1">IF(AND(B845&lt;'Real Analysis'!$B$32,B845&gt;'Real Analysis'!$B$31),INTEGRAL2(K845,$B845,L844,K844,$B844,'Real Analysis'!$B$20),0)</f>
        <v>#VALUE!</v>
      </c>
      <c r="N845">
        <f>'Real Analysis'!$B$28*'Real Input'!U845+IF('Real Input'!U845 &gt; 0,'Real Analysis'!$B$29,0)</f>
        <v>-0.92158799999999985</v>
      </c>
      <c r="O845" t="e">
        <f t="shared" si="67"/>
        <v>#VALUE!</v>
      </c>
      <c r="P845" t="e">
        <f t="shared" ca="1" si="68"/>
        <v>#VALUE!</v>
      </c>
    </row>
    <row r="846" spans="1:16" x14ac:dyDescent="0.3">
      <c r="A846">
        <v>844</v>
      </c>
      <c r="B846">
        <f>'Real Input'!M846</f>
        <v>17.949370999995153</v>
      </c>
      <c r="C846">
        <f ca="1">INDIRECT(CONCATENATE("'Real Input'!",'Real Analysis'!$B$2,A846+2))</f>
        <v>10.151486100000001</v>
      </c>
      <c r="D846">
        <f t="shared" si="66"/>
        <v>2.0667999997385778E-2</v>
      </c>
      <c r="E846">
        <f ca="1">IF(B846&gt;0,C846-'Real Analysis'!$B$14,0)</f>
        <v>0.29498829762857426</v>
      </c>
      <c r="F846">
        <f t="shared" ca="1" si="69"/>
        <v>2.572107588075977E-2</v>
      </c>
      <c r="G846">
        <f t="shared" ca="1" si="65"/>
        <v>-1.0180100144882889</v>
      </c>
      <c r="H846">
        <f ca="1">IF(AND(B846&gt;'Real Analysis'!$B$31,B846&lt;'Real Analysis'!$B$32),FilterInput(E846,'Real Analysis'!$B$26,'Real Analysis'!$B$27),0)</f>
        <v>0.29498829762857426</v>
      </c>
      <c r="I846" t="e">
        <f>MEDIAN2("Real Values",H846,'Real Analysis'!$B$5,2)</f>
        <v>#VALUE!</v>
      </c>
      <c r="J846" t="e">
        <f>AVERAGE2("Real Values",I846,'Real Analysis'!$B$6,2)</f>
        <v>#VALUE!</v>
      </c>
      <c r="K846" t="e">
        <f>INTEGRAL2(J846,$B846,K845,J845,$B845,'Real Analysis'!$B$19)</f>
        <v>#VALUE!</v>
      </c>
      <c r="L846" t="e">
        <f ca="1">IF(AND(B846&lt;'Real Analysis'!$B$32,B846&gt;'Real Analysis'!$B$31),INTEGRAL2(K846,$B846,L845,K845,$B845,'Real Analysis'!$B$20),0)</f>
        <v>#VALUE!</v>
      </c>
      <c r="N846">
        <f>'Real Analysis'!$B$28*'Real Input'!U846+IF('Real Input'!U846 &gt; 0,'Real Analysis'!$B$29,0)</f>
        <v>-0.92158799999999985</v>
      </c>
      <c r="O846" t="e">
        <f t="shared" si="67"/>
        <v>#VALUE!</v>
      </c>
      <c r="P846" t="e">
        <f t="shared" ca="1" si="68"/>
        <v>#VALUE!</v>
      </c>
    </row>
    <row r="847" spans="1:16" x14ac:dyDescent="0.3">
      <c r="A847">
        <v>845</v>
      </c>
      <c r="B847">
        <f>'Real Input'!M847</f>
        <v>17.962098000003607</v>
      </c>
      <c r="C847">
        <f ca="1">INDIRECT(CONCATENATE("'Real Input'!",'Real Analysis'!$B$2,A847+2))</f>
        <v>10.210758120000001</v>
      </c>
      <c r="D847">
        <f t="shared" si="66"/>
        <v>1.2727000008453615E-2</v>
      </c>
      <c r="E847">
        <f ca="1">IF(B847&gt;0,C847-'Real Analysis'!$B$14,0)</f>
        <v>0.35426031762857413</v>
      </c>
      <c r="F847">
        <f t="shared" ca="1" si="69"/>
        <v>3.0229746946213415E-2</v>
      </c>
      <c r="G847">
        <f t="shared" ca="1" si="65"/>
        <v>-1.0176252804986488</v>
      </c>
      <c r="H847">
        <f ca="1">IF(AND(B847&gt;'Real Analysis'!$B$31,B847&lt;'Real Analysis'!$B$32),FilterInput(E847,'Real Analysis'!$B$26,'Real Analysis'!$B$27),0)</f>
        <v>0.35426031762857413</v>
      </c>
      <c r="I847" t="e">
        <f>MEDIAN2("Real Values",H847,'Real Analysis'!$B$5,2)</f>
        <v>#VALUE!</v>
      </c>
      <c r="J847" t="e">
        <f>AVERAGE2("Real Values",I847,'Real Analysis'!$B$6,2)</f>
        <v>#VALUE!</v>
      </c>
      <c r="K847" t="e">
        <f>INTEGRAL2(J847,$B847,K846,J846,$B846,'Real Analysis'!$B$19)</f>
        <v>#VALUE!</v>
      </c>
      <c r="L847" t="e">
        <f ca="1">IF(AND(B847&lt;'Real Analysis'!$B$32,B847&gt;'Real Analysis'!$B$31),INTEGRAL2(K847,$B847,L846,K846,$B846,'Real Analysis'!$B$20),0)</f>
        <v>#VALUE!</v>
      </c>
      <c r="N847">
        <f>'Real Analysis'!$B$28*'Real Input'!U847+IF('Real Input'!U847 &gt; 0,'Real Analysis'!$B$29,0)</f>
        <v>-0.92556199999999988</v>
      </c>
      <c r="O847" t="e">
        <f t="shared" si="67"/>
        <v>#VALUE!</v>
      </c>
      <c r="P847" t="e">
        <f t="shared" ca="1" si="68"/>
        <v>#VALUE!</v>
      </c>
    </row>
    <row r="848" spans="1:16" x14ac:dyDescent="0.3">
      <c r="A848">
        <v>846</v>
      </c>
      <c r="B848">
        <f>'Real Input'!M848</f>
        <v>17.990875000003143</v>
      </c>
      <c r="C848">
        <f ca="1">INDIRECT(CONCATENATE("'Real Input'!",'Real Analysis'!$B$2,A848+2))</f>
        <v>10.16886942</v>
      </c>
      <c r="D848">
        <f t="shared" si="66"/>
        <v>2.8776999999536201E-2</v>
      </c>
      <c r="E848">
        <f ca="1">IF(B848&gt;0,C848-'Real Analysis'!$B$14,0)</f>
        <v>0.31237161762857291</v>
      </c>
      <c r="F848">
        <f t="shared" ca="1" si="69"/>
        <v>3.9218864986565981E-2</v>
      </c>
      <c r="G848">
        <f t="shared" ca="1" si="65"/>
        <v>-1.0164966792209484</v>
      </c>
      <c r="H848">
        <f ca="1">IF(AND(B848&gt;'Real Analysis'!$B$31,B848&lt;'Real Analysis'!$B$32),FilterInput(E848,'Real Analysis'!$B$26,'Real Analysis'!$B$27),0)</f>
        <v>0.31237161762857291</v>
      </c>
      <c r="I848" t="e">
        <f>MEDIAN2("Real Values",H848,'Real Analysis'!$B$5,2)</f>
        <v>#VALUE!</v>
      </c>
      <c r="J848" t="e">
        <f>AVERAGE2("Real Values",I848,'Real Analysis'!$B$6,2)</f>
        <v>#VALUE!</v>
      </c>
      <c r="K848" t="e">
        <f>INTEGRAL2(J848,$B848,K847,J847,$B847,'Real Analysis'!$B$19)</f>
        <v>#VALUE!</v>
      </c>
      <c r="L848" t="e">
        <f ca="1">IF(AND(B848&lt;'Real Analysis'!$B$32,B848&gt;'Real Analysis'!$B$31),INTEGRAL2(K848,$B848,L847,K847,$B847,'Real Analysis'!$B$20),0)</f>
        <v>#VALUE!</v>
      </c>
      <c r="N848">
        <f>'Real Analysis'!$B$28*'Real Input'!U848+IF('Real Input'!U848 &gt; 0,'Real Analysis'!$B$29,0)</f>
        <v>-0.92556199999999988</v>
      </c>
      <c r="O848" t="e">
        <f t="shared" si="67"/>
        <v>#VALUE!</v>
      </c>
      <c r="P848" t="e">
        <f t="shared" ca="1" si="68"/>
        <v>#VALUE!</v>
      </c>
    </row>
    <row r="849" spans="1:16" x14ac:dyDescent="0.3">
      <c r="A849">
        <v>847</v>
      </c>
      <c r="B849">
        <f>'Real Input'!M849</f>
        <v>17.994823000000906</v>
      </c>
      <c r="C849">
        <f ca="1">INDIRECT(CONCATENATE("'Real Input'!",'Real Analysis'!$B$2,A849+2))</f>
        <v>10.04020146</v>
      </c>
      <c r="D849">
        <f t="shared" si="66"/>
        <v>3.9479999977629632E-3</v>
      </c>
      <c r="E849">
        <f ca="1">IF(B849&gt;0,C849-'Real Analysis'!$B$14,0)</f>
        <v>0.18370365762857332</v>
      </c>
      <c r="F849">
        <f t="shared" ca="1" si="69"/>
        <v>3.9944127026472639E-2</v>
      </c>
      <c r="G849">
        <f t="shared" ca="1" si="65"/>
        <v>-1.0163389798075373</v>
      </c>
      <c r="H849">
        <f ca="1">IF(AND(B849&gt;'Real Analysis'!$B$31,B849&lt;'Real Analysis'!$B$32),FilterInput(E849,'Real Analysis'!$B$26,'Real Analysis'!$B$27),0)</f>
        <v>0.18370365762857332</v>
      </c>
      <c r="I849" t="e">
        <f>MEDIAN2("Real Values",H849,'Real Analysis'!$B$5,2)</f>
        <v>#VALUE!</v>
      </c>
      <c r="J849" t="e">
        <f>AVERAGE2("Real Values",I849,'Real Analysis'!$B$6,2)</f>
        <v>#VALUE!</v>
      </c>
      <c r="K849" t="e">
        <f>INTEGRAL2(J849,$B849,K848,J848,$B848,'Real Analysis'!$B$19)</f>
        <v>#VALUE!</v>
      </c>
      <c r="L849" t="e">
        <f ca="1">IF(AND(B849&lt;'Real Analysis'!$B$32,B849&gt;'Real Analysis'!$B$31),INTEGRAL2(K849,$B849,L848,K848,$B848,'Real Analysis'!$B$20),0)</f>
        <v>#VALUE!</v>
      </c>
      <c r="N849">
        <f>'Real Analysis'!$B$28*'Real Input'!U849+IF('Real Input'!U849 &gt; 0,'Real Analysis'!$B$29,0)</f>
        <v>-0.92556199999999988</v>
      </c>
      <c r="O849" t="e">
        <f t="shared" si="67"/>
        <v>#VALUE!</v>
      </c>
      <c r="P849" t="e">
        <f t="shared" ca="1" si="68"/>
        <v>#VALUE!</v>
      </c>
    </row>
    <row r="850" spans="1:16" x14ac:dyDescent="0.3">
      <c r="A850">
        <v>848</v>
      </c>
      <c r="B850">
        <f>'Real Input'!M850</f>
        <v>18.027514000001247</v>
      </c>
      <c r="C850">
        <f ca="1">INDIRECT(CONCATENATE("'Real Input'!",'Real Analysis'!$B$2,A850+2))</f>
        <v>10.07010234</v>
      </c>
      <c r="D850">
        <f t="shared" si="66"/>
        <v>3.2691000000340864E-2</v>
      </c>
      <c r="E850">
        <f ca="1">IF(B850&gt;0,C850-'Real Analysis'!$B$14,0)</f>
        <v>0.2136045376285729</v>
      </c>
      <c r="F850">
        <f t="shared" ca="1" si="69"/>
        <v>4.6927072966161124E-2</v>
      </c>
      <c r="G850">
        <f t="shared" ca="1" si="65"/>
        <v>-1.0148048868651844</v>
      </c>
      <c r="H850">
        <f ca="1">IF(AND(B850&gt;'Real Analysis'!$B$31,B850&lt;'Real Analysis'!$B$32),FilterInput(E850,'Real Analysis'!$B$26,'Real Analysis'!$B$27),0)</f>
        <v>0.2136045376285729</v>
      </c>
      <c r="I850" t="e">
        <f>MEDIAN2("Real Values",H850,'Real Analysis'!$B$5,2)</f>
        <v>#VALUE!</v>
      </c>
      <c r="J850" t="e">
        <f>AVERAGE2("Real Values",I850,'Real Analysis'!$B$6,2)</f>
        <v>#VALUE!</v>
      </c>
      <c r="K850" t="e">
        <f>INTEGRAL2(J850,$B850,K849,J849,$B849,'Real Analysis'!$B$19)</f>
        <v>#VALUE!</v>
      </c>
      <c r="L850" t="e">
        <f ca="1">IF(AND(B850&lt;'Real Analysis'!$B$32,B850&gt;'Real Analysis'!$B$31),INTEGRAL2(K850,$B850,L849,K849,$B849,'Real Analysis'!$B$20),0)</f>
        <v>#VALUE!</v>
      </c>
      <c r="N850">
        <f>'Real Analysis'!$B$28*'Real Input'!U850+IF('Real Input'!U850 &gt; 0,'Real Analysis'!$B$29,0)</f>
        <v>-0.92556199999999988</v>
      </c>
      <c r="O850" t="e">
        <f t="shared" si="67"/>
        <v>#VALUE!</v>
      </c>
      <c r="P850" t="e">
        <f t="shared" ca="1" si="68"/>
        <v>#VALUE!</v>
      </c>
    </row>
    <row r="851" spans="1:16" x14ac:dyDescent="0.3">
      <c r="A851">
        <v>849</v>
      </c>
      <c r="B851">
        <f>'Real Input'!M851</f>
        <v>18.050101000000723</v>
      </c>
      <c r="C851">
        <f ca="1">INDIRECT(CONCATENATE("'Real Input'!",'Real Analysis'!$B$2,A851+2))</f>
        <v>10.26749916</v>
      </c>
      <c r="D851">
        <f t="shared" si="66"/>
        <v>2.2586999999475665E-2</v>
      </c>
      <c r="E851">
        <f ca="1">IF(B851&gt;0,C851-'Real Analysis'!$B$14,0)</f>
        <v>0.41100135762857271</v>
      </c>
      <c r="F851">
        <f t="shared" ca="1" si="69"/>
        <v>5.6210360630702193E-2</v>
      </c>
      <c r="G851">
        <f t="shared" ca="1" si="65"/>
        <v>-1.0135352634496482</v>
      </c>
      <c r="H851">
        <f ca="1">IF(AND(B851&gt;'Real Analysis'!$B$31,B851&lt;'Real Analysis'!$B$32),FilterInput(E851,'Real Analysis'!$B$26,'Real Analysis'!$B$27),0)</f>
        <v>0.41100135762857271</v>
      </c>
      <c r="I851" t="e">
        <f>MEDIAN2("Real Values",H851,'Real Analysis'!$B$5,2)</f>
        <v>#VALUE!</v>
      </c>
      <c r="J851" t="e">
        <f>AVERAGE2("Real Values",I851,'Real Analysis'!$B$6,2)</f>
        <v>#VALUE!</v>
      </c>
      <c r="K851" t="e">
        <f>INTEGRAL2(J851,$B851,K850,J850,$B850,'Real Analysis'!$B$19)</f>
        <v>#VALUE!</v>
      </c>
      <c r="L851" t="e">
        <f ca="1">IF(AND(B851&lt;'Real Analysis'!$B$32,B851&gt;'Real Analysis'!$B$31),INTEGRAL2(K851,$B851,L850,K850,$B850,'Real Analysis'!$B$20),0)</f>
        <v>#VALUE!</v>
      </c>
      <c r="N851">
        <f>'Real Analysis'!$B$28*'Real Input'!U851+IF('Real Input'!U851 &gt; 0,'Real Analysis'!$B$29,0)</f>
        <v>-0.92754899999999996</v>
      </c>
      <c r="O851" t="e">
        <f t="shared" si="67"/>
        <v>#VALUE!</v>
      </c>
      <c r="P851" t="e">
        <f t="shared" ca="1" si="68"/>
        <v>#VALUE!</v>
      </c>
    </row>
    <row r="852" spans="1:16" x14ac:dyDescent="0.3">
      <c r="A852">
        <v>850</v>
      </c>
      <c r="B852">
        <f>'Real Input'!M852</f>
        <v>18.062420999995084</v>
      </c>
      <c r="C852">
        <f ca="1">INDIRECT(CONCATENATE("'Real Input'!",'Real Analysis'!$B$2,A852+2))</f>
        <v>10.19753424</v>
      </c>
      <c r="D852">
        <f t="shared" si="66"/>
        <v>1.2319999994360842E-2</v>
      </c>
      <c r="E852">
        <f ca="1">IF(B852&gt;0,C852-'Real Analysis'!$B$14,0)</f>
        <v>0.34103643762857239</v>
      </c>
      <c r="F852">
        <f t="shared" ca="1" si="69"/>
        <v>6.0411929540363049E-2</v>
      </c>
      <c r="G852">
        <f t="shared" ca="1" si="65"/>
        <v>-1.0127909884780515</v>
      </c>
      <c r="H852">
        <f ca="1">IF(AND(B852&gt;'Real Analysis'!$B$31,B852&lt;'Real Analysis'!$B$32),FilterInput(E852,'Real Analysis'!$B$26,'Real Analysis'!$B$27),0)</f>
        <v>0.34103643762857239</v>
      </c>
      <c r="I852" t="e">
        <f>MEDIAN2("Real Values",H852,'Real Analysis'!$B$5,2)</f>
        <v>#VALUE!</v>
      </c>
      <c r="J852" t="e">
        <f>AVERAGE2("Real Values",I852,'Real Analysis'!$B$6,2)</f>
        <v>#VALUE!</v>
      </c>
      <c r="K852" t="e">
        <f>INTEGRAL2(J852,$B852,K851,J851,$B851,'Real Analysis'!$B$19)</f>
        <v>#VALUE!</v>
      </c>
      <c r="L852" t="e">
        <f ca="1">IF(AND(B852&lt;'Real Analysis'!$B$32,B852&gt;'Real Analysis'!$B$31),INTEGRAL2(K852,$B852,L851,K851,$B851,'Real Analysis'!$B$20),0)</f>
        <v>#VALUE!</v>
      </c>
      <c r="N852">
        <f>'Real Analysis'!$B$28*'Real Input'!U852+IF('Real Input'!U852 &gt; 0,'Real Analysis'!$B$29,0)</f>
        <v>-0.92754899999999996</v>
      </c>
      <c r="O852" t="e">
        <f t="shared" si="67"/>
        <v>#VALUE!</v>
      </c>
      <c r="P852" t="e">
        <f t="shared" ca="1" si="68"/>
        <v>#VALUE!</v>
      </c>
    </row>
    <row r="853" spans="1:16" x14ac:dyDescent="0.3">
      <c r="A853">
        <v>851</v>
      </c>
      <c r="B853">
        <f>'Real Input'!M853</f>
        <v>18.106587999995099</v>
      </c>
      <c r="C853">
        <f ca="1">INDIRECT(CONCATENATE("'Real Input'!",'Real Analysis'!$B$2,A853+2))</f>
        <v>10.102514579999999</v>
      </c>
      <c r="D853">
        <f t="shared" si="66"/>
        <v>4.4167000000015832E-2</v>
      </c>
      <c r="E853">
        <f ca="1">IF(B853&gt;0,C853-'Real Analysis'!$B$14,0)</f>
        <v>0.24601677762857221</v>
      </c>
      <c r="F853">
        <f t="shared" ca="1" si="69"/>
        <v>7.1277752557888097E-2</v>
      </c>
      <c r="G853">
        <f t="shared" ca="1" si="65"/>
        <v>-1.0096428639808261</v>
      </c>
      <c r="H853">
        <f ca="1">IF(AND(B853&gt;'Real Analysis'!$B$31,B853&lt;'Real Analysis'!$B$32),FilterInput(E853,'Real Analysis'!$B$26,'Real Analysis'!$B$27),0)</f>
        <v>0.24601677762857221</v>
      </c>
      <c r="I853" t="e">
        <f>MEDIAN2("Real Values",H853,'Real Analysis'!$B$5,2)</f>
        <v>#VALUE!</v>
      </c>
      <c r="J853" t="e">
        <f>AVERAGE2("Real Values",I853,'Real Analysis'!$B$6,2)</f>
        <v>#VALUE!</v>
      </c>
      <c r="K853" t="e">
        <f>INTEGRAL2(J853,$B853,K852,J852,$B852,'Real Analysis'!$B$19)</f>
        <v>#VALUE!</v>
      </c>
      <c r="L853" t="e">
        <f ca="1">IF(AND(B853&lt;'Real Analysis'!$B$32,B853&gt;'Real Analysis'!$B$31),INTEGRAL2(K853,$B853,L852,K852,$B852,'Real Analysis'!$B$20),0)</f>
        <v>#VALUE!</v>
      </c>
      <c r="N853">
        <f>'Real Analysis'!$B$28*'Real Input'!U853+IF('Real Input'!U853 &gt; 0,'Real Analysis'!$B$29,0)</f>
        <v>-0.92556199999999988</v>
      </c>
      <c r="O853" t="e">
        <f t="shared" si="67"/>
        <v>#VALUE!</v>
      </c>
      <c r="P853" t="e">
        <f t="shared" ca="1" si="68"/>
        <v>#VALUE!</v>
      </c>
    </row>
    <row r="854" spans="1:16" x14ac:dyDescent="0.3">
      <c r="A854">
        <v>852</v>
      </c>
      <c r="B854">
        <f>'Real Input'!M854</f>
        <v>18.167728999993415</v>
      </c>
      <c r="C854">
        <f ca="1">INDIRECT(CONCATENATE("'Real Input'!",'Real Analysis'!$B$2,A854+2))</f>
        <v>9.9314576100000007</v>
      </c>
      <c r="D854">
        <f t="shared" si="66"/>
        <v>6.1140999998315237E-2</v>
      </c>
      <c r="E854">
        <f ca="1">IF(B854&gt;0,C854-'Real Analysis'!$B$14,0)</f>
        <v>7.4959807628573571E-2</v>
      </c>
      <c r="F854">
        <f t="shared" ca="1" si="69"/>
        <v>7.586087015598042E-2</v>
      </c>
      <c r="G854">
        <f t="shared" ca="1" si="65"/>
        <v>-1.0050046545187472</v>
      </c>
      <c r="H854">
        <f ca="1">IF(AND(B854&gt;'Real Analysis'!$B$31,B854&lt;'Real Analysis'!$B$32),FilterInput(E854,'Real Analysis'!$B$26,'Real Analysis'!$B$27),0)</f>
        <v>7.4959807628573571E-2</v>
      </c>
      <c r="I854" t="e">
        <f>MEDIAN2("Real Values",H854,'Real Analysis'!$B$5,2)</f>
        <v>#VALUE!</v>
      </c>
      <c r="J854" t="e">
        <f>AVERAGE2("Real Values",I854,'Real Analysis'!$B$6,2)</f>
        <v>#VALUE!</v>
      </c>
      <c r="K854" t="e">
        <f>INTEGRAL2(J854,$B854,K853,J853,$B853,'Real Analysis'!$B$19)</f>
        <v>#VALUE!</v>
      </c>
      <c r="L854" t="e">
        <f ca="1">IF(AND(B854&lt;'Real Analysis'!$B$32,B854&gt;'Real Analysis'!$B$31),INTEGRAL2(K854,$B854,L853,K853,$B853,'Real Analysis'!$B$20),0)</f>
        <v>#VALUE!</v>
      </c>
      <c r="N854">
        <f>'Real Analysis'!$B$28*'Real Input'!U854+IF('Real Input'!U854 &gt; 0,'Real Analysis'!$B$29,0)</f>
        <v>-0.92754899999999996</v>
      </c>
      <c r="O854" t="e">
        <f t="shared" si="67"/>
        <v>#VALUE!</v>
      </c>
      <c r="P854" t="e">
        <f t="shared" ca="1" si="68"/>
        <v>#VALUE!</v>
      </c>
    </row>
    <row r="855" spans="1:16" x14ac:dyDescent="0.3">
      <c r="A855">
        <v>853</v>
      </c>
      <c r="B855">
        <f>'Real Input'!M855</f>
        <v>18.180475999994087</v>
      </c>
      <c r="C855">
        <f ca="1">INDIRECT(CONCATENATE("'Real Input'!",'Real Analysis'!$B$2,A855+2))</f>
        <v>9.8945425800000013</v>
      </c>
      <c r="D855">
        <f t="shared" si="66"/>
        <v>1.2747000000672415E-2</v>
      </c>
      <c r="E855">
        <f ca="1">IF(B855&gt;0,C855-'Real Analysis'!$B$14,0)</f>
        <v>3.8044777628574167E-2</v>
      </c>
      <c r="F855">
        <f t="shared" ca="1" si="69"/>
        <v>7.6345826936437433E-2</v>
      </c>
      <c r="G855">
        <f t="shared" ca="1" si="65"/>
        <v>-1.0040314742627372</v>
      </c>
      <c r="H855">
        <f ca="1">IF(AND(B855&gt;'Real Analysis'!$B$31,B855&lt;'Real Analysis'!$B$32),FilterInput(E855,'Real Analysis'!$B$26,'Real Analysis'!$B$27),0)</f>
        <v>3.8044777628574167E-2</v>
      </c>
      <c r="I855" t="e">
        <f>MEDIAN2("Real Values",H855,'Real Analysis'!$B$5,2)</f>
        <v>#VALUE!</v>
      </c>
      <c r="J855" t="e">
        <f>AVERAGE2("Real Values",I855,'Real Analysis'!$B$6,2)</f>
        <v>#VALUE!</v>
      </c>
      <c r="K855" t="e">
        <f>INTEGRAL2(J855,$B855,K854,J854,$B854,'Real Analysis'!$B$19)</f>
        <v>#VALUE!</v>
      </c>
      <c r="L855" t="e">
        <f ca="1">IF(AND(B855&lt;'Real Analysis'!$B$32,B855&gt;'Real Analysis'!$B$31),INTEGRAL2(K855,$B855,L854,K854,$B854,'Real Analysis'!$B$20),0)</f>
        <v>#VALUE!</v>
      </c>
      <c r="N855">
        <f>'Real Analysis'!$B$28*'Real Input'!U855+IF('Real Input'!U855 &gt; 0,'Real Analysis'!$B$29,0)</f>
        <v>-0.92754899999999996</v>
      </c>
      <c r="O855" t="e">
        <f t="shared" si="67"/>
        <v>#VALUE!</v>
      </c>
      <c r="P855" t="e">
        <f t="shared" ca="1" si="68"/>
        <v>#VALUE!</v>
      </c>
    </row>
    <row r="856" spans="1:16" x14ac:dyDescent="0.3">
      <c r="A856">
        <v>854</v>
      </c>
      <c r="B856">
        <f>'Real Input'!M856</f>
        <v>18.320932000002358</v>
      </c>
      <c r="C856">
        <f ca="1">INDIRECT(CONCATENATE("'Real Input'!",'Real Analysis'!$B$2,A856+2))</f>
        <v>9.9343123200000001</v>
      </c>
      <c r="D856">
        <f t="shared" si="66"/>
        <v>0.14045600000827108</v>
      </c>
      <c r="E856">
        <f ca="1">IF(B856&gt;0,C856-'Real Analysis'!$B$14,0)</f>
        <v>7.7814517628572943E-2</v>
      </c>
      <c r="F856">
        <f t="shared" ca="1" si="69"/>
        <v>8.7275342825119881E-2</v>
      </c>
      <c r="G856">
        <f t="shared" ca="1" si="65"/>
        <v>-0.99177312871017032</v>
      </c>
      <c r="H856">
        <f ca="1">IF(AND(B856&gt;'Real Analysis'!$B$31,B856&lt;'Real Analysis'!$B$32),FilterInput(E856,'Real Analysis'!$B$26,'Real Analysis'!$B$27),0)</f>
        <v>7.7814517628572943E-2</v>
      </c>
      <c r="I856" t="e">
        <f>MEDIAN2("Real Values",H856,'Real Analysis'!$B$5,2)</f>
        <v>#VALUE!</v>
      </c>
      <c r="J856" t="e">
        <f>AVERAGE2("Real Values",I856,'Real Analysis'!$B$6,2)</f>
        <v>#VALUE!</v>
      </c>
      <c r="K856" t="e">
        <f>INTEGRAL2(J856,$B856,K855,J855,$B855,'Real Analysis'!$B$19)</f>
        <v>#VALUE!</v>
      </c>
      <c r="L856" t="e">
        <f ca="1">IF(AND(B856&lt;'Real Analysis'!$B$32,B856&gt;'Real Analysis'!$B$31),INTEGRAL2(K856,$B856,L855,K855,$B855,'Real Analysis'!$B$20),0)</f>
        <v>#VALUE!</v>
      </c>
      <c r="N856">
        <f>'Real Analysis'!$B$28*'Real Input'!U856+IF('Real Input'!U856 &gt; 0,'Real Analysis'!$B$29,0)</f>
        <v>-0.92754899999999996</v>
      </c>
      <c r="O856" t="e">
        <f t="shared" si="67"/>
        <v>#VALUE!</v>
      </c>
      <c r="P856" t="e">
        <f t="shared" ca="1" si="68"/>
        <v>#VALUE!</v>
      </c>
    </row>
    <row r="857" spans="1:16" x14ac:dyDescent="0.3">
      <c r="A857">
        <v>855</v>
      </c>
      <c r="B857">
        <f>'Real Input'!M857</f>
        <v>18.380057000002125</v>
      </c>
      <c r="C857">
        <f ca="1">INDIRECT(CONCATENATE("'Real Input'!",'Real Analysis'!$B$2,A857+2))</f>
        <v>9.9550016100000001</v>
      </c>
      <c r="D857">
        <f t="shared" si="66"/>
        <v>5.9124999999767169E-2</v>
      </c>
      <c r="E857">
        <f ca="1">IF(B857&gt;0,C857-'Real Analysis'!$B$14,0)</f>
        <v>9.8503807628572915E-2</v>
      </c>
      <c r="F857">
        <f t="shared" ca="1" si="69"/>
        <v>9.3099380451136318E-2</v>
      </c>
      <c r="G857">
        <f t="shared" ca="1" si="65"/>
        <v>-0.98626862784101854</v>
      </c>
      <c r="H857">
        <f ca="1">IF(AND(B857&gt;'Real Analysis'!$B$31,B857&lt;'Real Analysis'!$B$32),FilterInput(E857,'Real Analysis'!$B$26,'Real Analysis'!$B$27),0)</f>
        <v>9.8503807628572915E-2</v>
      </c>
      <c r="I857" t="e">
        <f>MEDIAN2("Real Values",H857,'Real Analysis'!$B$5,2)</f>
        <v>#VALUE!</v>
      </c>
      <c r="J857" t="e">
        <f>AVERAGE2("Real Values",I857,'Real Analysis'!$B$6,2)</f>
        <v>#VALUE!</v>
      </c>
      <c r="K857" t="e">
        <f>INTEGRAL2(J857,$B857,K856,J856,$B856,'Real Analysis'!$B$19)</f>
        <v>#VALUE!</v>
      </c>
      <c r="L857" t="e">
        <f ca="1">IF(AND(B857&lt;'Real Analysis'!$B$32,B857&gt;'Real Analysis'!$B$31),INTEGRAL2(K857,$B857,L856,K856,$B856,'Real Analysis'!$B$20),0)</f>
        <v>#VALUE!</v>
      </c>
      <c r="N857">
        <f>'Real Analysis'!$B$28*'Real Input'!U857+IF('Real Input'!U857 &gt; 0,'Real Analysis'!$B$29,0)</f>
        <v>-0.92754899999999996</v>
      </c>
      <c r="O857" t="e">
        <f t="shared" si="67"/>
        <v>#VALUE!</v>
      </c>
      <c r="P857" t="e">
        <f t="shared" ca="1" si="68"/>
        <v>#VALUE!</v>
      </c>
    </row>
    <row r="858" spans="1:16" x14ac:dyDescent="0.3">
      <c r="A858">
        <v>856</v>
      </c>
      <c r="B858">
        <f>'Real Input'!M858</f>
        <v>18.405499000000418</v>
      </c>
      <c r="C858">
        <f ca="1">INDIRECT(CONCATENATE("'Real Input'!",'Real Analysis'!$B$2,A858+2))</f>
        <v>9.9088455599999996</v>
      </c>
      <c r="D858">
        <f t="shared" si="66"/>
        <v>2.5441999998292886E-2</v>
      </c>
      <c r="E858">
        <f ca="1">IF(B858&gt;0,C858-'Real Analysis'!$B$14,0)</f>
        <v>5.2347757628572467E-2</v>
      </c>
      <c r="F858">
        <f t="shared" ca="1" si="69"/>
        <v>9.44312121006331E-2</v>
      </c>
      <c r="G858">
        <f t="shared" ca="1" si="65"/>
        <v>-0.98386610894291548</v>
      </c>
      <c r="H858">
        <f ca="1">IF(AND(B858&gt;'Real Analysis'!$B$31,B858&lt;'Real Analysis'!$B$32),FilterInput(E858,'Real Analysis'!$B$26,'Real Analysis'!$B$27),0)</f>
        <v>5.2347757628572467E-2</v>
      </c>
      <c r="I858" t="e">
        <f>MEDIAN2("Real Values",H858,'Real Analysis'!$B$5,2)</f>
        <v>#VALUE!</v>
      </c>
      <c r="J858" t="e">
        <f>AVERAGE2("Real Values",I858,'Real Analysis'!$B$6,2)</f>
        <v>#VALUE!</v>
      </c>
      <c r="K858" t="e">
        <f>INTEGRAL2(J858,$B858,K857,J857,$B857,'Real Analysis'!$B$19)</f>
        <v>#VALUE!</v>
      </c>
      <c r="L858" t="e">
        <f ca="1">IF(AND(B858&lt;'Real Analysis'!$B$32,B858&gt;'Real Analysis'!$B$31),INTEGRAL2(K858,$B858,L857,K857,$B857,'Real Analysis'!$B$20),0)</f>
        <v>#VALUE!</v>
      </c>
      <c r="N858">
        <f>'Real Analysis'!$B$28*'Real Input'!U858+IF('Real Input'!U858 &gt; 0,'Real Analysis'!$B$29,0)</f>
        <v>-0.92754899999999996</v>
      </c>
      <c r="O858" t="e">
        <f t="shared" si="67"/>
        <v>#VALUE!</v>
      </c>
      <c r="P858" t="e">
        <f t="shared" ca="1" si="68"/>
        <v>#VALUE!</v>
      </c>
    </row>
    <row r="859" spans="1:16" x14ac:dyDescent="0.3">
      <c r="A859">
        <v>857</v>
      </c>
      <c r="B859">
        <f>'Real Input'!M859</f>
        <v>18.422554000004311</v>
      </c>
      <c r="C859">
        <f ca="1">INDIRECT(CONCATENATE("'Real Input'!",'Real Analysis'!$B$2,A859+2))</f>
        <v>9.9523234800000004</v>
      </c>
      <c r="D859">
        <f t="shared" si="66"/>
        <v>1.7055000003892928E-2</v>
      </c>
      <c r="E859">
        <f ca="1">IF(B859&gt;0,C859-'Real Analysis'!$B$14,0)</f>
        <v>9.5825677628573303E-2</v>
      </c>
      <c r="F859">
        <f t="shared" ca="1" si="69"/>
        <v>9.6065519032961455E-2</v>
      </c>
      <c r="G859">
        <f t="shared" ca="1" si="65"/>
        <v>-0.98222771151543431</v>
      </c>
      <c r="H859">
        <f ca="1">IF(AND(B859&gt;'Real Analysis'!$B$31,B859&lt;'Real Analysis'!$B$32),FilterInput(E859,'Real Analysis'!$B$26,'Real Analysis'!$B$27),0)</f>
        <v>9.5825677628573303E-2</v>
      </c>
      <c r="I859" t="e">
        <f>MEDIAN2("Real Values",H859,'Real Analysis'!$B$5,2)</f>
        <v>#VALUE!</v>
      </c>
      <c r="J859" t="e">
        <f>AVERAGE2("Real Values",I859,'Real Analysis'!$B$6,2)</f>
        <v>#VALUE!</v>
      </c>
      <c r="K859" t="e">
        <f>INTEGRAL2(J859,$B859,K858,J858,$B858,'Real Analysis'!$B$19)</f>
        <v>#VALUE!</v>
      </c>
      <c r="L859" t="e">
        <f ca="1">IF(AND(B859&lt;'Real Analysis'!$B$32,B859&gt;'Real Analysis'!$B$31),INTEGRAL2(K859,$B859,L858,K858,$B858,'Real Analysis'!$B$20),0)</f>
        <v>#VALUE!</v>
      </c>
      <c r="N859">
        <f>'Real Analysis'!$B$28*'Real Input'!U859+IF('Real Input'!U859 &gt; 0,'Real Analysis'!$B$29,0)</f>
        <v>-0.92754899999999996</v>
      </c>
      <c r="O859" t="e">
        <f t="shared" si="67"/>
        <v>#VALUE!</v>
      </c>
      <c r="P859" t="e">
        <f t="shared" ca="1" si="68"/>
        <v>#VALUE!</v>
      </c>
    </row>
    <row r="860" spans="1:16" x14ac:dyDescent="0.3">
      <c r="A860">
        <v>858</v>
      </c>
      <c r="B860">
        <f>'Real Input'!M860</f>
        <v>18.450954999992973</v>
      </c>
      <c r="C860">
        <f ca="1">INDIRECT(CONCATENATE("'Real Input'!",'Real Analysis'!$B$2,A860+2))</f>
        <v>9.7948337399999996</v>
      </c>
      <c r="D860">
        <f t="shared" si="66"/>
        <v>2.8400999988662079E-2</v>
      </c>
      <c r="E860">
        <f ca="1">IF(B860&gt;0,C860-'Real Analysis'!$B$14,0)</f>
        <v>-6.1664062371427519E-2</v>
      </c>
      <c r="F860">
        <f t="shared" ca="1" si="69"/>
        <v>9.431419799824968E-2</v>
      </c>
      <c r="G860">
        <f t="shared" ca="1" si="65"/>
        <v>-0.97954909397915535</v>
      </c>
      <c r="H860">
        <f ca="1">IF(AND(B860&gt;'Real Analysis'!$B$31,B860&lt;'Real Analysis'!$B$32),FilterInput(E860,'Real Analysis'!$B$26,'Real Analysis'!$B$27),0)</f>
        <v>-6.1664062371427519E-2</v>
      </c>
      <c r="I860" t="e">
        <f>MEDIAN2("Real Values",H860,'Real Analysis'!$B$5,2)</f>
        <v>#VALUE!</v>
      </c>
      <c r="J860" t="e">
        <f>AVERAGE2("Real Values",I860,'Real Analysis'!$B$6,2)</f>
        <v>#VALUE!</v>
      </c>
      <c r="K860" t="e">
        <f>INTEGRAL2(J860,$B860,K859,J859,$B859,'Real Analysis'!$B$19)</f>
        <v>#VALUE!</v>
      </c>
      <c r="L860" t="e">
        <f ca="1">IF(AND(B860&lt;'Real Analysis'!$B$32,B860&gt;'Real Analysis'!$B$31),INTEGRAL2(K860,$B860,L859,K859,$B859,'Real Analysis'!$B$20),0)</f>
        <v>#VALUE!</v>
      </c>
      <c r="N860">
        <f>'Real Analysis'!$B$28*'Real Input'!U860+IF('Real Input'!U860 &gt; 0,'Real Analysis'!$B$29,0)</f>
        <v>-0.92754899999999996</v>
      </c>
      <c r="O860" t="e">
        <f t="shared" si="67"/>
        <v>#VALUE!</v>
      </c>
      <c r="P860" t="e">
        <f t="shared" ca="1" si="68"/>
        <v>#VALUE!</v>
      </c>
    </row>
    <row r="861" spans="1:16" x14ac:dyDescent="0.3">
      <c r="A861">
        <v>859</v>
      </c>
      <c r="B861">
        <f>'Real Input'!M861</f>
        <v>18.457024000003003</v>
      </c>
      <c r="C861">
        <f ca="1">INDIRECT(CONCATENATE("'Real Input'!",'Real Analysis'!$B$2,A861+2))</f>
        <v>9.7426641600000004</v>
      </c>
      <c r="D861">
        <f t="shared" si="66"/>
        <v>6.0690000100294128E-3</v>
      </c>
      <c r="E861">
        <f ca="1">IF(B861&gt;0,C861-'Real Analysis'!$B$14,0)</f>
        <v>-0.11383364237142679</v>
      </c>
      <c r="F861">
        <f t="shared" ca="1" si="69"/>
        <v>9.3623341621555806E-2</v>
      </c>
      <c r="G861">
        <f t="shared" ca="1" si="65"/>
        <v>-0.9789808939179151</v>
      </c>
      <c r="H861">
        <f ca="1">IF(AND(B861&gt;'Real Analysis'!$B$31,B861&lt;'Real Analysis'!$B$32),FilterInput(E861,'Real Analysis'!$B$26,'Real Analysis'!$B$27),0)</f>
        <v>-0.11383364237142679</v>
      </c>
      <c r="I861" t="e">
        <f>MEDIAN2("Real Values",H861,'Real Analysis'!$B$5,2)</f>
        <v>#VALUE!</v>
      </c>
      <c r="J861" t="e">
        <f>AVERAGE2("Real Values",I861,'Real Analysis'!$B$6,2)</f>
        <v>#VALUE!</v>
      </c>
      <c r="K861" t="e">
        <f>INTEGRAL2(J861,$B861,K860,J860,$B860,'Real Analysis'!$B$19)</f>
        <v>#VALUE!</v>
      </c>
      <c r="L861" t="e">
        <f ca="1">IF(AND(B861&lt;'Real Analysis'!$B$32,B861&gt;'Real Analysis'!$B$31),INTEGRAL2(K861,$B861,L860,K860,$B860,'Real Analysis'!$B$20),0)</f>
        <v>#VALUE!</v>
      </c>
      <c r="N861">
        <f>'Real Analysis'!$B$28*'Real Input'!U861+IF('Real Input'!U861 &gt; 0,'Real Analysis'!$B$29,0)</f>
        <v>-0.92556199999999988</v>
      </c>
      <c r="O861" t="e">
        <f t="shared" si="67"/>
        <v>#VALUE!</v>
      </c>
      <c r="P861" t="e">
        <f t="shared" ca="1" si="68"/>
        <v>#VALUE!</v>
      </c>
    </row>
    <row r="862" spans="1:16" x14ac:dyDescent="0.3">
      <c r="A862">
        <v>860</v>
      </c>
      <c r="B862">
        <f>'Real Input'!M862</f>
        <v>18.531701999992947</v>
      </c>
      <c r="C862">
        <f ca="1">INDIRECT(CONCATENATE("'Real Input'!",'Real Analysis'!$B$2,A862+2))</f>
        <v>9.5469448500000009</v>
      </c>
      <c r="D862">
        <f t="shared" si="66"/>
        <v>7.467799998994451E-2</v>
      </c>
      <c r="E862">
        <f ca="1">IF(B862&gt;0,C862-'Real Analysis'!$B$14,0)</f>
        <v>-0.30955295237142622</v>
      </c>
      <c r="F862">
        <f t="shared" ca="1" si="69"/>
        <v>7.0506546247475141E-2</v>
      </c>
      <c r="G862">
        <f t="shared" ca="1" si="65"/>
        <v>-0.97371560605795515</v>
      </c>
      <c r="H862">
        <f ca="1">IF(AND(B862&gt;'Real Analysis'!$B$31,B862&lt;'Real Analysis'!$B$32),FilterInput(E862,'Real Analysis'!$B$26,'Real Analysis'!$B$27),0)</f>
        <v>-0.30955295237142622</v>
      </c>
      <c r="I862" t="e">
        <f>MEDIAN2("Real Values",H862,'Real Analysis'!$B$5,2)</f>
        <v>#VALUE!</v>
      </c>
      <c r="J862" t="e">
        <f>AVERAGE2("Real Values",I862,'Real Analysis'!$B$6,2)</f>
        <v>#VALUE!</v>
      </c>
      <c r="K862" t="e">
        <f>INTEGRAL2(J862,$B862,K861,J861,$B861,'Real Analysis'!$B$19)</f>
        <v>#VALUE!</v>
      </c>
      <c r="L862" t="e">
        <f ca="1">IF(AND(B862&lt;'Real Analysis'!$B$32,B862&gt;'Real Analysis'!$B$31),INTEGRAL2(K862,$B862,L861,K861,$B861,'Real Analysis'!$B$20),0)</f>
        <v>#VALUE!</v>
      </c>
      <c r="N862">
        <f>'Real Analysis'!$B$28*'Real Input'!U862+IF('Real Input'!U862 &gt; 0,'Real Analysis'!$B$29,0)</f>
        <v>-0.92556199999999988</v>
      </c>
      <c r="O862" t="e">
        <f t="shared" si="67"/>
        <v>#VALUE!</v>
      </c>
      <c r="P862" t="e">
        <f t="shared" ca="1" si="68"/>
        <v>#VALUE!</v>
      </c>
    </row>
    <row r="863" spans="1:16" x14ac:dyDescent="0.3">
      <c r="A863">
        <v>861</v>
      </c>
      <c r="B863">
        <f>'Real Input'!M863</f>
        <v>18.592285999999149</v>
      </c>
      <c r="C863">
        <f ca="1">INDIRECT(CONCATENATE("'Real Input'!",'Real Analysis'!$B$2,A863+2))</f>
        <v>9.6386094900000003</v>
      </c>
      <c r="D863">
        <f t="shared" si="66"/>
        <v>6.0584000006201677E-2</v>
      </c>
      <c r="E863">
        <f ca="1">IF(B863&gt;0,C863-'Real Analysis'!$B$14,0)</f>
        <v>-0.21788831237142681</v>
      </c>
      <c r="F863">
        <f t="shared" ca="1" si="69"/>
        <v>5.7306000729413345E-2</v>
      </c>
      <c r="G863">
        <f t="shared" ca="1" si="65"/>
        <v>-0.97024377930940897</v>
      </c>
      <c r="H863">
        <f ca="1">IF(AND(B863&gt;'Real Analysis'!$B$31,B863&lt;'Real Analysis'!$B$32),FilterInput(E863,'Real Analysis'!$B$26,'Real Analysis'!$B$27),0)</f>
        <v>-0.21788831237142681</v>
      </c>
      <c r="I863" t="e">
        <f>MEDIAN2("Real Values",H863,'Real Analysis'!$B$5,2)</f>
        <v>#VALUE!</v>
      </c>
      <c r="J863" t="e">
        <f>AVERAGE2("Real Values",I863,'Real Analysis'!$B$6,2)</f>
        <v>#VALUE!</v>
      </c>
      <c r="K863" t="e">
        <f>INTEGRAL2(J863,$B863,K862,J862,$B862,'Real Analysis'!$B$19)</f>
        <v>#VALUE!</v>
      </c>
      <c r="L863" t="e">
        <f ca="1">IF(AND(B863&lt;'Real Analysis'!$B$32,B863&gt;'Real Analysis'!$B$31),INTEGRAL2(K863,$B863,L862,K862,$B862,'Real Analysis'!$B$20),0)</f>
        <v>#VALUE!</v>
      </c>
      <c r="N863">
        <f>'Real Analysis'!$B$28*'Real Input'!U863+IF('Real Input'!U863 &gt; 0,'Real Analysis'!$B$29,0)</f>
        <v>-0.92357499999999992</v>
      </c>
      <c r="O863" t="e">
        <f t="shared" si="67"/>
        <v>#VALUE!</v>
      </c>
      <c r="P863" t="e">
        <f t="shared" ca="1" si="68"/>
        <v>#VALUE!</v>
      </c>
    </row>
    <row r="864" spans="1:16" x14ac:dyDescent="0.3">
      <c r="A864">
        <v>862</v>
      </c>
      <c r="B864">
        <f>'Real Input'!M864</f>
        <v>18.600279000005685</v>
      </c>
      <c r="C864">
        <f ca="1">INDIRECT(CONCATENATE("'Real Input'!",'Real Analysis'!$B$2,A864+2))</f>
        <v>9.6449075100000012</v>
      </c>
      <c r="D864">
        <f t="shared" si="66"/>
        <v>7.9930000065360218E-3</v>
      </c>
      <c r="E864">
        <f ca="1">IF(B864&gt;0,C864-'Real Analysis'!$B$14,0)</f>
        <v>-0.2115902923714259</v>
      </c>
      <c r="F864">
        <f t="shared" ca="1" si="69"/>
        <v>5.5614759521105582E-2</v>
      </c>
      <c r="G864">
        <f t="shared" ca="1" si="65"/>
        <v>-0.96979925053619331</v>
      </c>
      <c r="H864">
        <f ca="1">IF(AND(B864&gt;'Real Analysis'!$B$31,B864&lt;'Real Analysis'!$B$32),FilterInput(E864,'Real Analysis'!$B$26,'Real Analysis'!$B$27),0)</f>
        <v>-0.2115902923714259</v>
      </c>
      <c r="I864" t="e">
        <f>MEDIAN2("Real Values",H864,'Real Analysis'!$B$5,2)</f>
        <v>#VALUE!</v>
      </c>
      <c r="J864" t="e">
        <f>AVERAGE2("Real Values",I864,'Real Analysis'!$B$6,2)</f>
        <v>#VALUE!</v>
      </c>
      <c r="K864" t="e">
        <f>INTEGRAL2(J864,$B864,K863,J863,$B863,'Real Analysis'!$B$19)</f>
        <v>#VALUE!</v>
      </c>
      <c r="L864" t="e">
        <f ca="1">IF(AND(B864&lt;'Real Analysis'!$B$32,B864&gt;'Real Analysis'!$B$31),INTEGRAL2(K864,$B864,L863,K863,$B863,'Real Analysis'!$B$20),0)</f>
        <v>#VALUE!</v>
      </c>
      <c r="N864">
        <f>'Real Analysis'!$B$28*'Real Input'!U864+IF('Real Input'!U864 &gt; 0,'Real Analysis'!$B$29,0)</f>
        <v>-0.92357499999999992</v>
      </c>
      <c r="O864" t="e">
        <f t="shared" si="67"/>
        <v>#VALUE!</v>
      </c>
      <c r="P864" t="e">
        <f t="shared" ca="1" si="68"/>
        <v>#VALUE!</v>
      </c>
    </row>
    <row r="865" spans="1:16" x14ac:dyDescent="0.3">
      <c r="A865">
        <v>863</v>
      </c>
      <c r="B865">
        <f>'Real Input'!M865</f>
        <v>18.643800000005285</v>
      </c>
      <c r="C865">
        <f ca="1">INDIRECT(CONCATENATE("'Real Input'!",'Real Analysis'!$B$2,A865+2))</f>
        <v>9.6237277199999998</v>
      </c>
      <c r="D865">
        <f t="shared" si="66"/>
        <v>4.3520999999600463E-2</v>
      </c>
      <c r="E865">
        <f ca="1">IF(B865&gt;0,C865-'Real Analysis'!$B$14,0)</f>
        <v>-0.23277008237142738</v>
      </c>
      <c r="F865">
        <f t="shared" ca="1" si="69"/>
        <v>4.548437276631169E-2</v>
      </c>
      <c r="G865">
        <f t="shared" ref="G865:G928" ca="1" si="70">IF(B865&gt;0,G864+F865*$D865,0)</f>
        <v>-0.96781972514904879</v>
      </c>
      <c r="H865">
        <f ca="1">IF(AND(B865&gt;'Real Analysis'!$B$31,B865&lt;'Real Analysis'!$B$32),FilterInput(E865,'Real Analysis'!$B$26,'Real Analysis'!$B$27),0)</f>
        <v>-0.23277008237142738</v>
      </c>
      <c r="I865" t="e">
        <f>MEDIAN2("Real Values",H865,'Real Analysis'!$B$5,2)</f>
        <v>#VALUE!</v>
      </c>
      <c r="J865" t="e">
        <f>AVERAGE2("Real Values",I865,'Real Analysis'!$B$6,2)</f>
        <v>#VALUE!</v>
      </c>
      <c r="K865" t="e">
        <f>INTEGRAL2(J865,$B865,K864,J864,$B864,'Real Analysis'!$B$19)</f>
        <v>#VALUE!</v>
      </c>
      <c r="L865" t="e">
        <f ca="1">IF(AND(B865&lt;'Real Analysis'!$B$32,B865&gt;'Real Analysis'!$B$31),INTEGRAL2(K865,$B865,L864,K864,$B864,'Real Analysis'!$B$20),0)</f>
        <v>#VALUE!</v>
      </c>
      <c r="N865">
        <f>'Real Analysis'!$B$28*'Real Input'!U865+IF('Real Input'!U865 &gt; 0,'Real Analysis'!$B$29,0)</f>
        <v>-0.92158799999999985</v>
      </c>
      <c r="O865" t="e">
        <f t="shared" si="67"/>
        <v>#VALUE!</v>
      </c>
      <c r="P865" t="e">
        <f t="shared" ca="1" si="68"/>
        <v>#VALUE!</v>
      </c>
    </row>
    <row r="866" spans="1:16" x14ac:dyDescent="0.3">
      <c r="A866">
        <v>864</v>
      </c>
      <c r="B866">
        <f>'Real Input'!M866</f>
        <v>18.669360999992932</v>
      </c>
      <c r="C866">
        <f ca="1">INDIRECT(CONCATENATE("'Real Input'!",'Real Analysis'!$B$2,A866+2))</f>
        <v>9.9609170400000018</v>
      </c>
      <c r="D866">
        <f t="shared" si="66"/>
        <v>2.5560999987646937E-2</v>
      </c>
      <c r="E866">
        <f ca="1">IF(B866&gt;0,C866-'Real Analysis'!$B$14,0)</f>
        <v>0.10441923762857463</v>
      </c>
      <c r="F866">
        <f t="shared" ca="1" si="69"/>
        <v>4.8153432898045787E-2</v>
      </c>
      <c r="G866">
        <f t="shared" ca="1" si="70"/>
        <v>-0.96658887525133663</v>
      </c>
      <c r="H866">
        <f ca="1">IF(AND(B866&gt;'Real Analysis'!$B$31,B866&lt;'Real Analysis'!$B$32),FilterInput(E866,'Real Analysis'!$B$26,'Real Analysis'!$B$27),0)</f>
        <v>0.10441923762857463</v>
      </c>
      <c r="I866" t="e">
        <f>MEDIAN2("Real Values",H866,'Real Analysis'!$B$5,2)</f>
        <v>#VALUE!</v>
      </c>
      <c r="J866" t="e">
        <f>AVERAGE2("Real Values",I866,'Real Analysis'!$B$6,2)</f>
        <v>#VALUE!</v>
      </c>
      <c r="K866" t="e">
        <f>INTEGRAL2(J866,$B866,K865,J865,$B865,'Real Analysis'!$B$19)</f>
        <v>#VALUE!</v>
      </c>
      <c r="L866" t="e">
        <f ca="1">IF(AND(B866&lt;'Real Analysis'!$B$32,B866&gt;'Real Analysis'!$B$31),INTEGRAL2(K866,$B866,L865,K865,$B865,'Real Analysis'!$B$20),0)</f>
        <v>#VALUE!</v>
      </c>
      <c r="N866">
        <f>'Real Analysis'!$B$28*'Real Input'!U866+IF('Real Input'!U866 &gt; 0,'Real Analysis'!$B$29,0)</f>
        <v>-0.92556199999999988</v>
      </c>
      <c r="O866" t="e">
        <f t="shared" si="67"/>
        <v>#VALUE!</v>
      </c>
      <c r="P866" t="e">
        <f t="shared" ca="1" si="68"/>
        <v>#VALUE!</v>
      </c>
    </row>
    <row r="867" spans="1:16" x14ac:dyDescent="0.3">
      <c r="A867">
        <v>865</v>
      </c>
      <c r="B867">
        <f>'Real Input'!M867</f>
        <v>18.70567700000538</v>
      </c>
      <c r="C867">
        <f ca="1">INDIRECT(CONCATENATE("'Real Input'!",'Real Analysis'!$B$2,A867+2))</f>
        <v>9.9215985600000014</v>
      </c>
      <c r="D867">
        <f t="shared" si="66"/>
        <v>3.6316000012448058E-2</v>
      </c>
      <c r="E867">
        <f ca="1">IF(B867&gt;0,C867-'Real Analysis'!$B$14,0)</f>
        <v>6.5100757628574257E-2</v>
      </c>
      <c r="F867">
        <f t="shared" ca="1" si="69"/>
        <v>5.0517632012895469E-2</v>
      </c>
      <c r="G867">
        <f t="shared" ca="1" si="70"/>
        <v>-0.96475427692652749</v>
      </c>
      <c r="H867">
        <f ca="1">IF(AND(B867&gt;'Real Analysis'!$B$31,B867&lt;'Real Analysis'!$B$32),FilterInput(E867,'Real Analysis'!$B$26,'Real Analysis'!$B$27),0)</f>
        <v>6.5100757628574257E-2</v>
      </c>
      <c r="I867" t="e">
        <f>MEDIAN2("Real Values",H867,'Real Analysis'!$B$5,2)</f>
        <v>#VALUE!</v>
      </c>
      <c r="J867" t="e">
        <f>AVERAGE2("Real Values",I867,'Real Analysis'!$B$6,2)</f>
        <v>#VALUE!</v>
      </c>
      <c r="K867" t="e">
        <f>INTEGRAL2(J867,$B867,K866,J866,$B866,'Real Analysis'!$B$19)</f>
        <v>#VALUE!</v>
      </c>
      <c r="L867" t="e">
        <f ca="1">IF(AND(B867&lt;'Real Analysis'!$B$32,B867&gt;'Real Analysis'!$B$31),INTEGRAL2(K867,$B867,L866,K866,$B866,'Real Analysis'!$B$20),0)</f>
        <v>#VALUE!</v>
      </c>
      <c r="N867">
        <f>'Real Analysis'!$B$28*'Real Input'!U867+IF('Real Input'!U867 &gt; 0,'Real Analysis'!$B$29,0)</f>
        <v>-0.92754899999999996</v>
      </c>
      <c r="O867" t="e">
        <f t="shared" si="67"/>
        <v>#VALUE!</v>
      </c>
      <c r="P867" t="e">
        <f t="shared" ca="1" si="68"/>
        <v>#VALUE!</v>
      </c>
    </row>
    <row r="868" spans="1:16" x14ac:dyDescent="0.3">
      <c r="A868">
        <v>866</v>
      </c>
      <c r="B868">
        <f>'Real Input'!M868</f>
        <v>18.727463999995962</v>
      </c>
      <c r="C868">
        <f ca="1">INDIRECT(CONCATENATE("'Real Input'!",'Real Analysis'!$B$2,A868+2))</f>
        <v>10.081079730000001</v>
      </c>
      <c r="D868">
        <f t="shared" si="66"/>
        <v>2.1786999990581535E-2</v>
      </c>
      <c r="E868">
        <f ca="1">IF(B868&gt;0,C868-'Real Analysis'!$B$14,0)</f>
        <v>0.22458192762857365</v>
      </c>
      <c r="F868">
        <f t="shared" ca="1" si="69"/>
        <v>5.5410598468023986E-2</v>
      </c>
      <c r="G868">
        <f t="shared" ca="1" si="70"/>
        <v>-0.96354704621822651</v>
      </c>
      <c r="H868">
        <f ca="1">IF(AND(B868&gt;'Real Analysis'!$B$31,B868&lt;'Real Analysis'!$B$32),FilterInput(E868,'Real Analysis'!$B$26,'Real Analysis'!$B$27),0)</f>
        <v>0.22458192762857365</v>
      </c>
      <c r="I868" t="e">
        <f>MEDIAN2("Real Values",H868,'Real Analysis'!$B$5,2)</f>
        <v>#VALUE!</v>
      </c>
      <c r="J868" t="e">
        <f>AVERAGE2("Real Values",I868,'Real Analysis'!$B$6,2)</f>
        <v>#VALUE!</v>
      </c>
      <c r="K868" t="e">
        <f>INTEGRAL2(J868,$B868,K867,J867,$B867,'Real Analysis'!$B$19)</f>
        <v>#VALUE!</v>
      </c>
      <c r="L868" t="e">
        <f ca="1">IF(AND(B868&lt;'Real Analysis'!$B$32,B868&gt;'Real Analysis'!$B$31),INTEGRAL2(K868,$B868,L867,K867,$B867,'Real Analysis'!$B$20),0)</f>
        <v>#VALUE!</v>
      </c>
      <c r="N868">
        <f>'Real Analysis'!$B$28*'Real Input'!U868+IF('Real Input'!U868 &gt; 0,'Real Analysis'!$B$29,0)</f>
        <v>-0.92953599999999992</v>
      </c>
      <c r="O868" t="e">
        <f t="shared" si="67"/>
        <v>#VALUE!</v>
      </c>
      <c r="P868" t="e">
        <f t="shared" ca="1" si="68"/>
        <v>#VALUE!</v>
      </c>
    </row>
    <row r="869" spans="1:16" x14ac:dyDescent="0.3">
      <c r="A869">
        <v>867</v>
      </c>
      <c r="B869">
        <f>'Real Input'!M869</f>
        <v>18.75185899999633</v>
      </c>
      <c r="C869">
        <f ca="1">INDIRECT(CONCATENATE("'Real Input'!",'Real Analysis'!$B$2,A869+2))</f>
        <v>9.9295348499999996</v>
      </c>
      <c r="D869">
        <f t="shared" si="66"/>
        <v>2.4395000000367872E-2</v>
      </c>
      <c r="E869">
        <f ca="1">IF(B869&gt;0,C869-'Real Analysis'!$B$14,0)</f>
        <v>7.3037047628572438E-2</v>
      </c>
      <c r="F869">
        <f t="shared" ca="1" si="69"/>
        <v>5.7192337244949876E-2</v>
      </c>
      <c r="G869">
        <f t="shared" ca="1" si="70"/>
        <v>-0.96215183915111491</v>
      </c>
      <c r="H869">
        <f ca="1">IF(AND(B869&gt;'Real Analysis'!$B$31,B869&lt;'Real Analysis'!$B$32),FilterInput(E869,'Real Analysis'!$B$26,'Real Analysis'!$B$27),0)</f>
        <v>7.3037047628572438E-2</v>
      </c>
      <c r="I869" t="e">
        <f>MEDIAN2("Real Values",H869,'Real Analysis'!$B$5,2)</f>
        <v>#VALUE!</v>
      </c>
      <c r="J869" t="e">
        <f>AVERAGE2("Real Values",I869,'Real Analysis'!$B$6,2)</f>
        <v>#VALUE!</v>
      </c>
      <c r="K869" t="e">
        <f>INTEGRAL2(J869,$B869,K868,J868,$B868,'Real Analysis'!$B$19)</f>
        <v>#VALUE!</v>
      </c>
      <c r="L869" t="e">
        <f ca="1">IF(AND(B869&lt;'Real Analysis'!$B$32,B869&gt;'Real Analysis'!$B$31),INTEGRAL2(K869,$B869,L868,K868,$B868,'Real Analysis'!$B$20),0)</f>
        <v>#VALUE!</v>
      </c>
      <c r="N869">
        <f>'Real Analysis'!$B$28*'Real Input'!U869+IF('Real Input'!U869 &gt; 0,'Real Analysis'!$B$29,0)</f>
        <v>-0.93350999999999995</v>
      </c>
      <c r="O869" t="e">
        <f t="shared" si="67"/>
        <v>#VALUE!</v>
      </c>
      <c r="P869" t="e">
        <f t="shared" ca="1" si="68"/>
        <v>#VALUE!</v>
      </c>
    </row>
    <row r="870" spans="1:16" x14ac:dyDescent="0.3">
      <c r="A870">
        <v>868</v>
      </c>
      <c r="B870">
        <f>'Real Input'!M870</f>
        <v>18.771382999999332</v>
      </c>
      <c r="C870">
        <f ca="1">INDIRECT(CONCATENATE("'Real Input'!",'Real Analysis'!$B$2,A870+2))</f>
        <v>9.7699850099999992</v>
      </c>
      <c r="D870">
        <f t="shared" si="66"/>
        <v>1.9524000003002584E-2</v>
      </c>
      <c r="E870">
        <f ca="1">IF(B870&gt;0,C870-'Real Analysis'!$B$14,0)</f>
        <v>-8.6512792371427949E-2</v>
      </c>
      <c r="F870">
        <f t="shared" ca="1" si="69"/>
        <v>5.5503261486430353E-2</v>
      </c>
      <c r="G870">
        <f t="shared" ca="1" si="70"/>
        <v>-0.96106819347368722</v>
      </c>
      <c r="H870">
        <f ca="1">IF(AND(B870&gt;'Real Analysis'!$B$31,B870&lt;'Real Analysis'!$B$32),FilterInput(E870,'Real Analysis'!$B$26,'Real Analysis'!$B$27),0)</f>
        <v>-8.6512792371427949E-2</v>
      </c>
      <c r="I870" t="e">
        <f>MEDIAN2("Real Values",H870,'Real Analysis'!$B$5,2)</f>
        <v>#VALUE!</v>
      </c>
      <c r="J870" t="e">
        <f>AVERAGE2("Real Values",I870,'Real Analysis'!$B$6,2)</f>
        <v>#VALUE!</v>
      </c>
      <c r="K870" t="e">
        <f>INTEGRAL2(J870,$B870,K869,J869,$B869,'Real Analysis'!$B$19)</f>
        <v>#VALUE!</v>
      </c>
      <c r="L870" t="e">
        <f ca="1">IF(AND(B870&lt;'Real Analysis'!$B$32,B870&gt;'Real Analysis'!$B$31),INTEGRAL2(K870,$B870,L869,K869,$B869,'Real Analysis'!$B$20),0)</f>
        <v>#VALUE!</v>
      </c>
      <c r="N870">
        <f>'Real Analysis'!$B$28*'Real Input'!U870+IF('Real Input'!U870 &gt; 0,'Real Analysis'!$B$29,0)</f>
        <v>-0.93549699999999991</v>
      </c>
      <c r="O870" t="e">
        <f t="shared" si="67"/>
        <v>#VALUE!</v>
      </c>
      <c r="P870" t="e">
        <f t="shared" ca="1" si="68"/>
        <v>#VALUE!</v>
      </c>
    </row>
    <row r="871" spans="1:16" x14ac:dyDescent="0.3">
      <c r="A871">
        <v>869</v>
      </c>
      <c r="B871">
        <f>'Real Input'!M871</f>
        <v>18.788291000004392</v>
      </c>
      <c r="C871">
        <f ca="1">INDIRECT(CONCATENATE("'Real Input'!",'Real Analysis'!$B$2,A871+2))</f>
        <v>9.5859297899999998</v>
      </c>
      <c r="D871">
        <f t="shared" si="66"/>
        <v>1.6908000005059876E-2</v>
      </c>
      <c r="E871">
        <f ca="1">IF(B871&gt;0,C871-'Real Analysis'!$B$14,0)</f>
        <v>-0.27056801237142736</v>
      </c>
      <c r="F871">
        <f t="shared" ca="1" si="69"/>
        <v>5.092849753188522E-2</v>
      </c>
      <c r="G871">
        <f t="shared" ca="1" si="70"/>
        <v>-0.96020709443716046</v>
      </c>
      <c r="H871">
        <f ca="1">IF(AND(B871&gt;'Real Analysis'!$B$31,B871&lt;'Real Analysis'!$B$32),FilterInput(E871,'Real Analysis'!$B$26,'Real Analysis'!$B$27),0)</f>
        <v>-0.27056801237142736</v>
      </c>
      <c r="I871" t="e">
        <f>MEDIAN2("Real Values",H871,'Real Analysis'!$B$5,2)</f>
        <v>#VALUE!</v>
      </c>
      <c r="J871" t="e">
        <f>AVERAGE2("Real Values",I871,'Real Analysis'!$B$6,2)</f>
        <v>#VALUE!</v>
      </c>
      <c r="K871" t="e">
        <f>INTEGRAL2(J871,$B871,K870,J870,$B870,'Real Analysis'!$B$19)</f>
        <v>#VALUE!</v>
      </c>
      <c r="L871" t="e">
        <f ca="1">IF(AND(B871&lt;'Real Analysis'!$B$32,B871&gt;'Real Analysis'!$B$31),INTEGRAL2(K871,$B871,L870,K870,$B870,'Real Analysis'!$B$20),0)</f>
        <v>#VALUE!</v>
      </c>
      <c r="N871">
        <f>'Real Analysis'!$B$28*'Real Input'!U871+IF('Real Input'!U871 &gt; 0,'Real Analysis'!$B$29,0)</f>
        <v>-0.93549699999999991</v>
      </c>
      <c r="O871" t="e">
        <f t="shared" si="67"/>
        <v>#VALUE!</v>
      </c>
      <c r="P871" t="e">
        <f t="shared" ca="1" si="68"/>
        <v>#VALUE!</v>
      </c>
    </row>
    <row r="872" spans="1:16" x14ac:dyDescent="0.3">
      <c r="A872">
        <v>870</v>
      </c>
      <c r="B872">
        <f>'Real Input'!M872</f>
        <v>18.848809000002802</v>
      </c>
      <c r="C872">
        <f ca="1">INDIRECT(CONCATENATE("'Real Input'!",'Real Analysis'!$B$2,A872+2))</f>
        <v>9.7843174200000007</v>
      </c>
      <c r="D872">
        <f t="shared" si="66"/>
        <v>6.0517999998410232E-2</v>
      </c>
      <c r="E872">
        <f ca="1">IF(B872&gt;0,C872-'Real Analysis'!$B$14,0)</f>
        <v>-7.2180382371426433E-2</v>
      </c>
      <c r="F872">
        <f t="shared" ca="1" si="69"/>
        <v>4.6560285151645987E-2</v>
      </c>
      <c r="G872">
        <f t="shared" ca="1" si="70"/>
        <v>-0.95738935910042722</v>
      </c>
      <c r="H872">
        <f ca="1">IF(AND(B872&gt;'Real Analysis'!$B$31,B872&lt;'Real Analysis'!$B$32),FilterInput(E872,'Real Analysis'!$B$26,'Real Analysis'!$B$27),0)</f>
        <v>-7.2180382371426433E-2</v>
      </c>
      <c r="I872" t="e">
        <f>MEDIAN2("Real Values",H872,'Real Analysis'!$B$5,2)</f>
        <v>#VALUE!</v>
      </c>
      <c r="J872" t="e">
        <f>AVERAGE2("Real Values",I872,'Real Analysis'!$B$6,2)</f>
        <v>#VALUE!</v>
      </c>
      <c r="K872" t="e">
        <f>INTEGRAL2(J872,$B872,K871,J871,$B871,'Real Analysis'!$B$19)</f>
        <v>#VALUE!</v>
      </c>
      <c r="L872" t="e">
        <f ca="1">IF(AND(B872&lt;'Real Analysis'!$B$32,B872&gt;'Real Analysis'!$B$31),INTEGRAL2(K872,$B872,L871,K871,$B871,'Real Analysis'!$B$20),0)</f>
        <v>#VALUE!</v>
      </c>
      <c r="N872">
        <f>'Real Analysis'!$B$28*'Real Input'!U872+IF('Real Input'!U872 &gt; 0,'Real Analysis'!$B$29,0)</f>
        <v>-0.93549699999999991</v>
      </c>
      <c r="O872" t="e">
        <f t="shared" si="67"/>
        <v>#VALUE!</v>
      </c>
      <c r="P872" t="e">
        <f t="shared" ca="1" si="68"/>
        <v>#VALUE!</v>
      </c>
    </row>
    <row r="873" spans="1:16" x14ac:dyDescent="0.3">
      <c r="A873">
        <v>871</v>
      </c>
      <c r="B873">
        <f>'Real Input'!M873</f>
        <v>18.853226000006543</v>
      </c>
      <c r="C873">
        <f ca="1">INDIRECT(CONCATENATE("'Real Input'!",'Real Analysis'!$B$2,A873+2))</f>
        <v>9.8679869100000008</v>
      </c>
      <c r="D873">
        <f t="shared" si="66"/>
        <v>4.4170000037411228E-3</v>
      </c>
      <c r="E873">
        <f ca="1">IF(B873&gt;0,C873-'Real Analysis'!$B$14,0)</f>
        <v>1.1489107628573691E-2</v>
      </c>
      <c r="F873">
        <f t="shared" ca="1" si="69"/>
        <v>4.6611032540084377E-2</v>
      </c>
      <c r="G873">
        <f t="shared" ca="1" si="70"/>
        <v>-0.95718347816952332</v>
      </c>
      <c r="H873">
        <f ca="1">IF(AND(B873&gt;'Real Analysis'!$B$31,B873&lt;'Real Analysis'!$B$32),FilterInput(E873,'Real Analysis'!$B$26,'Real Analysis'!$B$27),0)</f>
        <v>1.1489107628573691E-2</v>
      </c>
      <c r="I873" t="e">
        <f>MEDIAN2("Real Values",H873,'Real Analysis'!$B$5,2)</f>
        <v>#VALUE!</v>
      </c>
      <c r="J873" t="e">
        <f>AVERAGE2("Real Values",I873,'Real Analysis'!$B$6,2)</f>
        <v>#VALUE!</v>
      </c>
      <c r="K873" t="e">
        <f>INTEGRAL2(J873,$B873,K872,J872,$B872,'Real Analysis'!$B$19)</f>
        <v>#VALUE!</v>
      </c>
      <c r="L873" t="e">
        <f ca="1">IF(AND(B873&lt;'Real Analysis'!$B$32,B873&gt;'Real Analysis'!$B$31),INTEGRAL2(K873,$B873,L872,K872,$B872,'Real Analysis'!$B$20),0)</f>
        <v>#VALUE!</v>
      </c>
      <c r="N873">
        <f>'Real Analysis'!$B$28*'Real Input'!U873+IF('Real Input'!U873 &gt; 0,'Real Analysis'!$B$29,0)</f>
        <v>-0.93549699999999991</v>
      </c>
      <c r="O873" t="e">
        <f t="shared" si="67"/>
        <v>#VALUE!</v>
      </c>
      <c r="P873" t="e">
        <f t="shared" ca="1" si="68"/>
        <v>#VALUE!</v>
      </c>
    </row>
    <row r="874" spans="1:16" x14ac:dyDescent="0.3">
      <c r="A874">
        <v>872</v>
      </c>
      <c r="B874">
        <f>'Real Input'!M874</f>
        <v>18.931729999996605</v>
      </c>
      <c r="C874">
        <f ca="1">INDIRECT(CONCATENATE("'Real Input'!",'Real Analysis'!$B$2,A874+2))</f>
        <v>9.7032181499999997</v>
      </c>
      <c r="D874">
        <f t="shared" si="66"/>
        <v>7.8503999990061857E-2</v>
      </c>
      <c r="E874">
        <f ca="1">IF(B874&gt;0,C874-'Real Analysis'!$B$14,0)</f>
        <v>-0.15327965237142749</v>
      </c>
      <c r="F874">
        <f t="shared" ca="1" si="69"/>
        <v>3.457796671184115E-2</v>
      </c>
      <c r="G874">
        <f t="shared" ca="1" si="70"/>
        <v>-0.95446896947112059</v>
      </c>
      <c r="H874">
        <f ca="1">IF(AND(B874&gt;'Real Analysis'!$B$31,B874&lt;'Real Analysis'!$B$32),FilterInput(E874,'Real Analysis'!$B$26,'Real Analysis'!$B$27),0)</f>
        <v>-0.15327965237142749</v>
      </c>
      <c r="I874" t="e">
        <f>MEDIAN2("Real Values",H874,'Real Analysis'!$B$5,2)</f>
        <v>#VALUE!</v>
      </c>
      <c r="J874" t="e">
        <f>AVERAGE2("Real Values",I874,'Real Analysis'!$B$6,2)</f>
        <v>#VALUE!</v>
      </c>
      <c r="K874" t="e">
        <f>INTEGRAL2(J874,$B874,K873,J873,$B873,'Real Analysis'!$B$19)</f>
        <v>#VALUE!</v>
      </c>
      <c r="L874" t="e">
        <f ca="1">IF(AND(B874&lt;'Real Analysis'!$B$32,B874&gt;'Real Analysis'!$B$31),INTEGRAL2(K874,$B874,L873,K873,$B873,'Real Analysis'!$B$20),0)</f>
        <v>#VALUE!</v>
      </c>
      <c r="N874">
        <f>'Real Analysis'!$B$28*'Real Input'!U874+IF('Real Input'!U874 &gt; 0,'Real Analysis'!$B$29,0)</f>
        <v>-0.93748399999999987</v>
      </c>
      <c r="O874" t="e">
        <f t="shared" si="67"/>
        <v>#VALUE!</v>
      </c>
      <c r="P874" t="e">
        <f t="shared" ca="1" si="68"/>
        <v>#VALUE!</v>
      </c>
    </row>
    <row r="875" spans="1:16" x14ac:dyDescent="0.3">
      <c r="A875">
        <v>873</v>
      </c>
      <c r="B875">
        <f>'Real Input'!M875</f>
        <v>18.949353999996674</v>
      </c>
      <c r="C875">
        <f ca="1">INDIRECT(CONCATENATE("'Real Input'!",'Real Analysis'!$B$2,A875+2))</f>
        <v>9.6923290500000014</v>
      </c>
      <c r="D875">
        <f t="shared" si="66"/>
        <v>1.7624000000068918E-2</v>
      </c>
      <c r="E875">
        <f ca="1">IF(B875&gt;0,C875-'Real Analysis'!$B$14,0)</f>
        <v>-0.1641687523714257</v>
      </c>
      <c r="F875">
        <f t="shared" ca="1" si="69"/>
        <v>3.1684656620035827E-2</v>
      </c>
      <c r="G875">
        <f t="shared" ca="1" si="70"/>
        <v>-0.95391055908284694</v>
      </c>
      <c r="H875">
        <f ca="1">IF(AND(B875&gt;'Real Analysis'!$B$31,B875&lt;'Real Analysis'!$B$32),FilterInput(E875,'Real Analysis'!$B$26,'Real Analysis'!$B$27),0)</f>
        <v>-0.1641687523714257</v>
      </c>
      <c r="I875" t="e">
        <f>MEDIAN2("Real Values",H875,'Real Analysis'!$B$5,2)</f>
        <v>#VALUE!</v>
      </c>
      <c r="J875" t="e">
        <f>AVERAGE2("Real Values",I875,'Real Analysis'!$B$6,2)</f>
        <v>#VALUE!</v>
      </c>
      <c r="K875" t="e">
        <f>INTEGRAL2(J875,$B875,K874,J874,$B874,'Real Analysis'!$B$19)</f>
        <v>#VALUE!</v>
      </c>
      <c r="L875" t="e">
        <f ca="1">IF(AND(B875&lt;'Real Analysis'!$B$32,B875&gt;'Real Analysis'!$B$31),INTEGRAL2(K875,$B875,L874,K874,$B874,'Real Analysis'!$B$20),0)</f>
        <v>#VALUE!</v>
      </c>
      <c r="N875">
        <f>'Real Analysis'!$B$28*'Real Input'!U875+IF('Real Input'!U875 &gt; 0,'Real Analysis'!$B$29,0)</f>
        <v>-0.93748399999999987</v>
      </c>
      <c r="O875" t="e">
        <f t="shared" si="67"/>
        <v>#VALUE!</v>
      </c>
      <c r="P875" t="e">
        <f t="shared" ca="1" si="68"/>
        <v>#VALUE!</v>
      </c>
    </row>
    <row r="876" spans="1:16" x14ac:dyDescent="0.3">
      <c r="A876">
        <v>874</v>
      </c>
      <c r="B876">
        <f>'Real Input'!M876</f>
        <v>18.969987000004039</v>
      </c>
      <c r="C876">
        <f ca="1">INDIRECT(CONCATENATE("'Real Input'!",'Real Analysis'!$B$2,A876+2))</f>
        <v>10.15877493</v>
      </c>
      <c r="D876">
        <f t="shared" si="66"/>
        <v>2.0633000007364899E-2</v>
      </c>
      <c r="E876">
        <f ca="1">IF(B876&gt;0,C876-'Real Analysis'!$B$14,0)</f>
        <v>0.30227712762857273</v>
      </c>
      <c r="F876">
        <f t="shared" ca="1" si="69"/>
        <v>3.7921540596622408E-2</v>
      </c>
      <c r="G876">
        <f t="shared" ca="1" si="70"/>
        <v>-0.95312812393543755</v>
      </c>
      <c r="H876">
        <f ca="1">IF(AND(B876&gt;'Real Analysis'!$B$31,B876&lt;'Real Analysis'!$B$32),FilterInput(E876,'Real Analysis'!$B$26,'Real Analysis'!$B$27),0)</f>
        <v>0.30227712762857273</v>
      </c>
      <c r="I876" t="e">
        <f>MEDIAN2("Real Values",H876,'Real Analysis'!$B$5,2)</f>
        <v>#VALUE!</v>
      </c>
      <c r="J876" t="e">
        <f>AVERAGE2("Real Values",I876,'Real Analysis'!$B$6,2)</f>
        <v>#VALUE!</v>
      </c>
      <c r="K876" t="e">
        <f>INTEGRAL2(J876,$B876,K875,J875,$B875,'Real Analysis'!$B$19)</f>
        <v>#VALUE!</v>
      </c>
      <c r="L876" t="e">
        <f ca="1">IF(AND(B876&lt;'Real Analysis'!$B$32,B876&gt;'Real Analysis'!$B$31),INTEGRAL2(K876,$B876,L875,K875,$B875,'Real Analysis'!$B$20),0)</f>
        <v>#VALUE!</v>
      </c>
      <c r="N876">
        <f>'Real Analysis'!$B$28*'Real Input'!U876+IF('Real Input'!U876 &gt; 0,'Real Analysis'!$B$29,0)</f>
        <v>-0.94145799999999991</v>
      </c>
      <c r="O876" t="e">
        <f t="shared" si="67"/>
        <v>#VALUE!</v>
      </c>
      <c r="P876" t="e">
        <f t="shared" ca="1" si="68"/>
        <v>#VALUE!</v>
      </c>
    </row>
    <row r="877" spans="1:16" x14ac:dyDescent="0.3">
      <c r="A877">
        <v>875</v>
      </c>
      <c r="B877">
        <f>'Real Input'!M877</f>
        <v>18.990466999995988</v>
      </c>
      <c r="C877">
        <f ca="1">INDIRECT(CONCATENATE("'Real Input'!",'Real Analysis'!$B$2,A877+2))</f>
        <v>9.8152581600000008</v>
      </c>
      <c r="D877">
        <f t="shared" si="66"/>
        <v>2.0479999991948716E-2</v>
      </c>
      <c r="E877">
        <f ca="1">IF(B877&gt;0,C877-'Real Analysis'!$B$14,0)</f>
        <v>-4.1239642371426299E-2</v>
      </c>
      <c r="F877">
        <f t="shared" ca="1" si="69"/>
        <v>3.7076952721187627E-2</v>
      </c>
      <c r="G877">
        <f t="shared" ca="1" si="70"/>
        <v>-0.95236878794400615</v>
      </c>
      <c r="H877">
        <f ca="1">IF(AND(B877&gt;'Real Analysis'!$B$31,B877&lt;'Real Analysis'!$B$32),FilterInput(E877,'Real Analysis'!$B$26,'Real Analysis'!$B$27),0)</f>
        <v>-4.1239642371426299E-2</v>
      </c>
      <c r="I877" t="e">
        <f>MEDIAN2("Real Values",H877,'Real Analysis'!$B$5,2)</f>
        <v>#VALUE!</v>
      </c>
      <c r="J877" t="e">
        <f>AVERAGE2("Real Values",I877,'Real Analysis'!$B$6,2)</f>
        <v>#VALUE!</v>
      </c>
      <c r="K877" t="e">
        <f>INTEGRAL2(J877,$B877,K876,J876,$B876,'Real Analysis'!$B$19)</f>
        <v>#VALUE!</v>
      </c>
      <c r="L877" t="e">
        <f ca="1">IF(AND(B877&lt;'Real Analysis'!$B$32,B877&gt;'Real Analysis'!$B$31),INTEGRAL2(K877,$B877,L876,K876,$B876,'Real Analysis'!$B$20),0)</f>
        <v>#VALUE!</v>
      </c>
      <c r="N877">
        <f>'Real Analysis'!$B$28*'Real Input'!U877+IF('Real Input'!U877 &gt; 0,'Real Analysis'!$B$29,0)</f>
        <v>-0.94940599999999997</v>
      </c>
      <c r="O877" t="e">
        <f t="shared" si="67"/>
        <v>#VALUE!</v>
      </c>
      <c r="P877" t="e">
        <f t="shared" ca="1" si="68"/>
        <v>#VALUE!</v>
      </c>
    </row>
    <row r="878" spans="1:16" x14ac:dyDescent="0.3">
      <c r="A878">
        <v>876</v>
      </c>
      <c r="B878">
        <f>'Real Input'!M878</f>
        <v>19.001478999998653</v>
      </c>
      <c r="C878">
        <f ca="1">INDIRECT(CONCATENATE("'Real Input'!",'Real Analysis'!$B$2,A878+2))</f>
        <v>9.8307873900000011</v>
      </c>
      <c r="D878">
        <f t="shared" si="66"/>
        <v>1.1012000002665445E-2</v>
      </c>
      <c r="E878">
        <f ca="1">IF(B878&gt;0,C878-'Real Analysis'!$B$14,0)</f>
        <v>-2.5710412371426017E-2</v>
      </c>
      <c r="F878">
        <f t="shared" ca="1" si="69"/>
        <v>3.6793829660084952E-2</v>
      </c>
      <c r="G878">
        <f t="shared" ca="1" si="70"/>
        <v>-0.95196361429169118</v>
      </c>
      <c r="H878">
        <f ca="1">IF(AND(B878&gt;'Real Analysis'!$B$31,B878&lt;'Real Analysis'!$B$32),FilterInput(E878,'Real Analysis'!$B$26,'Real Analysis'!$B$27),0)</f>
        <v>-2.5710412371426017E-2</v>
      </c>
      <c r="I878" t="e">
        <f>MEDIAN2("Real Values",H878,'Real Analysis'!$B$5,2)</f>
        <v>#VALUE!</v>
      </c>
      <c r="J878" t="e">
        <f>AVERAGE2("Real Values",I878,'Real Analysis'!$B$6,2)</f>
        <v>#VALUE!</v>
      </c>
      <c r="K878" t="e">
        <f>INTEGRAL2(J878,$B878,K877,J877,$B877,'Real Analysis'!$B$19)</f>
        <v>#VALUE!</v>
      </c>
      <c r="L878" t="e">
        <f ca="1">IF(AND(B878&lt;'Real Analysis'!$B$32,B878&gt;'Real Analysis'!$B$31),INTEGRAL2(K878,$B878,L877,K877,$B877,'Real Analysis'!$B$20),0)</f>
        <v>#VALUE!</v>
      </c>
      <c r="N878">
        <f>'Real Analysis'!$B$28*'Real Input'!U878+IF('Real Input'!U878 &gt; 0,'Real Analysis'!$B$29,0)</f>
        <v>-0.95139299999999993</v>
      </c>
      <c r="O878" t="e">
        <f t="shared" si="67"/>
        <v>#VALUE!</v>
      </c>
      <c r="P878" t="e">
        <f t="shared" ca="1" si="68"/>
        <v>#VALUE!</v>
      </c>
    </row>
    <row r="879" spans="1:16" x14ac:dyDescent="0.3">
      <c r="A879">
        <v>877</v>
      </c>
      <c r="B879">
        <f>'Real Input'!M879</f>
        <v>19.030511000004481</v>
      </c>
      <c r="C879">
        <f ca="1">INDIRECT(CONCATENATE("'Real Input'!",'Real Analysis'!$B$2,A879+2))</f>
        <v>9.8471406600000009</v>
      </c>
      <c r="D879">
        <f t="shared" si="66"/>
        <v>2.9032000005827285E-2</v>
      </c>
      <c r="E879">
        <f ca="1">IF(B879&gt;0,C879-'Real Analysis'!$B$14,0)</f>
        <v>-9.3571423714262636E-3</v>
      </c>
      <c r="F879">
        <f t="shared" ca="1" si="69"/>
        <v>3.6522173102703177E-2</v>
      </c>
      <c r="G879">
        <f t="shared" ca="1" si="70"/>
        <v>-0.95090330256196065</v>
      </c>
      <c r="H879">
        <f ca="1">IF(AND(B879&gt;'Real Analysis'!$B$31,B879&lt;'Real Analysis'!$B$32),FilterInput(E879,'Real Analysis'!$B$26,'Real Analysis'!$B$27),0)</f>
        <v>-9.3571423714262636E-3</v>
      </c>
      <c r="I879" t="e">
        <f>MEDIAN2("Real Values",H879,'Real Analysis'!$B$5,2)</f>
        <v>#VALUE!</v>
      </c>
      <c r="J879" t="e">
        <f>AVERAGE2("Real Values",I879,'Real Analysis'!$B$6,2)</f>
        <v>#VALUE!</v>
      </c>
      <c r="K879" t="e">
        <f>INTEGRAL2(J879,$B879,K878,J878,$B878,'Real Analysis'!$B$19)</f>
        <v>#VALUE!</v>
      </c>
      <c r="L879" t="e">
        <f ca="1">IF(AND(B879&lt;'Real Analysis'!$B$32,B879&gt;'Real Analysis'!$B$31),INTEGRAL2(K879,$B879,L878,K878,$B878,'Real Analysis'!$B$20),0)</f>
        <v>#VALUE!</v>
      </c>
      <c r="N879">
        <f>'Real Analysis'!$B$28*'Real Input'!U879+IF('Real Input'!U879 &gt; 0,'Real Analysis'!$B$29,0)</f>
        <v>-0.95337999999999989</v>
      </c>
      <c r="O879" t="e">
        <f t="shared" si="67"/>
        <v>#VALUE!</v>
      </c>
      <c r="P879" t="e">
        <f t="shared" ca="1" si="68"/>
        <v>#VALUE!</v>
      </c>
    </row>
    <row r="880" spans="1:16" x14ac:dyDescent="0.3">
      <c r="A880">
        <v>878</v>
      </c>
      <c r="B880">
        <f>'Real Input'!M880</f>
        <v>19.071265000005951</v>
      </c>
      <c r="C880">
        <f ca="1">INDIRECT(CONCATENATE("'Real Input'!",'Real Analysis'!$B$2,A880+2))</f>
        <v>9.82544094</v>
      </c>
      <c r="D880">
        <f t="shared" si="66"/>
        <v>4.0754000001470558E-2</v>
      </c>
      <c r="E880">
        <f ca="1">IF(B880&gt;0,C880-'Real Analysis'!$B$14,0)</f>
        <v>-3.105686237142713E-2</v>
      </c>
      <c r="F880">
        <f t="shared" ca="1" si="69"/>
        <v>3.5256481733572362E-2</v>
      </c>
      <c r="G880">
        <f t="shared" ca="1" si="70"/>
        <v>-0.94946645990533884</v>
      </c>
      <c r="H880">
        <f ca="1">IF(AND(B880&gt;'Real Analysis'!$B$31,B880&lt;'Real Analysis'!$B$32),FilterInput(E880,'Real Analysis'!$B$26,'Real Analysis'!$B$27),0)</f>
        <v>-3.105686237142713E-2</v>
      </c>
      <c r="I880" t="e">
        <f>MEDIAN2("Real Values",H880,'Real Analysis'!$B$5,2)</f>
        <v>#VALUE!</v>
      </c>
      <c r="J880" t="e">
        <f>AVERAGE2("Real Values",I880,'Real Analysis'!$B$6,2)</f>
        <v>#VALUE!</v>
      </c>
      <c r="K880" t="e">
        <f>INTEGRAL2(J880,$B880,K879,J879,$B879,'Real Analysis'!$B$19)</f>
        <v>#VALUE!</v>
      </c>
      <c r="L880" t="e">
        <f ca="1">IF(AND(B880&lt;'Real Analysis'!$B$32,B880&gt;'Real Analysis'!$B$31),INTEGRAL2(K880,$B880,L879,K879,$B879,'Real Analysis'!$B$20),0)</f>
        <v>#VALUE!</v>
      </c>
      <c r="N880">
        <f>'Real Analysis'!$B$28*'Real Input'!U880+IF('Real Input'!U880 &gt; 0,'Real Analysis'!$B$29,0)</f>
        <v>-0.95337999999999989</v>
      </c>
      <c r="O880" t="e">
        <f t="shared" si="67"/>
        <v>#VALUE!</v>
      </c>
      <c r="P880" t="e">
        <f t="shared" ca="1" si="68"/>
        <v>#VALUE!</v>
      </c>
    </row>
    <row r="881" spans="1:16" x14ac:dyDescent="0.3">
      <c r="A881">
        <v>879</v>
      </c>
      <c r="B881">
        <f>'Real Input'!M881</f>
        <v>19.087696999995387</v>
      </c>
      <c r="C881">
        <f ca="1">INDIRECT(CONCATENATE("'Real Input'!",'Real Analysis'!$B$2,A881+2))</f>
        <v>9.8980447500000004</v>
      </c>
      <c r="D881">
        <f t="shared" si="66"/>
        <v>1.6431999989436008E-2</v>
      </c>
      <c r="E881">
        <f ca="1">IF(B881&gt;0,C881-'Real Analysis'!$B$14,0)</f>
        <v>4.154694762857325E-2</v>
      </c>
      <c r="F881">
        <f t="shared" ca="1" si="69"/>
        <v>3.5939181176566179E-2</v>
      </c>
      <c r="G881">
        <f t="shared" ca="1" si="70"/>
        <v>-0.94887590728062521</v>
      </c>
      <c r="H881">
        <f ca="1">IF(AND(B881&gt;'Real Analysis'!$B$31,B881&lt;'Real Analysis'!$B$32),FilterInput(E881,'Real Analysis'!$B$26,'Real Analysis'!$B$27),0)</f>
        <v>4.154694762857325E-2</v>
      </c>
      <c r="I881" t="e">
        <f>MEDIAN2("Real Values",H881,'Real Analysis'!$B$5,2)</f>
        <v>#VALUE!</v>
      </c>
      <c r="J881" t="e">
        <f>AVERAGE2("Real Values",I881,'Real Analysis'!$B$6,2)</f>
        <v>#VALUE!</v>
      </c>
      <c r="K881" t="e">
        <f>INTEGRAL2(J881,$B881,K880,J880,$B880,'Real Analysis'!$B$19)</f>
        <v>#VALUE!</v>
      </c>
      <c r="L881" t="e">
        <f ca="1">IF(AND(B881&lt;'Real Analysis'!$B$32,B881&gt;'Real Analysis'!$B$31),INTEGRAL2(K881,$B881,L880,K880,$B880,'Real Analysis'!$B$20),0)</f>
        <v>#VALUE!</v>
      </c>
      <c r="N881">
        <f>'Real Analysis'!$B$28*'Real Input'!U881+IF('Real Input'!U881 &gt; 0,'Real Analysis'!$B$29,0)</f>
        <v>-0.95536699999999997</v>
      </c>
      <c r="O881" t="e">
        <f t="shared" si="67"/>
        <v>#VALUE!</v>
      </c>
      <c r="P881" t="e">
        <f t="shared" ca="1" si="68"/>
        <v>#VALUE!</v>
      </c>
    </row>
    <row r="882" spans="1:16" x14ac:dyDescent="0.3">
      <c r="A882">
        <v>880</v>
      </c>
      <c r="B882">
        <f>'Real Input'!M882</f>
        <v>19.109417999992729</v>
      </c>
      <c r="C882">
        <f ca="1">INDIRECT(CONCATENATE("'Real Input'!",'Real Analysis'!$B$2,A882+2))</f>
        <v>9.9855793800000008</v>
      </c>
      <c r="D882">
        <f t="shared" si="66"/>
        <v>2.1720999997342005E-2</v>
      </c>
      <c r="E882">
        <f ca="1">IF(B882&gt;0,C882-'Real Analysis'!$B$14,0)</f>
        <v>0.12908157762857364</v>
      </c>
      <c r="F882">
        <f t="shared" ca="1" si="69"/>
        <v>3.8742962123893332E-2</v>
      </c>
      <c r="G882">
        <f t="shared" ca="1" si="70"/>
        <v>-0.94803437140043512</v>
      </c>
      <c r="H882">
        <f ca="1">IF(AND(B882&gt;'Real Analysis'!$B$31,B882&lt;'Real Analysis'!$B$32),FilterInput(E882,'Real Analysis'!$B$26,'Real Analysis'!$B$27),0)</f>
        <v>0.12908157762857364</v>
      </c>
      <c r="I882" t="e">
        <f>MEDIAN2("Real Values",H882,'Real Analysis'!$B$5,2)</f>
        <v>#VALUE!</v>
      </c>
      <c r="J882" t="e">
        <f>AVERAGE2("Real Values",I882,'Real Analysis'!$B$6,2)</f>
        <v>#VALUE!</v>
      </c>
      <c r="K882" t="e">
        <f>INTEGRAL2(J882,$B882,K881,J881,$B881,'Real Analysis'!$B$19)</f>
        <v>#VALUE!</v>
      </c>
      <c r="L882" t="e">
        <f ca="1">IF(AND(B882&lt;'Real Analysis'!$B$32,B882&gt;'Real Analysis'!$B$31),INTEGRAL2(K882,$B882,L881,K881,$B881,'Real Analysis'!$B$20),0)</f>
        <v>#VALUE!</v>
      </c>
      <c r="N882">
        <f>'Real Analysis'!$B$28*'Real Input'!U882+IF('Real Input'!U882 &gt; 0,'Real Analysis'!$B$29,0)</f>
        <v>-0.95735399999999993</v>
      </c>
      <c r="O882" t="e">
        <f t="shared" si="67"/>
        <v>#VALUE!</v>
      </c>
      <c r="P882" t="e">
        <f t="shared" ca="1" si="68"/>
        <v>#VALUE!</v>
      </c>
    </row>
    <row r="883" spans="1:16" x14ac:dyDescent="0.3">
      <c r="A883">
        <v>881</v>
      </c>
      <c r="B883">
        <f>'Real Input'!M883</f>
        <v>19.121025999993435</v>
      </c>
      <c r="C883">
        <f ca="1">INDIRECT(CONCATENATE("'Real Input'!",'Real Analysis'!$B$2,A883+2))</f>
        <v>9.9461529899999999</v>
      </c>
      <c r="D883">
        <f t="shared" si="66"/>
        <v>1.1608000000705943E-2</v>
      </c>
      <c r="E883">
        <f ca="1">IF(B883&gt;0,C883-'Real Analysis'!$B$14,0)</f>
        <v>8.9655187628572719E-2</v>
      </c>
      <c r="F883">
        <f t="shared" ca="1" si="69"/>
        <v>3.9783679541949092E-2</v>
      </c>
      <c r="G883">
        <f t="shared" ca="1" si="70"/>
        <v>-0.94757256244828414</v>
      </c>
      <c r="H883">
        <f ca="1">IF(AND(B883&gt;'Real Analysis'!$B$31,B883&lt;'Real Analysis'!$B$32),FilterInput(E883,'Real Analysis'!$B$26,'Real Analysis'!$B$27),0)</f>
        <v>8.9655187628572719E-2</v>
      </c>
      <c r="I883" t="e">
        <f>MEDIAN2("Real Values",H883,'Real Analysis'!$B$5,2)</f>
        <v>#VALUE!</v>
      </c>
      <c r="J883" t="e">
        <f>AVERAGE2("Real Values",I883,'Real Analysis'!$B$6,2)</f>
        <v>#VALUE!</v>
      </c>
      <c r="K883" t="e">
        <f>INTEGRAL2(J883,$B883,K882,J882,$B882,'Real Analysis'!$B$19)</f>
        <v>#VALUE!</v>
      </c>
      <c r="L883" t="e">
        <f ca="1">IF(AND(B883&lt;'Real Analysis'!$B$32,B883&gt;'Real Analysis'!$B$31),INTEGRAL2(K883,$B883,L882,K882,$B882,'Real Analysis'!$B$20),0)</f>
        <v>#VALUE!</v>
      </c>
      <c r="N883">
        <f>'Real Analysis'!$B$28*'Real Input'!U883+IF('Real Input'!U883 &gt; 0,'Real Analysis'!$B$29,0)</f>
        <v>-0.95735399999999993</v>
      </c>
      <c r="O883" t="e">
        <f t="shared" si="67"/>
        <v>#VALUE!</v>
      </c>
      <c r="P883" t="e">
        <f t="shared" ca="1" si="68"/>
        <v>#VALUE!</v>
      </c>
    </row>
    <row r="884" spans="1:16" x14ac:dyDescent="0.3">
      <c r="A884">
        <v>882</v>
      </c>
      <c r="B884">
        <f>'Real Input'!M884</f>
        <v>19.135913999998593</v>
      </c>
      <c r="C884">
        <f ca="1">INDIRECT(CONCATENATE("'Real Input'!",'Real Analysis'!$B$2,A884+2))</f>
        <v>10.017314730000001</v>
      </c>
      <c r="D884">
        <f t="shared" si="66"/>
        <v>1.4888000005157664E-2</v>
      </c>
      <c r="E884">
        <f ca="1">IF(B884&gt;0,C884-'Real Analysis'!$B$14,0)</f>
        <v>0.16081692762857358</v>
      </c>
      <c r="F884">
        <f t="shared" ca="1" si="69"/>
        <v>4.2177921961312738E-2</v>
      </c>
      <c r="G884">
        <f t="shared" ca="1" si="70"/>
        <v>-0.94694461754590653</v>
      </c>
      <c r="H884">
        <f ca="1">IF(AND(B884&gt;'Real Analysis'!$B$31,B884&lt;'Real Analysis'!$B$32),FilterInput(E884,'Real Analysis'!$B$26,'Real Analysis'!$B$27),0)</f>
        <v>0.16081692762857358</v>
      </c>
      <c r="I884" t="e">
        <f>MEDIAN2("Real Values",H884,'Real Analysis'!$B$5,2)</f>
        <v>#VALUE!</v>
      </c>
      <c r="J884" t="e">
        <f>AVERAGE2("Real Values",I884,'Real Analysis'!$B$6,2)</f>
        <v>#VALUE!</v>
      </c>
      <c r="K884" t="e">
        <f>INTEGRAL2(J884,$B884,K883,J883,$B883,'Real Analysis'!$B$19)</f>
        <v>#VALUE!</v>
      </c>
      <c r="L884" t="e">
        <f ca="1">IF(AND(B884&lt;'Real Analysis'!$B$32,B884&gt;'Real Analysis'!$B$31),INTEGRAL2(K884,$B884,L883,K883,$B883,'Real Analysis'!$B$20),0)</f>
        <v>#VALUE!</v>
      </c>
      <c r="N884">
        <f>'Real Analysis'!$B$28*'Real Input'!U884+IF('Real Input'!U884 &gt; 0,'Real Analysis'!$B$29,0)</f>
        <v>-0.95735399999999993</v>
      </c>
      <c r="O884" t="e">
        <f t="shared" si="67"/>
        <v>#VALUE!</v>
      </c>
      <c r="P884" t="e">
        <f t="shared" ca="1" si="68"/>
        <v>#VALUE!</v>
      </c>
    </row>
    <row r="885" spans="1:16" x14ac:dyDescent="0.3">
      <c r="A885">
        <v>883</v>
      </c>
      <c r="B885">
        <f>'Real Input'!M885</f>
        <v>19.192383000001428</v>
      </c>
      <c r="C885">
        <f ca="1">INDIRECT(CONCATENATE("'Real Input'!",'Real Analysis'!$B$2,A885+2))</f>
        <v>9.9769956300000011</v>
      </c>
      <c r="D885">
        <f t="shared" si="66"/>
        <v>5.6469000002834946E-2</v>
      </c>
      <c r="E885">
        <f ca="1">IF(B885&gt;0,C885-'Real Analysis'!$B$14,0)</f>
        <v>0.12049782762857397</v>
      </c>
      <c r="F885">
        <f t="shared" ca="1" si="69"/>
        <v>4.8982313790012284E-2</v>
      </c>
      <c r="G885">
        <f t="shared" ca="1" si="70"/>
        <v>-0.94417863526835943</v>
      </c>
      <c r="H885">
        <f ca="1">IF(AND(B885&gt;'Real Analysis'!$B$31,B885&lt;'Real Analysis'!$B$32),FilterInput(E885,'Real Analysis'!$B$26,'Real Analysis'!$B$27),0)</f>
        <v>0.12049782762857397</v>
      </c>
      <c r="I885" t="e">
        <f>MEDIAN2("Real Values",H885,'Real Analysis'!$B$5,2)</f>
        <v>#VALUE!</v>
      </c>
      <c r="J885" t="e">
        <f>AVERAGE2("Real Values",I885,'Real Analysis'!$B$6,2)</f>
        <v>#VALUE!</v>
      </c>
      <c r="K885" t="e">
        <f>INTEGRAL2(J885,$B885,K884,J884,$B884,'Real Analysis'!$B$19)</f>
        <v>#VALUE!</v>
      </c>
      <c r="L885" t="e">
        <f ca="1">IF(AND(B885&lt;'Real Analysis'!$B$32,B885&gt;'Real Analysis'!$B$31),INTEGRAL2(K885,$B885,L884,K884,$B884,'Real Analysis'!$B$20),0)</f>
        <v>#VALUE!</v>
      </c>
      <c r="N885">
        <f>'Real Analysis'!$B$28*'Real Input'!U885+IF('Real Input'!U885 &gt; 0,'Real Analysis'!$B$29,0)</f>
        <v>-0.95735399999999993</v>
      </c>
      <c r="O885" t="e">
        <f t="shared" si="67"/>
        <v>#VALUE!</v>
      </c>
      <c r="P885" t="e">
        <f t="shared" ca="1" si="68"/>
        <v>#VALUE!</v>
      </c>
    </row>
    <row r="886" spans="1:16" x14ac:dyDescent="0.3">
      <c r="A886">
        <v>884</v>
      </c>
      <c r="B886">
        <f>'Real Input'!M886</f>
        <v>19.210042999999132</v>
      </c>
      <c r="C886">
        <f ca="1">INDIRECT(CONCATENATE("'Real Input'!",'Real Analysis'!$B$2,A886+2))</f>
        <v>10.20686355</v>
      </c>
      <c r="D886">
        <f t="shared" si="66"/>
        <v>1.765999999770429E-2</v>
      </c>
      <c r="E886">
        <f ca="1">IF(B886&gt;0,C886-'Real Analysis'!$B$14,0)</f>
        <v>0.35036574762857242</v>
      </c>
      <c r="F886">
        <f t="shared" ca="1" si="69"/>
        <v>5.5169772892328536E-2</v>
      </c>
      <c r="G886">
        <f t="shared" ca="1" si="70"/>
        <v>-0.94320433707920759</v>
      </c>
      <c r="H886">
        <f ca="1">IF(AND(B886&gt;'Real Analysis'!$B$31,B886&lt;'Real Analysis'!$B$32),FilterInput(E886,'Real Analysis'!$B$26,'Real Analysis'!$B$27),0)</f>
        <v>0.35036574762857242</v>
      </c>
      <c r="I886" t="e">
        <f>MEDIAN2("Real Values",H886,'Real Analysis'!$B$5,2)</f>
        <v>#VALUE!</v>
      </c>
      <c r="J886" t="e">
        <f>AVERAGE2("Real Values",I886,'Real Analysis'!$B$6,2)</f>
        <v>#VALUE!</v>
      </c>
      <c r="K886" t="e">
        <f>INTEGRAL2(J886,$B886,K885,J885,$B885,'Real Analysis'!$B$19)</f>
        <v>#VALUE!</v>
      </c>
      <c r="L886" t="e">
        <f ca="1">IF(AND(B886&lt;'Real Analysis'!$B$32,B886&gt;'Real Analysis'!$B$31),INTEGRAL2(K886,$B886,L885,K885,$B885,'Real Analysis'!$B$20),0)</f>
        <v>#VALUE!</v>
      </c>
      <c r="N886">
        <f>'Real Analysis'!$B$28*'Real Input'!U886+IF('Real Input'!U886 &gt; 0,'Real Analysis'!$B$29,0)</f>
        <v>-0.95735399999999993</v>
      </c>
      <c r="O886" t="e">
        <f t="shared" si="67"/>
        <v>#VALUE!</v>
      </c>
      <c r="P886" t="e">
        <f t="shared" ca="1" si="68"/>
        <v>#VALUE!</v>
      </c>
    </row>
    <row r="887" spans="1:16" x14ac:dyDescent="0.3">
      <c r="A887">
        <v>885</v>
      </c>
      <c r="B887">
        <f>'Real Input'!M887</f>
        <v>19.269948000001023</v>
      </c>
      <c r="C887">
        <f ca="1">INDIRECT(CONCATENATE("'Real Input'!",'Real Analysis'!$B$2,A887+2))</f>
        <v>10.18581129</v>
      </c>
      <c r="D887">
        <f t="shared" si="66"/>
        <v>5.9905000001890585E-2</v>
      </c>
      <c r="E887">
        <f ca="1">IF(B887&gt;0,C887-'Real Analysis'!$B$14,0)</f>
        <v>0.32931348762857304</v>
      </c>
      <c r="F887">
        <f t="shared" ca="1" si="69"/>
        <v>7.4897297369340796E-2</v>
      </c>
      <c r="G887">
        <f t="shared" ca="1" si="70"/>
        <v>-0.93871761448015567</v>
      </c>
      <c r="H887">
        <f ca="1">IF(AND(B887&gt;'Real Analysis'!$B$31,B887&lt;'Real Analysis'!$B$32),FilterInput(E887,'Real Analysis'!$B$26,'Real Analysis'!$B$27),0)</f>
        <v>0.32931348762857304</v>
      </c>
      <c r="I887" t="e">
        <f>MEDIAN2("Real Values",H887,'Real Analysis'!$B$5,2)</f>
        <v>#VALUE!</v>
      </c>
      <c r="J887" t="e">
        <f>AVERAGE2("Real Values",I887,'Real Analysis'!$B$6,2)</f>
        <v>#VALUE!</v>
      </c>
      <c r="K887" t="e">
        <f>INTEGRAL2(J887,$B887,K886,J886,$B886,'Real Analysis'!$B$19)</f>
        <v>#VALUE!</v>
      </c>
      <c r="L887" t="e">
        <f ca="1">IF(AND(B887&lt;'Real Analysis'!$B$32,B887&gt;'Real Analysis'!$B$31),INTEGRAL2(K887,$B887,L886,K886,$B886,'Real Analysis'!$B$20),0)</f>
        <v>#VALUE!</v>
      </c>
      <c r="N887">
        <f>'Real Analysis'!$B$28*'Real Input'!U887+IF('Real Input'!U887 &gt; 0,'Real Analysis'!$B$29,0)</f>
        <v>-0.95735399999999993</v>
      </c>
      <c r="O887" t="e">
        <f t="shared" si="67"/>
        <v>#VALUE!</v>
      </c>
      <c r="P887" t="e">
        <f t="shared" ca="1" si="68"/>
        <v>#VALUE!</v>
      </c>
    </row>
    <row r="888" spans="1:16" x14ac:dyDescent="0.3">
      <c r="A888">
        <v>886</v>
      </c>
      <c r="B888">
        <f>'Real Input'!M888</f>
        <v>19.277885999996215</v>
      </c>
      <c r="C888">
        <f ca="1">INDIRECT(CONCATENATE("'Real Input'!",'Real Analysis'!$B$2,A888+2))</f>
        <v>10.147650390000001</v>
      </c>
      <c r="D888">
        <f t="shared" si="66"/>
        <v>7.9379999951925129E-3</v>
      </c>
      <c r="E888">
        <f ca="1">IF(B888&gt;0,C888-'Real Analysis'!$B$14,0)</f>
        <v>0.29115258762857366</v>
      </c>
      <c r="F888">
        <f t="shared" ca="1" si="69"/>
        <v>7.7208466608536697E-2</v>
      </c>
      <c r="G888">
        <f t="shared" ca="1" si="70"/>
        <v>-0.93810473367258829</v>
      </c>
      <c r="H888">
        <f ca="1">IF(AND(B888&gt;'Real Analysis'!$B$31,B888&lt;'Real Analysis'!$B$32),FilterInput(E888,'Real Analysis'!$B$26,'Real Analysis'!$B$27),0)</f>
        <v>0.29115258762857366</v>
      </c>
      <c r="I888" t="e">
        <f>MEDIAN2("Real Values",H888,'Real Analysis'!$B$5,2)</f>
        <v>#VALUE!</v>
      </c>
      <c r="J888" t="e">
        <f>AVERAGE2("Real Values",I888,'Real Analysis'!$B$6,2)</f>
        <v>#VALUE!</v>
      </c>
      <c r="K888" t="e">
        <f>INTEGRAL2(J888,$B888,K887,J887,$B887,'Real Analysis'!$B$19)</f>
        <v>#VALUE!</v>
      </c>
      <c r="L888" t="e">
        <f ca="1">IF(AND(B888&lt;'Real Analysis'!$B$32,B888&gt;'Real Analysis'!$B$31),INTEGRAL2(K888,$B888,L887,K887,$B887,'Real Analysis'!$B$20),0)</f>
        <v>#VALUE!</v>
      </c>
      <c r="N888">
        <f>'Real Analysis'!$B$28*'Real Input'!U888+IF('Real Input'!U888 &gt; 0,'Real Analysis'!$B$29,0)</f>
        <v>-0.95934099999999989</v>
      </c>
      <c r="O888" t="e">
        <f t="shared" si="67"/>
        <v>#VALUE!</v>
      </c>
      <c r="P888" t="e">
        <f t="shared" ca="1" si="68"/>
        <v>#VALUE!</v>
      </c>
    </row>
    <row r="889" spans="1:16" x14ac:dyDescent="0.3">
      <c r="A889">
        <v>887</v>
      </c>
      <c r="B889">
        <f>'Real Input'!M889</f>
        <v>19.330692000003182</v>
      </c>
      <c r="C889">
        <f ca="1">INDIRECT(CONCATENATE("'Real Input'!",'Real Analysis'!$B$2,A889+2))</f>
        <v>10.226640509999999</v>
      </c>
      <c r="D889">
        <f t="shared" si="66"/>
        <v>5.2806000006967224E-2</v>
      </c>
      <c r="E889">
        <f ca="1">IF(B889&gt;0,C889-'Real Analysis'!$B$14,0)</f>
        <v>0.37014270762857215</v>
      </c>
      <c r="F889">
        <f t="shared" ca="1" si="69"/>
        <v>9.6754222430149944E-2</v>
      </c>
      <c r="G889">
        <f t="shared" ca="1" si="70"/>
        <v>-0.93299553020226766</v>
      </c>
      <c r="H889">
        <f ca="1">IF(AND(B889&gt;'Real Analysis'!$B$31,B889&lt;'Real Analysis'!$B$32),FilterInput(E889,'Real Analysis'!$B$26,'Real Analysis'!$B$27),0)</f>
        <v>0.37014270762857215</v>
      </c>
      <c r="I889" t="e">
        <f>MEDIAN2("Real Values",H889,'Real Analysis'!$B$5,2)</f>
        <v>#VALUE!</v>
      </c>
      <c r="J889" t="e">
        <f>AVERAGE2("Real Values",I889,'Real Analysis'!$B$6,2)</f>
        <v>#VALUE!</v>
      </c>
      <c r="K889" t="e">
        <f>INTEGRAL2(J889,$B889,K888,J888,$B888,'Real Analysis'!$B$19)</f>
        <v>#VALUE!</v>
      </c>
      <c r="L889" t="e">
        <f ca="1">IF(AND(B889&lt;'Real Analysis'!$B$32,B889&gt;'Real Analysis'!$B$31),INTEGRAL2(K889,$B889,L888,K888,$B888,'Real Analysis'!$B$20),0)</f>
        <v>#VALUE!</v>
      </c>
      <c r="N889">
        <f>'Real Analysis'!$B$28*'Real Input'!U889+IF('Real Input'!U889 &gt; 0,'Real Analysis'!$B$29,0)</f>
        <v>-0.95934099999999989</v>
      </c>
      <c r="O889" t="e">
        <f t="shared" si="67"/>
        <v>#VALUE!</v>
      </c>
      <c r="P889" t="e">
        <f t="shared" ca="1" si="68"/>
        <v>#VALUE!</v>
      </c>
    </row>
    <row r="890" spans="1:16" x14ac:dyDescent="0.3">
      <c r="A890">
        <v>888</v>
      </c>
      <c r="B890">
        <f>'Real Input'!M890</f>
        <v>19.347475000002305</v>
      </c>
      <c r="C890">
        <f ca="1">INDIRECT(CONCATENATE("'Real Input'!",'Real Analysis'!$B$2,A890+2))</f>
        <v>10.14185268</v>
      </c>
      <c r="D890">
        <f t="shared" si="66"/>
        <v>1.6782999999122694E-2</v>
      </c>
      <c r="E890">
        <f ca="1">IF(B890&gt;0,C890-'Real Analysis'!$B$14,0)</f>
        <v>0.28535487762857237</v>
      </c>
      <c r="F890">
        <f t="shared" ca="1" si="69"/>
        <v>0.10154333334113994</v>
      </c>
      <c r="G890">
        <f t="shared" ca="1" si="70"/>
        <v>-0.9312913284388924</v>
      </c>
      <c r="H890">
        <f ca="1">IF(AND(B890&gt;'Real Analysis'!$B$31,B890&lt;'Real Analysis'!$B$32),FilterInput(E890,'Real Analysis'!$B$26,'Real Analysis'!$B$27),0)</f>
        <v>0.28535487762857237</v>
      </c>
      <c r="I890" t="e">
        <f>MEDIAN2("Real Values",H890,'Real Analysis'!$B$5,2)</f>
        <v>#VALUE!</v>
      </c>
      <c r="J890" t="e">
        <f>AVERAGE2("Real Values",I890,'Real Analysis'!$B$6,2)</f>
        <v>#VALUE!</v>
      </c>
      <c r="K890" t="e">
        <f>INTEGRAL2(J890,$B890,K889,J889,$B889,'Real Analysis'!$B$19)</f>
        <v>#VALUE!</v>
      </c>
      <c r="L890" t="e">
        <f ca="1">IF(AND(B890&lt;'Real Analysis'!$B$32,B890&gt;'Real Analysis'!$B$31),INTEGRAL2(K890,$B890,L889,K889,$B889,'Real Analysis'!$B$20),0)</f>
        <v>#VALUE!</v>
      </c>
      <c r="N890">
        <f>'Real Analysis'!$B$28*'Real Input'!U890+IF('Real Input'!U890 &gt; 0,'Real Analysis'!$B$29,0)</f>
        <v>-0.96132799999999996</v>
      </c>
      <c r="O890" t="e">
        <f t="shared" si="67"/>
        <v>#VALUE!</v>
      </c>
      <c r="P890" t="e">
        <f t="shared" ca="1" si="68"/>
        <v>#VALUE!</v>
      </c>
    </row>
    <row r="891" spans="1:16" x14ac:dyDescent="0.3">
      <c r="A891">
        <v>889</v>
      </c>
      <c r="B891">
        <f>'Real Input'!M891</f>
        <v>19.412165999994613</v>
      </c>
      <c r="C891">
        <f ca="1">INDIRECT(CONCATENATE("'Real Input'!",'Real Analysis'!$B$2,A891+2))</f>
        <v>9.156536280000001</v>
      </c>
      <c r="D891">
        <f t="shared" si="66"/>
        <v>6.4690999992308207E-2</v>
      </c>
      <c r="E891">
        <f ca="1">IF(B891&gt;0,C891-'Real Analysis'!$B$14,0)</f>
        <v>-0.69996152237142617</v>
      </c>
      <c r="F891">
        <f t="shared" ca="1" si="69"/>
        <v>5.6262122502793964E-2</v>
      </c>
      <c r="G891">
        <f t="shared" ca="1" si="70"/>
        <v>-0.92765167547249694</v>
      </c>
      <c r="H891">
        <f ca="1">IF(AND(B891&gt;'Real Analysis'!$B$31,B891&lt;'Real Analysis'!$B$32),FilterInput(E891,'Real Analysis'!$B$26,'Real Analysis'!$B$27),0)</f>
        <v>-0.69996152237142617</v>
      </c>
      <c r="I891" t="e">
        <f>MEDIAN2("Real Values",H891,'Real Analysis'!$B$5,2)</f>
        <v>#VALUE!</v>
      </c>
      <c r="J891" t="e">
        <f>AVERAGE2("Real Values",I891,'Real Analysis'!$B$6,2)</f>
        <v>#VALUE!</v>
      </c>
      <c r="K891" t="e">
        <f>INTEGRAL2(J891,$B891,K890,J890,$B890,'Real Analysis'!$B$19)</f>
        <v>#VALUE!</v>
      </c>
      <c r="L891" t="e">
        <f ca="1">IF(AND(B891&lt;'Real Analysis'!$B$32,B891&gt;'Real Analysis'!$B$31),INTEGRAL2(K891,$B891,L890,K890,$B890,'Real Analysis'!$B$20),0)</f>
        <v>#VALUE!</v>
      </c>
      <c r="N891">
        <f>'Real Analysis'!$B$28*'Real Input'!U891+IF('Real Input'!U891 &gt; 0,'Real Analysis'!$B$29,0)</f>
        <v>-0.96530199999999999</v>
      </c>
      <c r="O891" t="e">
        <f t="shared" si="67"/>
        <v>#VALUE!</v>
      </c>
      <c r="P891" t="e">
        <f t="shared" ca="1" si="68"/>
        <v>#VALUE!</v>
      </c>
    </row>
    <row r="892" spans="1:16" x14ac:dyDescent="0.3">
      <c r="A892">
        <v>890</v>
      </c>
      <c r="B892">
        <f>'Real Input'!M892</f>
        <v>19.416817000004812</v>
      </c>
      <c r="C892">
        <f ca="1">INDIRECT(CONCATENATE("'Real Input'!",'Real Analysis'!$B$2,A892+2))</f>
        <v>10.158696450000001</v>
      </c>
      <c r="D892">
        <f t="shared" si="66"/>
        <v>4.6510000101989135E-3</v>
      </c>
      <c r="E892">
        <f ca="1">IF(B892&gt;0,C892-'Real Analysis'!$B$14,0)</f>
        <v>0.30219864762857362</v>
      </c>
      <c r="F892">
        <f t="shared" ca="1" si="69"/>
        <v>5.7667648415996559E-2</v>
      </c>
      <c r="G892">
        <f t="shared" ca="1" si="70"/>
        <v>-0.92738346323912602</v>
      </c>
      <c r="H892">
        <f ca="1">IF(AND(B892&gt;'Real Analysis'!$B$31,B892&lt;'Real Analysis'!$B$32),FilterInput(E892,'Real Analysis'!$B$26,'Real Analysis'!$B$27),0)</f>
        <v>0.30219864762857362</v>
      </c>
      <c r="I892" t="e">
        <f>MEDIAN2("Real Values",H892,'Real Analysis'!$B$5,2)</f>
        <v>#VALUE!</v>
      </c>
      <c r="J892" t="e">
        <f>AVERAGE2("Real Values",I892,'Real Analysis'!$B$6,2)</f>
        <v>#VALUE!</v>
      </c>
      <c r="K892" t="e">
        <f>INTEGRAL2(J892,$B892,K891,J891,$B891,'Real Analysis'!$B$19)</f>
        <v>#VALUE!</v>
      </c>
      <c r="L892" t="e">
        <f ca="1">IF(AND(B892&lt;'Real Analysis'!$B$32,B892&gt;'Real Analysis'!$B$31),INTEGRAL2(K892,$B892,L891,K891,$B891,'Real Analysis'!$B$20),0)</f>
        <v>#VALUE!</v>
      </c>
      <c r="N892">
        <f>'Real Analysis'!$B$28*'Real Input'!U892+IF('Real Input'!U892 &gt; 0,'Real Analysis'!$B$29,0)</f>
        <v>-0.96530199999999999</v>
      </c>
      <c r="O892" t="e">
        <f t="shared" si="67"/>
        <v>#VALUE!</v>
      </c>
      <c r="P892" t="e">
        <f t="shared" ca="1" si="68"/>
        <v>#VALUE!</v>
      </c>
    </row>
    <row r="893" spans="1:16" x14ac:dyDescent="0.3">
      <c r="A893">
        <v>891</v>
      </c>
      <c r="B893">
        <f>'Real Input'!M893</f>
        <v>19.470014000005904</v>
      </c>
      <c r="C893">
        <f ca="1">INDIRECT(CONCATENATE("'Real Input'!",'Real Analysis'!$B$2,A893+2))</f>
        <v>9.8718520500000011</v>
      </c>
      <c r="D893">
        <f t="shared" si="66"/>
        <v>5.319700000109151E-2</v>
      </c>
      <c r="E893">
        <f ca="1">IF(B893&gt;0,C893-'Real Analysis'!$B$14,0)</f>
        <v>1.5354247628573958E-2</v>
      </c>
      <c r="F893">
        <f t="shared" ca="1" si="69"/>
        <v>5.8484448327110569E-2</v>
      </c>
      <c r="G893">
        <f t="shared" ca="1" si="70"/>
        <v>-0.92427226604140489</v>
      </c>
      <c r="H893">
        <f ca="1">IF(AND(B893&gt;'Real Analysis'!$B$31,B893&lt;'Real Analysis'!$B$32),FilterInput(E893,'Real Analysis'!$B$26,'Real Analysis'!$B$27),0)</f>
        <v>1.5354247628573958E-2</v>
      </c>
      <c r="I893" t="e">
        <f>MEDIAN2("Real Values",H893,'Real Analysis'!$B$5,2)</f>
        <v>#VALUE!</v>
      </c>
      <c r="J893" t="e">
        <f>AVERAGE2("Real Values",I893,'Real Analysis'!$B$6,2)</f>
        <v>#VALUE!</v>
      </c>
      <c r="K893" t="e">
        <f>INTEGRAL2(J893,$B893,K892,J892,$B892,'Real Analysis'!$B$19)</f>
        <v>#VALUE!</v>
      </c>
      <c r="L893" t="e">
        <f ca="1">IF(AND(B893&lt;'Real Analysis'!$B$32,B893&gt;'Real Analysis'!$B$31),INTEGRAL2(K893,$B893,L892,K892,$B892,'Real Analysis'!$B$20),0)</f>
        <v>#VALUE!</v>
      </c>
      <c r="N893">
        <f>'Real Analysis'!$B$28*'Real Input'!U893+IF('Real Input'!U893 &gt; 0,'Real Analysis'!$B$29,0)</f>
        <v>-0.96530199999999999</v>
      </c>
      <c r="O893" t="e">
        <f t="shared" si="67"/>
        <v>#VALUE!</v>
      </c>
      <c r="P893" t="e">
        <f t="shared" ca="1" si="68"/>
        <v>#VALUE!</v>
      </c>
    </row>
    <row r="894" spans="1:16" x14ac:dyDescent="0.3">
      <c r="A894">
        <v>892</v>
      </c>
      <c r="B894">
        <f>'Real Input'!M894</f>
        <v>19.473469000004116</v>
      </c>
      <c r="C894">
        <f ca="1">INDIRECT(CONCATENATE("'Real Input'!",'Real Analysis'!$B$2,A894+2))</f>
        <v>9.9113274900000015</v>
      </c>
      <c r="D894">
        <f t="shared" si="66"/>
        <v>3.4549999982118607E-3</v>
      </c>
      <c r="E894">
        <f ca="1">IF(B894&gt;0,C894-'Real Analysis'!$B$14,0)</f>
        <v>5.482968762857432E-2</v>
      </c>
      <c r="F894">
        <f t="shared" ca="1" si="69"/>
        <v>5.867388489776925E-2</v>
      </c>
      <c r="G894">
        <f t="shared" ca="1" si="70"/>
        <v>-0.92406954776918804</v>
      </c>
      <c r="H894">
        <f ca="1">IF(AND(B894&gt;'Real Analysis'!$B$31,B894&lt;'Real Analysis'!$B$32),FilterInput(E894,'Real Analysis'!$B$26,'Real Analysis'!$B$27),0)</f>
        <v>5.482968762857432E-2</v>
      </c>
      <c r="I894" t="e">
        <f>MEDIAN2("Real Values",H894,'Real Analysis'!$B$5,2)</f>
        <v>#VALUE!</v>
      </c>
      <c r="J894" t="e">
        <f>AVERAGE2("Real Values",I894,'Real Analysis'!$B$6,2)</f>
        <v>#VALUE!</v>
      </c>
      <c r="K894" t="e">
        <f>INTEGRAL2(J894,$B894,K893,J893,$B893,'Real Analysis'!$B$19)</f>
        <v>#VALUE!</v>
      </c>
      <c r="L894" t="e">
        <f ca="1">IF(AND(B894&lt;'Real Analysis'!$B$32,B894&gt;'Real Analysis'!$B$31),INTEGRAL2(K894,$B894,L893,K893,$B893,'Real Analysis'!$B$20),0)</f>
        <v>#VALUE!</v>
      </c>
      <c r="N894">
        <f>'Real Analysis'!$B$28*'Real Input'!U894+IF('Real Input'!U894 &gt; 0,'Real Analysis'!$B$29,0)</f>
        <v>-0.96530199999999999</v>
      </c>
      <c r="O894" t="e">
        <f t="shared" si="67"/>
        <v>#VALUE!</v>
      </c>
      <c r="P894" t="e">
        <f t="shared" ca="1" si="68"/>
        <v>#VALUE!</v>
      </c>
    </row>
    <row r="895" spans="1:16" x14ac:dyDescent="0.3">
      <c r="A895">
        <v>893</v>
      </c>
      <c r="B895">
        <f>'Real Input'!M895</f>
        <v>19.558466000002227</v>
      </c>
      <c r="C895">
        <f ca="1">INDIRECT(CONCATENATE("'Real Input'!",'Real Analysis'!$B$2,A895+2))</f>
        <v>10.104054750000001</v>
      </c>
      <c r="D895">
        <f t="shared" si="66"/>
        <v>8.4996999998111278E-2</v>
      </c>
      <c r="E895">
        <f ca="1">IF(B895&gt;0,C895-'Real Analysis'!$B$14,0)</f>
        <v>0.24755694762857416</v>
      </c>
      <c r="F895">
        <f t="shared" ca="1" si="69"/>
        <v>7.9715482774887603E-2</v>
      </c>
      <c r="G895">
        <f t="shared" ca="1" si="70"/>
        <v>-0.91729397087992148</v>
      </c>
      <c r="H895">
        <f ca="1">IF(AND(B895&gt;'Real Analysis'!$B$31,B895&lt;'Real Analysis'!$B$32),FilterInput(E895,'Real Analysis'!$B$26,'Real Analysis'!$B$27),0)</f>
        <v>0.24755694762857416</v>
      </c>
      <c r="I895" t="e">
        <f>MEDIAN2("Real Values",H895,'Real Analysis'!$B$5,2)</f>
        <v>#VALUE!</v>
      </c>
      <c r="J895" t="e">
        <f>AVERAGE2("Real Values",I895,'Real Analysis'!$B$6,2)</f>
        <v>#VALUE!</v>
      </c>
      <c r="K895" t="e">
        <f>INTEGRAL2(J895,$B895,K894,J894,$B894,'Real Analysis'!$B$19)</f>
        <v>#VALUE!</v>
      </c>
      <c r="L895" t="e">
        <f ca="1">IF(AND(B895&lt;'Real Analysis'!$B$32,B895&gt;'Real Analysis'!$B$31),INTEGRAL2(K895,$B895,L894,K894,$B894,'Real Analysis'!$B$20),0)</f>
        <v>#VALUE!</v>
      </c>
      <c r="N895">
        <f>'Real Analysis'!$B$28*'Real Input'!U895+IF('Real Input'!U895 &gt; 0,'Real Analysis'!$B$29,0)</f>
        <v>-0.96728899999999995</v>
      </c>
      <c r="O895" t="e">
        <f t="shared" si="67"/>
        <v>#VALUE!</v>
      </c>
      <c r="P895" t="e">
        <f t="shared" ca="1" si="68"/>
        <v>#VALUE!</v>
      </c>
    </row>
    <row r="896" spans="1:16" x14ac:dyDescent="0.3">
      <c r="A896">
        <v>894</v>
      </c>
      <c r="B896">
        <f>'Real Input'!M896</f>
        <v>19.60882799999672</v>
      </c>
      <c r="C896">
        <f ca="1">INDIRECT(CONCATENATE("'Real Input'!",'Real Analysis'!$B$2,A896+2))</f>
        <v>9.9417973500000016</v>
      </c>
      <c r="D896">
        <f t="shared" si="66"/>
        <v>5.036199999449309E-2</v>
      </c>
      <c r="E896">
        <f ca="1">IF(B896&gt;0,C896-'Real Analysis'!$B$14,0)</f>
        <v>8.5299547628574501E-2</v>
      </c>
      <c r="F896">
        <f t="shared" ca="1" si="69"/>
        <v>8.4011338592088133E-2</v>
      </c>
      <c r="G896">
        <f t="shared" ca="1" si="70"/>
        <v>-0.91306299184620943</v>
      </c>
      <c r="H896">
        <f ca="1">IF(AND(B896&gt;'Real Analysis'!$B$31,B896&lt;'Real Analysis'!$B$32),FilterInput(E896,'Real Analysis'!$B$26,'Real Analysis'!$B$27),0)</f>
        <v>8.5299547628574501E-2</v>
      </c>
      <c r="I896" t="e">
        <f>MEDIAN2("Real Values",H896,'Real Analysis'!$B$5,2)</f>
        <v>#VALUE!</v>
      </c>
      <c r="J896" t="e">
        <f>AVERAGE2("Real Values",I896,'Real Analysis'!$B$6,2)</f>
        <v>#VALUE!</v>
      </c>
      <c r="K896" t="e">
        <f>INTEGRAL2(J896,$B896,K895,J895,$B895,'Real Analysis'!$B$19)</f>
        <v>#VALUE!</v>
      </c>
      <c r="L896" t="e">
        <f ca="1">IF(AND(B896&lt;'Real Analysis'!$B$32,B896&gt;'Real Analysis'!$B$31),INTEGRAL2(K896,$B896,L895,K895,$B895,'Real Analysis'!$B$20),0)</f>
        <v>#VALUE!</v>
      </c>
      <c r="N896">
        <f>'Real Analysis'!$B$28*'Real Input'!U896+IF('Real Input'!U896 &gt; 0,'Real Analysis'!$B$29,0)</f>
        <v>-0.96728899999999995</v>
      </c>
      <c r="O896" t="e">
        <f t="shared" si="67"/>
        <v>#VALUE!</v>
      </c>
      <c r="P896" t="e">
        <f t="shared" ca="1" si="68"/>
        <v>#VALUE!</v>
      </c>
    </row>
    <row r="897" spans="1:16" x14ac:dyDescent="0.3">
      <c r="A897">
        <v>895</v>
      </c>
      <c r="B897">
        <f>'Real Input'!M897</f>
        <v>19.616255999993882</v>
      </c>
      <c r="C897">
        <f ca="1">INDIRECT(CONCATENATE("'Real Input'!",'Real Analysis'!$B$2,A897+2))</f>
        <v>9.9723947400000004</v>
      </c>
      <c r="D897">
        <f t="shared" si="66"/>
        <v>7.4279999971622601E-3</v>
      </c>
      <c r="E897">
        <f ca="1">IF(B897&gt;0,C897-'Real Analysis'!$B$14,0)</f>
        <v>0.11589693762857323</v>
      </c>
      <c r="F897">
        <f t="shared" ca="1" si="69"/>
        <v>8.4872221044464291E-2</v>
      </c>
      <c r="G897">
        <f t="shared" ca="1" si="70"/>
        <v>-0.91243256098853198</v>
      </c>
      <c r="H897">
        <f ca="1">IF(AND(B897&gt;'Real Analysis'!$B$31,B897&lt;'Real Analysis'!$B$32),FilterInput(E897,'Real Analysis'!$B$26,'Real Analysis'!$B$27),0)</f>
        <v>0.11589693762857323</v>
      </c>
      <c r="I897" t="e">
        <f>MEDIAN2("Real Values",H897,'Real Analysis'!$B$5,2)</f>
        <v>#VALUE!</v>
      </c>
      <c r="J897" t="e">
        <f>AVERAGE2("Real Values",I897,'Real Analysis'!$B$6,2)</f>
        <v>#VALUE!</v>
      </c>
      <c r="K897" t="e">
        <f>INTEGRAL2(J897,$B897,K896,J896,$B896,'Real Analysis'!$B$19)</f>
        <v>#VALUE!</v>
      </c>
      <c r="L897" t="e">
        <f ca="1">IF(AND(B897&lt;'Real Analysis'!$B$32,B897&gt;'Real Analysis'!$B$31),INTEGRAL2(K897,$B897,L896,K896,$B896,'Real Analysis'!$B$20),0)</f>
        <v>#VALUE!</v>
      </c>
      <c r="N897">
        <f>'Real Analysis'!$B$28*'Real Input'!U897+IF('Real Input'!U897 &gt; 0,'Real Analysis'!$B$29,0)</f>
        <v>-0.96728899999999995</v>
      </c>
      <c r="O897" t="e">
        <f t="shared" si="67"/>
        <v>#VALUE!</v>
      </c>
      <c r="P897" t="e">
        <f t="shared" ca="1" si="68"/>
        <v>#VALUE!</v>
      </c>
    </row>
    <row r="898" spans="1:16" x14ac:dyDescent="0.3">
      <c r="A898">
        <v>896</v>
      </c>
      <c r="B898">
        <f>'Real Input'!M898</f>
        <v>19.681517000004533</v>
      </c>
      <c r="C898">
        <f ca="1">INDIRECT(CONCATENATE("'Real Input'!",'Real Analysis'!$B$2,A898+2))</f>
        <v>9.7294599000000002</v>
      </c>
      <c r="D898">
        <f t="shared" si="66"/>
        <v>6.5261000010650605E-2</v>
      </c>
      <c r="E898">
        <f ca="1">IF(B898&gt;0,C898-'Real Analysis'!$B$14,0)</f>
        <v>-0.12703790237142698</v>
      </c>
      <c r="F898">
        <f t="shared" ca="1" si="69"/>
        <v>7.6581600496449562E-2</v>
      </c>
      <c r="G898">
        <f t="shared" ca="1" si="70"/>
        <v>-0.90743476915771759</v>
      </c>
      <c r="H898">
        <f ca="1">IF(AND(B898&gt;'Real Analysis'!$B$31,B898&lt;'Real Analysis'!$B$32),FilterInput(E898,'Real Analysis'!$B$26,'Real Analysis'!$B$27),0)</f>
        <v>-0.12703790237142698</v>
      </c>
      <c r="I898" t="e">
        <f>MEDIAN2("Real Values",H898,'Real Analysis'!$B$5,2)</f>
        <v>#VALUE!</v>
      </c>
      <c r="J898" t="e">
        <f>AVERAGE2("Real Values",I898,'Real Analysis'!$B$6,2)</f>
        <v>#VALUE!</v>
      </c>
      <c r="K898" t="e">
        <f>INTEGRAL2(J898,$B898,K897,J897,$B897,'Real Analysis'!$B$19)</f>
        <v>#VALUE!</v>
      </c>
      <c r="L898" t="e">
        <f ca="1">IF(AND(B898&lt;'Real Analysis'!$B$32,B898&gt;'Real Analysis'!$B$31),INTEGRAL2(K898,$B898,L897,K897,$B897,'Real Analysis'!$B$20),0)</f>
        <v>#VALUE!</v>
      </c>
      <c r="N898">
        <f>'Real Analysis'!$B$28*'Real Input'!U898+IF('Real Input'!U898 &gt; 0,'Real Analysis'!$B$29,0)</f>
        <v>-0.96927599999999992</v>
      </c>
      <c r="O898" t="e">
        <f t="shared" si="67"/>
        <v>#VALUE!</v>
      </c>
      <c r="P898" t="e">
        <f t="shared" ca="1" si="68"/>
        <v>#VALUE!</v>
      </c>
    </row>
    <row r="899" spans="1:16" x14ac:dyDescent="0.3">
      <c r="A899">
        <v>897</v>
      </c>
      <c r="B899">
        <f>'Real Input'!M899</f>
        <v>19.754574999999022</v>
      </c>
      <c r="C899">
        <f ca="1">INDIRECT(CONCATENATE("'Real Input'!",'Real Analysis'!$B$2,A899+2))</f>
        <v>9.7498843199999996</v>
      </c>
      <c r="D899">
        <f t="shared" ref="D899:D962" si="71">B899-B898</f>
        <v>7.3057999994489364E-2</v>
      </c>
      <c r="E899">
        <f ca="1">IF(B899&gt;0,C899-'Real Analysis'!$B$14,0)</f>
        <v>-0.10661348237142754</v>
      </c>
      <c r="F899">
        <f t="shared" ca="1" si="69"/>
        <v>6.8792632701945314E-2</v>
      </c>
      <c r="G899">
        <f t="shared" ca="1" si="70"/>
        <v>-0.90240891699815795</v>
      </c>
      <c r="H899">
        <f ca="1">IF(AND(B899&gt;'Real Analysis'!$B$31,B899&lt;'Real Analysis'!$B$32),FilterInput(E899,'Real Analysis'!$B$26,'Real Analysis'!$B$27),0)</f>
        <v>-0.10661348237142754</v>
      </c>
      <c r="I899" t="e">
        <f>MEDIAN2("Real Values",H899,'Real Analysis'!$B$5,2)</f>
        <v>#VALUE!</v>
      </c>
      <c r="J899" t="e">
        <f>AVERAGE2("Real Values",I899,'Real Analysis'!$B$6,2)</f>
        <v>#VALUE!</v>
      </c>
      <c r="K899" t="e">
        <f>INTEGRAL2(J899,$B899,K898,J898,$B898,'Real Analysis'!$B$19)</f>
        <v>#VALUE!</v>
      </c>
      <c r="L899" t="e">
        <f ca="1">IF(AND(B899&lt;'Real Analysis'!$B$32,B899&gt;'Real Analysis'!$B$31),INTEGRAL2(K899,$B899,L898,K898,$B898,'Real Analysis'!$B$20),0)</f>
        <v>#VALUE!</v>
      </c>
      <c r="N899">
        <f>'Real Analysis'!$B$28*'Real Input'!U899+IF('Real Input'!U899 &gt; 0,'Real Analysis'!$B$29,0)</f>
        <v>-0.97126299999999999</v>
      </c>
      <c r="O899" t="e">
        <f t="shared" ref="O899:O962" si="72">_xlfn.COVARIANCE.P($L$102:$L$1200,N899:N1997)</f>
        <v>#VALUE!</v>
      </c>
      <c r="P899" t="e">
        <f t="shared" ref="P899:P962" ca="1" si="73">N899-L899</f>
        <v>#VALUE!</v>
      </c>
    </row>
    <row r="900" spans="1:16" x14ac:dyDescent="0.3">
      <c r="A900">
        <v>898</v>
      </c>
      <c r="B900">
        <f>'Real Input'!M900</f>
        <v>19.829968999998528</v>
      </c>
      <c r="C900">
        <f ca="1">INDIRECT(CONCATENATE("'Real Input'!",'Real Analysis'!$B$2,A900+2))</f>
        <v>9.7086038400000003</v>
      </c>
      <c r="D900">
        <f t="shared" si="71"/>
        <v>7.5393999999505468E-2</v>
      </c>
      <c r="E900">
        <f ca="1">IF(B900&gt;0,C900-'Real Analysis'!$B$14,0)</f>
        <v>-0.14789396237142682</v>
      </c>
      <c r="F900">
        <f t="shared" ref="F900:F963" ca="1" si="74">IF(B900&gt;0,F899+E900*$D900,0)</f>
        <v>5.76423153029871E-2</v>
      </c>
      <c r="G900">
        <f t="shared" ca="1" si="70"/>
        <v>-0.89806303227823303</v>
      </c>
      <c r="H900">
        <f ca="1">IF(AND(B900&gt;'Real Analysis'!$B$31,B900&lt;'Real Analysis'!$B$32),FilterInput(E900,'Real Analysis'!$B$26,'Real Analysis'!$B$27),0)</f>
        <v>-0.14789396237142682</v>
      </c>
      <c r="I900" t="e">
        <f>MEDIAN2("Real Values",H900,'Real Analysis'!$B$5,2)</f>
        <v>#VALUE!</v>
      </c>
      <c r="J900" t="e">
        <f>AVERAGE2("Real Values",I900,'Real Analysis'!$B$6,2)</f>
        <v>#VALUE!</v>
      </c>
      <c r="K900" t="e">
        <f>INTEGRAL2(J900,$B900,K899,J899,$B899,'Real Analysis'!$B$19)</f>
        <v>#VALUE!</v>
      </c>
      <c r="L900" t="e">
        <f ca="1">IF(AND(B900&lt;'Real Analysis'!$B$32,B900&gt;'Real Analysis'!$B$31),INTEGRAL2(K900,$B900,L899,K899,$B899,'Real Analysis'!$B$20),0)</f>
        <v>#VALUE!</v>
      </c>
      <c r="N900">
        <f>'Real Analysis'!$B$28*'Real Input'!U900+IF('Real Input'!U900 &gt; 0,'Real Analysis'!$B$29,0)</f>
        <v>-0.97126299999999999</v>
      </c>
      <c r="O900" t="e">
        <f t="shared" si="72"/>
        <v>#VALUE!</v>
      </c>
      <c r="P900" t="e">
        <f t="shared" ca="1" si="73"/>
        <v>#VALUE!</v>
      </c>
    </row>
    <row r="901" spans="1:16" x14ac:dyDescent="0.3">
      <c r="A901">
        <v>899</v>
      </c>
      <c r="B901">
        <f>'Real Input'!M901</f>
        <v>19.89028999999573</v>
      </c>
      <c r="C901">
        <f ca="1">INDIRECT(CONCATENATE("'Real Input'!",'Real Analysis'!$B$2,A901+2))</f>
        <v>9.7591645800000002</v>
      </c>
      <c r="D901">
        <f t="shared" si="71"/>
        <v>6.0320999997202307E-2</v>
      </c>
      <c r="E901">
        <f ca="1">IF(B901&gt;0,C901-'Real Analysis'!$B$14,0)</f>
        <v>-9.7333222371426942E-2</v>
      </c>
      <c r="F901">
        <f t="shared" ca="1" si="74"/>
        <v>5.1771077996592564E-2</v>
      </c>
      <c r="G901">
        <f t="shared" ca="1" si="70"/>
        <v>-0.89494014908254538</v>
      </c>
      <c r="H901">
        <f ca="1">IF(AND(B901&gt;'Real Analysis'!$B$31,B901&lt;'Real Analysis'!$B$32),FilterInput(E901,'Real Analysis'!$B$26,'Real Analysis'!$B$27),0)</f>
        <v>-9.7333222371426942E-2</v>
      </c>
      <c r="I901" t="e">
        <f>MEDIAN2("Real Values",H901,'Real Analysis'!$B$5,2)</f>
        <v>#VALUE!</v>
      </c>
      <c r="J901" t="e">
        <f>AVERAGE2("Real Values",I901,'Real Analysis'!$B$6,2)</f>
        <v>#VALUE!</v>
      </c>
      <c r="K901" t="e">
        <f>INTEGRAL2(J901,$B901,K900,J900,$B900,'Real Analysis'!$B$19)</f>
        <v>#VALUE!</v>
      </c>
      <c r="L901" t="e">
        <f ca="1">IF(AND(B901&lt;'Real Analysis'!$B$32,B901&gt;'Real Analysis'!$B$31),INTEGRAL2(K901,$B901,L900,K900,$B900,'Real Analysis'!$B$20),0)</f>
        <v>#VALUE!</v>
      </c>
      <c r="N901">
        <f>'Real Analysis'!$B$28*'Real Input'!U901+IF('Real Input'!U901 &gt; 0,'Real Analysis'!$B$29,0)</f>
        <v>-0.97126299999999999</v>
      </c>
      <c r="O901" t="e">
        <f t="shared" si="72"/>
        <v>#VALUE!</v>
      </c>
      <c r="P901" t="e">
        <f t="shared" ca="1" si="73"/>
        <v>#VALUE!</v>
      </c>
    </row>
    <row r="902" spans="1:16" x14ac:dyDescent="0.3">
      <c r="A902">
        <v>900</v>
      </c>
      <c r="B902">
        <f>'Real Input'!M902</f>
        <v>19.896116000003531</v>
      </c>
      <c r="C902">
        <f ca="1">INDIRECT(CONCATENATE("'Real Input'!",'Real Analysis'!$B$2,A902+2))</f>
        <v>10.149651630000001</v>
      </c>
      <c r="D902">
        <f t="shared" si="71"/>
        <v>5.8260000078007579E-3</v>
      </c>
      <c r="E902">
        <f ca="1">IF(B902&gt;0,C902-'Real Analysis'!$B$14,0)</f>
        <v>0.29315382762857389</v>
      </c>
      <c r="F902">
        <f t="shared" ca="1" si="74"/>
        <v>5.3478992198643459E-2</v>
      </c>
      <c r="G902">
        <f t="shared" ca="1" si="70"/>
        <v>-0.89462858047357885</v>
      </c>
      <c r="H902">
        <f ca="1">IF(AND(B902&gt;'Real Analysis'!$B$31,B902&lt;'Real Analysis'!$B$32),FilterInput(E902,'Real Analysis'!$B$26,'Real Analysis'!$B$27),0)</f>
        <v>0.29315382762857389</v>
      </c>
      <c r="I902" t="e">
        <f>MEDIAN2("Real Values",H902,'Real Analysis'!$B$5,2)</f>
        <v>#VALUE!</v>
      </c>
      <c r="J902" t="e">
        <f>AVERAGE2("Real Values",I902,'Real Analysis'!$B$6,2)</f>
        <v>#VALUE!</v>
      </c>
      <c r="K902" t="e">
        <f>INTEGRAL2(J902,$B902,K901,J901,$B901,'Real Analysis'!$B$19)</f>
        <v>#VALUE!</v>
      </c>
      <c r="L902" t="e">
        <f ca="1">IF(AND(B902&lt;'Real Analysis'!$B$32,B902&gt;'Real Analysis'!$B$31),INTEGRAL2(K902,$B902,L901,K901,$B901,'Real Analysis'!$B$20),0)</f>
        <v>#VALUE!</v>
      </c>
      <c r="N902">
        <f>'Real Analysis'!$B$28*'Real Input'!U902+IF('Real Input'!U902 &gt; 0,'Real Analysis'!$B$29,0)</f>
        <v>-0.97523699999999991</v>
      </c>
      <c r="O902" t="e">
        <f t="shared" si="72"/>
        <v>#VALUE!</v>
      </c>
      <c r="P902" t="e">
        <f t="shared" ca="1" si="73"/>
        <v>#VALUE!</v>
      </c>
    </row>
    <row r="903" spans="1:16" x14ac:dyDescent="0.3">
      <c r="A903">
        <v>901</v>
      </c>
      <c r="B903">
        <f>'Real Input'!M903</f>
        <v>20.026220999992802</v>
      </c>
      <c r="C903">
        <f ca="1">INDIRECT(CONCATENATE("'Real Input'!",'Real Analysis'!$B$2,A903+2))</f>
        <v>10.28004615</v>
      </c>
      <c r="D903">
        <f t="shared" si="71"/>
        <v>0.13010499998927116</v>
      </c>
      <c r="E903">
        <f ca="1">IF(B903&gt;0,C903-'Real Analysis'!$B$14,0)</f>
        <v>0.4235483476285733</v>
      </c>
      <c r="F903">
        <f t="shared" ca="1" si="74"/>
        <v>0.10858474996231481</v>
      </c>
      <c r="G903">
        <f t="shared" ca="1" si="70"/>
        <v>-0.88050116158089686</v>
      </c>
      <c r="H903">
        <f ca="1">IF(AND(B903&gt;'Real Analysis'!$B$31,B903&lt;'Real Analysis'!$B$32),FilterInput(E903,'Real Analysis'!$B$26,'Real Analysis'!$B$27),0)</f>
        <v>0.4235483476285733</v>
      </c>
      <c r="I903" t="e">
        <f>MEDIAN2("Real Values",H903,'Real Analysis'!$B$5,2)</f>
        <v>#VALUE!</v>
      </c>
      <c r="J903" t="e">
        <f>AVERAGE2("Real Values",I903,'Real Analysis'!$B$6,2)</f>
        <v>#VALUE!</v>
      </c>
      <c r="K903" t="e">
        <f>INTEGRAL2(J903,$B903,K902,J902,$B902,'Real Analysis'!$B$19)</f>
        <v>#VALUE!</v>
      </c>
      <c r="L903" t="e">
        <f ca="1">IF(AND(B903&lt;'Real Analysis'!$B$32,B903&gt;'Real Analysis'!$B$31),INTEGRAL2(K903,$B903,L902,K902,$B902,'Real Analysis'!$B$20),0)</f>
        <v>#VALUE!</v>
      </c>
      <c r="N903">
        <f>'Real Analysis'!$B$28*'Real Input'!U903+IF('Real Input'!U903 &gt; 0,'Real Analysis'!$B$29,0)</f>
        <v>-0.97523699999999991</v>
      </c>
      <c r="O903" t="e">
        <f t="shared" si="72"/>
        <v>#VALUE!</v>
      </c>
      <c r="P903" t="e">
        <f t="shared" ca="1" si="73"/>
        <v>#VALUE!</v>
      </c>
    </row>
    <row r="904" spans="1:16" x14ac:dyDescent="0.3">
      <c r="A904">
        <v>902</v>
      </c>
      <c r="B904">
        <f>'Real Input'!M904</f>
        <v>20.03784099999757</v>
      </c>
      <c r="C904">
        <f ca="1">INDIRECT(CONCATENATE("'Real Input'!",'Real Analysis'!$B$2,A904+2))</f>
        <v>10.25406927</v>
      </c>
      <c r="D904">
        <f t="shared" si="71"/>
        <v>1.1620000004768372E-2</v>
      </c>
      <c r="E904">
        <f ca="1">IF(B904&gt;0,C904-'Real Analysis'!$B$14,0)</f>
        <v>0.39757146762857332</v>
      </c>
      <c r="F904">
        <f t="shared" ca="1" si="74"/>
        <v>0.11320453041805459</v>
      </c>
      <c r="G904">
        <f t="shared" ca="1" si="70"/>
        <v>-0.87918572493689928</v>
      </c>
      <c r="H904">
        <f ca="1">IF(AND(B904&gt;'Real Analysis'!$B$31,B904&lt;'Real Analysis'!$B$32),FilterInput(E904,'Real Analysis'!$B$26,'Real Analysis'!$B$27),0)</f>
        <v>0.39757146762857332</v>
      </c>
      <c r="I904" t="e">
        <f>MEDIAN2("Real Values",H904,'Real Analysis'!$B$5,2)</f>
        <v>#VALUE!</v>
      </c>
      <c r="J904" t="e">
        <f>AVERAGE2("Real Values",I904,'Real Analysis'!$B$6,2)</f>
        <v>#VALUE!</v>
      </c>
      <c r="K904" t="e">
        <f>INTEGRAL2(J904,$B904,K903,J903,$B903,'Real Analysis'!$B$19)</f>
        <v>#VALUE!</v>
      </c>
      <c r="L904" t="e">
        <f ca="1">IF(AND(B904&lt;'Real Analysis'!$B$32,B904&gt;'Real Analysis'!$B$31),INTEGRAL2(K904,$B904,L903,K903,$B903,'Real Analysis'!$B$20),0)</f>
        <v>#VALUE!</v>
      </c>
      <c r="N904">
        <f>'Real Analysis'!$B$28*'Real Input'!U904+IF('Real Input'!U904 &gt; 0,'Real Analysis'!$B$29,0)</f>
        <v>-0.96927599999999992</v>
      </c>
      <c r="O904" t="e">
        <f t="shared" si="72"/>
        <v>#VALUE!</v>
      </c>
      <c r="P904" t="e">
        <f t="shared" ca="1" si="73"/>
        <v>#VALUE!</v>
      </c>
    </row>
    <row r="905" spans="1:16" x14ac:dyDescent="0.3">
      <c r="A905">
        <v>903</v>
      </c>
      <c r="B905">
        <f>'Real Input'!M905</f>
        <v>20.085686000005808</v>
      </c>
      <c r="C905">
        <f ca="1">INDIRECT(CONCATENATE("'Real Input'!",'Real Analysis'!$B$2,A905+2))</f>
        <v>10.31277231</v>
      </c>
      <c r="D905">
        <f t="shared" si="71"/>
        <v>4.7845000008237548E-2</v>
      </c>
      <c r="E905">
        <f ca="1">IF(B905&gt;0,C905-'Real Analysis'!$B$14,0)</f>
        <v>0.45627450762857258</v>
      </c>
      <c r="F905">
        <f t="shared" ca="1" si="74"/>
        <v>0.13503498423930221</v>
      </c>
      <c r="G905">
        <f t="shared" ca="1" si="70"/>
        <v>-0.87272497611485755</v>
      </c>
      <c r="H905">
        <f ca="1">IF(AND(B905&gt;'Real Analysis'!$B$31,B905&lt;'Real Analysis'!$B$32),FilterInput(E905,'Real Analysis'!$B$26,'Real Analysis'!$B$27),0)</f>
        <v>0.45627450762857258</v>
      </c>
      <c r="I905" t="e">
        <f>MEDIAN2("Real Values",H905,'Real Analysis'!$B$5,2)</f>
        <v>#VALUE!</v>
      </c>
      <c r="J905" t="e">
        <f>AVERAGE2("Real Values",I905,'Real Analysis'!$B$6,2)</f>
        <v>#VALUE!</v>
      </c>
      <c r="K905" t="e">
        <f>INTEGRAL2(J905,$B905,K904,J904,$B904,'Real Analysis'!$B$19)</f>
        <v>#VALUE!</v>
      </c>
      <c r="L905" t="e">
        <f ca="1">IF(AND(B905&lt;'Real Analysis'!$B$32,B905&gt;'Real Analysis'!$B$31),INTEGRAL2(K905,$B905,L904,K904,$B904,'Real Analysis'!$B$20),0)</f>
        <v>#VALUE!</v>
      </c>
      <c r="N905">
        <f>'Real Analysis'!$B$28*'Real Input'!U905+IF('Real Input'!U905 &gt; 0,'Real Analysis'!$B$29,0)</f>
        <v>-0.96927599999999992</v>
      </c>
      <c r="O905" t="e">
        <f t="shared" si="72"/>
        <v>#VALUE!</v>
      </c>
      <c r="P905" t="e">
        <f t="shared" ca="1" si="73"/>
        <v>#VALUE!</v>
      </c>
    </row>
    <row r="906" spans="1:16" x14ac:dyDescent="0.3">
      <c r="A906">
        <v>904</v>
      </c>
      <c r="B906">
        <f>'Real Input'!M906</f>
        <v>20.106010000003153</v>
      </c>
      <c r="C906">
        <f ca="1">INDIRECT(CONCATENATE("'Real Input'!",'Real Analysis'!$B$2,A906+2))</f>
        <v>10.233321120000001</v>
      </c>
      <c r="D906">
        <f t="shared" si="71"/>
        <v>2.0323999997344799E-2</v>
      </c>
      <c r="E906">
        <f ca="1">IF(B906&gt;0,C906-'Real Analysis'!$B$14,0)</f>
        <v>0.37682331762857402</v>
      </c>
      <c r="F906">
        <f t="shared" ca="1" si="74"/>
        <v>0.14269354134578482</v>
      </c>
      <c r="G906">
        <f t="shared" ca="1" si="70"/>
        <v>-0.86982487258092467</v>
      </c>
      <c r="H906">
        <f ca="1">IF(AND(B906&gt;'Real Analysis'!$B$31,B906&lt;'Real Analysis'!$B$32),FilterInput(E906,'Real Analysis'!$B$26,'Real Analysis'!$B$27),0)</f>
        <v>0.37682331762857402</v>
      </c>
      <c r="I906" t="e">
        <f>MEDIAN2("Real Values",H906,'Real Analysis'!$B$5,2)</f>
        <v>#VALUE!</v>
      </c>
      <c r="J906" t="e">
        <f>AVERAGE2("Real Values",I906,'Real Analysis'!$B$6,2)</f>
        <v>#VALUE!</v>
      </c>
      <c r="K906" t="e">
        <f>INTEGRAL2(J906,$B906,K905,J905,$B905,'Real Analysis'!$B$19)</f>
        <v>#VALUE!</v>
      </c>
      <c r="L906" t="e">
        <f ca="1">IF(AND(B906&lt;'Real Analysis'!$B$32,B906&gt;'Real Analysis'!$B$31),INTEGRAL2(K906,$B906,L905,K905,$B905,'Real Analysis'!$B$20),0)</f>
        <v>#VALUE!</v>
      </c>
      <c r="N906">
        <f>'Real Analysis'!$B$28*'Real Input'!U906+IF('Real Input'!U906 &gt; 0,'Real Analysis'!$B$29,0)</f>
        <v>-0.97126299999999999</v>
      </c>
      <c r="O906" t="e">
        <f t="shared" si="72"/>
        <v>#VALUE!</v>
      </c>
      <c r="P906" t="e">
        <f t="shared" ca="1" si="73"/>
        <v>#VALUE!</v>
      </c>
    </row>
    <row r="907" spans="1:16" x14ac:dyDescent="0.3">
      <c r="A907">
        <v>905</v>
      </c>
      <c r="B907">
        <f>'Real Input'!M907</f>
        <v>20.16501199999766</v>
      </c>
      <c r="C907">
        <f ca="1">INDIRECT(CONCATENATE("'Real Input'!",'Real Analysis'!$B$2,A907+2))</f>
        <v>10.095402330000001</v>
      </c>
      <c r="D907">
        <f t="shared" si="71"/>
        <v>5.9001999994507059E-2</v>
      </c>
      <c r="E907">
        <f ca="1">IF(B907&gt;0,C907-'Real Analysis'!$B$14,0)</f>
        <v>0.2389045276285735</v>
      </c>
      <c r="F907">
        <f t="shared" ca="1" si="74"/>
        <v>0.15678938628361364</v>
      </c>
      <c r="G907">
        <f t="shared" ca="1" si="70"/>
        <v>-0.86057398521228012</v>
      </c>
      <c r="H907">
        <f ca="1">IF(AND(B907&gt;'Real Analysis'!$B$31,B907&lt;'Real Analysis'!$B$32),FilterInput(E907,'Real Analysis'!$B$26,'Real Analysis'!$B$27),0)</f>
        <v>0.2389045276285735</v>
      </c>
      <c r="I907" t="e">
        <f>MEDIAN2("Real Values",H907,'Real Analysis'!$B$5,2)</f>
        <v>#VALUE!</v>
      </c>
      <c r="J907" t="e">
        <f>AVERAGE2("Real Values",I907,'Real Analysis'!$B$6,2)</f>
        <v>#VALUE!</v>
      </c>
      <c r="K907" t="e">
        <f>INTEGRAL2(J907,$B907,K906,J906,$B906,'Real Analysis'!$B$19)</f>
        <v>#VALUE!</v>
      </c>
      <c r="L907" t="e">
        <f ca="1">IF(AND(B907&lt;'Real Analysis'!$B$32,B907&gt;'Real Analysis'!$B$31),INTEGRAL2(K907,$B907,L906,K906,$B906,'Real Analysis'!$B$20),0)</f>
        <v>#VALUE!</v>
      </c>
      <c r="N907">
        <f>'Real Analysis'!$B$28*'Real Input'!U907+IF('Real Input'!U907 &gt; 0,'Real Analysis'!$B$29,0)</f>
        <v>-0.96927599999999992</v>
      </c>
      <c r="O907" t="e">
        <f t="shared" si="72"/>
        <v>#VALUE!</v>
      </c>
      <c r="P907" t="e">
        <f t="shared" ca="1" si="73"/>
        <v>#VALUE!</v>
      </c>
    </row>
    <row r="908" spans="1:16" x14ac:dyDescent="0.3">
      <c r="A908">
        <v>906</v>
      </c>
      <c r="B908">
        <f>'Real Input'!M908</f>
        <v>20.175933000005898</v>
      </c>
      <c r="C908">
        <f ca="1">INDIRECT(CONCATENATE("'Real Input'!",'Real Analysis'!$B$2,A908+2))</f>
        <v>10.04130999</v>
      </c>
      <c r="D908">
        <f t="shared" si="71"/>
        <v>1.0921000008238479E-2</v>
      </c>
      <c r="E908">
        <f ca="1">IF(B908&gt;0,C908-'Real Analysis'!$B$14,0)</f>
        <v>0.1848121876285731</v>
      </c>
      <c r="F908">
        <f t="shared" ca="1" si="74"/>
        <v>0.15880772018622785</v>
      </c>
      <c r="G908">
        <f t="shared" ca="1" si="70"/>
        <v>-0.85883964609881802</v>
      </c>
      <c r="H908">
        <f ca="1">IF(AND(B908&gt;'Real Analysis'!$B$31,B908&lt;'Real Analysis'!$B$32),FilterInput(E908,'Real Analysis'!$B$26,'Real Analysis'!$B$27),0)</f>
        <v>0.1848121876285731</v>
      </c>
      <c r="I908" t="e">
        <f>MEDIAN2("Real Values",H908,'Real Analysis'!$B$5,2)</f>
        <v>#VALUE!</v>
      </c>
      <c r="J908" t="e">
        <f>AVERAGE2("Real Values",I908,'Real Analysis'!$B$6,2)</f>
        <v>#VALUE!</v>
      </c>
      <c r="K908" t="e">
        <f>INTEGRAL2(J908,$B908,K907,J907,$B907,'Real Analysis'!$B$19)</f>
        <v>#VALUE!</v>
      </c>
      <c r="L908" t="e">
        <f ca="1">IF(AND(B908&lt;'Real Analysis'!$B$32,B908&gt;'Real Analysis'!$B$31),INTEGRAL2(K908,$B908,L907,K907,$B907,'Real Analysis'!$B$20),0)</f>
        <v>#VALUE!</v>
      </c>
      <c r="N908">
        <f>'Real Analysis'!$B$28*'Real Input'!U908+IF('Real Input'!U908 &gt; 0,'Real Analysis'!$B$29,0)</f>
        <v>-0.96331499999999992</v>
      </c>
      <c r="O908" t="e">
        <f t="shared" si="72"/>
        <v>#VALUE!</v>
      </c>
      <c r="P908" t="e">
        <f t="shared" ca="1" si="73"/>
        <v>#VALUE!</v>
      </c>
    </row>
    <row r="909" spans="1:16" x14ac:dyDescent="0.3">
      <c r="A909">
        <v>907</v>
      </c>
      <c r="B909">
        <f>'Real Input'!M909</f>
        <v>20.24430599999323</v>
      </c>
      <c r="C909">
        <f ca="1">INDIRECT(CONCATENATE("'Real Input'!",'Real Analysis'!$B$2,A909+2))</f>
        <v>9.64034586</v>
      </c>
      <c r="D909">
        <f t="shared" si="71"/>
        <v>6.837299998733215E-2</v>
      </c>
      <c r="E909">
        <f ca="1">IF(B909&gt;0,C909-'Real Analysis'!$B$14,0)</f>
        <v>-0.2161519423714271</v>
      </c>
      <c r="F909">
        <f t="shared" ca="1" si="74"/>
        <v>0.14402876343320445</v>
      </c>
      <c r="G909">
        <f t="shared" ca="1" si="70"/>
        <v>-0.84899196745842409</v>
      </c>
      <c r="H909">
        <f ca="1">IF(AND(B909&gt;'Real Analysis'!$B$31,B909&lt;'Real Analysis'!$B$32),FilterInput(E909,'Real Analysis'!$B$26,'Real Analysis'!$B$27),0)</f>
        <v>-0.2161519423714271</v>
      </c>
      <c r="I909" t="e">
        <f>MEDIAN2("Real Values",H909,'Real Analysis'!$B$5,2)</f>
        <v>#VALUE!</v>
      </c>
      <c r="J909" t="e">
        <f>AVERAGE2("Real Values",I909,'Real Analysis'!$B$6,2)</f>
        <v>#VALUE!</v>
      </c>
      <c r="K909" t="e">
        <f>INTEGRAL2(J909,$B909,K908,J908,$B908,'Real Analysis'!$B$19)</f>
        <v>#VALUE!</v>
      </c>
      <c r="L909" t="e">
        <f ca="1">IF(AND(B909&lt;'Real Analysis'!$B$32,B909&gt;'Real Analysis'!$B$31),INTEGRAL2(K909,$B909,L908,K908,$B908,'Real Analysis'!$B$20),0)</f>
        <v>#VALUE!</v>
      </c>
      <c r="N909">
        <f>'Real Analysis'!$B$28*'Real Input'!U909+IF('Real Input'!U909 &gt; 0,'Real Analysis'!$B$29,0)</f>
        <v>-0.95536699999999997</v>
      </c>
      <c r="O909" t="e">
        <f t="shared" si="72"/>
        <v>#VALUE!</v>
      </c>
      <c r="P909" t="e">
        <f t="shared" ca="1" si="73"/>
        <v>#VALUE!</v>
      </c>
    </row>
    <row r="910" spans="1:16" x14ac:dyDescent="0.3">
      <c r="A910">
        <v>908</v>
      </c>
      <c r="B910">
        <f>'Real Input'!M910</f>
        <v>20.372518000003765</v>
      </c>
      <c r="C910">
        <f ca="1">INDIRECT(CONCATENATE("'Real Input'!",'Real Analysis'!$B$2,A910+2))</f>
        <v>9.6162328800000001</v>
      </c>
      <c r="D910">
        <f t="shared" si="71"/>
        <v>0.12821200001053512</v>
      </c>
      <c r="E910">
        <f ca="1">IF(B910&gt;0,C910-'Real Analysis'!$B$14,0)</f>
        <v>-0.24026492237142705</v>
      </c>
      <c r="F910">
        <f t="shared" ca="1" si="74"/>
        <v>0.11322391720358782</v>
      </c>
      <c r="G910">
        <f t="shared" ca="1" si="70"/>
        <v>-0.83447530258472491</v>
      </c>
      <c r="H910">
        <f ca="1">IF(AND(B910&gt;'Real Analysis'!$B$31,B910&lt;'Real Analysis'!$B$32),FilterInput(E910,'Real Analysis'!$B$26,'Real Analysis'!$B$27),0)</f>
        <v>-0.24026492237142705</v>
      </c>
      <c r="I910" t="e">
        <f>MEDIAN2("Real Values",H910,'Real Analysis'!$B$5,2)</f>
        <v>#VALUE!</v>
      </c>
      <c r="J910" t="e">
        <f>AVERAGE2("Real Values",I910,'Real Analysis'!$B$6,2)</f>
        <v>#VALUE!</v>
      </c>
      <c r="K910" t="e">
        <f>INTEGRAL2(J910,$B910,K909,J909,$B909,'Real Analysis'!$B$19)</f>
        <v>#VALUE!</v>
      </c>
      <c r="L910" t="e">
        <f ca="1">IF(AND(B910&lt;'Real Analysis'!$B$32,B910&gt;'Real Analysis'!$B$31),INTEGRAL2(K910,$B910,L909,K909,$B909,'Real Analysis'!$B$20),0)</f>
        <v>#VALUE!</v>
      </c>
      <c r="N910">
        <f>'Real Analysis'!$B$28*'Real Input'!U910+IF('Real Input'!U910 &gt; 0,'Real Analysis'!$B$29,0)</f>
        <v>-0.95735399999999993</v>
      </c>
      <c r="O910" t="e">
        <f t="shared" si="72"/>
        <v>#VALUE!</v>
      </c>
      <c r="P910" t="e">
        <f t="shared" ca="1" si="73"/>
        <v>#VALUE!</v>
      </c>
    </row>
    <row r="911" spans="1:16" x14ac:dyDescent="0.3">
      <c r="A911">
        <v>909</v>
      </c>
      <c r="B911">
        <f>'Real Input'!M911</f>
        <v>20.380502999993041</v>
      </c>
      <c r="C911">
        <f ca="1">INDIRECT(CONCATENATE("'Real Input'!",'Real Analysis'!$B$2,A911+2))</f>
        <v>9.87241122</v>
      </c>
      <c r="D911">
        <f t="shared" si="71"/>
        <v>7.9849999892758206E-3</v>
      </c>
      <c r="E911">
        <f ca="1">IF(B911&gt;0,C911-'Real Analysis'!$B$14,0)</f>
        <v>1.5913417628572901E-2</v>
      </c>
      <c r="F911">
        <f t="shared" ca="1" si="74"/>
        <v>0.11335098584318132</v>
      </c>
      <c r="G911">
        <f t="shared" ca="1" si="70"/>
        <v>-0.83357019496398266</v>
      </c>
      <c r="H911">
        <f ca="1">IF(AND(B911&gt;'Real Analysis'!$B$31,B911&lt;'Real Analysis'!$B$32),FilterInput(E911,'Real Analysis'!$B$26,'Real Analysis'!$B$27),0)</f>
        <v>1.5913417628572901E-2</v>
      </c>
      <c r="I911" t="e">
        <f>MEDIAN2("Real Values",H911,'Real Analysis'!$B$5,2)</f>
        <v>#VALUE!</v>
      </c>
      <c r="J911" t="e">
        <f>AVERAGE2("Real Values",I911,'Real Analysis'!$B$6,2)</f>
        <v>#VALUE!</v>
      </c>
      <c r="K911" t="e">
        <f>INTEGRAL2(J911,$B911,K910,J910,$B910,'Real Analysis'!$B$19)</f>
        <v>#VALUE!</v>
      </c>
      <c r="L911" t="e">
        <f ca="1">IF(AND(B911&lt;'Real Analysis'!$B$32,B911&gt;'Real Analysis'!$B$31),INTEGRAL2(K911,$B911,L910,K910,$B910,'Real Analysis'!$B$20),0)</f>
        <v>#VALUE!</v>
      </c>
      <c r="N911">
        <f>'Real Analysis'!$B$28*'Real Input'!U911+IF('Real Input'!U911 &gt; 0,'Real Analysis'!$B$29,0)</f>
        <v>-0.94940599999999997</v>
      </c>
      <c r="O911" t="e">
        <f t="shared" si="72"/>
        <v>#VALUE!</v>
      </c>
      <c r="P911" t="e">
        <f t="shared" ca="1" si="73"/>
        <v>#VALUE!</v>
      </c>
    </row>
    <row r="912" spans="1:16" x14ac:dyDescent="0.3">
      <c r="A912">
        <v>910</v>
      </c>
      <c r="B912">
        <f>'Real Input'!M912</f>
        <v>20.444394999998622</v>
      </c>
      <c r="C912">
        <f ca="1">INDIRECT(CONCATENATE("'Real Input'!",'Real Analysis'!$B$2,A912+2))</f>
        <v>9.7392895199999998</v>
      </c>
      <c r="D912">
        <f t="shared" si="71"/>
        <v>6.3892000005580485E-2</v>
      </c>
      <c r="E912">
        <f ca="1">IF(B912&gt;0,C912-'Real Analysis'!$B$14,0)</f>
        <v>-0.11720828237142733</v>
      </c>
      <c r="F912">
        <f t="shared" ca="1" si="74"/>
        <v>0.105862314265252</v>
      </c>
      <c r="G912">
        <f t="shared" ca="1" si="70"/>
        <v>-0.82680643998035641</v>
      </c>
      <c r="H912">
        <f ca="1">IF(AND(B912&gt;'Real Analysis'!$B$31,B912&lt;'Real Analysis'!$B$32),FilterInput(E912,'Real Analysis'!$B$26,'Real Analysis'!$B$27),0)</f>
        <v>-0.11720828237142733</v>
      </c>
      <c r="I912" t="e">
        <f>MEDIAN2("Real Values",H912,'Real Analysis'!$B$5,2)</f>
        <v>#VALUE!</v>
      </c>
      <c r="J912" t="e">
        <f>AVERAGE2("Real Values",I912,'Real Analysis'!$B$6,2)</f>
        <v>#VALUE!</v>
      </c>
      <c r="K912" t="e">
        <f>INTEGRAL2(J912,$B912,K911,J911,$B911,'Real Analysis'!$B$19)</f>
        <v>#VALUE!</v>
      </c>
      <c r="L912" t="e">
        <f ca="1">IF(AND(B912&lt;'Real Analysis'!$B$32,B912&gt;'Real Analysis'!$B$31),INTEGRAL2(K912,$B912,L911,K911,$B911,'Real Analysis'!$B$20),0)</f>
        <v>#VALUE!</v>
      </c>
      <c r="N912">
        <f>'Real Analysis'!$B$28*'Real Input'!U912+IF('Real Input'!U912 &gt; 0,'Real Analysis'!$B$29,0)</f>
        <v>-0.95139299999999993</v>
      </c>
      <c r="O912" t="e">
        <f t="shared" si="72"/>
        <v>#VALUE!</v>
      </c>
      <c r="P912" t="e">
        <f t="shared" ca="1" si="73"/>
        <v>#VALUE!</v>
      </c>
    </row>
    <row r="913" spans="1:16" x14ac:dyDescent="0.3">
      <c r="A913">
        <v>911</v>
      </c>
      <c r="B913">
        <f>'Real Input'!M913</f>
        <v>20.50830099999439</v>
      </c>
      <c r="C913">
        <f ca="1">INDIRECT(CONCATENATE("'Real Input'!",'Real Analysis'!$B$2,A913+2))</f>
        <v>9.2776505399999998</v>
      </c>
      <c r="D913">
        <f t="shared" si="71"/>
        <v>6.390599999576807E-2</v>
      </c>
      <c r="E913">
        <f ca="1">IF(B913&gt;0,C913-'Real Analysis'!$B$14,0)</f>
        <v>-0.57884726237142736</v>
      </c>
      <c r="F913">
        <f t="shared" ca="1" si="74"/>
        <v>6.8870501118593205E-2</v>
      </c>
      <c r="G913">
        <f t="shared" ca="1" si="70"/>
        <v>-0.82240520173616305</v>
      </c>
      <c r="H913">
        <f ca="1">IF(AND(B913&gt;'Real Analysis'!$B$31,B913&lt;'Real Analysis'!$B$32),FilterInput(E913,'Real Analysis'!$B$26,'Real Analysis'!$B$27),0)</f>
        <v>-0.57884726237142736</v>
      </c>
      <c r="I913" t="e">
        <f>MEDIAN2("Real Values",H913,'Real Analysis'!$B$5,2)</f>
        <v>#VALUE!</v>
      </c>
      <c r="J913" t="e">
        <f>AVERAGE2("Real Values",I913,'Real Analysis'!$B$6,2)</f>
        <v>#VALUE!</v>
      </c>
      <c r="K913" t="e">
        <f>INTEGRAL2(J913,$B913,K912,J912,$B912,'Real Analysis'!$B$19)</f>
        <v>#VALUE!</v>
      </c>
      <c r="L913" t="e">
        <f ca="1">IF(AND(B913&lt;'Real Analysis'!$B$32,B913&gt;'Real Analysis'!$B$31),INTEGRAL2(K913,$B913,L912,K912,$B912,'Real Analysis'!$B$20),0)</f>
        <v>#VALUE!</v>
      </c>
      <c r="N913">
        <f>'Real Analysis'!$B$28*'Real Input'!U913+IF('Real Input'!U913 &gt; 0,'Real Analysis'!$B$29,0)</f>
        <v>-0.94940599999999997</v>
      </c>
      <c r="O913" t="e">
        <f t="shared" si="72"/>
        <v>#VALUE!</v>
      </c>
      <c r="P913" t="e">
        <f t="shared" ca="1" si="73"/>
        <v>#VALUE!</v>
      </c>
    </row>
    <row r="914" spans="1:16" x14ac:dyDescent="0.3">
      <c r="A914">
        <v>912</v>
      </c>
      <c r="B914">
        <f>'Real Input'!M914</f>
        <v>20.521355999997468</v>
      </c>
      <c r="C914">
        <f ca="1">INDIRECT(CONCATENATE("'Real Input'!",'Real Analysis'!$B$2,A914+2))</f>
        <v>10.10119023</v>
      </c>
      <c r="D914">
        <f t="shared" si="71"/>
        <v>1.3055000003078021E-2</v>
      </c>
      <c r="E914">
        <f ca="1">IF(B914&gt;0,C914-'Real Analysis'!$B$14,0)</f>
        <v>0.24469242762857313</v>
      </c>
      <c r="F914">
        <f t="shared" ca="1" si="74"/>
        <v>7.2064960762037389E-2</v>
      </c>
      <c r="G914">
        <f t="shared" ca="1" si="70"/>
        <v>-0.82146439367319279</v>
      </c>
      <c r="H914">
        <f ca="1">IF(AND(B914&gt;'Real Analysis'!$B$31,B914&lt;'Real Analysis'!$B$32),FilterInput(E914,'Real Analysis'!$B$26,'Real Analysis'!$B$27),0)</f>
        <v>0.24469242762857313</v>
      </c>
      <c r="I914" t="e">
        <f>MEDIAN2("Real Values",H914,'Real Analysis'!$B$5,2)</f>
        <v>#VALUE!</v>
      </c>
      <c r="J914" t="e">
        <f>AVERAGE2("Real Values",I914,'Real Analysis'!$B$6,2)</f>
        <v>#VALUE!</v>
      </c>
      <c r="K914" t="e">
        <f>INTEGRAL2(J914,$B914,K913,J913,$B913,'Real Analysis'!$B$19)</f>
        <v>#VALUE!</v>
      </c>
      <c r="L914" t="e">
        <f ca="1">IF(AND(B914&lt;'Real Analysis'!$B$32,B914&gt;'Real Analysis'!$B$31),INTEGRAL2(K914,$B914,L913,K913,$B913,'Real Analysis'!$B$20),0)</f>
        <v>#VALUE!</v>
      </c>
      <c r="N914">
        <f>'Real Analysis'!$B$28*'Real Input'!U914+IF('Real Input'!U914 &gt; 0,'Real Analysis'!$B$29,0)</f>
        <v>-0.9474189999999999</v>
      </c>
      <c r="O914" t="e">
        <f t="shared" si="72"/>
        <v>#VALUE!</v>
      </c>
      <c r="P914" t="e">
        <f t="shared" ca="1" si="73"/>
        <v>#VALUE!</v>
      </c>
    </row>
    <row r="915" spans="1:16" x14ac:dyDescent="0.3">
      <c r="A915">
        <v>913</v>
      </c>
      <c r="B915">
        <f>'Real Input'!M915</f>
        <v>20.557960000005551</v>
      </c>
      <c r="C915">
        <f ca="1">INDIRECT(CONCATENATE("'Real Input'!",'Real Analysis'!$B$2,A915+2))</f>
        <v>9.94412232</v>
      </c>
      <c r="D915">
        <f t="shared" si="71"/>
        <v>3.6604000008082949E-2</v>
      </c>
      <c r="E915">
        <f ca="1">IF(B915&gt;0,C915-'Real Analysis'!$B$14,0)</f>
        <v>8.7624517628572818E-2</v>
      </c>
      <c r="F915">
        <f t="shared" ca="1" si="74"/>
        <v>7.5272368606021933E-2</v>
      </c>
      <c r="G915">
        <f t="shared" ca="1" si="70"/>
        <v>-0.81870912389212958</v>
      </c>
      <c r="H915">
        <f ca="1">IF(AND(B915&gt;'Real Analysis'!$B$31,B915&lt;'Real Analysis'!$B$32),FilterInput(E915,'Real Analysis'!$B$26,'Real Analysis'!$B$27),0)</f>
        <v>8.7624517628572818E-2</v>
      </c>
      <c r="I915" t="e">
        <f>MEDIAN2("Real Values",H915,'Real Analysis'!$B$5,2)</f>
        <v>#VALUE!</v>
      </c>
      <c r="J915" t="e">
        <f>AVERAGE2("Real Values",I915,'Real Analysis'!$B$6,2)</f>
        <v>#VALUE!</v>
      </c>
      <c r="K915" t="e">
        <f>INTEGRAL2(J915,$B915,K914,J914,$B914,'Real Analysis'!$B$19)</f>
        <v>#VALUE!</v>
      </c>
      <c r="L915" t="e">
        <f ca="1">IF(AND(B915&lt;'Real Analysis'!$B$32,B915&gt;'Real Analysis'!$B$31),INTEGRAL2(K915,$B915,L914,K914,$B914,'Real Analysis'!$B$20),0)</f>
        <v>#VALUE!</v>
      </c>
      <c r="N915">
        <f>'Real Analysis'!$B$28*'Real Input'!U915+IF('Real Input'!U915 &gt; 0,'Real Analysis'!$B$29,0)</f>
        <v>-0.94940599999999997</v>
      </c>
      <c r="O915" t="e">
        <f t="shared" si="72"/>
        <v>#VALUE!</v>
      </c>
      <c r="P915" t="e">
        <f t="shared" ca="1" si="73"/>
        <v>#VALUE!</v>
      </c>
    </row>
    <row r="916" spans="1:16" x14ac:dyDescent="0.3">
      <c r="A916">
        <v>914</v>
      </c>
      <c r="B916">
        <f>'Real Input'!M916</f>
        <v>20.587719999995898</v>
      </c>
      <c r="C916">
        <f ca="1">INDIRECT(CONCATENATE("'Real Input'!",'Real Analysis'!$B$2,A916+2))</f>
        <v>10.360497960000002</v>
      </c>
      <c r="D916">
        <f t="shared" si="71"/>
        <v>2.9759999990346842E-2</v>
      </c>
      <c r="E916">
        <f ca="1">IF(B916&gt;0,C916-'Real Analysis'!$B$14,0)</f>
        <v>0.50400015762857464</v>
      </c>
      <c r="F916">
        <f t="shared" ca="1" si="74"/>
        <v>9.027141329218312E-2</v>
      </c>
      <c r="G916">
        <f t="shared" ca="1" si="70"/>
        <v>-0.81602264663342561</v>
      </c>
      <c r="H916">
        <f ca="1">IF(AND(B916&gt;'Real Analysis'!$B$31,B916&lt;'Real Analysis'!$B$32),FilterInput(E916,'Real Analysis'!$B$26,'Real Analysis'!$B$27),0)</f>
        <v>0.50400015762857464</v>
      </c>
      <c r="I916" t="e">
        <f>MEDIAN2("Real Values",H916,'Real Analysis'!$B$5,2)</f>
        <v>#VALUE!</v>
      </c>
      <c r="J916" t="e">
        <f>AVERAGE2("Real Values",I916,'Real Analysis'!$B$6,2)</f>
        <v>#VALUE!</v>
      </c>
      <c r="K916" t="e">
        <f>INTEGRAL2(J916,$B916,K915,J915,$B915,'Real Analysis'!$B$19)</f>
        <v>#VALUE!</v>
      </c>
      <c r="L916" t="e">
        <f ca="1">IF(AND(B916&lt;'Real Analysis'!$B$32,B916&gt;'Real Analysis'!$B$31),INTEGRAL2(K916,$B916,L915,K915,$B915,'Real Analysis'!$B$20),0)</f>
        <v>#VALUE!</v>
      </c>
      <c r="N916">
        <f>'Real Analysis'!$B$28*'Real Input'!U916+IF('Real Input'!U916 &gt; 0,'Real Analysis'!$B$29,0)</f>
        <v>-0.95337999999999989</v>
      </c>
      <c r="O916" t="e">
        <f t="shared" si="72"/>
        <v>#VALUE!</v>
      </c>
      <c r="P916" t="e">
        <f t="shared" ca="1" si="73"/>
        <v>#VALUE!</v>
      </c>
    </row>
    <row r="917" spans="1:16" x14ac:dyDescent="0.3">
      <c r="A917">
        <v>915</v>
      </c>
      <c r="B917">
        <f>'Real Input'!M917</f>
        <v>20.609152999997605</v>
      </c>
      <c r="C917">
        <f ca="1">INDIRECT(CONCATENATE("'Real Input'!",'Real Analysis'!$B$2,A917+2))</f>
        <v>10.634089050000002</v>
      </c>
      <c r="D917">
        <f t="shared" si="71"/>
        <v>2.1433000001707114E-2</v>
      </c>
      <c r="E917">
        <f ca="1">IF(B917&gt;0,C917-'Real Analysis'!$B$14,0)</f>
        <v>0.77759124762857468</v>
      </c>
      <c r="F917">
        <f t="shared" ca="1" si="74"/>
        <v>0.1069375265039338</v>
      </c>
      <c r="G917">
        <f t="shared" ca="1" si="70"/>
        <v>-0.81373065462768424</v>
      </c>
      <c r="H917">
        <f ca="1">IF(AND(B917&gt;'Real Analysis'!$B$31,B917&lt;'Real Analysis'!$B$32),FilterInput(E917,'Real Analysis'!$B$26,'Real Analysis'!$B$27),0)</f>
        <v>0.77759124762857468</v>
      </c>
      <c r="I917" t="e">
        <f>MEDIAN2("Real Values",H917,'Real Analysis'!$B$5,2)</f>
        <v>#VALUE!</v>
      </c>
      <c r="J917" t="e">
        <f>AVERAGE2("Real Values",I917,'Real Analysis'!$B$6,2)</f>
        <v>#VALUE!</v>
      </c>
      <c r="K917" t="e">
        <f>INTEGRAL2(J917,$B917,K916,J916,$B916,'Real Analysis'!$B$19)</f>
        <v>#VALUE!</v>
      </c>
      <c r="L917" t="e">
        <f ca="1">IF(AND(B917&lt;'Real Analysis'!$B$32,B917&gt;'Real Analysis'!$B$31),INTEGRAL2(K917,$B917,L916,K916,$B916,'Real Analysis'!$B$20),0)</f>
        <v>#VALUE!</v>
      </c>
      <c r="N917">
        <f>'Real Analysis'!$B$28*'Real Input'!U917+IF('Real Input'!U917 &gt; 0,'Real Analysis'!$B$29,0)</f>
        <v>-0.94344499999999987</v>
      </c>
      <c r="O917" t="e">
        <f t="shared" si="72"/>
        <v>#VALUE!</v>
      </c>
      <c r="P917" t="e">
        <f t="shared" ca="1" si="73"/>
        <v>#VALUE!</v>
      </c>
    </row>
    <row r="918" spans="1:16" x14ac:dyDescent="0.3">
      <c r="A918">
        <v>916</v>
      </c>
      <c r="B918">
        <f>'Real Input'!M918</f>
        <v>20.619072000001324</v>
      </c>
      <c r="C918">
        <f ca="1">INDIRECT(CONCATENATE("'Real Input'!",'Real Analysis'!$B$2,A918+2))</f>
        <v>10.423429109999999</v>
      </c>
      <c r="D918">
        <f t="shared" si="71"/>
        <v>9.9190000037197024E-3</v>
      </c>
      <c r="E918">
        <f ca="1">IF(B918&gt;0,C918-'Real Analysis'!$B$14,0)</f>
        <v>0.5669313076285718</v>
      </c>
      <c r="F918">
        <f t="shared" ca="1" si="74"/>
        <v>0.11256091814641042</v>
      </c>
      <c r="G918">
        <f t="shared" ca="1" si="70"/>
        <v>-0.8126141628801713</v>
      </c>
      <c r="H918">
        <f ca="1">IF(AND(B918&gt;'Real Analysis'!$B$31,B918&lt;'Real Analysis'!$B$32),FilterInput(E918,'Real Analysis'!$B$26,'Real Analysis'!$B$27),0)</f>
        <v>0.5669313076285718</v>
      </c>
      <c r="I918" t="e">
        <f>MEDIAN2("Real Values",H918,'Real Analysis'!$B$5,2)</f>
        <v>#VALUE!</v>
      </c>
      <c r="J918" t="e">
        <f>AVERAGE2("Real Values",I918,'Real Analysis'!$B$6,2)</f>
        <v>#VALUE!</v>
      </c>
      <c r="K918" t="e">
        <f>INTEGRAL2(J918,$B918,K917,J917,$B917,'Real Analysis'!$B$19)</f>
        <v>#VALUE!</v>
      </c>
      <c r="L918" t="e">
        <f ca="1">IF(AND(B918&lt;'Real Analysis'!$B$32,B918&gt;'Real Analysis'!$B$31),INTEGRAL2(K918,$B918,L917,K917,$B917,'Real Analysis'!$B$20),0)</f>
        <v>#VALUE!</v>
      </c>
      <c r="N918">
        <f>'Real Analysis'!$B$28*'Real Input'!U918+IF('Real Input'!U918 &gt; 0,'Real Analysis'!$B$29,0)</f>
        <v>-0.9474189999999999</v>
      </c>
      <c r="O918" t="e">
        <f t="shared" si="72"/>
        <v>#VALUE!</v>
      </c>
      <c r="P918" t="e">
        <f t="shared" ca="1" si="73"/>
        <v>#VALUE!</v>
      </c>
    </row>
    <row r="919" spans="1:16" x14ac:dyDescent="0.3">
      <c r="A919">
        <v>917</v>
      </c>
      <c r="B919">
        <f>'Real Input'!M919</f>
        <v>20.67234799999278</v>
      </c>
      <c r="C919">
        <f ca="1">INDIRECT(CONCATENATE("'Real Input'!",'Real Analysis'!$B$2,A919+2))</f>
        <v>10.21708557</v>
      </c>
      <c r="D919">
        <f t="shared" si="71"/>
        <v>5.3275999991456047E-2</v>
      </c>
      <c r="E919">
        <f ca="1">IF(B919&gt;0,C919-'Real Analysis'!$B$14,0)</f>
        <v>0.36058776762857292</v>
      </c>
      <c r="F919">
        <f t="shared" ca="1" si="74"/>
        <v>0.13177159205150943</v>
      </c>
      <c r="G919">
        <f t="shared" ca="1" si="70"/>
        <v>-0.80559389954316096</v>
      </c>
      <c r="H919">
        <f ca="1">IF(AND(B919&gt;'Real Analysis'!$B$31,B919&lt;'Real Analysis'!$B$32),FilterInput(E919,'Real Analysis'!$B$26,'Real Analysis'!$B$27),0)</f>
        <v>0.36058776762857292</v>
      </c>
      <c r="I919" t="e">
        <f>MEDIAN2("Real Values",H919,'Real Analysis'!$B$5,2)</f>
        <v>#VALUE!</v>
      </c>
      <c r="J919" t="e">
        <f>AVERAGE2("Real Values",I919,'Real Analysis'!$B$6,2)</f>
        <v>#VALUE!</v>
      </c>
      <c r="K919" t="e">
        <f>INTEGRAL2(J919,$B919,K918,J918,$B918,'Real Analysis'!$B$19)</f>
        <v>#VALUE!</v>
      </c>
      <c r="L919" t="e">
        <f ca="1">IF(AND(B919&lt;'Real Analysis'!$B$32,B919&gt;'Real Analysis'!$B$31),INTEGRAL2(K919,$B919,L918,K918,$B918,'Real Analysis'!$B$20),0)</f>
        <v>#VALUE!</v>
      </c>
      <c r="N919">
        <f>'Real Analysis'!$B$28*'Real Input'!U919+IF('Real Input'!U919 &gt; 0,'Real Analysis'!$B$29,0)</f>
        <v>-0.9474189999999999</v>
      </c>
      <c r="O919" t="e">
        <f t="shared" si="72"/>
        <v>#VALUE!</v>
      </c>
      <c r="P919" t="e">
        <f t="shared" ca="1" si="73"/>
        <v>#VALUE!</v>
      </c>
    </row>
    <row r="920" spans="1:16" x14ac:dyDescent="0.3">
      <c r="A920">
        <v>918</v>
      </c>
      <c r="B920">
        <f>'Real Input'!M920</f>
        <v>20.689606999992975</v>
      </c>
      <c r="C920">
        <f ca="1">INDIRECT(CONCATENATE("'Real Input'!",'Real Analysis'!$B$2,A920+2))</f>
        <v>5.2237563300000005</v>
      </c>
      <c r="D920">
        <f t="shared" si="71"/>
        <v>1.7259000000194646E-2</v>
      </c>
      <c r="E920">
        <f ca="1">IF(B920&gt;0,C920-'Real Analysis'!$B$14,0)</f>
        <v>-4.6327414723714266</v>
      </c>
      <c r="F920">
        <f t="shared" ca="1" si="74"/>
        <v>5.1815106978949227E-2</v>
      </c>
      <c r="G920">
        <f t="shared" ca="1" si="70"/>
        <v>-0.80469962261180117</v>
      </c>
      <c r="H920">
        <f ca="1">IF(AND(B920&gt;'Real Analysis'!$B$31,B920&lt;'Real Analysis'!$B$32),FilterInput(E920,'Real Analysis'!$B$26,'Real Analysis'!$B$27),0)</f>
        <v>-4.6327414723714266</v>
      </c>
      <c r="I920" t="e">
        <f>MEDIAN2("Real Values",H920,'Real Analysis'!$B$5,2)</f>
        <v>#VALUE!</v>
      </c>
      <c r="J920" t="e">
        <f>AVERAGE2("Real Values",I920,'Real Analysis'!$B$6,2)</f>
        <v>#VALUE!</v>
      </c>
      <c r="K920" t="e">
        <f>INTEGRAL2(J920,$B920,K919,J919,$B919,'Real Analysis'!$B$19)</f>
        <v>#VALUE!</v>
      </c>
      <c r="L920" t="e">
        <f ca="1">IF(AND(B920&lt;'Real Analysis'!$B$32,B920&gt;'Real Analysis'!$B$31),INTEGRAL2(K920,$B920,L919,K919,$B919,'Real Analysis'!$B$20),0)</f>
        <v>#VALUE!</v>
      </c>
      <c r="N920">
        <f>'Real Analysis'!$B$28*'Real Input'!U920+IF('Real Input'!U920 &gt; 0,'Real Analysis'!$B$29,0)</f>
        <v>-0.95934099999999989</v>
      </c>
      <c r="O920" t="e">
        <f t="shared" si="72"/>
        <v>#VALUE!</v>
      </c>
      <c r="P920" t="e">
        <f t="shared" ca="1" si="73"/>
        <v>#VALUE!</v>
      </c>
    </row>
    <row r="921" spans="1:16" x14ac:dyDescent="0.3">
      <c r="A921">
        <v>919</v>
      </c>
      <c r="B921">
        <f>'Real Input'!M921</f>
        <v>20.710848000002443</v>
      </c>
      <c r="C921">
        <f ca="1">INDIRECT(CONCATENATE("'Real Input'!",'Real Analysis'!$B$2,A921+2))</f>
        <v>5.7077719200000008</v>
      </c>
      <c r="D921">
        <f t="shared" si="71"/>
        <v>2.1241000009467825E-2</v>
      </c>
      <c r="E921">
        <f ca="1">IF(B921&gt;0,C921-'Real Analysis'!$B$14,0)</f>
        <v>-4.1487258823714264</v>
      </c>
      <c r="F921">
        <f t="shared" ca="1" si="74"/>
        <v>-3.6307979527781656E-2</v>
      </c>
      <c r="G921">
        <f t="shared" ca="1" si="70"/>
        <v>-0.80547084040529449</v>
      </c>
      <c r="H921">
        <f ca="1">IF(AND(B921&gt;'Real Analysis'!$B$31,B921&lt;'Real Analysis'!$B$32),FilterInput(E921,'Real Analysis'!$B$26,'Real Analysis'!$B$27),0)</f>
        <v>-4.1487258823714264</v>
      </c>
      <c r="I921" t="e">
        <f>MEDIAN2("Real Values",H921,'Real Analysis'!$B$5,2)</f>
        <v>#VALUE!</v>
      </c>
      <c r="J921" t="e">
        <f>AVERAGE2("Real Values",I921,'Real Analysis'!$B$6,2)</f>
        <v>#VALUE!</v>
      </c>
      <c r="K921" t="e">
        <f>INTEGRAL2(J921,$B921,K920,J920,$B920,'Real Analysis'!$B$19)</f>
        <v>#VALUE!</v>
      </c>
      <c r="L921" t="e">
        <f ca="1">IF(AND(B921&lt;'Real Analysis'!$B$32,B921&gt;'Real Analysis'!$B$31),INTEGRAL2(K921,$B921,L920,K920,$B920,'Real Analysis'!$B$20),0)</f>
        <v>#VALUE!</v>
      </c>
      <c r="N921">
        <f>'Real Analysis'!$B$28*'Real Input'!U921+IF('Real Input'!U921 &gt; 0,'Real Analysis'!$B$29,0)</f>
        <v>-0.9871589999999999</v>
      </c>
      <c r="O921" t="e">
        <f t="shared" si="72"/>
        <v>#VALUE!</v>
      </c>
      <c r="P921" t="e">
        <f t="shared" ca="1" si="73"/>
        <v>#VALUE!</v>
      </c>
    </row>
    <row r="922" spans="1:16" x14ac:dyDescent="0.3">
      <c r="A922">
        <v>920</v>
      </c>
      <c r="B922">
        <f>'Real Input'!M922</f>
        <v>20.713470999995479</v>
      </c>
      <c r="C922">
        <f ca="1">INDIRECT(CONCATENATE("'Real Input'!",'Real Analysis'!$B$2,A922+2))</f>
        <v>6.0113227499999997</v>
      </c>
      <c r="D922">
        <f t="shared" si="71"/>
        <v>2.6229999930365011E-3</v>
      </c>
      <c r="E922">
        <f ca="1">IF(B922&gt;0,C922-'Real Analysis'!$B$14,0)</f>
        <v>-3.8451750523714274</v>
      </c>
      <c r="F922">
        <f t="shared" ca="1" si="74"/>
        <v>-4.6393873663376037E-2</v>
      </c>
      <c r="G922">
        <f t="shared" ca="1" si="70"/>
        <v>-0.80559253153559041</v>
      </c>
      <c r="H922">
        <f ca="1">IF(AND(B922&gt;'Real Analysis'!$B$31,B922&lt;'Real Analysis'!$B$32),FilterInput(E922,'Real Analysis'!$B$26,'Real Analysis'!$B$27),0)</f>
        <v>-3.8451750523714274</v>
      </c>
      <c r="I922" t="e">
        <f>MEDIAN2("Real Values",H922,'Real Analysis'!$B$5,2)</f>
        <v>#VALUE!</v>
      </c>
      <c r="J922" t="e">
        <f>AVERAGE2("Real Values",I922,'Real Analysis'!$B$6,2)</f>
        <v>#VALUE!</v>
      </c>
      <c r="K922" t="e">
        <f>INTEGRAL2(J922,$B922,K921,J921,$B921,'Real Analysis'!$B$19)</f>
        <v>#VALUE!</v>
      </c>
      <c r="L922" t="e">
        <f ca="1">IF(AND(B922&lt;'Real Analysis'!$B$32,B922&gt;'Real Analysis'!$B$31),INTEGRAL2(K922,$B922,L921,K921,$B921,'Real Analysis'!$B$20),0)</f>
        <v>#VALUE!</v>
      </c>
      <c r="N922">
        <f>'Real Analysis'!$B$28*'Real Input'!U922+IF('Real Input'!U922 &gt; 0,'Real Analysis'!$B$29,0)</f>
        <v>-0.99312</v>
      </c>
      <c r="O922" t="e">
        <f t="shared" si="72"/>
        <v>#VALUE!</v>
      </c>
      <c r="P922" t="e">
        <f t="shared" ca="1" si="73"/>
        <v>#VALUE!</v>
      </c>
    </row>
    <row r="923" spans="1:16" x14ac:dyDescent="0.3">
      <c r="A923">
        <v>921</v>
      </c>
      <c r="B923">
        <f>'Real Input'!M923</f>
        <v>20.770128999996814</v>
      </c>
      <c r="C923">
        <f ca="1">INDIRECT(CONCATENATE("'Real Input'!",'Real Analysis'!$B$2,A923+2))</f>
        <v>8.3172515400000009</v>
      </c>
      <c r="D923">
        <f t="shared" si="71"/>
        <v>5.6658000001334585E-2</v>
      </c>
      <c r="E923">
        <f ca="1">IF(B923&gt;0,C923-'Real Analysis'!$B$14,0)</f>
        <v>-1.5392462623714263</v>
      </c>
      <c r="F923">
        <f t="shared" ca="1" si="74"/>
        <v>-0.13360448839887057</v>
      </c>
      <c r="G923">
        <f t="shared" ca="1" si="70"/>
        <v>-0.81316229463947187</v>
      </c>
      <c r="H923">
        <f ca="1">IF(AND(B923&gt;'Real Analysis'!$B$31,B923&lt;'Real Analysis'!$B$32),FilterInput(E923,'Real Analysis'!$B$26,'Real Analysis'!$B$27),0)</f>
        <v>-1.5392462623714263</v>
      </c>
      <c r="I923" t="e">
        <f>MEDIAN2("Real Values",H923,'Real Analysis'!$B$5,2)</f>
        <v>#VALUE!</v>
      </c>
      <c r="J923" t="e">
        <f>AVERAGE2("Real Values",I923,'Real Analysis'!$B$6,2)</f>
        <v>#VALUE!</v>
      </c>
      <c r="K923" t="e">
        <f>INTEGRAL2(J923,$B923,K922,J922,$B922,'Real Analysis'!$B$19)</f>
        <v>#VALUE!</v>
      </c>
      <c r="L923" t="e">
        <f ca="1">IF(AND(B923&lt;'Real Analysis'!$B$32,B923&gt;'Real Analysis'!$B$31),INTEGRAL2(K923,$B923,L922,K922,$B922,'Real Analysis'!$B$20),0)</f>
        <v>#VALUE!</v>
      </c>
      <c r="N923">
        <f>'Real Analysis'!$B$28*'Real Input'!U923+IF('Real Input'!U923 &gt; 0,'Real Analysis'!$B$29,0)</f>
        <v>-1.036834</v>
      </c>
      <c r="O923" t="e">
        <f t="shared" si="72"/>
        <v>#VALUE!</v>
      </c>
      <c r="P923" t="e">
        <f t="shared" ca="1" si="73"/>
        <v>#VALUE!</v>
      </c>
    </row>
    <row r="924" spans="1:16" x14ac:dyDescent="0.3">
      <c r="A924">
        <v>922</v>
      </c>
      <c r="B924">
        <f>'Real Input'!M924</f>
        <v>20.781872999999905</v>
      </c>
      <c r="C924">
        <f ca="1">INDIRECT(CONCATENATE("'Real Input'!",'Real Analysis'!$B$2,A924+2))</f>
        <v>8.6845771799999998</v>
      </c>
      <c r="D924">
        <f t="shared" si="71"/>
        <v>1.174400000309106E-2</v>
      </c>
      <c r="E924">
        <f ca="1">IF(B924&gt;0,C924-'Real Analysis'!$B$14,0)</f>
        <v>-1.1719206223714274</v>
      </c>
      <c r="F924">
        <f t="shared" ca="1" si="74"/>
        <v>-0.14736752419162308</v>
      </c>
      <c r="G924">
        <f t="shared" ca="1" si="70"/>
        <v>-0.81489297884403378</v>
      </c>
      <c r="H924">
        <f ca="1">IF(AND(B924&gt;'Real Analysis'!$B$31,B924&lt;'Real Analysis'!$B$32),FilterInput(E924,'Real Analysis'!$B$26,'Real Analysis'!$B$27),0)</f>
        <v>-1.1719206223714274</v>
      </c>
      <c r="I924" t="e">
        <f>MEDIAN2("Real Values",H924,'Real Analysis'!$B$5,2)</f>
        <v>#VALUE!</v>
      </c>
      <c r="J924" t="e">
        <f>AVERAGE2("Real Values",I924,'Real Analysis'!$B$6,2)</f>
        <v>#VALUE!</v>
      </c>
      <c r="K924" t="e">
        <f>INTEGRAL2(J924,$B924,K923,J923,$B923,'Real Analysis'!$B$19)</f>
        <v>#VALUE!</v>
      </c>
      <c r="L924" t="e">
        <f ca="1">IF(AND(B924&lt;'Real Analysis'!$B$32,B924&gt;'Real Analysis'!$B$31),INTEGRAL2(K924,$B924,L923,K923,$B923,'Real Analysis'!$B$20),0)</f>
        <v>#VALUE!</v>
      </c>
      <c r="N924">
        <f>'Real Analysis'!$B$28*'Real Input'!U924+IF('Real Input'!U924 &gt; 0,'Real Analysis'!$B$29,0)</f>
        <v>-1.0427949999999999</v>
      </c>
      <c r="O924" t="e">
        <f t="shared" si="72"/>
        <v>#VALUE!</v>
      </c>
      <c r="P924" t="e">
        <f t="shared" ca="1" si="73"/>
        <v>#VALUE!</v>
      </c>
    </row>
    <row r="925" spans="1:16" x14ac:dyDescent="0.3">
      <c r="A925">
        <v>923</v>
      </c>
      <c r="B925">
        <f>'Real Input'!M925</f>
        <v>20.851871999999275</v>
      </c>
      <c r="C925">
        <f ca="1">INDIRECT(CONCATENATE("'Real Input'!",'Real Analysis'!$B$2,A925+2))</f>
        <v>8.7082094699999999</v>
      </c>
      <c r="D925">
        <f t="shared" si="71"/>
        <v>6.9998999999370426E-2</v>
      </c>
      <c r="E925">
        <f ca="1">IF(B925&gt;0,C925-'Real Analysis'!$B$14,0)</f>
        <v>-1.1482883323714272</v>
      </c>
      <c r="F925">
        <f t="shared" ca="1" si="74"/>
        <v>-0.22774655916856767</v>
      </c>
      <c r="G925">
        <f t="shared" ca="1" si="70"/>
        <v>-0.83083501023913098</v>
      </c>
      <c r="H925">
        <f ca="1">IF(AND(B925&gt;'Real Analysis'!$B$31,B925&lt;'Real Analysis'!$B$32),FilterInput(E925,'Real Analysis'!$B$26,'Real Analysis'!$B$27),0)</f>
        <v>-1.1482883323714272</v>
      </c>
      <c r="I925" t="e">
        <f>MEDIAN2("Real Values",H925,'Real Analysis'!$B$5,2)</f>
        <v>#VALUE!</v>
      </c>
      <c r="J925" t="e">
        <f>AVERAGE2("Real Values",I925,'Real Analysis'!$B$6,2)</f>
        <v>#VALUE!</v>
      </c>
      <c r="K925" t="e">
        <f>INTEGRAL2(J925,$B925,K924,J924,$B924,'Real Analysis'!$B$19)</f>
        <v>#VALUE!</v>
      </c>
      <c r="L925" t="e">
        <f ca="1">IF(AND(B925&lt;'Real Analysis'!$B$32,B925&gt;'Real Analysis'!$B$31),INTEGRAL2(K925,$B925,L924,K924,$B924,'Real Analysis'!$B$20),0)</f>
        <v>#VALUE!</v>
      </c>
      <c r="N925">
        <f>'Real Analysis'!$B$28*'Real Input'!U925+IF('Real Input'!U925 &gt; 0,'Real Analysis'!$B$29,0)</f>
        <v>-1.0726</v>
      </c>
      <c r="O925" t="e">
        <f t="shared" si="72"/>
        <v>#VALUE!</v>
      </c>
      <c r="P925" t="e">
        <f t="shared" ca="1" si="73"/>
        <v>#VALUE!</v>
      </c>
    </row>
    <row r="926" spans="1:16" x14ac:dyDescent="0.3">
      <c r="A926">
        <v>924</v>
      </c>
      <c r="B926">
        <f>'Real Input'!M926</f>
        <v>20.910011999993003</v>
      </c>
      <c r="C926">
        <f ca="1">INDIRECT(CONCATENATE("'Real Input'!",'Real Analysis'!$B$2,A926+2))</f>
        <v>8.4660005700000003</v>
      </c>
      <c r="D926">
        <f t="shared" si="71"/>
        <v>5.8139999993727542E-2</v>
      </c>
      <c r="E926">
        <f ca="1">IF(B926&gt;0,C926-'Real Analysis'!$B$14,0)</f>
        <v>-1.3904972323714269</v>
      </c>
      <c r="F926">
        <f t="shared" ca="1" si="74"/>
        <v>-0.30859006824992058</v>
      </c>
      <c r="G926">
        <f t="shared" ca="1" si="70"/>
        <v>-0.84877643680524573</v>
      </c>
      <c r="H926">
        <f ca="1">IF(AND(B926&gt;'Real Analysis'!$B$31,B926&lt;'Real Analysis'!$B$32),FilterInput(E926,'Real Analysis'!$B$26,'Real Analysis'!$B$27),0)</f>
        <v>-1.3904972323714269</v>
      </c>
      <c r="I926" t="e">
        <f>MEDIAN2("Real Values",H926,'Real Analysis'!$B$5,2)</f>
        <v>#VALUE!</v>
      </c>
      <c r="J926" t="e">
        <f>AVERAGE2("Real Values",I926,'Real Analysis'!$B$6,2)</f>
        <v>#VALUE!</v>
      </c>
      <c r="K926" t="e">
        <f>INTEGRAL2(J926,$B926,K925,J925,$B925,'Real Analysis'!$B$19)</f>
        <v>#VALUE!</v>
      </c>
      <c r="L926" t="e">
        <f ca="1">IF(AND(B926&lt;'Real Analysis'!$B$32,B926&gt;'Real Analysis'!$B$31),INTEGRAL2(K926,$B926,L925,K925,$B925,'Real Analysis'!$B$20),0)</f>
        <v>#VALUE!</v>
      </c>
      <c r="N926">
        <f>'Real Analysis'!$B$28*'Real Input'!U926+IF('Real Input'!U926 &gt; 0,'Real Analysis'!$B$29,0)</f>
        <v>-1.0567039999999999</v>
      </c>
      <c r="O926" t="e">
        <f t="shared" si="72"/>
        <v>#VALUE!</v>
      </c>
      <c r="P926" t="e">
        <f t="shared" ca="1" si="73"/>
        <v>#VALUE!</v>
      </c>
    </row>
    <row r="927" spans="1:16" x14ac:dyDescent="0.3">
      <c r="A927">
        <v>925</v>
      </c>
      <c r="B927">
        <f>'Real Input'!M927</f>
        <v>20.917421000005561</v>
      </c>
      <c r="C927">
        <f ca="1">INDIRECT(CONCATENATE("'Real Input'!",'Real Analysis'!$B$2,A927+2))</f>
        <v>8.6346835199999994</v>
      </c>
      <c r="D927">
        <f t="shared" si="71"/>
        <v>7.4090000125579536E-3</v>
      </c>
      <c r="E927">
        <f ca="1">IF(B927&gt;0,C927-'Real Analysis'!$B$14,0)</f>
        <v>-1.2218142823714278</v>
      </c>
      <c r="F927">
        <f t="shared" ca="1" si="74"/>
        <v>-0.31764249028335395</v>
      </c>
      <c r="G927">
        <f t="shared" ca="1" si="70"/>
        <v>-0.85112985001974406</v>
      </c>
      <c r="H927">
        <f ca="1">IF(AND(B927&gt;'Real Analysis'!$B$31,B927&lt;'Real Analysis'!$B$32),FilterInput(E927,'Real Analysis'!$B$26,'Real Analysis'!$B$27),0)</f>
        <v>-1.2218142823714278</v>
      </c>
      <c r="I927" t="e">
        <f>MEDIAN2("Real Values",H927,'Real Analysis'!$B$5,2)</f>
        <v>#VALUE!</v>
      </c>
      <c r="J927" t="e">
        <f>AVERAGE2("Real Values",I927,'Real Analysis'!$B$6,2)</f>
        <v>#VALUE!</v>
      </c>
      <c r="K927" t="e">
        <f>INTEGRAL2(J927,$B927,K926,J926,$B926,'Real Analysis'!$B$19)</f>
        <v>#VALUE!</v>
      </c>
      <c r="L927" t="e">
        <f ca="1">IF(AND(B927&lt;'Real Analysis'!$B$32,B927&gt;'Real Analysis'!$B$31),INTEGRAL2(K927,$B927,L926,K926,$B926,'Real Analysis'!$B$20),0)</f>
        <v>#VALUE!</v>
      </c>
      <c r="N927">
        <f>'Real Analysis'!$B$28*'Real Input'!U927+IF('Real Input'!U927 &gt; 0,'Real Analysis'!$B$29,0)</f>
        <v>-1.062665</v>
      </c>
      <c r="O927" t="e">
        <f t="shared" si="72"/>
        <v>#VALUE!</v>
      </c>
      <c r="P927" t="e">
        <f t="shared" ca="1" si="73"/>
        <v>#VALUE!</v>
      </c>
    </row>
    <row r="928" spans="1:16" x14ac:dyDescent="0.3">
      <c r="A928">
        <v>926</v>
      </c>
      <c r="B928">
        <f>'Real Input'!M928</f>
        <v>20.990090000006603</v>
      </c>
      <c r="C928">
        <f ca="1">INDIRECT(CONCATENATE("'Real Input'!",'Real Analysis'!$B$2,A928+2))</f>
        <v>9.1334631599999998</v>
      </c>
      <c r="D928">
        <f t="shared" si="71"/>
        <v>7.266900000104215E-2</v>
      </c>
      <c r="E928">
        <f ca="1">IF(B928&gt;0,C928-'Real Analysis'!$B$14,0)</f>
        <v>-0.72303464237142734</v>
      </c>
      <c r="F928">
        <f t="shared" ca="1" si="74"/>
        <v>-0.37018469471059673</v>
      </c>
      <c r="G928">
        <f t="shared" ca="1" si="70"/>
        <v>-0.8780308016000542</v>
      </c>
      <c r="H928">
        <f ca="1">IF(AND(B928&gt;'Real Analysis'!$B$31,B928&lt;'Real Analysis'!$B$32),FilterInput(E928,'Real Analysis'!$B$26,'Real Analysis'!$B$27),0)</f>
        <v>-0.72303464237142734</v>
      </c>
      <c r="I928" t="e">
        <f>MEDIAN2("Real Values",H928,'Real Analysis'!$B$5,2)</f>
        <v>#VALUE!</v>
      </c>
      <c r="J928" t="e">
        <f>AVERAGE2("Real Values",I928,'Real Analysis'!$B$6,2)</f>
        <v>#VALUE!</v>
      </c>
      <c r="K928" t="e">
        <f>INTEGRAL2(J928,$B928,K927,J927,$B927,'Real Analysis'!$B$19)</f>
        <v>#VALUE!</v>
      </c>
      <c r="L928" t="e">
        <f ca="1">IF(AND(B928&lt;'Real Analysis'!$B$32,B928&gt;'Real Analysis'!$B$31),INTEGRAL2(K928,$B928,L927,K927,$B927,'Real Analysis'!$B$20),0)</f>
        <v>#VALUE!</v>
      </c>
      <c r="N928">
        <f>'Real Analysis'!$B$28*'Real Input'!U928+IF('Real Input'!U928 &gt; 0,'Real Analysis'!$B$29,0)</f>
        <v>-1.1481059999999998</v>
      </c>
      <c r="O928" t="e">
        <f t="shared" si="72"/>
        <v>#VALUE!</v>
      </c>
      <c r="P928" t="e">
        <f t="shared" ca="1" si="73"/>
        <v>#VALUE!</v>
      </c>
    </row>
    <row r="929" spans="1:16" x14ac:dyDescent="0.3">
      <c r="A929">
        <v>927</v>
      </c>
      <c r="B929">
        <f>'Real Input'!M929</f>
        <v>21.059141000005184</v>
      </c>
      <c r="C929">
        <f ca="1">INDIRECT(CONCATENATE("'Real Input'!",'Real Analysis'!$B$2,A929+2))</f>
        <v>9.0358929000000003</v>
      </c>
      <c r="D929">
        <f t="shared" si="71"/>
        <v>6.9050999998580664E-2</v>
      </c>
      <c r="E929">
        <f ca="1">IF(B929&gt;0,C929-'Real Analysis'!$B$14,0)</f>
        <v>-0.8206049023714268</v>
      </c>
      <c r="F929">
        <f t="shared" ca="1" si="74"/>
        <v>-0.42684828382308143</v>
      </c>
      <c r="G929">
        <f t="shared" ref="G929:G992" ca="1" si="75">IF(B929&gt;0,G928+F929*$D929,0)</f>
        <v>-0.90750510244571592</v>
      </c>
      <c r="H929">
        <f ca="1">IF(AND(B929&gt;'Real Analysis'!$B$31,B929&lt;'Real Analysis'!$B$32),FilterInput(E929,'Real Analysis'!$B$26,'Real Analysis'!$B$27),0)</f>
        <v>-0.8206049023714268</v>
      </c>
      <c r="I929" t="e">
        <f>MEDIAN2("Real Values",H929,'Real Analysis'!$B$5,2)</f>
        <v>#VALUE!</v>
      </c>
      <c r="J929" t="e">
        <f>AVERAGE2("Real Values",I929,'Real Analysis'!$B$6,2)</f>
        <v>#VALUE!</v>
      </c>
      <c r="K929" t="e">
        <f>INTEGRAL2(J929,$B929,K928,J928,$B928,'Real Analysis'!$B$19)</f>
        <v>#VALUE!</v>
      </c>
      <c r="L929" t="e">
        <f ca="1">IF(AND(B929&lt;'Real Analysis'!$B$32,B929&gt;'Real Analysis'!$B$31),INTEGRAL2(K929,$B929,L928,K928,$B928,'Real Analysis'!$B$20),0)</f>
        <v>#VALUE!</v>
      </c>
      <c r="N929">
        <f>'Real Analysis'!$B$28*'Real Input'!U929+IF('Real Input'!U929 &gt; 0,'Real Analysis'!$B$29,0)</f>
        <v>-1.1481059999999998</v>
      </c>
      <c r="O929" t="e">
        <f t="shared" si="72"/>
        <v>#VALUE!</v>
      </c>
      <c r="P929" t="e">
        <f t="shared" ca="1" si="73"/>
        <v>#VALUE!</v>
      </c>
    </row>
    <row r="930" spans="1:16" x14ac:dyDescent="0.3">
      <c r="A930">
        <v>928</v>
      </c>
      <c r="B930">
        <f>'Real Input'!M930</f>
        <v>21.123573999997461</v>
      </c>
      <c r="C930">
        <f ca="1">INDIRECT(CONCATENATE("'Real Input'!",'Real Analysis'!$B$2,A930+2))</f>
        <v>9.5394205799999998</v>
      </c>
      <c r="D930">
        <f t="shared" si="71"/>
        <v>6.4432999992277473E-2</v>
      </c>
      <c r="E930">
        <f ca="1">IF(B930&gt;0,C930-'Real Analysis'!$B$14,0)</f>
        <v>-0.31707722237142733</v>
      </c>
      <c r="F930">
        <f t="shared" ca="1" si="74"/>
        <v>-0.44727852048969097</v>
      </c>
      <c r="G930">
        <f t="shared" ca="1" si="75"/>
        <v>-0.93632459935297407</v>
      </c>
      <c r="H930">
        <f ca="1">IF(AND(B930&gt;'Real Analysis'!$B$31,B930&lt;'Real Analysis'!$B$32),FilterInput(E930,'Real Analysis'!$B$26,'Real Analysis'!$B$27),0)</f>
        <v>-0.31707722237142733</v>
      </c>
      <c r="I930" t="e">
        <f>MEDIAN2("Real Values",H930,'Real Analysis'!$B$5,2)</f>
        <v>#VALUE!</v>
      </c>
      <c r="J930" t="e">
        <f>AVERAGE2("Real Values",I930,'Real Analysis'!$B$6,2)</f>
        <v>#VALUE!</v>
      </c>
      <c r="K930" t="e">
        <f>INTEGRAL2(J930,$B930,K929,J929,$B929,'Real Analysis'!$B$19)</f>
        <v>#VALUE!</v>
      </c>
      <c r="L930" t="e">
        <f ca="1">IF(AND(B930&lt;'Real Analysis'!$B$32,B930&gt;'Real Analysis'!$B$31),INTEGRAL2(K930,$B930,L929,K929,$B929,'Real Analysis'!$B$20),0)</f>
        <v>#VALUE!</v>
      </c>
      <c r="N930">
        <f>'Real Analysis'!$B$28*'Real Input'!U930+IF('Real Input'!U930 &gt; 0,'Real Analysis'!$B$29,0)</f>
        <v>-1.2017549999999999</v>
      </c>
      <c r="O930" t="e">
        <f t="shared" si="72"/>
        <v>#VALUE!</v>
      </c>
      <c r="P930" t="e">
        <f t="shared" ca="1" si="73"/>
        <v>#VALUE!</v>
      </c>
    </row>
    <row r="931" spans="1:16" x14ac:dyDescent="0.3">
      <c r="A931">
        <v>929</v>
      </c>
      <c r="B931">
        <f>'Real Input'!M931</f>
        <v>21.189335000002757</v>
      </c>
      <c r="C931">
        <f ca="1">INDIRECT(CONCATENATE("'Real Input'!",'Real Analysis'!$B$2,A931+2))</f>
        <v>9.7253691300000007</v>
      </c>
      <c r="D931">
        <f t="shared" si="71"/>
        <v>6.57610000052955E-2</v>
      </c>
      <c r="E931">
        <f ca="1">IF(B931&gt;0,C931-'Real Analysis'!$B$14,0)</f>
        <v>-0.13112867237142645</v>
      </c>
      <c r="F931">
        <f t="shared" ca="1" si="74"/>
        <v>-0.45590167311420271</v>
      </c>
      <c r="G931">
        <f t="shared" ca="1" si="75"/>
        <v>-0.96630514928105138</v>
      </c>
      <c r="H931">
        <f ca="1">IF(AND(B931&gt;'Real Analysis'!$B$31,B931&lt;'Real Analysis'!$B$32),FilterInput(E931,'Real Analysis'!$B$26,'Real Analysis'!$B$27),0)</f>
        <v>0</v>
      </c>
      <c r="I931" t="e">
        <f>MEDIAN2("Real Values",H931,'Real Analysis'!$B$5,2)</f>
        <v>#VALUE!</v>
      </c>
      <c r="J931" t="e">
        <f>AVERAGE2("Real Values",I931,'Real Analysis'!$B$6,2)</f>
        <v>#VALUE!</v>
      </c>
      <c r="K931" t="e">
        <f>INTEGRAL2(J931,$B931,K930,J930,$B930,'Real Analysis'!$B$19)</f>
        <v>#VALUE!</v>
      </c>
      <c r="L931">
        <f ca="1">IF(AND(B931&lt;'Real Analysis'!$B$32,B931&gt;'Real Analysis'!$B$31),INTEGRAL2(K931,$B931,L930,K930,$B930,'Real Analysis'!$B$20),0)</f>
        <v>0</v>
      </c>
      <c r="N931">
        <f>'Real Analysis'!$B$28*'Real Input'!U931+IF('Real Input'!U931 &gt; 0,'Real Analysis'!$B$29,0)</f>
        <v>-1.207716</v>
      </c>
      <c r="O931" t="e">
        <f t="shared" si="72"/>
        <v>#VALUE!</v>
      </c>
      <c r="P931">
        <f t="shared" ca="1" si="73"/>
        <v>-1.207716</v>
      </c>
    </row>
    <row r="932" spans="1:16" x14ac:dyDescent="0.3">
      <c r="A932">
        <v>930</v>
      </c>
      <c r="B932">
        <f>'Real Input'!M932</f>
        <v>21.193016999997781</v>
      </c>
      <c r="C932">
        <f ca="1">INDIRECT(CONCATENATE("'Real Input'!",'Real Analysis'!$B$2,A932+2))</f>
        <v>9.7489719899999994</v>
      </c>
      <c r="D932">
        <f t="shared" si="71"/>
        <v>3.6819999950239435E-3</v>
      </c>
      <c r="E932">
        <f ca="1">IF(B932&gt;0,C932-'Real Analysis'!$B$14,0)</f>
        <v>-0.10752581237142778</v>
      </c>
      <c r="F932">
        <f t="shared" ca="1" si="74"/>
        <v>-0.45629758315481928</v>
      </c>
      <c r="G932">
        <f t="shared" ca="1" si="75"/>
        <v>-0.96798523697995686</v>
      </c>
      <c r="H932">
        <f ca="1">IF(AND(B932&gt;'Real Analysis'!$B$31,B932&lt;'Real Analysis'!$B$32),FilterInput(E932,'Real Analysis'!$B$26,'Real Analysis'!$B$27),0)</f>
        <v>0</v>
      </c>
      <c r="I932" t="e">
        <f>MEDIAN2("Real Values",H932,'Real Analysis'!$B$5,2)</f>
        <v>#VALUE!</v>
      </c>
      <c r="J932" t="e">
        <f>AVERAGE2("Real Values",I932,'Real Analysis'!$B$6,2)</f>
        <v>#VALUE!</v>
      </c>
      <c r="K932" t="e">
        <f>INTEGRAL2(J932,$B932,K931,J931,$B931,'Real Analysis'!$B$19)</f>
        <v>#VALUE!</v>
      </c>
      <c r="L932">
        <f ca="1">IF(AND(B932&lt;'Real Analysis'!$B$32,B932&gt;'Real Analysis'!$B$31),INTEGRAL2(K932,$B932,L931,K931,$B931,'Real Analysis'!$B$20),0)</f>
        <v>0</v>
      </c>
      <c r="N932">
        <f>'Real Analysis'!$B$28*'Real Input'!U932+IF('Real Input'!U932 &gt; 0,'Real Analysis'!$B$29,0)</f>
        <v>-1.2236119999999999</v>
      </c>
      <c r="O932" t="e">
        <f t="shared" si="72"/>
        <v>#VALUE!</v>
      </c>
      <c r="P932">
        <f t="shared" ca="1" si="73"/>
        <v>-1.2236119999999999</v>
      </c>
    </row>
    <row r="933" spans="1:16" x14ac:dyDescent="0.3">
      <c r="A933">
        <v>931</v>
      </c>
      <c r="B933">
        <f>'Real Input'!M933</f>
        <v>21.267498000001069</v>
      </c>
      <c r="C933">
        <f ca="1">INDIRECT(CONCATENATE("'Real Input'!",'Real Analysis'!$B$2,A933+2))</f>
        <v>10.117003950000001</v>
      </c>
      <c r="D933">
        <f t="shared" si="71"/>
        <v>7.44810000032885E-2</v>
      </c>
      <c r="E933">
        <f ca="1">IF(B933&gt;0,C933-'Real Analysis'!$B$14,0)</f>
        <v>0.26050614762857371</v>
      </c>
      <c r="F933">
        <f t="shared" ca="1" si="74"/>
        <v>-0.43689482477243879</v>
      </c>
      <c r="G933">
        <f t="shared" ca="1" si="75"/>
        <v>-1.0005256004252696</v>
      </c>
      <c r="H933">
        <f ca="1">IF(AND(B933&gt;'Real Analysis'!$B$31,B933&lt;'Real Analysis'!$B$32),FilterInput(E933,'Real Analysis'!$B$26,'Real Analysis'!$B$27),0)</f>
        <v>0</v>
      </c>
      <c r="I933" t="e">
        <f>MEDIAN2("Real Values",H933,'Real Analysis'!$B$5,2)</f>
        <v>#VALUE!</v>
      </c>
      <c r="J933" t="e">
        <f>AVERAGE2("Real Values",I933,'Real Analysis'!$B$6,2)</f>
        <v>#VALUE!</v>
      </c>
      <c r="K933" t="e">
        <f>INTEGRAL2(J933,$B933,K932,J932,$B932,'Real Analysis'!$B$19)</f>
        <v>#VALUE!</v>
      </c>
      <c r="L933">
        <f ca="1">IF(AND(B933&lt;'Real Analysis'!$B$32,B933&gt;'Real Analysis'!$B$31),INTEGRAL2(K933,$B933,L932,K932,$B932,'Real Analysis'!$B$20),0)</f>
        <v>0</v>
      </c>
      <c r="N933">
        <f>'Real Analysis'!$B$28*'Real Input'!U933+IF('Real Input'!U933 &gt; 0,'Real Analysis'!$B$29,0)</f>
        <v>-1.2911699999999999</v>
      </c>
      <c r="O933" t="e">
        <f t="shared" si="72"/>
        <v>#VALUE!</v>
      </c>
      <c r="P933">
        <f t="shared" ca="1" si="73"/>
        <v>-1.2911699999999999</v>
      </c>
    </row>
    <row r="934" spans="1:16" x14ac:dyDescent="0.3">
      <c r="A934">
        <v>932</v>
      </c>
      <c r="B934">
        <f>'Real Input'!M934</f>
        <v>21.39588100000401</v>
      </c>
      <c r="C934">
        <f ca="1">INDIRECT(CONCATENATE("'Real Input'!",'Real Analysis'!$B$2,A934+2))</f>
        <v>10.31428305</v>
      </c>
      <c r="D934">
        <f t="shared" si="71"/>
        <v>0.12838300000294112</v>
      </c>
      <c r="E934">
        <f ca="1">IF(B934&gt;0,C934-'Real Analysis'!$B$14,0)</f>
        <v>0.45778524762857309</v>
      </c>
      <c r="F934">
        <f t="shared" ca="1" si="74"/>
        <v>-0.37812298132479327</v>
      </c>
      <c r="G934">
        <f t="shared" ca="1" si="75"/>
        <v>-1.0490701631378025</v>
      </c>
      <c r="H934">
        <f ca="1">IF(AND(B934&gt;'Real Analysis'!$B$31,B934&lt;'Real Analysis'!$B$32),FilterInput(E934,'Real Analysis'!$B$26,'Real Analysis'!$B$27),0)</f>
        <v>0</v>
      </c>
      <c r="I934" t="e">
        <f>MEDIAN2("Real Values",H934,'Real Analysis'!$B$5,2)</f>
        <v>#VALUE!</v>
      </c>
      <c r="J934" t="e">
        <f>AVERAGE2("Real Values",I934,'Real Analysis'!$B$6,2)</f>
        <v>#VALUE!</v>
      </c>
      <c r="K934" t="e">
        <f>INTEGRAL2(J934,$B934,K933,J933,$B933,'Real Analysis'!$B$19)</f>
        <v>#VALUE!</v>
      </c>
      <c r="L934">
        <f ca="1">IF(AND(B934&lt;'Real Analysis'!$B$32,B934&gt;'Real Analysis'!$B$31),INTEGRAL2(K934,$B934,L933,K933,$B933,'Real Analysis'!$B$20),0)</f>
        <v>0</v>
      </c>
      <c r="N934">
        <f>'Real Analysis'!$B$28*'Real Input'!U934+IF('Real Input'!U934 &gt; 0,'Real Analysis'!$B$29,0)</f>
        <v>-1.299118</v>
      </c>
      <c r="O934" t="e">
        <f t="shared" si="72"/>
        <v>#VALUE!</v>
      </c>
      <c r="P934">
        <f t="shared" ca="1" si="73"/>
        <v>-1.299118</v>
      </c>
    </row>
    <row r="935" spans="1:16" x14ac:dyDescent="0.3">
      <c r="A935">
        <v>933</v>
      </c>
      <c r="B935">
        <f>'Real Input'!M935</f>
        <v>21.476766000007046</v>
      </c>
      <c r="C935">
        <f ca="1">INDIRECT(CONCATENATE("'Real Input'!",'Real Analysis'!$B$2,A935+2))</f>
        <v>10.714717440000001</v>
      </c>
      <c r="D935">
        <f t="shared" si="71"/>
        <v>8.0885000003036112E-2</v>
      </c>
      <c r="E935">
        <f ca="1">IF(B935&gt;0,C935-'Real Analysis'!$B$14,0)</f>
        <v>0.85821963762857401</v>
      </c>
      <c r="F935">
        <f t="shared" ca="1" si="74"/>
        <v>-0.3087058859326004</v>
      </c>
      <c r="G935">
        <f t="shared" ca="1" si="75"/>
        <v>-1.0740398387223982</v>
      </c>
      <c r="H935">
        <f ca="1">IF(AND(B935&gt;'Real Analysis'!$B$31,B935&lt;'Real Analysis'!$B$32),FilterInput(E935,'Real Analysis'!$B$26,'Real Analysis'!$B$27),0)</f>
        <v>0</v>
      </c>
      <c r="I935" t="e">
        <f>MEDIAN2("Real Values",H935,'Real Analysis'!$B$5,2)</f>
        <v>#VALUE!</v>
      </c>
      <c r="J935" t="e">
        <f>AVERAGE2("Real Values",I935,'Real Analysis'!$B$6,2)</f>
        <v>#VALUE!</v>
      </c>
      <c r="K935" t="e">
        <f>INTEGRAL2(J935,$B935,K934,J934,$B934,'Real Analysis'!$B$19)</f>
        <v>#VALUE!</v>
      </c>
      <c r="L935">
        <f ca="1">IF(AND(B935&lt;'Real Analysis'!$B$32,B935&gt;'Real Analysis'!$B$31),INTEGRAL2(K935,$B935,L934,K934,$B934,'Real Analysis'!$B$20),0)</f>
        <v>0</v>
      </c>
      <c r="N935">
        <f>'Real Analysis'!$B$28*'Real Input'!U935+IF('Real Input'!U935 &gt; 0,'Real Analysis'!$B$29,0)</f>
        <v>-1.322962</v>
      </c>
      <c r="O935" t="e">
        <f t="shared" si="72"/>
        <v>#VALUE!</v>
      </c>
      <c r="P935">
        <f t="shared" ca="1" si="73"/>
        <v>-1.322962</v>
      </c>
    </row>
    <row r="936" spans="1:16" x14ac:dyDescent="0.3">
      <c r="A936">
        <v>934</v>
      </c>
      <c r="B936">
        <f>'Real Input'!M936</f>
        <v>21.671587999997428</v>
      </c>
      <c r="C936">
        <f ca="1">INDIRECT(CONCATENATE("'Real Input'!",'Real Analysis'!$B$2,A936+2))</f>
        <v>11.369417220000001</v>
      </c>
      <c r="D936">
        <f t="shared" si="71"/>
        <v>0.1948219999903813</v>
      </c>
      <c r="E936">
        <f ca="1">IF(B936&gt;0,C936-'Real Analysis'!$B$14,0)</f>
        <v>1.5129194176285736</v>
      </c>
      <c r="F936">
        <f t="shared" ca="1" si="74"/>
        <v>-1.3955899165918773E-2</v>
      </c>
      <c r="G936">
        <f t="shared" ca="1" si="75"/>
        <v>-1.0767587549095665</v>
      </c>
      <c r="H936">
        <f ca="1">IF(AND(B936&gt;'Real Analysis'!$B$31,B936&lt;'Real Analysis'!$B$32),FilterInput(E936,'Real Analysis'!$B$26,'Real Analysis'!$B$27),0)</f>
        <v>0</v>
      </c>
      <c r="I936" t="e">
        <f>MEDIAN2("Real Values",H936,'Real Analysis'!$B$5,2)</f>
        <v>#VALUE!</v>
      </c>
      <c r="J936" t="e">
        <f>AVERAGE2("Real Values",I936,'Real Analysis'!$B$6,2)</f>
        <v>#VALUE!</v>
      </c>
      <c r="K936" t="e">
        <f>INTEGRAL2(J936,$B936,K935,J935,$B935,'Real Analysis'!$B$19)</f>
        <v>#VALUE!</v>
      </c>
      <c r="L936">
        <f ca="1">IF(AND(B936&lt;'Real Analysis'!$B$32,B936&gt;'Real Analysis'!$B$31),INTEGRAL2(K936,$B936,L935,K935,$B935,'Real Analysis'!$B$20),0)</f>
        <v>0</v>
      </c>
      <c r="N936">
        <f>'Real Analysis'!$B$28*'Real Input'!U936+IF('Real Input'!U936 &gt; 0,'Real Analysis'!$B$29,0)</f>
        <v>-1.4084030000000001</v>
      </c>
      <c r="O936" t="e">
        <f t="shared" si="72"/>
        <v>#VALUE!</v>
      </c>
      <c r="P936">
        <f t="shared" ca="1" si="73"/>
        <v>-1.4084030000000001</v>
      </c>
    </row>
    <row r="937" spans="1:16" x14ac:dyDescent="0.3">
      <c r="A937">
        <v>935</v>
      </c>
      <c r="B937">
        <f>'Real Input'!M937</f>
        <v>21.80168699999922</v>
      </c>
      <c r="C937">
        <f ca="1">INDIRECT(CONCATENATE("'Real Input'!",'Real Analysis'!$B$2,A937+2))</f>
        <v>11.411070480000001</v>
      </c>
      <c r="D937">
        <f t="shared" si="71"/>
        <v>0.13009900000179186</v>
      </c>
      <c r="E937">
        <f ca="1">IF(B937&gt;0,C937-'Real Analysis'!$B$14,0)</f>
        <v>1.554572677628574</v>
      </c>
      <c r="F937">
        <f t="shared" ca="1" si="74"/>
        <v>0.18829245162366665</v>
      </c>
      <c r="G937">
        <f t="shared" ca="1" si="75"/>
        <v>-1.0522620952454418</v>
      </c>
      <c r="H937">
        <f ca="1">IF(AND(B937&gt;'Real Analysis'!$B$31,B937&lt;'Real Analysis'!$B$32),FilterInput(E937,'Real Analysis'!$B$26,'Real Analysis'!$B$27),0)</f>
        <v>0</v>
      </c>
      <c r="I937" t="e">
        <f>MEDIAN2("Real Values",H937,'Real Analysis'!$B$5,2)</f>
        <v>#VALUE!</v>
      </c>
      <c r="J937" t="e">
        <f>AVERAGE2("Real Values",I937,'Real Analysis'!$B$6,2)</f>
        <v>#VALUE!</v>
      </c>
      <c r="K937" t="e">
        <f>INTEGRAL2(J937,$B937,K936,J936,$B936,'Real Analysis'!$B$19)</f>
        <v>#VALUE!</v>
      </c>
      <c r="L937">
        <f ca="1">IF(AND(B937&lt;'Real Analysis'!$B$32,B937&gt;'Real Analysis'!$B$31),INTEGRAL2(K937,$B937,L936,K936,$B936,'Real Analysis'!$B$20),0)</f>
        <v>0</v>
      </c>
      <c r="N937">
        <f>'Real Analysis'!$B$28*'Real Input'!U937+IF('Real Input'!U937 &gt; 0,'Real Analysis'!$B$29,0)</f>
        <v>-1.424299</v>
      </c>
      <c r="O937" t="e">
        <f t="shared" si="72"/>
        <v>#VALUE!</v>
      </c>
      <c r="P937">
        <f t="shared" ca="1" si="73"/>
        <v>-1.424299</v>
      </c>
    </row>
    <row r="938" spans="1:16" x14ac:dyDescent="0.3">
      <c r="A938">
        <v>936</v>
      </c>
      <c r="B938">
        <f>'Real Input'!M938</f>
        <v>21.819898000001558</v>
      </c>
      <c r="C938">
        <f ca="1">INDIRECT(CONCATENATE("'Real Input'!",'Real Analysis'!$B$2,A938+2))</f>
        <v>11.471509890000002</v>
      </c>
      <c r="D938">
        <f t="shared" si="71"/>
        <v>1.8211000002338551E-2</v>
      </c>
      <c r="E938">
        <f ca="1">IF(B938&gt;0,C938-'Real Analysis'!$B$14,0)</f>
        <v>1.6150120876285747</v>
      </c>
      <c r="F938">
        <f t="shared" ca="1" si="74"/>
        <v>0.21770343675524742</v>
      </c>
      <c r="G938">
        <f t="shared" ca="1" si="75"/>
        <v>-1.0482974979581829</v>
      </c>
      <c r="H938">
        <f ca="1">IF(AND(B938&gt;'Real Analysis'!$B$31,B938&lt;'Real Analysis'!$B$32),FilterInput(E938,'Real Analysis'!$B$26,'Real Analysis'!$B$27),0)</f>
        <v>0</v>
      </c>
      <c r="I938" t="e">
        <f>MEDIAN2("Real Values",H938,'Real Analysis'!$B$5,2)</f>
        <v>#VALUE!</v>
      </c>
      <c r="J938" t="e">
        <f>AVERAGE2("Real Values",I938,'Real Analysis'!$B$6,2)</f>
        <v>#VALUE!</v>
      </c>
      <c r="K938" t="e">
        <f>INTEGRAL2(J938,$B938,K937,J937,$B937,'Real Analysis'!$B$19)</f>
        <v>#VALUE!</v>
      </c>
      <c r="L938">
        <f ca="1">IF(AND(B938&lt;'Real Analysis'!$B$32,B938&gt;'Real Analysis'!$B$31),INTEGRAL2(K938,$B938,L937,K937,$B937,'Real Analysis'!$B$20),0)</f>
        <v>0</v>
      </c>
      <c r="N938">
        <f>'Real Analysis'!$B$28*'Real Input'!U938+IF('Real Input'!U938 &gt; 0,'Real Analysis'!$B$29,0)</f>
        <v>-1.4401949999999999</v>
      </c>
      <c r="O938" t="e">
        <f t="shared" si="72"/>
        <v>#VALUE!</v>
      </c>
      <c r="P938">
        <f t="shared" ca="1" si="73"/>
        <v>-1.4401949999999999</v>
      </c>
    </row>
    <row r="939" spans="1:16" x14ac:dyDescent="0.3">
      <c r="A939">
        <v>937</v>
      </c>
      <c r="B939">
        <f>'Real Input'!M939</f>
        <v>21.929365999996662</v>
      </c>
      <c r="C939">
        <f ca="1">INDIRECT(CONCATENATE("'Real Input'!",'Real Analysis'!$B$2,A939+2))</f>
        <v>11.196417870000001</v>
      </c>
      <c r="D939">
        <f t="shared" si="71"/>
        <v>0.10946799999510404</v>
      </c>
      <c r="E939">
        <f ca="1">IF(B939&gt;0,C939-'Real Analysis'!$B$14,0)</f>
        <v>1.3399200676285741</v>
      </c>
      <c r="F939">
        <f t="shared" ca="1" si="74"/>
        <v>0.36438180671185194</v>
      </c>
      <c r="G939">
        <f t="shared" ca="1" si="75"/>
        <v>-1.008409350342834</v>
      </c>
      <c r="H939">
        <f ca="1">IF(AND(B939&gt;'Real Analysis'!$B$31,B939&lt;'Real Analysis'!$B$32),FilterInput(E939,'Real Analysis'!$B$26,'Real Analysis'!$B$27),0)</f>
        <v>0</v>
      </c>
      <c r="I939" t="e">
        <f>MEDIAN2("Real Values",H939,'Real Analysis'!$B$5,2)</f>
        <v>#VALUE!</v>
      </c>
      <c r="J939" t="e">
        <f>AVERAGE2("Real Values",I939,'Real Analysis'!$B$6,2)</f>
        <v>#VALUE!</v>
      </c>
      <c r="K939" t="e">
        <f>INTEGRAL2(J939,$B939,K938,J938,$B938,'Real Analysis'!$B$19)</f>
        <v>#VALUE!</v>
      </c>
      <c r="L939">
        <f ca="1">IF(AND(B939&lt;'Real Analysis'!$B$32,B939&gt;'Real Analysis'!$B$31),INTEGRAL2(K939,$B939,L938,K938,$B938,'Real Analysis'!$B$20),0)</f>
        <v>0</v>
      </c>
      <c r="N939">
        <f>'Real Analysis'!$B$28*'Real Input'!U939+IF('Real Input'!U939 &gt; 0,'Real Analysis'!$B$29,0)</f>
        <v>-1.3130269999999999</v>
      </c>
      <c r="O939" t="e">
        <f t="shared" si="72"/>
        <v>#VALUE!</v>
      </c>
      <c r="P939">
        <f t="shared" ca="1" si="73"/>
        <v>-1.3130269999999999</v>
      </c>
    </row>
    <row r="940" spans="1:16" x14ac:dyDescent="0.3">
      <c r="A940">
        <v>938</v>
      </c>
      <c r="B940">
        <f>'Real Input'!M940</f>
        <v>21.950813999996171</v>
      </c>
      <c r="C940">
        <f ca="1">INDIRECT(CONCATENATE("'Real Input'!",'Real Analysis'!$B$2,A940+2))</f>
        <v>12.296491650000002</v>
      </c>
      <c r="D940">
        <f t="shared" si="71"/>
        <v>2.1447999999509193E-2</v>
      </c>
      <c r="E940">
        <f ca="1">IF(B940&gt;0,C940-'Real Analysis'!$B$14,0)</f>
        <v>2.4399938476285747</v>
      </c>
      <c r="F940">
        <f t="shared" ca="1" si="74"/>
        <v>0.41671479475459205</v>
      </c>
      <c r="G940">
        <f t="shared" ca="1" si="75"/>
        <v>-0.99947165142514205</v>
      </c>
      <c r="H940">
        <f ca="1">IF(AND(B940&gt;'Real Analysis'!$B$31,B940&lt;'Real Analysis'!$B$32),FilterInput(E940,'Real Analysis'!$B$26,'Real Analysis'!$B$27),0)</f>
        <v>0</v>
      </c>
      <c r="I940" t="e">
        <f>MEDIAN2("Real Values",H940,'Real Analysis'!$B$5,2)</f>
        <v>#VALUE!</v>
      </c>
      <c r="J940" t="e">
        <f>AVERAGE2("Real Values",I940,'Real Analysis'!$B$6,2)</f>
        <v>#VALUE!</v>
      </c>
      <c r="K940" t="e">
        <f>INTEGRAL2(J940,$B940,K939,J939,$B939,'Real Analysis'!$B$19)</f>
        <v>#VALUE!</v>
      </c>
      <c r="L940">
        <f ca="1">IF(AND(B940&lt;'Real Analysis'!$B$32,B940&gt;'Real Analysis'!$B$31),INTEGRAL2(K940,$B940,L939,K939,$B939,'Real Analysis'!$B$20),0)</f>
        <v>0</v>
      </c>
      <c r="N940">
        <f>'Real Analysis'!$B$28*'Real Input'!U940+IF('Real Input'!U940 &gt; 0,'Real Analysis'!$B$29,0)</f>
        <v>-1.320975</v>
      </c>
      <c r="O940" t="e">
        <f t="shared" si="72"/>
        <v>#VALUE!</v>
      </c>
      <c r="P940">
        <f t="shared" ca="1" si="73"/>
        <v>-1.320975</v>
      </c>
    </row>
    <row r="941" spans="1:16" x14ac:dyDescent="0.3">
      <c r="A941">
        <v>939</v>
      </c>
      <c r="B941">
        <f>'Real Input'!M941</f>
        <v>21.969597000002977</v>
      </c>
      <c r="C941">
        <f ca="1">INDIRECT(CONCATENATE("'Real Input'!",'Real Analysis'!$B$2,A941+2))</f>
        <v>9.1291663800000009</v>
      </c>
      <c r="D941">
        <f t="shared" si="71"/>
        <v>1.8783000006806105E-2</v>
      </c>
      <c r="E941">
        <f ca="1">IF(B941&gt;0,C941-'Real Analysis'!$B$14,0)</f>
        <v>-0.72733142237142623</v>
      </c>
      <c r="F941">
        <f t="shared" ca="1" si="74"/>
        <v>0.40305332864323928</v>
      </c>
      <c r="G941">
        <f t="shared" ca="1" si="75"/>
        <v>-0.99190110075049287</v>
      </c>
      <c r="H941">
        <f ca="1">IF(AND(B941&gt;'Real Analysis'!$B$31,B941&lt;'Real Analysis'!$B$32),FilterInput(E941,'Real Analysis'!$B$26,'Real Analysis'!$B$27),0)</f>
        <v>0</v>
      </c>
      <c r="I941" t="e">
        <f>MEDIAN2("Real Values",H941,'Real Analysis'!$B$5,2)</f>
        <v>#VALUE!</v>
      </c>
      <c r="J941" t="e">
        <f>AVERAGE2("Real Values",I941,'Real Analysis'!$B$6,2)</f>
        <v>#VALUE!</v>
      </c>
      <c r="K941" t="e">
        <f>INTEGRAL2(J941,$B941,K940,J940,$B940,'Real Analysis'!$B$19)</f>
        <v>#VALUE!</v>
      </c>
      <c r="L941">
        <f ca="1">IF(AND(B941&lt;'Real Analysis'!$B$32,B941&gt;'Real Analysis'!$B$31),INTEGRAL2(K941,$B941,L940,K940,$B940,'Real Analysis'!$B$20),0)</f>
        <v>0</v>
      </c>
      <c r="N941">
        <f>'Real Analysis'!$B$28*'Real Input'!U941+IF('Real Input'!U941 &gt; 0,'Real Analysis'!$B$29,0)</f>
        <v>0</v>
      </c>
      <c r="O941" t="e">
        <f t="shared" si="72"/>
        <v>#VALUE!</v>
      </c>
      <c r="P941">
        <f t="shared" ca="1" si="73"/>
        <v>0</v>
      </c>
    </row>
    <row r="942" spans="1:16" x14ac:dyDescent="0.3">
      <c r="A942">
        <v>940</v>
      </c>
      <c r="B942">
        <f>'Real Input'!M942</f>
        <v>21.988500000006752</v>
      </c>
      <c r="C942">
        <f ca="1">INDIRECT(CONCATENATE("'Real Input'!",'Real Analysis'!$B$2,A942+2))</f>
        <v>8.8282348200000005</v>
      </c>
      <c r="D942">
        <f t="shared" si="71"/>
        <v>1.890300000377465E-2</v>
      </c>
      <c r="E942">
        <f ca="1">IF(B942&gt;0,C942-'Real Analysis'!$B$14,0)</f>
        <v>-1.0282629823714267</v>
      </c>
      <c r="F942">
        <f t="shared" ca="1" si="74"/>
        <v>0.38361607348359089</v>
      </c>
      <c r="G942">
        <f t="shared" ca="1" si="75"/>
        <v>-0.98464960611198449</v>
      </c>
      <c r="H942">
        <f ca="1">IF(AND(B942&gt;'Real Analysis'!$B$31,B942&lt;'Real Analysis'!$B$32),FilterInput(E942,'Real Analysis'!$B$26,'Real Analysis'!$B$27),0)</f>
        <v>0</v>
      </c>
      <c r="I942" t="e">
        <f>MEDIAN2("Real Values",H942,'Real Analysis'!$B$5,2)</f>
        <v>#VALUE!</v>
      </c>
      <c r="J942" t="e">
        <f>AVERAGE2("Real Values",I942,'Real Analysis'!$B$6,2)</f>
        <v>#VALUE!</v>
      </c>
      <c r="K942" t="e">
        <f>INTEGRAL2(J942,$B942,K941,J941,$B941,'Real Analysis'!$B$19)</f>
        <v>#VALUE!</v>
      </c>
      <c r="L942">
        <f ca="1">IF(AND(B942&lt;'Real Analysis'!$B$32,B942&gt;'Real Analysis'!$B$31),INTEGRAL2(K942,$B942,L941,K941,$B941,'Real Analysis'!$B$20),0)</f>
        <v>0</v>
      </c>
      <c r="N942">
        <f>'Real Analysis'!$B$28*'Real Input'!U942+IF('Real Input'!U942 &gt; 0,'Real Analysis'!$B$29,0)</f>
        <v>0</v>
      </c>
      <c r="O942" t="e">
        <f t="shared" si="72"/>
        <v>#VALUE!</v>
      </c>
      <c r="P942">
        <f t="shared" ca="1" si="73"/>
        <v>0</v>
      </c>
    </row>
    <row r="943" spans="1:16" x14ac:dyDescent="0.3">
      <c r="A943">
        <v>941</v>
      </c>
      <c r="B943">
        <f>'Real Input'!M943</f>
        <v>22.009302000005846</v>
      </c>
      <c r="C943">
        <f ca="1">INDIRECT(CONCATENATE("'Real Input'!",'Real Analysis'!$B$2,A943+2))</f>
        <v>11.402751600000002</v>
      </c>
      <c r="D943">
        <f t="shared" si="71"/>
        <v>2.0801999999093823E-2</v>
      </c>
      <c r="E943">
        <f ca="1">IF(B943&gt;0,C943-'Real Analysis'!$B$14,0)</f>
        <v>1.5462537976285748</v>
      </c>
      <c r="F943">
        <f t="shared" ca="1" si="74"/>
        <v>0.41578124498045932</v>
      </c>
      <c r="G943">
        <f t="shared" ca="1" si="75"/>
        <v>-0.97600052465427778</v>
      </c>
      <c r="H943">
        <f ca="1">IF(AND(B943&gt;'Real Analysis'!$B$31,B943&lt;'Real Analysis'!$B$32),FilterInput(E943,'Real Analysis'!$B$26,'Real Analysis'!$B$27),0)</f>
        <v>0</v>
      </c>
      <c r="I943" t="e">
        <f>MEDIAN2("Real Values",H943,'Real Analysis'!$B$5,2)</f>
        <v>#VALUE!</v>
      </c>
      <c r="J943" t="e">
        <f>AVERAGE2("Real Values",I943,'Real Analysis'!$B$6,2)</f>
        <v>#VALUE!</v>
      </c>
      <c r="K943" t="e">
        <f>INTEGRAL2(J943,$B943,K942,J942,$B942,'Real Analysis'!$B$19)</f>
        <v>#VALUE!</v>
      </c>
      <c r="L943">
        <f ca="1">IF(AND(B943&lt;'Real Analysis'!$B$32,B943&gt;'Real Analysis'!$B$31),INTEGRAL2(K943,$B943,L942,K942,$B942,'Real Analysis'!$B$20),0)</f>
        <v>0</v>
      </c>
      <c r="N943">
        <f>'Real Analysis'!$B$28*'Real Input'!U943+IF('Real Input'!U943 &gt; 0,'Real Analysis'!$B$29,0)</f>
        <v>0</v>
      </c>
      <c r="O943" t="e">
        <f t="shared" si="72"/>
        <v>#VALUE!</v>
      </c>
      <c r="P943">
        <f t="shared" ca="1" si="73"/>
        <v>0</v>
      </c>
    </row>
    <row r="944" spans="1:16" x14ac:dyDescent="0.3">
      <c r="A944">
        <v>942</v>
      </c>
      <c r="B944">
        <f>'Real Input'!M944</f>
        <v>22.03289699999732</v>
      </c>
      <c r="C944">
        <f ca="1">INDIRECT(CONCATENATE("'Real Input'!",'Real Analysis'!$B$2,A944+2))</f>
        <v>9.8326512899999994</v>
      </c>
      <c r="D944">
        <f t="shared" si="71"/>
        <v>2.3594999991473742E-2</v>
      </c>
      <c r="E944">
        <f ca="1">IF(B944&gt;0,C944-'Real Analysis'!$B$14,0)</f>
        <v>-2.3846512371427764E-2</v>
      </c>
      <c r="F944">
        <f t="shared" ca="1" si="74"/>
        <v>0.41521858652125881</v>
      </c>
      <c r="G944">
        <f t="shared" ca="1" si="75"/>
        <v>-0.9662034421088489</v>
      </c>
      <c r="H944">
        <f ca="1">IF(AND(B944&gt;'Real Analysis'!$B$31,B944&lt;'Real Analysis'!$B$32),FilterInput(E944,'Real Analysis'!$B$26,'Real Analysis'!$B$27),0)</f>
        <v>0</v>
      </c>
      <c r="I944" t="e">
        <f>MEDIAN2("Real Values",H944,'Real Analysis'!$B$5,2)</f>
        <v>#VALUE!</v>
      </c>
      <c r="J944" t="e">
        <f>AVERAGE2("Real Values",I944,'Real Analysis'!$B$6,2)</f>
        <v>#VALUE!</v>
      </c>
      <c r="K944" t="e">
        <f>INTEGRAL2(J944,$B944,K943,J943,$B943,'Real Analysis'!$B$19)</f>
        <v>#VALUE!</v>
      </c>
      <c r="L944">
        <f ca="1">IF(AND(B944&lt;'Real Analysis'!$B$32,B944&gt;'Real Analysis'!$B$31),INTEGRAL2(K944,$B944,L943,K943,$B943,'Real Analysis'!$B$20),0)</f>
        <v>0</v>
      </c>
      <c r="N944">
        <f>'Real Analysis'!$B$28*'Real Input'!U944+IF('Real Input'!U944 &gt; 0,'Real Analysis'!$B$29,0)</f>
        <v>0</v>
      </c>
      <c r="O944" t="e">
        <f t="shared" si="72"/>
        <v>#VALUE!</v>
      </c>
      <c r="P944">
        <f t="shared" ca="1" si="73"/>
        <v>0</v>
      </c>
    </row>
    <row r="945" spans="1:16" x14ac:dyDescent="0.3">
      <c r="A945">
        <v>943</v>
      </c>
      <c r="B945">
        <f>'Real Input'!M945</f>
        <v>22.050904999996419</v>
      </c>
      <c r="C945">
        <f ca="1">INDIRECT(CONCATENATE("'Real Input'!",'Real Analysis'!$B$2,A945+2))</f>
        <v>9.8513393399999991</v>
      </c>
      <c r="D945">
        <f t="shared" si="71"/>
        <v>1.8007999999099411E-2</v>
      </c>
      <c r="E945">
        <f ca="1">IF(B945&gt;0,C945-'Real Analysis'!$B$14,0)</f>
        <v>-5.1584623714280298E-3</v>
      </c>
      <c r="F945">
        <f t="shared" ca="1" si="74"/>
        <v>0.41512569293087881</v>
      </c>
      <c r="G945">
        <f t="shared" ca="1" si="75"/>
        <v>-0.95872785863092347</v>
      </c>
      <c r="H945">
        <f ca="1">IF(AND(B945&gt;'Real Analysis'!$B$31,B945&lt;'Real Analysis'!$B$32),FilterInput(E945,'Real Analysis'!$B$26,'Real Analysis'!$B$27),0)</f>
        <v>0</v>
      </c>
      <c r="I945" t="e">
        <f>MEDIAN2("Real Values",H945,'Real Analysis'!$B$5,2)</f>
        <v>#VALUE!</v>
      </c>
      <c r="J945" t="e">
        <f>AVERAGE2("Real Values",I945,'Real Analysis'!$B$6,2)</f>
        <v>#VALUE!</v>
      </c>
      <c r="K945" t="e">
        <f>INTEGRAL2(J945,$B945,K944,J944,$B944,'Real Analysis'!$B$19)</f>
        <v>#VALUE!</v>
      </c>
      <c r="L945">
        <f ca="1">IF(AND(B945&lt;'Real Analysis'!$B$32,B945&gt;'Real Analysis'!$B$31),INTEGRAL2(K945,$B945,L944,K944,$B944,'Real Analysis'!$B$20),0)</f>
        <v>0</v>
      </c>
      <c r="N945">
        <f>'Real Analysis'!$B$28*'Real Input'!U945+IF('Real Input'!U945 &gt; 0,'Real Analysis'!$B$29,0)</f>
        <v>0</v>
      </c>
      <c r="O945" t="e">
        <f t="shared" si="72"/>
        <v>#VALUE!</v>
      </c>
      <c r="P945">
        <f t="shared" ca="1" si="73"/>
        <v>0</v>
      </c>
    </row>
    <row r="946" spans="1:16" x14ac:dyDescent="0.3">
      <c r="A946">
        <v>944</v>
      </c>
      <c r="B946">
        <f>'Real Input'!M946</f>
        <v>22.10960100000375</v>
      </c>
      <c r="C946">
        <f ca="1">INDIRECT(CONCATENATE("'Real Input'!",'Real Analysis'!$B$2,A946+2))</f>
        <v>9.836555670000001</v>
      </c>
      <c r="D946">
        <f t="shared" si="71"/>
        <v>5.869600000733044E-2</v>
      </c>
      <c r="E946">
        <f ca="1">IF(B946&gt;0,C946-'Real Analysis'!$B$14,0)</f>
        <v>-1.9942132371426169E-2</v>
      </c>
      <c r="F946">
        <f t="shared" ca="1" si="74"/>
        <v>0.41395516952905942</v>
      </c>
      <c r="G946">
        <f t="shared" ca="1" si="75"/>
        <v>-0.93443034599721131</v>
      </c>
      <c r="H946">
        <f ca="1">IF(AND(B946&gt;'Real Analysis'!$B$31,B946&lt;'Real Analysis'!$B$32),FilterInput(E946,'Real Analysis'!$B$26,'Real Analysis'!$B$27),0)</f>
        <v>0</v>
      </c>
      <c r="I946" t="e">
        <f>MEDIAN2("Real Values",H946,'Real Analysis'!$B$5,2)</f>
        <v>#VALUE!</v>
      </c>
      <c r="J946" t="e">
        <f>AVERAGE2("Real Values",I946,'Real Analysis'!$B$6,2)</f>
        <v>#VALUE!</v>
      </c>
      <c r="K946" t="e">
        <f>INTEGRAL2(J946,$B946,K945,J945,$B945,'Real Analysis'!$B$19)</f>
        <v>#VALUE!</v>
      </c>
      <c r="L946">
        <f ca="1">IF(AND(B946&lt;'Real Analysis'!$B$32,B946&gt;'Real Analysis'!$B$31),INTEGRAL2(K946,$B946,L945,K945,$B945,'Real Analysis'!$B$20),0)</f>
        <v>0</v>
      </c>
      <c r="N946">
        <f>'Real Analysis'!$B$28*'Real Input'!U946+IF('Real Input'!U946 &gt; 0,'Real Analysis'!$B$29,0)</f>
        <v>0</v>
      </c>
      <c r="O946" t="e">
        <f t="shared" si="72"/>
        <v>#VALUE!</v>
      </c>
      <c r="P946">
        <f t="shared" ca="1" si="73"/>
        <v>0</v>
      </c>
    </row>
    <row r="947" spans="1:16" x14ac:dyDescent="0.3">
      <c r="A947">
        <v>945</v>
      </c>
      <c r="B947">
        <f>'Real Input'!M947</f>
        <v>22.129606000002241</v>
      </c>
      <c r="C947">
        <f ca="1">INDIRECT(CONCATENATE("'Real Input'!",'Real Analysis'!$B$2,A947+2))</f>
        <v>9.863768610000001</v>
      </c>
      <c r="D947">
        <f t="shared" si="71"/>
        <v>2.0004999998491257E-2</v>
      </c>
      <c r="E947">
        <f ca="1">IF(B947&gt;0,C947-'Real Analysis'!$B$14,0)</f>
        <v>7.2708076285739054E-3</v>
      </c>
      <c r="F947">
        <f t="shared" ca="1" si="74"/>
        <v>0.41410062203565806</v>
      </c>
      <c r="G947">
        <f t="shared" ca="1" si="75"/>
        <v>-0.92614626305401271</v>
      </c>
      <c r="H947">
        <f ca="1">IF(AND(B947&gt;'Real Analysis'!$B$31,B947&lt;'Real Analysis'!$B$32),FilterInput(E947,'Real Analysis'!$B$26,'Real Analysis'!$B$27),0)</f>
        <v>0</v>
      </c>
      <c r="I947" t="e">
        <f>MEDIAN2("Real Values",H947,'Real Analysis'!$B$5,2)</f>
        <v>#VALUE!</v>
      </c>
      <c r="J947" t="e">
        <f>AVERAGE2("Real Values",I947,'Real Analysis'!$B$6,2)</f>
        <v>#VALUE!</v>
      </c>
      <c r="K947" t="e">
        <f>INTEGRAL2(J947,$B947,K946,J946,$B946,'Real Analysis'!$B$19)</f>
        <v>#VALUE!</v>
      </c>
      <c r="L947">
        <f ca="1">IF(AND(B947&lt;'Real Analysis'!$B$32,B947&gt;'Real Analysis'!$B$31),INTEGRAL2(K947,$B947,L946,K946,$B946,'Real Analysis'!$B$20),0)</f>
        <v>0</v>
      </c>
      <c r="N947">
        <f>'Real Analysis'!$B$28*'Real Input'!U947+IF('Real Input'!U947 &gt; 0,'Real Analysis'!$B$29,0)</f>
        <v>0</v>
      </c>
      <c r="O947" t="e">
        <f t="shared" si="72"/>
        <v>#VALUE!</v>
      </c>
      <c r="P947">
        <f t="shared" ca="1" si="73"/>
        <v>0</v>
      </c>
    </row>
    <row r="948" spans="1:16" x14ac:dyDescent="0.3">
      <c r="A948">
        <v>946</v>
      </c>
      <c r="B948">
        <f>'Real Input'!M948</f>
        <v>22.153552999996464</v>
      </c>
      <c r="C948">
        <f ca="1">INDIRECT(CONCATENATE("'Real Input'!",'Real Analysis'!$B$2,A948+2))</f>
        <v>9.8877834900000021</v>
      </c>
      <c r="D948">
        <f t="shared" si="71"/>
        <v>2.3946999994223006E-2</v>
      </c>
      <c r="E948">
        <f ca="1">IF(B948&gt;0,C948-'Real Analysis'!$B$14,0)</f>
        <v>3.1285687628574976E-2</v>
      </c>
      <c r="F948">
        <f t="shared" ca="1" si="74"/>
        <v>0.41484982039711882</v>
      </c>
      <c r="G948">
        <f t="shared" ca="1" si="75"/>
        <v>-0.91621185440735953</v>
      </c>
      <c r="H948">
        <f ca="1">IF(AND(B948&gt;'Real Analysis'!$B$31,B948&lt;'Real Analysis'!$B$32),FilterInput(E948,'Real Analysis'!$B$26,'Real Analysis'!$B$27),0)</f>
        <v>0</v>
      </c>
      <c r="I948" t="e">
        <f>MEDIAN2("Real Values",H948,'Real Analysis'!$B$5,2)</f>
        <v>#VALUE!</v>
      </c>
      <c r="J948" t="e">
        <f>AVERAGE2("Real Values",I948,'Real Analysis'!$B$6,2)</f>
        <v>#VALUE!</v>
      </c>
      <c r="K948" t="e">
        <f>INTEGRAL2(J948,$B948,K947,J947,$B947,'Real Analysis'!$B$19)</f>
        <v>#VALUE!</v>
      </c>
      <c r="L948">
        <f ca="1">IF(AND(B948&lt;'Real Analysis'!$B$32,B948&gt;'Real Analysis'!$B$31),INTEGRAL2(K948,$B948,L947,K947,$B947,'Real Analysis'!$B$20),0)</f>
        <v>0</v>
      </c>
      <c r="N948">
        <f>'Real Analysis'!$B$28*'Real Input'!U948+IF('Real Input'!U948 &gt; 0,'Real Analysis'!$B$29,0)</f>
        <v>0</v>
      </c>
      <c r="O948" t="e">
        <f t="shared" si="72"/>
        <v>#VALUE!</v>
      </c>
      <c r="P948">
        <f t="shared" ca="1" si="73"/>
        <v>0</v>
      </c>
    </row>
    <row r="949" spans="1:16" x14ac:dyDescent="0.3">
      <c r="A949">
        <v>947</v>
      </c>
      <c r="B949">
        <f>'Real Input'!M949</f>
        <v>22.216033999997308</v>
      </c>
      <c r="C949">
        <f ca="1">INDIRECT(CONCATENATE("'Real Input'!",'Real Analysis'!$B$2,A949+2))</f>
        <v>9.9110920500000006</v>
      </c>
      <c r="D949">
        <f t="shared" si="71"/>
        <v>6.2481000000843778E-2</v>
      </c>
      <c r="E949">
        <f ca="1">IF(B949&gt;0,C949-'Real Analysis'!$B$14,0)</f>
        <v>5.4594247628573456E-2</v>
      </c>
      <c r="F949">
        <f t="shared" ca="1" si="74"/>
        <v>0.41826092358324579</v>
      </c>
      <c r="G949">
        <f t="shared" ca="1" si="75"/>
        <v>-0.89007849364060188</v>
      </c>
      <c r="H949">
        <f ca="1">IF(AND(B949&gt;'Real Analysis'!$B$31,B949&lt;'Real Analysis'!$B$32),FilterInput(E949,'Real Analysis'!$B$26,'Real Analysis'!$B$27),0)</f>
        <v>0</v>
      </c>
      <c r="I949" t="e">
        <f>MEDIAN2("Real Values",H949,'Real Analysis'!$B$5,2)</f>
        <v>#VALUE!</v>
      </c>
      <c r="J949" t="e">
        <f>AVERAGE2("Real Values",I949,'Real Analysis'!$B$6,2)</f>
        <v>#VALUE!</v>
      </c>
      <c r="K949" t="e">
        <f>INTEGRAL2(J949,$B949,K948,J948,$B948,'Real Analysis'!$B$19)</f>
        <v>#VALUE!</v>
      </c>
      <c r="L949">
        <f ca="1">IF(AND(B949&lt;'Real Analysis'!$B$32,B949&gt;'Real Analysis'!$B$31),INTEGRAL2(K949,$B949,L948,K948,$B948,'Real Analysis'!$B$20),0)</f>
        <v>0</v>
      </c>
      <c r="N949">
        <f>'Real Analysis'!$B$28*'Real Input'!U949+IF('Real Input'!U949 &gt; 0,'Real Analysis'!$B$29,0)</f>
        <v>0</v>
      </c>
      <c r="O949" t="e">
        <f t="shared" si="72"/>
        <v>#VALUE!</v>
      </c>
      <c r="P949">
        <f t="shared" ca="1" si="73"/>
        <v>0</v>
      </c>
    </row>
    <row r="950" spans="1:16" x14ac:dyDescent="0.3">
      <c r="A950">
        <v>948</v>
      </c>
      <c r="B950">
        <f>'Real Input'!M950</f>
        <v>22.269459999995888</v>
      </c>
      <c r="C950">
        <f ca="1">INDIRECT(CONCATENATE("'Real Input'!",'Real Analysis'!$B$2,A950+2))</f>
        <v>9.8684774100000023</v>
      </c>
      <c r="D950">
        <f t="shared" si="71"/>
        <v>5.3425999998580664E-2</v>
      </c>
      <c r="E950">
        <f ca="1">IF(B950&gt;0,C950-'Real Analysis'!$B$14,0)</f>
        <v>1.1979607628575195E-2</v>
      </c>
      <c r="F950">
        <f t="shared" ca="1" si="74"/>
        <v>0.41890094610039302</v>
      </c>
      <c r="G950">
        <f t="shared" ca="1" si="75"/>
        <v>-0.86769829169483681</v>
      </c>
      <c r="H950">
        <f ca="1">IF(AND(B950&gt;'Real Analysis'!$B$31,B950&lt;'Real Analysis'!$B$32),FilterInput(E950,'Real Analysis'!$B$26,'Real Analysis'!$B$27),0)</f>
        <v>0</v>
      </c>
      <c r="I950" t="e">
        <f>MEDIAN2("Real Values",H950,'Real Analysis'!$B$5,2)</f>
        <v>#VALUE!</v>
      </c>
      <c r="J950" t="e">
        <f>AVERAGE2("Real Values",I950,'Real Analysis'!$B$6,2)</f>
        <v>#VALUE!</v>
      </c>
      <c r="K950" t="e">
        <f>INTEGRAL2(J950,$B950,K949,J949,$B949,'Real Analysis'!$B$19)</f>
        <v>#VALUE!</v>
      </c>
      <c r="L950">
        <f ca="1">IF(AND(B950&lt;'Real Analysis'!$B$32,B950&gt;'Real Analysis'!$B$31),INTEGRAL2(K950,$B950,L949,K949,$B949,'Real Analysis'!$B$20),0)</f>
        <v>0</v>
      </c>
      <c r="N950">
        <f>'Real Analysis'!$B$28*'Real Input'!U950+IF('Real Input'!U950 &gt; 0,'Real Analysis'!$B$29,0)</f>
        <v>0</v>
      </c>
      <c r="O950" t="e">
        <f t="shared" si="72"/>
        <v>#VALUE!</v>
      </c>
      <c r="P950">
        <f t="shared" ca="1" si="73"/>
        <v>0</v>
      </c>
    </row>
    <row r="951" spans="1:16" x14ac:dyDescent="0.3">
      <c r="A951">
        <v>949</v>
      </c>
      <c r="B951">
        <f>'Real Input'!M951</f>
        <v>22.339386999999988</v>
      </c>
      <c r="C951">
        <f ca="1">INDIRECT(CONCATENATE("'Real Input'!",'Real Analysis'!$B$2,A951+2))</f>
        <v>9.8495931599999995</v>
      </c>
      <c r="D951">
        <f t="shared" si="71"/>
        <v>6.9927000004099682E-2</v>
      </c>
      <c r="E951">
        <f ca="1">IF(B951&gt;0,C951-'Real Analysis'!$B$14,0)</f>
        <v>-6.9046423714276273E-3</v>
      </c>
      <c r="F951">
        <f t="shared" ca="1" si="74"/>
        <v>0.41841812517325788</v>
      </c>
      <c r="G951">
        <f t="shared" ca="1" si="75"/>
        <v>-0.83843956745413106</v>
      </c>
      <c r="H951">
        <f ca="1">IF(AND(B951&gt;'Real Analysis'!$B$31,B951&lt;'Real Analysis'!$B$32),FilterInput(E951,'Real Analysis'!$B$26,'Real Analysis'!$B$27),0)</f>
        <v>0</v>
      </c>
      <c r="I951" t="e">
        <f>MEDIAN2("Real Values",H951,'Real Analysis'!$B$5,2)</f>
        <v>#VALUE!</v>
      </c>
      <c r="J951" t="e">
        <f>AVERAGE2("Real Values",I951,'Real Analysis'!$B$6,2)</f>
        <v>#VALUE!</v>
      </c>
      <c r="K951" t="e">
        <f>INTEGRAL2(J951,$B951,K950,J950,$B950,'Real Analysis'!$B$19)</f>
        <v>#VALUE!</v>
      </c>
      <c r="L951">
        <f ca="1">IF(AND(B951&lt;'Real Analysis'!$B$32,B951&gt;'Real Analysis'!$B$31),INTEGRAL2(K951,$B951,L950,K950,$B950,'Real Analysis'!$B$20),0)</f>
        <v>0</v>
      </c>
      <c r="N951">
        <f>'Real Analysis'!$B$28*'Real Input'!U951+IF('Real Input'!U951 &gt; 0,'Real Analysis'!$B$29,0)</f>
        <v>0</v>
      </c>
      <c r="O951" t="e">
        <f t="shared" si="72"/>
        <v>#VALUE!</v>
      </c>
      <c r="P951">
        <f t="shared" ca="1" si="73"/>
        <v>0</v>
      </c>
    </row>
    <row r="952" spans="1:16" x14ac:dyDescent="0.3">
      <c r="A952">
        <v>950</v>
      </c>
      <c r="B952">
        <f>'Real Input'!M952</f>
        <v>22.35994500000379</v>
      </c>
      <c r="C952">
        <f ca="1">INDIRECT(CONCATENATE("'Real Input'!",'Real Analysis'!$B$2,A952+2))</f>
        <v>9.8498972700000014</v>
      </c>
      <c r="D952">
        <f t="shared" si="71"/>
        <v>2.055800000380259E-2</v>
      </c>
      <c r="E952">
        <f ca="1">IF(B952&gt;0,C952-'Real Analysis'!$B$14,0)</f>
        <v>-6.6005323714257713E-3</v>
      </c>
      <c r="F952">
        <f t="shared" ca="1" si="74"/>
        <v>0.418282431428741</v>
      </c>
      <c r="G952">
        <f t="shared" ca="1" si="75"/>
        <v>-0.8298405172272284</v>
      </c>
      <c r="H952">
        <f ca="1">IF(AND(B952&gt;'Real Analysis'!$B$31,B952&lt;'Real Analysis'!$B$32),FilterInput(E952,'Real Analysis'!$B$26,'Real Analysis'!$B$27),0)</f>
        <v>0</v>
      </c>
      <c r="I952" t="e">
        <f>MEDIAN2("Real Values",H952,'Real Analysis'!$B$5,2)</f>
        <v>#VALUE!</v>
      </c>
      <c r="J952" t="e">
        <f>AVERAGE2("Real Values",I952,'Real Analysis'!$B$6,2)</f>
        <v>#VALUE!</v>
      </c>
      <c r="K952" t="e">
        <f>INTEGRAL2(J952,$B952,K951,J951,$B951,'Real Analysis'!$B$19)</f>
        <v>#VALUE!</v>
      </c>
      <c r="L952">
        <f ca="1">IF(AND(B952&lt;'Real Analysis'!$B$32,B952&gt;'Real Analysis'!$B$31),INTEGRAL2(K952,$B952,L951,K951,$B951,'Real Analysis'!$B$20),0)</f>
        <v>0</v>
      </c>
      <c r="N952">
        <f>'Real Analysis'!$B$28*'Real Input'!U952+IF('Real Input'!U952 &gt; 0,'Real Analysis'!$B$29,0)</f>
        <v>0</v>
      </c>
      <c r="O952" t="e">
        <f t="shared" si="72"/>
        <v>#VALUE!</v>
      </c>
      <c r="P952">
        <f t="shared" ca="1" si="73"/>
        <v>0</v>
      </c>
    </row>
    <row r="953" spans="1:16" x14ac:dyDescent="0.3">
      <c r="A953">
        <v>951</v>
      </c>
      <c r="B953">
        <f>'Real Input'!M953</f>
        <v>22.697455999994418</v>
      </c>
      <c r="C953">
        <f ca="1">INDIRECT(CONCATENATE("'Real Input'!",'Real Analysis'!$B$2,A953+2))</f>
        <v>9.8509077000000005</v>
      </c>
      <c r="D953">
        <f t="shared" si="71"/>
        <v>0.33751099999062717</v>
      </c>
      <c r="E953">
        <f ca="1">IF(B953&gt;0,C953-'Real Analysis'!$B$14,0)</f>
        <v>-5.5901023714266529E-3</v>
      </c>
      <c r="F953">
        <f t="shared" ca="1" si="74"/>
        <v>0.41639571038731082</v>
      </c>
      <c r="G953">
        <f t="shared" ca="1" si="75"/>
        <v>-0.68930238462259952</v>
      </c>
      <c r="H953">
        <f ca="1">IF(AND(B953&gt;'Real Analysis'!$B$31,B953&lt;'Real Analysis'!$B$32),FilterInput(E953,'Real Analysis'!$B$26,'Real Analysis'!$B$27),0)</f>
        <v>0</v>
      </c>
      <c r="I953" t="e">
        <f>MEDIAN2("Real Values",H953,'Real Analysis'!$B$5,2)</f>
        <v>#VALUE!</v>
      </c>
      <c r="J953" t="e">
        <f>AVERAGE2("Real Values",I953,'Real Analysis'!$B$6,2)</f>
        <v>#VALUE!</v>
      </c>
      <c r="K953" t="e">
        <f>INTEGRAL2(J953,$B953,K952,J952,$B952,'Real Analysis'!$B$19)</f>
        <v>#VALUE!</v>
      </c>
      <c r="L953">
        <f ca="1">IF(AND(B953&lt;'Real Analysis'!$B$32,B953&gt;'Real Analysis'!$B$31),INTEGRAL2(K953,$B953,L952,K952,$B952,'Real Analysis'!$B$20),0)</f>
        <v>0</v>
      </c>
      <c r="N953">
        <f>'Real Analysis'!$B$28*'Real Input'!U953+IF('Real Input'!U953 &gt; 0,'Real Analysis'!$B$29,0)</f>
        <v>0</v>
      </c>
      <c r="O953" t="e">
        <f t="shared" si="72"/>
        <v>#VALUE!</v>
      </c>
      <c r="P953">
        <f t="shared" ca="1" si="73"/>
        <v>0</v>
      </c>
    </row>
    <row r="954" spans="1:16" x14ac:dyDescent="0.3">
      <c r="A954">
        <v>952</v>
      </c>
      <c r="B954">
        <f>'Real Input'!M954</f>
        <v>22.752504999996745</v>
      </c>
      <c r="C954">
        <f ca="1">INDIRECT(CONCATENATE("'Real Input'!",'Real Analysis'!$B$2,A954+2))</f>
        <v>9.8471112300000012</v>
      </c>
      <c r="D954">
        <f t="shared" si="71"/>
        <v>5.5049000002327375E-2</v>
      </c>
      <c r="E954">
        <f ca="1">IF(B954&gt;0,C954-'Real Analysis'!$B$14,0)</f>
        <v>-9.3865723714259275E-3</v>
      </c>
      <c r="F954">
        <f t="shared" ca="1" si="74"/>
        <v>0.41587898896481434</v>
      </c>
      <c r="G954">
        <f t="shared" ca="1" si="75"/>
        <v>-0.66640866215810757</v>
      </c>
      <c r="H954">
        <f ca="1">IF(AND(B954&gt;'Real Analysis'!$B$31,B954&lt;'Real Analysis'!$B$32),FilterInput(E954,'Real Analysis'!$B$26,'Real Analysis'!$B$27),0)</f>
        <v>0</v>
      </c>
      <c r="I954" t="e">
        <f>MEDIAN2("Real Values",H954,'Real Analysis'!$B$5,2)</f>
        <v>#VALUE!</v>
      </c>
      <c r="J954" t="e">
        <f>AVERAGE2("Real Values",I954,'Real Analysis'!$B$6,2)</f>
        <v>#VALUE!</v>
      </c>
      <c r="K954" t="e">
        <f>INTEGRAL2(J954,$B954,K953,J953,$B953,'Real Analysis'!$B$19)</f>
        <v>#VALUE!</v>
      </c>
      <c r="L954">
        <f ca="1">IF(AND(B954&lt;'Real Analysis'!$B$32,B954&gt;'Real Analysis'!$B$31),INTEGRAL2(K954,$B954,L953,K953,$B953,'Real Analysis'!$B$20),0)</f>
        <v>0</v>
      </c>
      <c r="N954">
        <f>'Real Analysis'!$B$28*'Real Input'!U954+IF('Real Input'!U954 &gt; 0,'Real Analysis'!$B$29,0)</f>
        <v>0</v>
      </c>
      <c r="O954" t="e">
        <f t="shared" si="72"/>
        <v>#VALUE!</v>
      </c>
      <c r="P954">
        <f t="shared" ca="1" si="73"/>
        <v>0</v>
      </c>
    </row>
    <row r="955" spans="1:16" x14ac:dyDescent="0.3">
      <c r="A955">
        <v>953</v>
      </c>
      <c r="B955">
        <f>'Real Input'!M955</f>
        <v>22.776291000001947</v>
      </c>
      <c r="C955">
        <f ca="1">INDIRECT(CONCATENATE("'Real Input'!",'Real Analysis'!$B$2,A955+2))</f>
        <v>9.8484748199999999</v>
      </c>
      <c r="D955">
        <f t="shared" si="71"/>
        <v>2.3786000005202368E-2</v>
      </c>
      <c r="E955">
        <f ca="1">IF(B955&gt;0,C955-'Real Analysis'!$B$14,0)</f>
        <v>-8.0229823714272896E-3</v>
      </c>
      <c r="F955">
        <f t="shared" ca="1" si="74"/>
        <v>0.41568815430608586</v>
      </c>
      <c r="G955">
        <f t="shared" ca="1" si="75"/>
        <v>-0.6565211037176204</v>
      </c>
      <c r="H955">
        <f ca="1">IF(AND(B955&gt;'Real Analysis'!$B$31,B955&lt;'Real Analysis'!$B$32),FilterInput(E955,'Real Analysis'!$B$26,'Real Analysis'!$B$27),0)</f>
        <v>0</v>
      </c>
      <c r="I955" t="e">
        <f>MEDIAN2("Real Values",H955,'Real Analysis'!$B$5,2)</f>
        <v>#VALUE!</v>
      </c>
      <c r="J955" t="e">
        <f>AVERAGE2("Real Values",I955,'Real Analysis'!$B$6,2)</f>
        <v>#VALUE!</v>
      </c>
      <c r="K955" t="e">
        <f>INTEGRAL2(J955,$B955,K954,J954,$B954,'Real Analysis'!$B$19)</f>
        <v>#VALUE!</v>
      </c>
      <c r="L955">
        <f ca="1">IF(AND(B955&lt;'Real Analysis'!$B$32,B955&gt;'Real Analysis'!$B$31),INTEGRAL2(K955,$B955,L954,K954,$B954,'Real Analysis'!$B$20),0)</f>
        <v>0</v>
      </c>
      <c r="N955">
        <f>'Real Analysis'!$B$28*'Real Input'!U955+IF('Real Input'!U955 &gt; 0,'Real Analysis'!$B$29,0)</f>
        <v>0</v>
      </c>
      <c r="O955" t="e">
        <f t="shared" si="72"/>
        <v>#VALUE!</v>
      </c>
      <c r="P955">
        <f t="shared" ca="1" si="73"/>
        <v>0</v>
      </c>
    </row>
    <row r="956" spans="1:16" x14ac:dyDescent="0.3">
      <c r="A956">
        <v>954</v>
      </c>
      <c r="B956">
        <f>'Real Input'!M956</f>
        <v>22.894717000002856</v>
      </c>
      <c r="C956">
        <f ca="1">INDIRECT(CONCATENATE("'Real Input'!",'Real Analysis'!$B$2,A956+2))</f>
        <v>9.8505054900000015</v>
      </c>
      <c r="D956">
        <f t="shared" si="71"/>
        <v>0.11842600000090897</v>
      </c>
      <c r="E956">
        <f ca="1">IF(B956&gt;0,C956-'Real Analysis'!$B$14,0)</f>
        <v>-5.9923123714256121E-3</v>
      </c>
      <c r="F956">
        <f t="shared" ca="1" si="74"/>
        <v>0.41497850872118197</v>
      </c>
      <c r="G956">
        <f t="shared" ca="1" si="75"/>
        <v>-0.60737685884342851</v>
      </c>
      <c r="H956">
        <f ca="1">IF(AND(B956&gt;'Real Analysis'!$B$31,B956&lt;'Real Analysis'!$B$32),FilterInput(E956,'Real Analysis'!$B$26,'Real Analysis'!$B$27),0)</f>
        <v>0</v>
      </c>
      <c r="I956" t="e">
        <f>MEDIAN2("Real Values",H956,'Real Analysis'!$B$5,2)</f>
        <v>#VALUE!</v>
      </c>
      <c r="J956" t="e">
        <f>AVERAGE2("Real Values",I956,'Real Analysis'!$B$6,2)</f>
        <v>#VALUE!</v>
      </c>
      <c r="K956" t="e">
        <f>INTEGRAL2(J956,$B956,K955,J955,$B955,'Real Analysis'!$B$19)</f>
        <v>#VALUE!</v>
      </c>
      <c r="L956">
        <f ca="1">IF(AND(B956&lt;'Real Analysis'!$B$32,B956&gt;'Real Analysis'!$B$31),INTEGRAL2(K956,$B956,L955,K955,$B955,'Real Analysis'!$B$20),0)</f>
        <v>0</v>
      </c>
      <c r="N956">
        <f>'Real Analysis'!$B$28*'Real Input'!U956+IF('Real Input'!U956 &gt; 0,'Real Analysis'!$B$29,0)</f>
        <v>0</v>
      </c>
      <c r="O956" t="e">
        <f t="shared" si="72"/>
        <v>#VALUE!</v>
      </c>
      <c r="P956">
        <f t="shared" ca="1" si="73"/>
        <v>0</v>
      </c>
    </row>
    <row r="957" spans="1:16" x14ac:dyDescent="0.3">
      <c r="A957">
        <v>955</v>
      </c>
      <c r="B957">
        <f>'Real Input'!M957</f>
        <v>22.936753999994835</v>
      </c>
      <c r="C957">
        <f ca="1">INDIRECT(CONCATENATE("'Real Input'!",'Real Analysis'!$B$2,A957+2))</f>
        <v>9.8506918800000012</v>
      </c>
      <c r="D957">
        <f t="shared" si="71"/>
        <v>4.2036999991978519E-2</v>
      </c>
      <c r="E957">
        <f ca="1">IF(B957&gt;0,C957-'Real Analysis'!$B$14,0)</f>
        <v>-5.8059223714259645E-3</v>
      </c>
      <c r="F957">
        <f t="shared" ca="1" si="74"/>
        <v>0.41473444516250091</v>
      </c>
      <c r="G957">
        <f t="shared" ca="1" si="75"/>
        <v>-0.58994266697545927</v>
      </c>
      <c r="H957">
        <f ca="1">IF(AND(B957&gt;'Real Analysis'!$B$31,B957&lt;'Real Analysis'!$B$32),FilterInput(E957,'Real Analysis'!$B$26,'Real Analysis'!$B$27),0)</f>
        <v>0</v>
      </c>
      <c r="I957" t="e">
        <f>MEDIAN2("Real Values",H957,'Real Analysis'!$B$5,2)</f>
        <v>#VALUE!</v>
      </c>
      <c r="J957" t="e">
        <f>AVERAGE2("Real Values",I957,'Real Analysis'!$B$6,2)</f>
        <v>#VALUE!</v>
      </c>
      <c r="K957" t="e">
        <f>INTEGRAL2(J957,$B957,K956,J956,$B956,'Real Analysis'!$B$19)</f>
        <v>#VALUE!</v>
      </c>
      <c r="L957">
        <f ca="1">IF(AND(B957&lt;'Real Analysis'!$B$32,B957&gt;'Real Analysis'!$B$31),INTEGRAL2(K957,$B957,L956,K956,$B956,'Real Analysis'!$B$20),0)</f>
        <v>0</v>
      </c>
      <c r="N957">
        <f>'Real Analysis'!$B$28*'Real Input'!U957+IF('Real Input'!U957 &gt; 0,'Real Analysis'!$B$29,0)</f>
        <v>0</v>
      </c>
      <c r="O957" t="e">
        <f t="shared" si="72"/>
        <v>#VALUE!</v>
      </c>
      <c r="P957">
        <f t="shared" ca="1" si="73"/>
        <v>0</v>
      </c>
    </row>
    <row r="958" spans="1:16" x14ac:dyDescent="0.3">
      <c r="A958">
        <v>956</v>
      </c>
      <c r="B958">
        <f>'Real Input'!M958</f>
        <v>22.964806000003591</v>
      </c>
      <c r="C958">
        <f ca="1">INDIRECT(CONCATENATE("'Real Input'!",'Real Analysis'!$B$2,A958+2))</f>
        <v>9.8507311200000007</v>
      </c>
      <c r="D958">
        <f t="shared" si="71"/>
        <v>2.8052000008756295E-2</v>
      </c>
      <c r="E958">
        <f ca="1">IF(B958&gt;0,C958-'Real Analysis'!$B$14,0)</f>
        <v>-5.7666823714264126E-3</v>
      </c>
      <c r="F958">
        <f t="shared" ca="1" si="74"/>
        <v>0.41457267818856713</v>
      </c>
      <c r="G958">
        <f t="shared" ca="1" si="75"/>
        <v>-0.57831307420328348</v>
      </c>
      <c r="H958">
        <f ca="1">IF(AND(B958&gt;'Real Analysis'!$B$31,B958&lt;'Real Analysis'!$B$32),FilterInput(E958,'Real Analysis'!$B$26,'Real Analysis'!$B$27),0)</f>
        <v>0</v>
      </c>
      <c r="I958" t="e">
        <f>MEDIAN2("Real Values",H958,'Real Analysis'!$B$5,2)</f>
        <v>#VALUE!</v>
      </c>
      <c r="J958" t="e">
        <f>AVERAGE2("Real Values",I958,'Real Analysis'!$B$6,2)</f>
        <v>#VALUE!</v>
      </c>
      <c r="K958" t="e">
        <f>INTEGRAL2(J958,$B958,K957,J957,$B957,'Real Analysis'!$B$19)</f>
        <v>#VALUE!</v>
      </c>
      <c r="L958">
        <f ca="1">IF(AND(B958&lt;'Real Analysis'!$B$32,B958&gt;'Real Analysis'!$B$31),INTEGRAL2(K958,$B958,L957,K957,$B957,'Real Analysis'!$B$20),0)</f>
        <v>0</v>
      </c>
      <c r="N958">
        <f>'Real Analysis'!$B$28*'Real Input'!U958+IF('Real Input'!U958 &gt; 0,'Real Analysis'!$B$29,0)</f>
        <v>0</v>
      </c>
      <c r="O958" t="e">
        <f t="shared" si="72"/>
        <v>#VALUE!</v>
      </c>
      <c r="P958">
        <f t="shared" ca="1" si="73"/>
        <v>0</v>
      </c>
    </row>
    <row r="959" spans="1:16" x14ac:dyDescent="0.3">
      <c r="A959">
        <v>957</v>
      </c>
      <c r="B959">
        <f>'Real Input'!M959</f>
        <v>23.011020000005374</v>
      </c>
      <c r="C959">
        <f ca="1">INDIRECT(CONCATENATE("'Real Input'!",'Real Analysis'!$B$2,A959+2))</f>
        <v>9.7725748499999998</v>
      </c>
      <c r="D959">
        <f t="shared" si="71"/>
        <v>4.6214000001782551E-2</v>
      </c>
      <c r="E959">
        <f ca="1">IF(B959&gt;0,C959-'Real Analysis'!$B$14,0)</f>
        <v>-8.3922952371427328E-2</v>
      </c>
      <c r="F959">
        <f t="shared" ca="1" si="74"/>
        <v>0.41069426286752442</v>
      </c>
      <c r="G959">
        <f t="shared" ca="1" si="75"/>
        <v>-0.55933324953839159</v>
      </c>
      <c r="H959">
        <f ca="1">IF(AND(B959&gt;'Real Analysis'!$B$31,B959&lt;'Real Analysis'!$B$32),FilterInput(E959,'Real Analysis'!$B$26,'Real Analysis'!$B$27),0)</f>
        <v>0</v>
      </c>
      <c r="I959" t="e">
        <f>MEDIAN2("Real Values",H959,'Real Analysis'!$B$5,2)</f>
        <v>#VALUE!</v>
      </c>
      <c r="J959" t="e">
        <f>AVERAGE2("Real Values",I959,'Real Analysis'!$B$6,2)</f>
        <v>#VALUE!</v>
      </c>
      <c r="K959" t="e">
        <f>INTEGRAL2(J959,$B959,K958,J958,$B958,'Real Analysis'!$B$19)</f>
        <v>#VALUE!</v>
      </c>
      <c r="L959">
        <f ca="1">IF(AND(B959&lt;'Real Analysis'!$B$32,B959&gt;'Real Analysis'!$B$31),INTEGRAL2(K959,$B959,L958,K958,$B958,'Real Analysis'!$B$20),0)</f>
        <v>0</v>
      </c>
      <c r="N959">
        <f>'Real Analysis'!$B$28*'Real Input'!U959+IF('Real Input'!U959 &gt; 0,'Real Analysis'!$B$29,0)</f>
        <v>0</v>
      </c>
      <c r="O959" t="e">
        <f t="shared" si="72"/>
        <v>#VALUE!</v>
      </c>
      <c r="P959">
        <f t="shared" ca="1" si="73"/>
        <v>0</v>
      </c>
    </row>
    <row r="960" spans="1:16" x14ac:dyDescent="0.3">
      <c r="A960">
        <v>958</v>
      </c>
      <c r="B960">
        <f>'Real Input'!M960</f>
        <v>23.041721999994479</v>
      </c>
      <c r="C960">
        <f ca="1">INDIRECT(CONCATENATE("'Real Input'!",'Real Analysis'!$B$2,A960+2))</f>
        <v>9.8347015800000008</v>
      </c>
      <c r="D960">
        <f t="shared" si="71"/>
        <v>3.0701999989105389E-2</v>
      </c>
      <c r="E960">
        <f ca="1">IF(B960&gt;0,C960-'Real Analysis'!$B$14,0)</f>
        <v>-2.179622237142631E-2</v>
      </c>
      <c r="F960">
        <f t="shared" ca="1" si="74"/>
        <v>0.41002507524851434</v>
      </c>
      <c r="G960">
        <f t="shared" ca="1" si="75"/>
        <v>-0.54674465968257879</v>
      </c>
      <c r="H960">
        <f ca="1">IF(AND(B960&gt;'Real Analysis'!$B$31,B960&lt;'Real Analysis'!$B$32),FilterInput(E960,'Real Analysis'!$B$26,'Real Analysis'!$B$27),0)</f>
        <v>0</v>
      </c>
      <c r="I960" t="e">
        <f>MEDIAN2("Real Values",H960,'Real Analysis'!$B$5,2)</f>
        <v>#VALUE!</v>
      </c>
      <c r="J960" t="e">
        <f>AVERAGE2("Real Values",I960,'Real Analysis'!$B$6,2)</f>
        <v>#VALUE!</v>
      </c>
      <c r="K960" t="e">
        <f>INTEGRAL2(J960,$B960,K959,J959,$B959,'Real Analysis'!$B$19)</f>
        <v>#VALUE!</v>
      </c>
      <c r="L960">
        <f ca="1">IF(AND(B960&lt;'Real Analysis'!$B$32,B960&gt;'Real Analysis'!$B$31),INTEGRAL2(K960,$B960,L959,K959,$B959,'Real Analysis'!$B$20),0)</f>
        <v>0</v>
      </c>
      <c r="N960">
        <f>'Real Analysis'!$B$28*'Real Input'!U960+IF('Real Input'!U960 &gt; 0,'Real Analysis'!$B$29,0)</f>
        <v>0</v>
      </c>
      <c r="O960" t="e">
        <f t="shared" si="72"/>
        <v>#VALUE!</v>
      </c>
      <c r="P960">
        <f t="shared" ca="1" si="73"/>
        <v>0</v>
      </c>
    </row>
    <row r="961" spans="1:16" x14ac:dyDescent="0.3">
      <c r="A961">
        <v>959</v>
      </c>
      <c r="B961">
        <f>'Real Input'!M961</f>
        <v>23.059169000000111</v>
      </c>
      <c r="C961">
        <f ca="1">INDIRECT(CONCATENATE("'Real Input'!",'Real Analysis'!$B$2,A961+2))</f>
        <v>9.831748769999999</v>
      </c>
      <c r="D961">
        <f t="shared" si="71"/>
        <v>1.7447000005631708E-2</v>
      </c>
      <c r="E961">
        <f ca="1">IF(B961&gt;0,C961-'Real Analysis'!$B$14,0)</f>
        <v>-2.4749032371428115E-2</v>
      </c>
      <c r="F961">
        <f t="shared" ca="1" si="74"/>
        <v>0.40959327888059066</v>
      </c>
      <c r="G961">
        <f t="shared" ca="1" si="75"/>
        <v>-0.53959848574364244</v>
      </c>
      <c r="H961">
        <f ca="1">IF(AND(B961&gt;'Real Analysis'!$B$31,B961&lt;'Real Analysis'!$B$32),FilterInput(E961,'Real Analysis'!$B$26,'Real Analysis'!$B$27),0)</f>
        <v>0</v>
      </c>
      <c r="I961" t="e">
        <f>MEDIAN2("Real Values",H961,'Real Analysis'!$B$5,2)</f>
        <v>#VALUE!</v>
      </c>
      <c r="J961" t="e">
        <f>AVERAGE2("Real Values",I961,'Real Analysis'!$B$6,2)</f>
        <v>#VALUE!</v>
      </c>
      <c r="K961" t="e">
        <f>INTEGRAL2(J961,$B961,K960,J960,$B960,'Real Analysis'!$B$19)</f>
        <v>#VALUE!</v>
      </c>
      <c r="L961">
        <f ca="1">IF(AND(B961&lt;'Real Analysis'!$B$32,B961&gt;'Real Analysis'!$B$31),INTEGRAL2(K961,$B961,L960,K960,$B960,'Real Analysis'!$B$20),0)</f>
        <v>0</v>
      </c>
      <c r="N961">
        <f>'Real Analysis'!$B$28*'Real Input'!U961+IF('Real Input'!U961 &gt; 0,'Real Analysis'!$B$29,0)</f>
        <v>0</v>
      </c>
      <c r="O961" t="e">
        <f t="shared" si="72"/>
        <v>#VALUE!</v>
      </c>
      <c r="P961">
        <f t="shared" ca="1" si="73"/>
        <v>0</v>
      </c>
    </row>
    <row r="962" spans="1:16" x14ac:dyDescent="0.3">
      <c r="A962">
        <v>960</v>
      </c>
      <c r="B962">
        <f>'Real Input'!M962</f>
        <v>23.078345000001718</v>
      </c>
      <c r="C962">
        <f ca="1">INDIRECT(CONCATENATE("'Real Input'!",'Real Analysis'!$B$2,A962+2))</f>
        <v>9.8493479100000005</v>
      </c>
      <c r="D962">
        <f t="shared" si="71"/>
        <v>1.9176000001607463E-2</v>
      </c>
      <c r="E962">
        <f ca="1">IF(B962&gt;0,C962-'Real Analysis'!$B$14,0)</f>
        <v>-7.1498923714266027E-3</v>
      </c>
      <c r="F962">
        <f t="shared" ca="1" si="74"/>
        <v>0.4094561725444647</v>
      </c>
      <c r="G962">
        <f t="shared" ca="1" si="75"/>
        <v>-0.53174675417827155</v>
      </c>
      <c r="H962">
        <f ca="1">IF(AND(B962&gt;'Real Analysis'!$B$31,B962&lt;'Real Analysis'!$B$32),FilterInput(E962,'Real Analysis'!$B$26,'Real Analysis'!$B$27),0)</f>
        <v>0</v>
      </c>
      <c r="I962" t="e">
        <f>MEDIAN2("Real Values",H962,'Real Analysis'!$B$5,2)</f>
        <v>#VALUE!</v>
      </c>
      <c r="J962" t="e">
        <f>AVERAGE2("Real Values",I962,'Real Analysis'!$B$6,2)</f>
        <v>#VALUE!</v>
      </c>
      <c r="K962" t="e">
        <f>INTEGRAL2(J962,$B962,K961,J961,$B961,'Real Analysis'!$B$19)</f>
        <v>#VALUE!</v>
      </c>
      <c r="L962">
        <f ca="1">IF(AND(B962&lt;'Real Analysis'!$B$32,B962&gt;'Real Analysis'!$B$31),INTEGRAL2(K962,$B962,L961,K961,$B961,'Real Analysis'!$B$20),0)</f>
        <v>0</v>
      </c>
      <c r="N962">
        <f>'Real Analysis'!$B$28*'Real Input'!U962+IF('Real Input'!U962 &gt; 0,'Real Analysis'!$B$29,0)</f>
        <v>0</v>
      </c>
      <c r="O962" t="e">
        <f t="shared" si="72"/>
        <v>#VALUE!</v>
      </c>
      <c r="P962">
        <f t="shared" ca="1" si="73"/>
        <v>0</v>
      </c>
    </row>
    <row r="963" spans="1:16" x14ac:dyDescent="0.3">
      <c r="A963">
        <v>961</v>
      </c>
      <c r="B963">
        <f>'Real Input'!M963</f>
        <v>23.101450999994995</v>
      </c>
      <c r="C963">
        <f ca="1">INDIRECT(CONCATENATE("'Real Input'!",'Real Analysis'!$B$2,A963+2))</f>
        <v>9.8503191000000019</v>
      </c>
      <c r="D963">
        <f t="shared" ref="D963:D1026" si="76">B963-B962</f>
        <v>2.3105999993276782E-2</v>
      </c>
      <c r="E963">
        <f ca="1">IF(B963&gt;0,C963-'Real Analysis'!$B$14,0)</f>
        <v>-6.1787023714252598E-3</v>
      </c>
      <c r="F963">
        <f t="shared" ca="1" si="74"/>
        <v>0.4093134074475121</v>
      </c>
      <c r="G963">
        <f t="shared" ca="1" si="75"/>
        <v>-0.52228915858854119</v>
      </c>
      <c r="H963">
        <f ca="1">IF(AND(B963&gt;'Real Analysis'!$B$31,B963&lt;'Real Analysis'!$B$32),FilterInput(E963,'Real Analysis'!$B$26,'Real Analysis'!$B$27),0)</f>
        <v>0</v>
      </c>
      <c r="I963" t="e">
        <f>MEDIAN2("Real Values",H963,'Real Analysis'!$B$5,2)</f>
        <v>#VALUE!</v>
      </c>
      <c r="J963" t="e">
        <f>AVERAGE2("Real Values",I963,'Real Analysis'!$B$6,2)</f>
        <v>#VALUE!</v>
      </c>
      <c r="K963" t="e">
        <f>INTEGRAL2(J963,$B963,K962,J962,$B962,'Real Analysis'!$B$19)</f>
        <v>#VALUE!</v>
      </c>
      <c r="L963">
        <f ca="1">IF(AND(B963&lt;'Real Analysis'!$B$32,B963&gt;'Real Analysis'!$B$31),INTEGRAL2(K963,$B963,L962,K962,$B962,'Real Analysis'!$B$20),0)</f>
        <v>0</v>
      </c>
      <c r="N963">
        <f>'Real Analysis'!$B$28*'Real Input'!U963+IF('Real Input'!U963 &gt; 0,'Real Analysis'!$B$29,0)</f>
        <v>0</v>
      </c>
      <c r="O963" t="e">
        <f t="shared" ref="O963:O1026" si="77">_xlfn.COVARIANCE.P($L$102:$L$1200,N963:N2061)</f>
        <v>#VALUE!</v>
      </c>
      <c r="P963">
        <f t="shared" ref="P963:P1026" ca="1" si="78">N963-L963</f>
        <v>0</v>
      </c>
    </row>
    <row r="964" spans="1:16" x14ac:dyDescent="0.3">
      <c r="A964">
        <v>962</v>
      </c>
      <c r="B964">
        <f>'Real Input'!M964</f>
        <v>23.149567999993451</v>
      </c>
      <c r="C964">
        <f ca="1">INDIRECT(CONCATENATE("'Real Input'!",'Real Analysis'!$B$2,A964+2))</f>
        <v>9.8506035899999986</v>
      </c>
      <c r="D964">
        <f t="shared" si="76"/>
        <v>4.8116999998455867E-2</v>
      </c>
      <c r="E964">
        <f ca="1">IF(B964&gt;0,C964-'Real Analysis'!$B$14,0)</f>
        <v>-5.8942123714285088E-3</v>
      </c>
      <c r="F964">
        <f t="shared" ref="F964:F1027" ca="1" si="79">IF(B964&gt;0,F963+E964*$D964,0)</f>
        <v>0.40902979563084518</v>
      </c>
      <c r="G964">
        <f t="shared" ca="1" si="75"/>
        <v>-0.50260787191280343</v>
      </c>
      <c r="H964">
        <f ca="1">IF(AND(B964&gt;'Real Analysis'!$B$31,B964&lt;'Real Analysis'!$B$32),FilterInput(E964,'Real Analysis'!$B$26,'Real Analysis'!$B$27),0)</f>
        <v>0</v>
      </c>
      <c r="I964" t="e">
        <f>MEDIAN2("Real Values",H964,'Real Analysis'!$B$5,2)</f>
        <v>#VALUE!</v>
      </c>
      <c r="J964" t="e">
        <f>AVERAGE2("Real Values",I964,'Real Analysis'!$B$6,2)</f>
        <v>#VALUE!</v>
      </c>
      <c r="K964" t="e">
        <f>INTEGRAL2(J964,$B964,K963,J963,$B963,'Real Analysis'!$B$19)</f>
        <v>#VALUE!</v>
      </c>
      <c r="L964">
        <f ca="1">IF(AND(B964&lt;'Real Analysis'!$B$32,B964&gt;'Real Analysis'!$B$31),INTEGRAL2(K964,$B964,L963,K963,$B963,'Real Analysis'!$B$20),0)</f>
        <v>0</v>
      </c>
      <c r="N964">
        <f>'Real Analysis'!$B$28*'Real Input'!U964+IF('Real Input'!U964 &gt; 0,'Real Analysis'!$B$29,0)</f>
        <v>0</v>
      </c>
      <c r="O964" t="e">
        <f t="shared" si="77"/>
        <v>#VALUE!</v>
      </c>
      <c r="P964">
        <f t="shared" ca="1" si="78"/>
        <v>0</v>
      </c>
    </row>
    <row r="965" spans="1:16" x14ac:dyDescent="0.3">
      <c r="A965">
        <v>963</v>
      </c>
      <c r="B965">
        <f>'Real Input'!M965</f>
        <v>23.170113999993191</v>
      </c>
      <c r="C965">
        <f ca="1">INDIRECT(CONCATENATE("'Real Input'!",'Real Analysis'!$B$2,A965+2))</f>
        <v>9.8504466300000022</v>
      </c>
      <c r="D965">
        <f t="shared" si="76"/>
        <v>2.0545999999740161E-2</v>
      </c>
      <c r="E965">
        <f ca="1">IF(B965&gt;0,C965-'Real Analysis'!$B$14,0)</f>
        <v>-6.0511723714249399E-3</v>
      </c>
      <c r="F965">
        <f t="shared" ca="1" si="79"/>
        <v>0.40890546824330348</v>
      </c>
      <c r="G965">
        <f t="shared" ca="1" si="75"/>
        <v>-0.49420650016238277</v>
      </c>
      <c r="H965">
        <f ca="1">IF(AND(B965&gt;'Real Analysis'!$B$31,B965&lt;'Real Analysis'!$B$32),FilterInput(E965,'Real Analysis'!$B$26,'Real Analysis'!$B$27),0)</f>
        <v>0</v>
      </c>
      <c r="I965" t="e">
        <f>MEDIAN2("Real Values",H965,'Real Analysis'!$B$5,2)</f>
        <v>#VALUE!</v>
      </c>
      <c r="J965" t="e">
        <f>AVERAGE2("Real Values",I965,'Real Analysis'!$B$6,2)</f>
        <v>#VALUE!</v>
      </c>
      <c r="K965" t="e">
        <f>INTEGRAL2(J965,$B965,K964,J964,$B964,'Real Analysis'!$B$19)</f>
        <v>#VALUE!</v>
      </c>
      <c r="L965">
        <f ca="1">IF(AND(B965&lt;'Real Analysis'!$B$32,B965&gt;'Real Analysis'!$B$31),INTEGRAL2(K965,$B965,L964,K964,$B964,'Real Analysis'!$B$20),0)</f>
        <v>0</v>
      </c>
      <c r="N965">
        <f>'Real Analysis'!$B$28*'Real Input'!U965+IF('Real Input'!U965 &gt; 0,'Real Analysis'!$B$29,0)</f>
        <v>0</v>
      </c>
      <c r="O965" t="e">
        <f t="shared" si="77"/>
        <v>#VALUE!</v>
      </c>
      <c r="P965">
        <f t="shared" ca="1" si="78"/>
        <v>0</v>
      </c>
    </row>
    <row r="966" spans="1:16" x14ac:dyDescent="0.3">
      <c r="A966">
        <v>964</v>
      </c>
      <c r="B966">
        <f>'Real Input'!M966</f>
        <v>23.187950000006822</v>
      </c>
      <c r="C966">
        <f ca="1">INDIRECT(CONCATENATE("'Real Input'!",'Real Analysis'!$B$2,A966+2))</f>
        <v>9.8506624500000015</v>
      </c>
      <c r="D966">
        <f t="shared" si="76"/>
        <v>1.7836000013630837E-2</v>
      </c>
      <c r="E966">
        <f ca="1">IF(B966&gt;0,C966-'Real Analysis'!$B$14,0)</f>
        <v>-5.8353523714256283E-3</v>
      </c>
      <c r="F966">
        <f t="shared" ca="1" si="79"/>
        <v>0.40880138889832718</v>
      </c>
      <c r="G966">
        <f t="shared" ca="1" si="75"/>
        <v>-0.48691511858441988</v>
      </c>
      <c r="H966">
        <f ca="1">IF(AND(B966&gt;'Real Analysis'!$B$31,B966&lt;'Real Analysis'!$B$32),FilterInput(E966,'Real Analysis'!$B$26,'Real Analysis'!$B$27),0)</f>
        <v>0</v>
      </c>
      <c r="I966" t="e">
        <f>MEDIAN2("Real Values",H966,'Real Analysis'!$B$5,2)</f>
        <v>#VALUE!</v>
      </c>
      <c r="J966" t="e">
        <f>AVERAGE2("Real Values",I966,'Real Analysis'!$B$6,2)</f>
        <v>#VALUE!</v>
      </c>
      <c r="K966" t="e">
        <f>INTEGRAL2(J966,$B966,K965,J965,$B965,'Real Analysis'!$B$19)</f>
        <v>#VALUE!</v>
      </c>
      <c r="L966">
        <f ca="1">IF(AND(B966&lt;'Real Analysis'!$B$32,B966&gt;'Real Analysis'!$B$31),INTEGRAL2(K966,$B966,L965,K965,$B965,'Real Analysis'!$B$20),0)</f>
        <v>0</v>
      </c>
      <c r="N966">
        <f>'Real Analysis'!$B$28*'Real Input'!U966+IF('Real Input'!U966 &gt; 0,'Real Analysis'!$B$29,0)</f>
        <v>0</v>
      </c>
      <c r="O966" t="e">
        <f t="shared" si="77"/>
        <v>#VALUE!</v>
      </c>
      <c r="P966">
        <f t="shared" ca="1" si="78"/>
        <v>0</v>
      </c>
    </row>
    <row r="967" spans="1:16" x14ac:dyDescent="0.3">
      <c r="A967">
        <v>965</v>
      </c>
      <c r="B967">
        <f>'Real Input'!M967</f>
        <v>23.217732000004617</v>
      </c>
      <c r="C967">
        <f ca="1">INDIRECT(CONCATENATE("'Real Input'!",'Real Analysis'!$B$2,A967+2))</f>
        <v>9.8507703600000003</v>
      </c>
      <c r="D967">
        <f t="shared" si="76"/>
        <v>2.9781999997794628E-2</v>
      </c>
      <c r="E967">
        <f ca="1">IF(B967&gt;0,C967-'Real Analysis'!$B$14,0)</f>
        <v>-5.7274423714268607E-3</v>
      </c>
      <c r="F967">
        <f t="shared" ca="1" si="79"/>
        <v>0.40863081420963399</v>
      </c>
      <c r="G967">
        <f t="shared" ca="1" si="75"/>
        <v>-0.47474527567652974</v>
      </c>
      <c r="H967">
        <f ca="1">IF(AND(B967&gt;'Real Analysis'!$B$31,B967&lt;'Real Analysis'!$B$32),FilterInput(E967,'Real Analysis'!$B$26,'Real Analysis'!$B$27),0)</f>
        <v>0</v>
      </c>
      <c r="I967" t="e">
        <f>MEDIAN2("Real Values",H967,'Real Analysis'!$B$5,2)</f>
        <v>#VALUE!</v>
      </c>
      <c r="J967" t="e">
        <f>AVERAGE2("Real Values",I967,'Real Analysis'!$B$6,2)</f>
        <v>#VALUE!</v>
      </c>
      <c r="K967" t="e">
        <f>INTEGRAL2(J967,$B967,K966,J966,$B966,'Real Analysis'!$B$19)</f>
        <v>#VALUE!</v>
      </c>
      <c r="L967">
        <f ca="1">IF(AND(B967&lt;'Real Analysis'!$B$32,B967&gt;'Real Analysis'!$B$31),INTEGRAL2(K967,$B967,L966,K966,$B966,'Real Analysis'!$B$20),0)</f>
        <v>0</v>
      </c>
      <c r="N967">
        <f>'Real Analysis'!$B$28*'Real Input'!U967+IF('Real Input'!U967 &gt; 0,'Real Analysis'!$B$29,0)</f>
        <v>0</v>
      </c>
      <c r="O967" t="e">
        <f t="shared" si="77"/>
        <v>#VALUE!</v>
      </c>
      <c r="P967">
        <f t="shared" ca="1" si="78"/>
        <v>0</v>
      </c>
    </row>
    <row r="968" spans="1:16" x14ac:dyDescent="0.3">
      <c r="A968">
        <v>966</v>
      </c>
      <c r="B968">
        <f>'Real Input'!M968</f>
        <v>23.238828000001376</v>
      </c>
      <c r="C968">
        <f ca="1">INDIRECT(CONCATENATE("'Real Input'!",'Real Analysis'!$B$2,A968+2))</f>
        <v>9.869527080000001</v>
      </c>
      <c r="D968">
        <f t="shared" si="76"/>
        <v>2.1095999996759929E-2</v>
      </c>
      <c r="E968">
        <f ca="1">IF(B968&gt;0,C968-'Real Analysis'!$B$14,0)</f>
        <v>1.3029277628573865E-2</v>
      </c>
      <c r="F968">
        <f t="shared" ca="1" si="79"/>
        <v>0.40890567985044418</v>
      </c>
      <c r="G968">
        <f t="shared" ca="1" si="75"/>
        <v>-0.46611900145572965</v>
      </c>
      <c r="H968">
        <f ca="1">IF(AND(B968&gt;'Real Analysis'!$B$31,B968&lt;'Real Analysis'!$B$32),FilterInput(E968,'Real Analysis'!$B$26,'Real Analysis'!$B$27),0)</f>
        <v>0</v>
      </c>
      <c r="I968" t="e">
        <f>MEDIAN2("Real Values",H968,'Real Analysis'!$B$5,2)</f>
        <v>#VALUE!</v>
      </c>
      <c r="J968" t="e">
        <f>AVERAGE2("Real Values",I968,'Real Analysis'!$B$6,2)</f>
        <v>#VALUE!</v>
      </c>
      <c r="K968" t="e">
        <f>INTEGRAL2(J968,$B968,K967,J967,$B967,'Real Analysis'!$B$19)</f>
        <v>#VALUE!</v>
      </c>
      <c r="L968">
        <f ca="1">IF(AND(B968&lt;'Real Analysis'!$B$32,B968&gt;'Real Analysis'!$B$31),INTEGRAL2(K968,$B968,L967,K967,$B967,'Real Analysis'!$B$20),0)</f>
        <v>0</v>
      </c>
      <c r="N968">
        <f>'Real Analysis'!$B$28*'Real Input'!U968+IF('Real Input'!U968 &gt; 0,'Real Analysis'!$B$29,0)</f>
        <v>0</v>
      </c>
      <c r="O968" t="e">
        <f t="shared" si="77"/>
        <v>#VALUE!</v>
      </c>
      <c r="P968">
        <f t="shared" ca="1" si="78"/>
        <v>0</v>
      </c>
    </row>
    <row r="969" spans="1:16" x14ac:dyDescent="0.3">
      <c r="A969">
        <v>967</v>
      </c>
      <c r="B969">
        <f>'Real Input'!M969</f>
        <v>23.273797999994713</v>
      </c>
      <c r="C969">
        <f ca="1">INDIRECT(CONCATENATE("'Real Input'!",'Real Analysis'!$B$2,A969+2))</f>
        <v>9.8855860500000006</v>
      </c>
      <c r="D969">
        <f t="shared" si="76"/>
        <v>3.4969999993336387E-2</v>
      </c>
      <c r="E969">
        <f ca="1">IF(B969&gt;0,C969-'Real Analysis'!$B$14,0)</f>
        <v>2.9088247628573427E-2</v>
      </c>
      <c r="F969">
        <f t="shared" ca="1" si="79"/>
        <v>0.40992289586982156</v>
      </c>
      <c r="G969">
        <f t="shared" ca="1" si="75"/>
        <v>-0.45178399778989359</v>
      </c>
      <c r="H969">
        <f ca="1">IF(AND(B969&gt;'Real Analysis'!$B$31,B969&lt;'Real Analysis'!$B$32),FilterInput(E969,'Real Analysis'!$B$26,'Real Analysis'!$B$27),0)</f>
        <v>0</v>
      </c>
      <c r="I969" t="e">
        <f>MEDIAN2("Real Values",H969,'Real Analysis'!$B$5,2)</f>
        <v>#VALUE!</v>
      </c>
      <c r="J969" t="e">
        <f>AVERAGE2("Real Values",I969,'Real Analysis'!$B$6,2)</f>
        <v>#VALUE!</v>
      </c>
      <c r="K969" t="e">
        <f>INTEGRAL2(J969,$B969,K968,J968,$B968,'Real Analysis'!$B$19)</f>
        <v>#VALUE!</v>
      </c>
      <c r="L969">
        <f ca="1">IF(AND(B969&lt;'Real Analysis'!$B$32,B969&gt;'Real Analysis'!$B$31),INTEGRAL2(K969,$B969,L968,K968,$B968,'Real Analysis'!$B$20),0)</f>
        <v>0</v>
      </c>
      <c r="N969">
        <f>'Real Analysis'!$B$28*'Real Input'!U969+IF('Real Input'!U969 &gt; 0,'Real Analysis'!$B$29,0)</f>
        <v>0</v>
      </c>
      <c r="O969" t="e">
        <f t="shared" si="77"/>
        <v>#VALUE!</v>
      </c>
      <c r="P969">
        <f t="shared" ca="1" si="78"/>
        <v>0</v>
      </c>
    </row>
    <row r="970" spans="1:16" x14ac:dyDescent="0.3">
      <c r="A970">
        <v>968</v>
      </c>
      <c r="B970">
        <f>'Real Input'!M970</f>
        <v>23.282284999993863</v>
      </c>
      <c r="C970">
        <f ca="1">INDIRECT(CONCATENATE("'Real Input'!",'Real Analysis'!$B$2,A970+2))</f>
        <v>9.8780421600000015</v>
      </c>
      <c r="D970">
        <f t="shared" si="76"/>
        <v>8.4869999991497025E-3</v>
      </c>
      <c r="E970">
        <f ca="1">IF(B970&gt;0,C970-'Real Analysis'!$B$14,0)</f>
        <v>2.1544357628574318E-2</v>
      </c>
      <c r="F970">
        <f t="shared" ca="1" si="79"/>
        <v>0.41010574283299694</v>
      </c>
      <c r="G970">
        <f t="shared" ca="1" si="75"/>
        <v>-0.44830343035081865</v>
      </c>
      <c r="H970">
        <f ca="1">IF(AND(B970&gt;'Real Analysis'!$B$31,B970&lt;'Real Analysis'!$B$32),FilterInput(E970,'Real Analysis'!$B$26,'Real Analysis'!$B$27),0)</f>
        <v>0</v>
      </c>
      <c r="I970" t="e">
        <f>MEDIAN2("Real Values",H970,'Real Analysis'!$B$5,2)</f>
        <v>#VALUE!</v>
      </c>
      <c r="J970" t="e">
        <f>AVERAGE2("Real Values",I970,'Real Analysis'!$B$6,2)</f>
        <v>#VALUE!</v>
      </c>
      <c r="K970" t="e">
        <f>INTEGRAL2(J970,$B970,K969,J969,$B969,'Real Analysis'!$B$19)</f>
        <v>#VALUE!</v>
      </c>
      <c r="L970">
        <f ca="1">IF(AND(B970&lt;'Real Analysis'!$B$32,B970&gt;'Real Analysis'!$B$31),INTEGRAL2(K970,$B970,L969,K969,$B969,'Real Analysis'!$B$20),0)</f>
        <v>0</v>
      </c>
      <c r="N970">
        <f>'Real Analysis'!$B$28*'Real Input'!U970+IF('Real Input'!U970 &gt; 0,'Real Analysis'!$B$29,0)</f>
        <v>0</v>
      </c>
      <c r="O970" t="e">
        <f t="shared" si="77"/>
        <v>#VALUE!</v>
      </c>
      <c r="P970">
        <f t="shared" ca="1" si="78"/>
        <v>0</v>
      </c>
    </row>
    <row r="971" spans="1:16" x14ac:dyDescent="0.3">
      <c r="A971">
        <v>969</v>
      </c>
      <c r="B971">
        <f>'Real Input'!M971</f>
        <v>23.304826999999932</v>
      </c>
      <c r="C971">
        <f ca="1">INDIRECT(CONCATENATE("'Real Input'!",'Real Analysis'!$B$2,A971+2))</f>
        <v>9.8347113900000007</v>
      </c>
      <c r="D971">
        <f t="shared" si="76"/>
        <v>2.2542000006069429E-2</v>
      </c>
      <c r="E971">
        <f ca="1">IF(B971&gt;0,C971-'Real Analysis'!$B$14,0)</f>
        <v>-2.1786412371426422E-2</v>
      </c>
      <c r="F971">
        <f t="shared" ca="1" si="79"/>
        <v>0.40961463352518801</v>
      </c>
      <c r="G971">
        <f t="shared" ca="1" si="75"/>
        <v>-0.43906989727940776</v>
      </c>
      <c r="H971">
        <f ca="1">IF(AND(B971&gt;'Real Analysis'!$B$31,B971&lt;'Real Analysis'!$B$32),FilterInput(E971,'Real Analysis'!$B$26,'Real Analysis'!$B$27),0)</f>
        <v>0</v>
      </c>
      <c r="I971" t="e">
        <f>MEDIAN2("Real Values",H971,'Real Analysis'!$B$5,2)</f>
        <v>#VALUE!</v>
      </c>
      <c r="J971" t="e">
        <f>AVERAGE2("Real Values",I971,'Real Analysis'!$B$6,2)</f>
        <v>#VALUE!</v>
      </c>
      <c r="K971" t="e">
        <f>INTEGRAL2(J971,$B971,K970,J970,$B970,'Real Analysis'!$B$19)</f>
        <v>#VALUE!</v>
      </c>
      <c r="L971">
        <f ca="1">IF(AND(B971&lt;'Real Analysis'!$B$32,B971&gt;'Real Analysis'!$B$31),INTEGRAL2(K971,$B971,L970,K970,$B970,'Real Analysis'!$B$20),0)</f>
        <v>0</v>
      </c>
      <c r="N971">
        <f>'Real Analysis'!$B$28*'Real Input'!U971+IF('Real Input'!U971 &gt; 0,'Real Analysis'!$B$29,0)</f>
        <v>0</v>
      </c>
      <c r="O971" t="e">
        <f t="shared" si="77"/>
        <v>#VALUE!</v>
      </c>
      <c r="P971">
        <f t="shared" ca="1" si="78"/>
        <v>0</v>
      </c>
    </row>
    <row r="972" spans="1:16" x14ac:dyDescent="0.3">
      <c r="A972">
        <v>970</v>
      </c>
      <c r="B972">
        <f>'Real Input'!M972</f>
        <v>23.322432999993907</v>
      </c>
      <c r="C972">
        <f ca="1">INDIRECT(CONCATENATE("'Real Input'!",'Real Analysis'!$B$2,A972+2))</f>
        <v>9.8314937100000002</v>
      </c>
      <c r="D972">
        <f t="shared" si="76"/>
        <v>1.7605999993975274E-2</v>
      </c>
      <c r="E972">
        <f ca="1">IF(B972&gt;0,C972-'Real Analysis'!$B$14,0)</f>
        <v>-2.5004092371426978E-2</v>
      </c>
      <c r="F972">
        <f t="shared" ca="1" si="79"/>
        <v>0.40917441147504729</v>
      </c>
      <c r="G972">
        <f t="shared" ca="1" si="75"/>
        <v>-0.43186597259344323</v>
      </c>
      <c r="H972">
        <f ca="1">IF(AND(B972&gt;'Real Analysis'!$B$31,B972&lt;'Real Analysis'!$B$32),FilterInput(E972,'Real Analysis'!$B$26,'Real Analysis'!$B$27),0)</f>
        <v>0</v>
      </c>
      <c r="I972" t="e">
        <f>MEDIAN2("Real Values",H972,'Real Analysis'!$B$5,2)</f>
        <v>#VALUE!</v>
      </c>
      <c r="J972" t="e">
        <f>AVERAGE2("Real Values",I972,'Real Analysis'!$B$6,2)</f>
        <v>#VALUE!</v>
      </c>
      <c r="K972" t="e">
        <f>INTEGRAL2(J972,$B972,K971,J971,$B971,'Real Analysis'!$B$19)</f>
        <v>#VALUE!</v>
      </c>
      <c r="L972">
        <f ca="1">IF(AND(B972&lt;'Real Analysis'!$B$32,B972&gt;'Real Analysis'!$B$31),INTEGRAL2(K972,$B972,L971,K971,$B971,'Real Analysis'!$B$20),0)</f>
        <v>0</v>
      </c>
      <c r="N972">
        <f>'Real Analysis'!$B$28*'Real Input'!U972+IF('Real Input'!U972 &gt; 0,'Real Analysis'!$B$29,0)</f>
        <v>0</v>
      </c>
      <c r="O972" t="e">
        <f t="shared" si="77"/>
        <v>#VALUE!</v>
      </c>
      <c r="P972">
        <f t="shared" ca="1" si="78"/>
        <v>0</v>
      </c>
    </row>
    <row r="973" spans="1:16" x14ac:dyDescent="0.3">
      <c r="A973">
        <v>971</v>
      </c>
      <c r="B973">
        <f>'Real Input'!M973</f>
        <v>23.340609000006225</v>
      </c>
      <c r="C973">
        <f ca="1">INDIRECT(CONCATENATE("'Real Input'!",'Real Analysis'!$B$2,A973+2))</f>
        <v>9.8516728800000006</v>
      </c>
      <c r="D973">
        <f t="shared" si="76"/>
        <v>1.8176000012317672E-2</v>
      </c>
      <c r="E973">
        <f ca="1">IF(B973&gt;0,C973-'Real Analysis'!$B$14,0)</f>
        <v>-4.8249223714265099E-3</v>
      </c>
      <c r="F973">
        <f t="shared" ca="1" si="79"/>
        <v>0.40908671368596483</v>
      </c>
      <c r="G973">
        <f t="shared" ca="1" si="75"/>
        <v>-0.4244304124804481</v>
      </c>
      <c r="H973">
        <f ca="1">IF(AND(B973&gt;'Real Analysis'!$B$31,B973&lt;'Real Analysis'!$B$32),FilterInput(E973,'Real Analysis'!$B$26,'Real Analysis'!$B$27),0)</f>
        <v>0</v>
      </c>
      <c r="I973" t="e">
        <f>MEDIAN2("Real Values",H973,'Real Analysis'!$B$5,2)</f>
        <v>#VALUE!</v>
      </c>
      <c r="J973" t="e">
        <f>AVERAGE2("Real Values",I973,'Real Analysis'!$B$6,2)</f>
        <v>#VALUE!</v>
      </c>
      <c r="K973" t="e">
        <f>INTEGRAL2(J973,$B973,K972,J972,$B972,'Real Analysis'!$B$19)</f>
        <v>#VALUE!</v>
      </c>
      <c r="L973">
        <f ca="1">IF(AND(B973&lt;'Real Analysis'!$B$32,B973&gt;'Real Analysis'!$B$31),INTEGRAL2(K973,$B973,L972,K972,$B972,'Real Analysis'!$B$20),0)</f>
        <v>0</v>
      </c>
      <c r="N973">
        <f>'Real Analysis'!$B$28*'Real Input'!U973+IF('Real Input'!U973 &gt; 0,'Real Analysis'!$B$29,0)</f>
        <v>0</v>
      </c>
      <c r="O973" t="e">
        <f t="shared" si="77"/>
        <v>#VALUE!</v>
      </c>
      <c r="P973">
        <f t="shared" ca="1" si="78"/>
        <v>0</v>
      </c>
    </row>
    <row r="974" spans="1:16" x14ac:dyDescent="0.3">
      <c r="A974">
        <v>972</v>
      </c>
      <c r="B974">
        <f>'Real Input'!M974</f>
        <v>23.358603999993647</v>
      </c>
      <c r="C974">
        <f ca="1">INDIRECT(CONCATENATE("'Real Input'!",'Real Analysis'!$B$2,A974+2))</f>
        <v>9.8506820699999995</v>
      </c>
      <c r="D974">
        <f t="shared" si="76"/>
        <v>1.7994999987422489E-2</v>
      </c>
      <c r="E974">
        <f ca="1">IF(B974&gt;0,C974-'Real Analysis'!$B$14,0)</f>
        <v>-5.8157323714276288E-3</v>
      </c>
      <c r="F974">
        <f t="shared" ca="1" si="79"/>
        <v>0.40898205958201411</v>
      </c>
      <c r="G974">
        <f t="shared" ca="1" si="75"/>
        <v>-0.41707078032341371</v>
      </c>
      <c r="H974">
        <f ca="1">IF(AND(B974&gt;'Real Analysis'!$B$31,B974&lt;'Real Analysis'!$B$32),FilterInput(E974,'Real Analysis'!$B$26,'Real Analysis'!$B$27),0)</f>
        <v>0</v>
      </c>
      <c r="I974" t="e">
        <f>MEDIAN2("Real Values",H974,'Real Analysis'!$B$5,2)</f>
        <v>#VALUE!</v>
      </c>
      <c r="J974" t="e">
        <f>AVERAGE2("Real Values",I974,'Real Analysis'!$B$6,2)</f>
        <v>#VALUE!</v>
      </c>
      <c r="K974" t="e">
        <f>INTEGRAL2(J974,$B974,K973,J973,$B973,'Real Analysis'!$B$19)</f>
        <v>#VALUE!</v>
      </c>
      <c r="L974">
        <f ca="1">IF(AND(B974&lt;'Real Analysis'!$B$32,B974&gt;'Real Analysis'!$B$31),INTEGRAL2(K974,$B974,L973,K973,$B973,'Real Analysis'!$B$20),0)</f>
        <v>0</v>
      </c>
      <c r="N974">
        <f>'Real Analysis'!$B$28*'Real Input'!U974+IF('Real Input'!U974 &gt; 0,'Real Analysis'!$B$29,0)</f>
        <v>0</v>
      </c>
      <c r="O974" t="e">
        <f t="shared" si="77"/>
        <v>#VALUE!</v>
      </c>
      <c r="P974">
        <f t="shared" ca="1" si="78"/>
        <v>0</v>
      </c>
    </row>
    <row r="975" spans="1:16" x14ac:dyDescent="0.3">
      <c r="A975">
        <v>973</v>
      </c>
      <c r="B975">
        <f>'Real Input'!M975</f>
        <v>23.387841000003391</v>
      </c>
      <c r="C975">
        <f ca="1">INDIRECT(CONCATENATE("'Real Input'!",'Real Analysis'!$B$2,A975+2))</f>
        <v>9.8486219700000017</v>
      </c>
      <c r="D975">
        <f t="shared" si="76"/>
        <v>2.9237000009743497E-2</v>
      </c>
      <c r="E975">
        <f ca="1">IF(B975&gt;0,C975-'Real Analysis'!$B$14,0)</f>
        <v>-7.8758323714254175E-3</v>
      </c>
      <c r="F975">
        <f t="shared" ca="1" si="79"/>
        <v>0.408751793870894</v>
      </c>
      <c r="G975">
        <f t="shared" ca="1" si="75"/>
        <v>-0.4051201041220277</v>
      </c>
      <c r="H975">
        <f ca="1">IF(AND(B975&gt;'Real Analysis'!$B$31,B975&lt;'Real Analysis'!$B$32),FilterInput(E975,'Real Analysis'!$B$26,'Real Analysis'!$B$27),0)</f>
        <v>0</v>
      </c>
      <c r="I975" t="e">
        <f>MEDIAN2("Real Values",H975,'Real Analysis'!$B$5,2)</f>
        <v>#VALUE!</v>
      </c>
      <c r="J975" t="e">
        <f>AVERAGE2("Real Values",I975,'Real Analysis'!$B$6,2)</f>
        <v>#VALUE!</v>
      </c>
      <c r="K975" t="e">
        <f>INTEGRAL2(J975,$B975,K974,J974,$B974,'Real Analysis'!$B$19)</f>
        <v>#VALUE!</v>
      </c>
      <c r="L975">
        <f ca="1">IF(AND(B975&lt;'Real Analysis'!$B$32,B975&gt;'Real Analysis'!$B$31),INTEGRAL2(K975,$B975,L974,K974,$B974,'Real Analysis'!$B$20),0)</f>
        <v>0</v>
      </c>
      <c r="N975">
        <f>'Real Analysis'!$B$28*'Real Input'!U975+IF('Real Input'!U975 &gt; 0,'Real Analysis'!$B$29,0)</f>
        <v>0</v>
      </c>
      <c r="O975" t="e">
        <f t="shared" si="77"/>
        <v>#VALUE!</v>
      </c>
      <c r="P975">
        <f t="shared" ca="1" si="78"/>
        <v>0</v>
      </c>
    </row>
    <row r="976" spans="1:16" x14ac:dyDescent="0.3">
      <c r="A976">
        <v>974</v>
      </c>
      <c r="B976">
        <f>'Real Input'!M976</f>
        <v>23.408421999993152</v>
      </c>
      <c r="C976">
        <f ca="1">INDIRECT(CONCATENATE("'Real Input'!",'Real Analysis'!$B$2,A976+2))</f>
        <v>9.8474643900000007</v>
      </c>
      <c r="D976">
        <f t="shared" si="76"/>
        <v>2.058099998976104E-2</v>
      </c>
      <c r="E976">
        <f ca="1">IF(B976&gt;0,C976-'Real Analysis'!$B$14,0)</f>
        <v>-9.0334123714264081E-3</v>
      </c>
      <c r="F976">
        <f t="shared" ca="1" si="79"/>
        <v>0.40856587721097015</v>
      </c>
      <c r="G976">
        <f t="shared" ca="1" si="75"/>
        <v>-0.39671140980733199</v>
      </c>
      <c r="H976">
        <f ca="1">IF(AND(B976&gt;'Real Analysis'!$B$31,B976&lt;'Real Analysis'!$B$32),FilterInput(E976,'Real Analysis'!$B$26,'Real Analysis'!$B$27),0)</f>
        <v>0</v>
      </c>
      <c r="I976" t="e">
        <f>MEDIAN2("Real Values",H976,'Real Analysis'!$B$5,2)</f>
        <v>#VALUE!</v>
      </c>
      <c r="J976" t="e">
        <f>AVERAGE2("Real Values",I976,'Real Analysis'!$B$6,2)</f>
        <v>#VALUE!</v>
      </c>
      <c r="K976" t="e">
        <f>INTEGRAL2(J976,$B976,K975,J975,$B975,'Real Analysis'!$B$19)</f>
        <v>#VALUE!</v>
      </c>
      <c r="L976">
        <f ca="1">IF(AND(B976&lt;'Real Analysis'!$B$32,B976&gt;'Real Analysis'!$B$31),INTEGRAL2(K976,$B976,L975,K975,$B975,'Real Analysis'!$B$20),0)</f>
        <v>0</v>
      </c>
      <c r="N976">
        <f>'Real Analysis'!$B$28*'Real Input'!U976+IF('Real Input'!U976 &gt; 0,'Real Analysis'!$B$29,0)</f>
        <v>0</v>
      </c>
      <c r="O976" t="e">
        <f t="shared" si="77"/>
        <v>#VALUE!</v>
      </c>
      <c r="P976">
        <f t="shared" ca="1" si="78"/>
        <v>0</v>
      </c>
    </row>
    <row r="977" spans="1:16" x14ac:dyDescent="0.3">
      <c r="A977">
        <v>975</v>
      </c>
      <c r="B977">
        <f>'Real Input'!M977</f>
        <v>23.436639000006835</v>
      </c>
      <c r="C977">
        <f ca="1">INDIRECT(CONCATENATE("'Real Input'!",'Real Analysis'!$B$2,A977+2))</f>
        <v>9.8481608999999999</v>
      </c>
      <c r="D977">
        <f t="shared" si="76"/>
        <v>2.8217000013682991E-2</v>
      </c>
      <c r="E977">
        <f ca="1">IF(B977&gt;0,C977-'Real Analysis'!$B$14,0)</f>
        <v>-8.3369023714272572E-3</v>
      </c>
      <c r="F977">
        <f t="shared" ca="1" si="79"/>
        <v>0.4083306348366415</v>
      </c>
      <c r="G977">
        <f t="shared" ca="1" si="75"/>
        <v>-0.38518954427855928</v>
      </c>
      <c r="H977">
        <f ca="1">IF(AND(B977&gt;'Real Analysis'!$B$31,B977&lt;'Real Analysis'!$B$32),FilterInput(E977,'Real Analysis'!$B$26,'Real Analysis'!$B$27),0)</f>
        <v>0</v>
      </c>
      <c r="I977" t="e">
        <f>MEDIAN2("Real Values",H977,'Real Analysis'!$B$5,2)</f>
        <v>#VALUE!</v>
      </c>
      <c r="J977" t="e">
        <f>AVERAGE2("Real Values",I977,'Real Analysis'!$B$6,2)</f>
        <v>#VALUE!</v>
      </c>
      <c r="K977" t="e">
        <f>INTEGRAL2(J977,$B977,K976,J976,$B976,'Real Analysis'!$B$19)</f>
        <v>#VALUE!</v>
      </c>
      <c r="L977">
        <f ca="1">IF(AND(B977&lt;'Real Analysis'!$B$32,B977&gt;'Real Analysis'!$B$31),INTEGRAL2(K977,$B977,L976,K976,$B976,'Real Analysis'!$B$20),0)</f>
        <v>0</v>
      </c>
      <c r="N977">
        <f>'Real Analysis'!$B$28*'Real Input'!U977+IF('Real Input'!U977 &gt; 0,'Real Analysis'!$B$29,0)</f>
        <v>0</v>
      </c>
      <c r="O977" t="e">
        <f t="shared" si="77"/>
        <v>#VALUE!</v>
      </c>
      <c r="P977">
        <f t="shared" ca="1" si="78"/>
        <v>0</v>
      </c>
    </row>
    <row r="978" spans="1:16" x14ac:dyDescent="0.3">
      <c r="A978">
        <v>976</v>
      </c>
      <c r="B978">
        <f>'Real Input'!M978</f>
        <v>23.466872999997577</v>
      </c>
      <c r="C978">
        <f ca="1">INDIRECT(CONCATENATE("'Real Input'!",'Real Analysis'!$B$2,A978+2))</f>
        <v>9.8512510500000001</v>
      </c>
      <c r="D978">
        <f t="shared" si="76"/>
        <v>3.0233999990741722E-2</v>
      </c>
      <c r="E978">
        <f ca="1">IF(B978&gt;0,C978-'Real Analysis'!$B$14,0)</f>
        <v>-5.2467523714270214E-3</v>
      </c>
      <c r="F978">
        <f t="shared" ca="1" si="79"/>
        <v>0.40817200452549235</v>
      </c>
      <c r="G978">
        <f t="shared" ca="1" si="75"/>
        <v>-0.37284887189751453</v>
      </c>
      <c r="H978">
        <f ca="1">IF(AND(B978&gt;'Real Analysis'!$B$31,B978&lt;'Real Analysis'!$B$32),FilterInput(E978,'Real Analysis'!$B$26,'Real Analysis'!$B$27),0)</f>
        <v>0</v>
      </c>
      <c r="I978" t="e">
        <f>MEDIAN2("Real Values",H978,'Real Analysis'!$B$5,2)</f>
        <v>#VALUE!</v>
      </c>
      <c r="J978" t="e">
        <f>AVERAGE2("Real Values",I978,'Real Analysis'!$B$6,2)</f>
        <v>#VALUE!</v>
      </c>
      <c r="K978" t="e">
        <f>INTEGRAL2(J978,$B978,K977,J977,$B977,'Real Analysis'!$B$19)</f>
        <v>#VALUE!</v>
      </c>
      <c r="L978">
        <f ca="1">IF(AND(B978&lt;'Real Analysis'!$B$32,B978&gt;'Real Analysis'!$B$31),INTEGRAL2(K978,$B978,L977,K977,$B977,'Real Analysis'!$B$20),0)</f>
        <v>0</v>
      </c>
      <c r="N978">
        <f>'Real Analysis'!$B$28*'Real Input'!U978+IF('Real Input'!U978 &gt; 0,'Real Analysis'!$B$29,0)</f>
        <v>0</v>
      </c>
      <c r="O978" t="e">
        <f t="shared" si="77"/>
        <v>#VALUE!</v>
      </c>
      <c r="P978">
        <f t="shared" ca="1" si="78"/>
        <v>0</v>
      </c>
    </row>
    <row r="979" spans="1:16" x14ac:dyDescent="0.3">
      <c r="A979">
        <v>977</v>
      </c>
      <c r="B979">
        <f>'Real Input'!M979</f>
        <v>23.485339000006206</v>
      </c>
      <c r="C979">
        <f ca="1">INDIRECT(CONCATENATE("'Real Input'!",'Real Analysis'!$B$2,A979+2))</f>
        <v>9.8508782700000008</v>
      </c>
      <c r="D979">
        <f t="shared" si="76"/>
        <v>1.8466000008629635E-2</v>
      </c>
      <c r="E979">
        <f ca="1">IF(B979&gt;0,C979-'Real Analysis'!$B$14,0)</f>
        <v>-5.6195323714263168E-3</v>
      </c>
      <c r="F979">
        <f t="shared" ca="1" si="79"/>
        <v>0.40806823424067312</v>
      </c>
      <c r="G979">
        <f t="shared" ca="1" si="75"/>
        <v>-0.36531348388050477</v>
      </c>
      <c r="H979">
        <f ca="1">IF(AND(B979&gt;'Real Analysis'!$B$31,B979&lt;'Real Analysis'!$B$32),FilterInput(E979,'Real Analysis'!$B$26,'Real Analysis'!$B$27),0)</f>
        <v>0</v>
      </c>
      <c r="I979" t="e">
        <f>MEDIAN2("Real Values",H979,'Real Analysis'!$B$5,2)</f>
        <v>#VALUE!</v>
      </c>
      <c r="J979" t="e">
        <f>AVERAGE2("Real Values",I979,'Real Analysis'!$B$6,2)</f>
        <v>#VALUE!</v>
      </c>
      <c r="K979" t="e">
        <f>INTEGRAL2(J979,$B979,K978,J978,$B978,'Real Analysis'!$B$19)</f>
        <v>#VALUE!</v>
      </c>
      <c r="L979">
        <f ca="1">IF(AND(B979&lt;'Real Analysis'!$B$32,B979&gt;'Real Analysis'!$B$31),INTEGRAL2(K979,$B979,L978,K978,$B978,'Real Analysis'!$B$20),0)</f>
        <v>0</v>
      </c>
      <c r="N979">
        <f>'Real Analysis'!$B$28*'Real Input'!U979+IF('Real Input'!U979 &gt; 0,'Real Analysis'!$B$29,0)</f>
        <v>0</v>
      </c>
      <c r="O979" t="e">
        <f t="shared" si="77"/>
        <v>#VALUE!</v>
      </c>
      <c r="P979">
        <f t="shared" ca="1" si="78"/>
        <v>0</v>
      </c>
    </row>
    <row r="980" spans="1:16" x14ac:dyDescent="0.3">
      <c r="A980">
        <v>978</v>
      </c>
      <c r="B980">
        <f>'Real Input'!M980</f>
        <v>23.504153000001679</v>
      </c>
      <c r="C980">
        <f ca="1">INDIRECT(CONCATENATE("'Real Input'!",'Real Analysis'!$B$2,A980+2))</f>
        <v>9.7651879200000007</v>
      </c>
      <c r="D980">
        <f t="shared" si="76"/>
        <v>1.8813999995472841E-2</v>
      </c>
      <c r="E980">
        <f ca="1">IF(B980&gt;0,C980-'Real Analysis'!$B$14,0)</f>
        <v>-9.1309882371426454E-2</v>
      </c>
      <c r="F980">
        <f t="shared" ca="1" si="79"/>
        <v>0.4063503301141505</v>
      </c>
      <c r="G980">
        <f t="shared" ca="1" si="75"/>
        <v>-0.35766840877157674</v>
      </c>
      <c r="H980">
        <f ca="1">IF(AND(B980&gt;'Real Analysis'!$B$31,B980&lt;'Real Analysis'!$B$32),FilterInput(E980,'Real Analysis'!$B$26,'Real Analysis'!$B$27),0)</f>
        <v>0</v>
      </c>
      <c r="I980" t="e">
        <f>MEDIAN2("Real Values",H980,'Real Analysis'!$B$5,2)</f>
        <v>#VALUE!</v>
      </c>
      <c r="J980" t="e">
        <f>AVERAGE2("Real Values",I980,'Real Analysis'!$B$6,2)</f>
        <v>#VALUE!</v>
      </c>
      <c r="K980" t="e">
        <f>INTEGRAL2(J980,$B980,K979,J979,$B979,'Real Analysis'!$B$19)</f>
        <v>#VALUE!</v>
      </c>
      <c r="L980">
        <f ca="1">IF(AND(B980&lt;'Real Analysis'!$B$32,B980&gt;'Real Analysis'!$B$31),INTEGRAL2(K980,$B980,L979,K979,$B979,'Real Analysis'!$B$20),0)</f>
        <v>0</v>
      </c>
      <c r="N980">
        <f>'Real Analysis'!$B$28*'Real Input'!U980+IF('Real Input'!U980 &gt; 0,'Real Analysis'!$B$29,0)</f>
        <v>0</v>
      </c>
      <c r="O980" t="e">
        <f t="shared" si="77"/>
        <v>#VALUE!</v>
      </c>
      <c r="P980">
        <f t="shared" ca="1" si="78"/>
        <v>0</v>
      </c>
    </row>
    <row r="981" spans="1:16" x14ac:dyDescent="0.3">
      <c r="A981">
        <v>979</v>
      </c>
      <c r="B981">
        <f>'Real Input'!M981</f>
        <v>23.521840000001248</v>
      </c>
      <c r="C981">
        <f ca="1">INDIRECT(CONCATENATE("'Real Input'!",'Real Analysis'!$B$2,A981+2))</f>
        <v>9.8410682699999992</v>
      </c>
      <c r="D981">
        <f t="shared" si="76"/>
        <v>1.7686999999568798E-2</v>
      </c>
      <c r="E981">
        <f ca="1">IF(B981&gt;0,C981-'Real Analysis'!$B$14,0)</f>
        <v>-1.5429532371427968E-2</v>
      </c>
      <c r="F981">
        <f t="shared" ca="1" si="79"/>
        <v>0.40607742797510371</v>
      </c>
      <c r="G981">
        <f t="shared" ca="1" si="75"/>
        <v>-0.35048611730315621</v>
      </c>
      <c r="H981">
        <f ca="1">IF(AND(B981&gt;'Real Analysis'!$B$31,B981&lt;'Real Analysis'!$B$32),FilterInput(E981,'Real Analysis'!$B$26,'Real Analysis'!$B$27),0)</f>
        <v>0</v>
      </c>
      <c r="I981" t="e">
        <f>MEDIAN2("Real Values",H981,'Real Analysis'!$B$5,2)</f>
        <v>#VALUE!</v>
      </c>
      <c r="J981" t="e">
        <f>AVERAGE2("Real Values",I981,'Real Analysis'!$B$6,2)</f>
        <v>#VALUE!</v>
      </c>
      <c r="K981" t="e">
        <f>INTEGRAL2(J981,$B981,K980,J980,$B980,'Real Analysis'!$B$19)</f>
        <v>#VALUE!</v>
      </c>
      <c r="L981">
        <f ca="1">IF(AND(B981&lt;'Real Analysis'!$B$32,B981&gt;'Real Analysis'!$B$31),INTEGRAL2(K981,$B981,L980,K980,$B980,'Real Analysis'!$B$20),0)</f>
        <v>0</v>
      </c>
      <c r="N981">
        <f>'Real Analysis'!$B$28*'Real Input'!U981+IF('Real Input'!U981 &gt; 0,'Real Analysis'!$B$29,0)</f>
        <v>0</v>
      </c>
      <c r="O981" t="e">
        <f t="shared" si="77"/>
        <v>#VALUE!</v>
      </c>
      <c r="P981">
        <f t="shared" ca="1" si="78"/>
        <v>0</v>
      </c>
    </row>
    <row r="982" spans="1:16" x14ac:dyDescent="0.3">
      <c r="A982">
        <v>980</v>
      </c>
      <c r="B982">
        <f>'Real Input'!M982</f>
        <v>23.545178999993368</v>
      </c>
      <c r="C982">
        <f ca="1">INDIRECT(CONCATENATE("'Real Input'!",'Real Analysis'!$B$2,A982+2))</f>
        <v>9.8564699700000009</v>
      </c>
      <c r="D982">
        <f t="shared" si="76"/>
        <v>2.333899999212008E-2</v>
      </c>
      <c r="E982">
        <f ca="1">IF(B982&gt;0,C982-'Real Analysis'!$B$14,0)</f>
        <v>-2.7832371426228519E-5</v>
      </c>
      <c r="F982">
        <f t="shared" ca="1" si="79"/>
        <v>0.40607677839538719</v>
      </c>
      <c r="G982">
        <f t="shared" ca="1" si="75"/>
        <v>-0.34100869137538614</v>
      </c>
      <c r="H982">
        <f ca="1">IF(AND(B982&gt;'Real Analysis'!$B$31,B982&lt;'Real Analysis'!$B$32),FilterInput(E982,'Real Analysis'!$B$26,'Real Analysis'!$B$27),0)</f>
        <v>0</v>
      </c>
      <c r="I982" t="e">
        <f>MEDIAN2("Real Values",H982,'Real Analysis'!$B$5,2)</f>
        <v>#VALUE!</v>
      </c>
      <c r="J982" t="e">
        <f>AVERAGE2("Real Values",I982,'Real Analysis'!$B$6,2)</f>
        <v>#VALUE!</v>
      </c>
      <c r="K982" t="e">
        <f>INTEGRAL2(J982,$B982,K981,J981,$B981,'Real Analysis'!$B$19)</f>
        <v>#VALUE!</v>
      </c>
      <c r="L982">
        <f ca="1">IF(AND(B982&lt;'Real Analysis'!$B$32,B982&gt;'Real Analysis'!$B$31),INTEGRAL2(K982,$B982,L981,K981,$B981,'Real Analysis'!$B$20),0)</f>
        <v>0</v>
      </c>
      <c r="N982">
        <f>'Real Analysis'!$B$28*'Real Input'!U982+IF('Real Input'!U982 &gt; 0,'Real Analysis'!$B$29,0)</f>
        <v>0</v>
      </c>
      <c r="O982" t="e">
        <f t="shared" si="77"/>
        <v>#VALUE!</v>
      </c>
      <c r="P982">
        <f t="shared" ca="1" si="78"/>
        <v>0</v>
      </c>
    </row>
    <row r="983" spans="1:16" x14ac:dyDescent="0.3">
      <c r="A983">
        <v>981</v>
      </c>
      <c r="B983">
        <f>'Real Input'!M983</f>
        <v>23.571225000006962</v>
      </c>
      <c r="C983">
        <f ca="1">INDIRECT(CONCATENATE("'Real Input'!",'Real Analysis'!$B$2,A983+2))</f>
        <v>9.8452571400000011</v>
      </c>
      <c r="D983">
        <f t="shared" si="76"/>
        <v>2.6046000013593584E-2</v>
      </c>
      <c r="E983">
        <f ca="1">IF(B983&gt;0,C983-'Real Analysis'!$B$14,0)</f>
        <v>-1.1240662371426069E-2</v>
      </c>
      <c r="F983">
        <f t="shared" ca="1" si="79"/>
        <v>0.40578400410310822</v>
      </c>
      <c r="G983">
        <f t="shared" ca="1" si="75"/>
        <v>-0.33043964119900054</v>
      </c>
      <c r="H983">
        <f ca="1">IF(AND(B983&gt;'Real Analysis'!$B$31,B983&lt;'Real Analysis'!$B$32),FilterInput(E983,'Real Analysis'!$B$26,'Real Analysis'!$B$27),0)</f>
        <v>0</v>
      </c>
      <c r="I983" t="e">
        <f>MEDIAN2("Real Values",H983,'Real Analysis'!$B$5,2)</f>
        <v>#VALUE!</v>
      </c>
      <c r="J983" t="e">
        <f>AVERAGE2("Real Values",I983,'Real Analysis'!$B$6,2)</f>
        <v>#VALUE!</v>
      </c>
      <c r="K983" t="e">
        <f>INTEGRAL2(J983,$B983,K982,J982,$B982,'Real Analysis'!$B$19)</f>
        <v>#VALUE!</v>
      </c>
      <c r="L983">
        <f ca="1">IF(AND(B983&lt;'Real Analysis'!$B$32,B983&gt;'Real Analysis'!$B$31),INTEGRAL2(K983,$B983,L982,K982,$B982,'Real Analysis'!$B$20),0)</f>
        <v>0</v>
      </c>
      <c r="N983">
        <f>'Real Analysis'!$B$28*'Real Input'!U983+IF('Real Input'!U983 &gt; 0,'Real Analysis'!$B$29,0)</f>
        <v>0</v>
      </c>
      <c r="O983" t="e">
        <f t="shared" si="77"/>
        <v>#VALUE!</v>
      </c>
      <c r="P983">
        <f t="shared" ca="1" si="78"/>
        <v>0</v>
      </c>
    </row>
    <row r="984" spans="1:16" x14ac:dyDescent="0.3">
      <c r="A984">
        <v>982</v>
      </c>
      <c r="B984">
        <f>'Real Input'!M984</f>
        <v>23.592843000005814</v>
      </c>
      <c r="C984">
        <f ca="1">INDIRECT(CONCATENATE("'Real Input'!",'Real Analysis'!$B$2,A984+2))</f>
        <v>9.8506722599999996</v>
      </c>
      <c r="D984">
        <f t="shared" si="76"/>
        <v>2.1617999998852611E-2</v>
      </c>
      <c r="E984">
        <f ca="1">IF(B984&gt;0,C984-'Real Analysis'!$B$14,0)</f>
        <v>-5.8255423714275167E-3</v>
      </c>
      <c r="F984">
        <f t="shared" ca="1" si="79"/>
        <v>0.40565806752812938</v>
      </c>
      <c r="G984">
        <f t="shared" ca="1" si="75"/>
        <v>-0.32167012509564291</v>
      </c>
      <c r="H984">
        <f ca="1">IF(AND(B984&gt;'Real Analysis'!$B$31,B984&lt;'Real Analysis'!$B$32),FilterInput(E984,'Real Analysis'!$B$26,'Real Analysis'!$B$27),0)</f>
        <v>0</v>
      </c>
      <c r="I984" t="e">
        <f>MEDIAN2("Real Values",H984,'Real Analysis'!$B$5,2)</f>
        <v>#VALUE!</v>
      </c>
      <c r="J984" t="e">
        <f>AVERAGE2("Real Values",I984,'Real Analysis'!$B$6,2)</f>
        <v>#VALUE!</v>
      </c>
      <c r="K984" t="e">
        <f>INTEGRAL2(J984,$B984,K983,J983,$B983,'Real Analysis'!$B$19)</f>
        <v>#VALUE!</v>
      </c>
      <c r="L984">
        <f ca="1">IF(AND(B984&lt;'Real Analysis'!$B$32,B984&gt;'Real Analysis'!$B$31),INTEGRAL2(K984,$B984,L983,K983,$B983,'Real Analysis'!$B$20),0)</f>
        <v>0</v>
      </c>
      <c r="N984">
        <f>'Real Analysis'!$B$28*'Real Input'!U984+IF('Real Input'!U984 &gt; 0,'Real Analysis'!$B$29,0)</f>
        <v>0</v>
      </c>
      <c r="O984" t="e">
        <f t="shared" si="77"/>
        <v>#VALUE!</v>
      </c>
      <c r="P984">
        <f t="shared" ca="1" si="78"/>
        <v>0</v>
      </c>
    </row>
    <row r="985" spans="1:16" x14ac:dyDescent="0.3">
      <c r="A985">
        <v>983</v>
      </c>
      <c r="B985">
        <f>'Real Input'!M985</f>
        <v>23.609421000001021</v>
      </c>
      <c r="C985">
        <f ca="1">INDIRECT(CONCATENATE("'Real Input'!",'Real Analysis'!$B$2,A985+2))</f>
        <v>9.8441682299999993</v>
      </c>
      <c r="D985">
        <f t="shared" si="76"/>
        <v>1.6577999995206483E-2</v>
      </c>
      <c r="E985">
        <f ca="1">IF(B985&gt;0,C985-'Real Analysis'!$B$14,0)</f>
        <v>-1.2329572371427844E-2</v>
      </c>
      <c r="F985">
        <f t="shared" ca="1" si="79"/>
        <v>0.40545366787741494</v>
      </c>
      <c r="G985">
        <f t="shared" ca="1" si="75"/>
        <v>-0.31494851419151465</v>
      </c>
      <c r="H985">
        <f ca="1">IF(AND(B985&gt;'Real Analysis'!$B$31,B985&lt;'Real Analysis'!$B$32),FilterInput(E985,'Real Analysis'!$B$26,'Real Analysis'!$B$27),0)</f>
        <v>0</v>
      </c>
      <c r="I985" t="e">
        <f>MEDIAN2("Real Values",H985,'Real Analysis'!$B$5,2)</f>
        <v>#VALUE!</v>
      </c>
      <c r="J985" t="e">
        <f>AVERAGE2("Real Values",I985,'Real Analysis'!$B$6,2)</f>
        <v>#VALUE!</v>
      </c>
      <c r="K985" t="e">
        <f>INTEGRAL2(J985,$B985,K984,J984,$B984,'Real Analysis'!$B$19)</f>
        <v>#VALUE!</v>
      </c>
      <c r="L985">
        <f ca="1">IF(AND(B985&lt;'Real Analysis'!$B$32,B985&gt;'Real Analysis'!$B$31),INTEGRAL2(K985,$B985,L984,K984,$B984,'Real Analysis'!$B$20),0)</f>
        <v>0</v>
      </c>
      <c r="N985">
        <f>'Real Analysis'!$B$28*'Real Input'!U985+IF('Real Input'!U985 &gt; 0,'Real Analysis'!$B$29,0)</f>
        <v>0</v>
      </c>
      <c r="O985" t="e">
        <f t="shared" si="77"/>
        <v>#VALUE!</v>
      </c>
      <c r="P985">
        <f t="shared" ca="1" si="78"/>
        <v>0</v>
      </c>
    </row>
    <row r="986" spans="1:16" x14ac:dyDescent="0.3">
      <c r="A986">
        <v>984</v>
      </c>
      <c r="B986">
        <f>'Real Input'!M986</f>
        <v>23.626527000000351</v>
      </c>
      <c r="C986">
        <f ca="1">INDIRECT(CONCATENATE("'Real Input'!",'Real Analysis'!$B$2,A986+2))</f>
        <v>9.8744909400000012</v>
      </c>
      <c r="D986">
        <f t="shared" si="76"/>
        <v>1.7105999999330379E-2</v>
      </c>
      <c r="E986">
        <f ca="1">IF(B986&gt;0,C986-'Real Analysis'!$B$14,0)</f>
        <v>1.7993137628574019E-2</v>
      </c>
      <c r="F986">
        <f t="shared" ca="1" si="79"/>
        <v>0.40576145848967726</v>
      </c>
      <c r="G986">
        <f t="shared" ca="1" si="75"/>
        <v>-0.30800755868286195</v>
      </c>
      <c r="H986">
        <f ca="1">IF(AND(B986&gt;'Real Analysis'!$B$31,B986&lt;'Real Analysis'!$B$32),FilterInput(E986,'Real Analysis'!$B$26,'Real Analysis'!$B$27),0)</f>
        <v>0</v>
      </c>
      <c r="I986" t="e">
        <f>MEDIAN2("Real Values",H986,'Real Analysis'!$B$5,2)</f>
        <v>#VALUE!</v>
      </c>
      <c r="J986" t="e">
        <f>AVERAGE2("Real Values",I986,'Real Analysis'!$B$6,2)</f>
        <v>#VALUE!</v>
      </c>
      <c r="K986" t="e">
        <f>INTEGRAL2(J986,$B986,K985,J985,$B985,'Real Analysis'!$B$19)</f>
        <v>#VALUE!</v>
      </c>
      <c r="L986">
        <f ca="1">IF(AND(B986&lt;'Real Analysis'!$B$32,B986&gt;'Real Analysis'!$B$31),INTEGRAL2(K986,$B986,L985,K985,$B985,'Real Analysis'!$B$20),0)</f>
        <v>0</v>
      </c>
      <c r="N986">
        <f>'Real Analysis'!$B$28*'Real Input'!U986+IF('Real Input'!U986 &gt; 0,'Real Analysis'!$B$29,0)</f>
        <v>0</v>
      </c>
      <c r="O986" t="e">
        <f t="shared" si="77"/>
        <v>#VALUE!</v>
      </c>
      <c r="P986">
        <f t="shared" ca="1" si="78"/>
        <v>0</v>
      </c>
    </row>
    <row r="987" spans="1:16" x14ac:dyDescent="0.3">
      <c r="A987">
        <v>985</v>
      </c>
      <c r="B987">
        <f>'Real Input'!M987</f>
        <v>23.645789999995031</v>
      </c>
      <c r="C987">
        <f ca="1">INDIRECT(CONCATENATE("'Real Input'!",'Real Analysis'!$B$2,A987+2))</f>
        <v>9.8535171600000009</v>
      </c>
      <c r="D987">
        <f t="shared" si="76"/>
        <v>1.9262999994680285E-2</v>
      </c>
      <c r="E987">
        <f ca="1">IF(B987&gt;0,C987-'Real Analysis'!$B$14,0)</f>
        <v>-2.9806423714262564E-3</v>
      </c>
      <c r="F987">
        <f t="shared" ca="1" si="79"/>
        <v>0.40570404237569235</v>
      </c>
      <c r="G987">
        <f t="shared" ca="1" si="75"/>
        <v>-0.30019248171673724</v>
      </c>
      <c r="H987">
        <f ca="1">IF(AND(B987&gt;'Real Analysis'!$B$31,B987&lt;'Real Analysis'!$B$32),FilterInput(E987,'Real Analysis'!$B$26,'Real Analysis'!$B$27),0)</f>
        <v>0</v>
      </c>
      <c r="I987" t="e">
        <f>MEDIAN2("Real Values",H987,'Real Analysis'!$B$5,2)</f>
        <v>#VALUE!</v>
      </c>
      <c r="J987" t="e">
        <f>AVERAGE2("Real Values",I987,'Real Analysis'!$B$6,2)</f>
        <v>#VALUE!</v>
      </c>
      <c r="K987" t="e">
        <f>INTEGRAL2(J987,$B987,K986,J986,$B986,'Real Analysis'!$B$19)</f>
        <v>#VALUE!</v>
      </c>
      <c r="L987">
        <f ca="1">IF(AND(B987&lt;'Real Analysis'!$B$32,B987&gt;'Real Analysis'!$B$31),INTEGRAL2(K987,$B987,L986,K986,$B986,'Real Analysis'!$B$20),0)</f>
        <v>0</v>
      </c>
      <c r="N987">
        <f>'Real Analysis'!$B$28*'Real Input'!U987+IF('Real Input'!U987 &gt; 0,'Real Analysis'!$B$29,0)</f>
        <v>0</v>
      </c>
      <c r="O987" t="e">
        <f t="shared" si="77"/>
        <v>#VALUE!</v>
      </c>
      <c r="P987">
        <f t="shared" ca="1" si="78"/>
        <v>0</v>
      </c>
    </row>
    <row r="988" spans="1:16" x14ac:dyDescent="0.3">
      <c r="A988">
        <v>986</v>
      </c>
      <c r="B988">
        <f>'Real Input'!M988</f>
        <v>23.655771000005188</v>
      </c>
      <c r="C988">
        <f ca="1">INDIRECT(CONCATENATE("'Real Input'!",'Real Analysis'!$B$2,A988+2))</f>
        <v>9.8458555499999996</v>
      </c>
      <c r="D988">
        <f t="shared" si="76"/>
        <v>9.981000010157004E-3</v>
      </c>
      <c r="E988">
        <f ca="1">IF(B988&gt;0,C988-'Real Analysis'!$B$14,0)</f>
        <v>-1.0642252371427574E-2</v>
      </c>
      <c r="F988">
        <f t="shared" ca="1" si="79"/>
        <v>0.40559782205466505</v>
      </c>
      <c r="G988">
        <f t="shared" ca="1" si="75"/>
        <v>-0.29614420985068995</v>
      </c>
      <c r="H988">
        <f ca="1">IF(AND(B988&gt;'Real Analysis'!$B$31,B988&lt;'Real Analysis'!$B$32),FilterInput(E988,'Real Analysis'!$B$26,'Real Analysis'!$B$27),0)</f>
        <v>0</v>
      </c>
      <c r="I988" t="e">
        <f>MEDIAN2("Real Values",H988,'Real Analysis'!$B$5,2)</f>
        <v>#VALUE!</v>
      </c>
      <c r="J988" t="e">
        <f>AVERAGE2("Real Values",I988,'Real Analysis'!$B$6,2)</f>
        <v>#VALUE!</v>
      </c>
      <c r="K988" t="e">
        <f>INTEGRAL2(J988,$B988,K987,J987,$B987,'Real Analysis'!$B$19)</f>
        <v>#VALUE!</v>
      </c>
      <c r="L988">
        <f ca="1">IF(AND(B988&lt;'Real Analysis'!$B$32,B988&gt;'Real Analysis'!$B$31),INTEGRAL2(K988,$B988,L987,K987,$B987,'Real Analysis'!$B$20),0)</f>
        <v>0</v>
      </c>
      <c r="N988">
        <f>'Real Analysis'!$B$28*'Real Input'!U988+IF('Real Input'!U988 &gt; 0,'Real Analysis'!$B$29,0)</f>
        <v>0</v>
      </c>
      <c r="O988" t="e">
        <f t="shared" si="77"/>
        <v>#VALUE!</v>
      </c>
      <c r="P988">
        <f t="shared" ca="1" si="78"/>
        <v>0</v>
      </c>
    </row>
    <row r="989" spans="1:16" x14ac:dyDescent="0.3">
      <c r="A989">
        <v>987</v>
      </c>
      <c r="B989">
        <f>'Real Input'!M989</f>
        <v>23.690142000006745</v>
      </c>
      <c r="C989">
        <f ca="1">INDIRECT(CONCATENATE("'Real Input'!",'Real Analysis'!$B$2,A989+2))</f>
        <v>9.8484453900000002</v>
      </c>
      <c r="D989">
        <f t="shared" si="76"/>
        <v>3.437100000155624E-2</v>
      </c>
      <c r="E989">
        <f ca="1">IF(B989&gt;0,C989-'Real Analysis'!$B$14,0)</f>
        <v>-8.0524123714269535E-3</v>
      </c>
      <c r="F989">
        <f t="shared" ca="1" si="79"/>
        <v>0.40532105258903423</v>
      </c>
      <c r="G989">
        <f t="shared" ca="1" si="75"/>
        <v>-0.28221291995152148</v>
      </c>
      <c r="H989">
        <f ca="1">IF(AND(B989&gt;'Real Analysis'!$B$31,B989&lt;'Real Analysis'!$B$32),FilterInput(E989,'Real Analysis'!$B$26,'Real Analysis'!$B$27),0)</f>
        <v>0</v>
      </c>
      <c r="I989" t="e">
        <f>MEDIAN2("Real Values",H989,'Real Analysis'!$B$5,2)</f>
        <v>#VALUE!</v>
      </c>
      <c r="J989" t="e">
        <f>AVERAGE2("Real Values",I989,'Real Analysis'!$B$6,2)</f>
        <v>#VALUE!</v>
      </c>
      <c r="K989" t="e">
        <f>INTEGRAL2(J989,$B989,K988,J988,$B988,'Real Analysis'!$B$19)</f>
        <v>#VALUE!</v>
      </c>
      <c r="L989">
        <f ca="1">IF(AND(B989&lt;'Real Analysis'!$B$32,B989&gt;'Real Analysis'!$B$31),INTEGRAL2(K989,$B989,L988,K988,$B988,'Real Analysis'!$B$20),0)</f>
        <v>0</v>
      </c>
      <c r="N989">
        <f>'Real Analysis'!$B$28*'Real Input'!U989+IF('Real Input'!U989 &gt; 0,'Real Analysis'!$B$29,0)</f>
        <v>0</v>
      </c>
      <c r="O989" t="e">
        <f t="shared" si="77"/>
        <v>#VALUE!</v>
      </c>
      <c r="P989">
        <f t="shared" ca="1" si="78"/>
        <v>0</v>
      </c>
    </row>
    <row r="990" spans="1:16" x14ac:dyDescent="0.3">
      <c r="A990">
        <v>988</v>
      </c>
      <c r="B990">
        <f>'Real Input'!M990</f>
        <v>23.70281299999624</v>
      </c>
      <c r="C990">
        <f ca="1">INDIRECT(CONCATENATE("'Real Input'!",'Real Analysis'!$B$2,A990+2))</f>
        <v>9.851015610000001</v>
      </c>
      <c r="D990">
        <f t="shared" si="76"/>
        <v>1.2670999989495613E-2</v>
      </c>
      <c r="E990">
        <f ca="1">IF(B990&gt;0,C990-'Real Analysis'!$B$14,0)</f>
        <v>-5.4821923714261089E-3</v>
      </c>
      <c r="F990">
        <f t="shared" ca="1" si="79"/>
        <v>0.4052515877295535</v>
      </c>
      <c r="G990">
        <f t="shared" ca="1" si="75"/>
        <v>-0.27707797708765725</v>
      </c>
      <c r="H990">
        <f ca="1">IF(AND(B990&gt;'Real Analysis'!$B$31,B990&lt;'Real Analysis'!$B$32),FilterInput(E990,'Real Analysis'!$B$26,'Real Analysis'!$B$27),0)</f>
        <v>0</v>
      </c>
      <c r="I990" t="e">
        <f>MEDIAN2("Real Values",H990,'Real Analysis'!$B$5,2)</f>
        <v>#VALUE!</v>
      </c>
      <c r="J990" t="e">
        <f>AVERAGE2("Real Values",I990,'Real Analysis'!$B$6,2)</f>
        <v>#VALUE!</v>
      </c>
      <c r="K990" t="e">
        <f>INTEGRAL2(J990,$B990,K989,J989,$B989,'Real Analysis'!$B$19)</f>
        <v>#VALUE!</v>
      </c>
      <c r="L990">
        <f ca="1">IF(AND(B990&lt;'Real Analysis'!$B$32,B990&gt;'Real Analysis'!$B$31),INTEGRAL2(K990,$B990,L989,K989,$B989,'Real Analysis'!$B$20),0)</f>
        <v>0</v>
      </c>
      <c r="N990">
        <f>'Real Analysis'!$B$28*'Real Input'!U990+IF('Real Input'!U990 &gt; 0,'Real Analysis'!$B$29,0)</f>
        <v>0</v>
      </c>
      <c r="O990" t="e">
        <f t="shared" si="77"/>
        <v>#VALUE!</v>
      </c>
      <c r="P990">
        <f t="shared" ca="1" si="78"/>
        <v>0</v>
      </c>
    </row>
    <row r="991" spans="1:16" x14ac:dyDescent="0.3">
      <c r="A991">
        <v>989</v>
      </c>
      <c r="B991">
        <f>'Real Input'!M991</f>
        <v>23.730490999994799</v>
      </c>
      <c r="C991">
        <f ca="1">INDIRECT(CONCATENATE("'Real Input'!",'Real Analysis'!$B$2,A991+2))</f>
        <v>9.7815608100000002</v>
      </c>
      <c r="D991">
        <f t="shared" si="76"/>
        <v>2.7677999998559244E-2</v>
      </c>
      <c r="E991">
        <f ca="1">IF(B991&gt;0,C991-'Real Analysis'!$B$14,0)</f>
        <v>-7.4936992371426925E-2</v>
      </c>
      <c r="F991">
        <f t="shared" ca="1" si="79"/>
        <v>0.4031774816548051</v>
      </c>
      <c r="G991">
        <f t="shared" ca="1" si="75"/>
        <v>-0.26591883075099643</v>
      </c>
      <c r="H991">
        <f ca="1">IF(AND(B991&gt;'Real Analysis'!$B$31,B991&lt;'Real Analysis'!$B$32),FilterInput(E991,'Real Analysis'!$B$26,'Real Analysis'!$B$27),0)</f>
        <v>0</v>
      </c>
      <c r="I991" t="e">
        <f>MEDIAN2("Real Values",H991,'Real Analysis'!$B$5,2)</f>
        <v>#VALUE!</v>
      </c>
      <c r="J991" t="e">
        <f>AVERAGE2("Real Values",I991,'Real Analysis'!$B$6,2)</f>
        <v>#VALUE!</v>
      </c>
      <c r="K991" t="e">
        <f>INTEGRAL2(J991,$B991,K990,J990,$B990,'Real Analysis'!$B$19)</f>
        <v>#VALUE!</v>
      </c>
      <c r="L991">
        <f ca="1">IF(AND(B991&lt;'Real Analysis'!$B$32,B991&gt;'Real Analysis'!$B$31),INTEGRAL2(K991,$B991,L990,K990,$B990,'Real Analysis'!$B$20),0)</f>
        <v>0</v>
      </c>
      <c r="N991">
        <f>'Real Analysis'!$B$28*'Real Input'!U991+IF('Real Input'!U991 &gt; 0,'Real Analysis'!$B$29,0)</f>
        <v>0</v>
      </c>
      <c r="O991" t="e">
        <f t="shared" si="77"/>
        <v>#VALUE!</v>
      </c>
      <c r="P991">
        <f t="shared" ca="1" si="78"/>
        <v>0</v>
      </c>
    </row>
    <row r="992" spans="1:16" x14ac:dyDescent="0.3">
      <c r="A992">
        <v>990</v>
      </c>
      <c r="B992">
        <f>'Real Input'!M992</f>
        <v>23.752940000005765</v>
      </c>
      <c r="C992">
        <f ca="1">INDIRECT(CONCATENATE("'Real Input'!",'Real Analysis'!$B$2,A992+2))</f>
        <v>9.7753412700000002</v>
      </c>
      <c r="D992">
        <f t="shared" si="76"/>
        <v>2.2449000010965392E-2</v>
      </c>
      <c r="E992">
        <f ca="1">IF(B992&gt;0,C992-'Real Analysis'!$B$14,0)</f>
        <v>-8.1156532371426948E-2</v>
      </c>
      <c r="F992">
        <f t="shared" ca="1" si="79"/>
        <v>0.40135559865870901</v>
      </c>
      <c r="G992">
        <f t="shared" ca="1" si="75"/>
        <v>-0.25690879891230606</v>
      </c>
      <c r="H992">
        <f ca="1">IF(AND(B992&gt;'Real Analysis'!$B$31,B992&lt;'Real Analysis'!$B$32),FilterInput(E992,'Real Analysis'!$B$26,'Real Analysis'!$B$27),0)</f>
        <v>0</v>
      </c>
      <c r="I992" t="e">
        <f>MEDIAN2("Real Values",H992,'Real Analysis'!$B$5,2)</f>
        <v>#VALUE!</v>
      </c>
      <c r="J992" t="e">
        <f>AVERAGE2("Real Values",I992,'Real Analysis'!$B$6,2)</f>
        <v>#VALUE!</v>
      </c>
      <c r="K992" t="e">
        <f>INTEGRAL2(J992,$B992,K991,J991,$B991,'Real Analysis'!$B$19)</f>
        <v>#VALUE!</v>
      </c>
      <c r="L992">
        <f ca="1">IF(AND(B992&lt;'Real Analysis'!$B$32,B992&gt;'Real Analysis'!$B$31),INTEGRAL2(K992,$B992,L991,K991,$B991,'Real Analysis'!$B$20),0)</f>
        <v>0</v>
      </c>
      <c r="N992">
        <f>'Real Analysis'!$B$28*'Real Input'!U992+IF('Real Input'!U992 &gt; 0,'Real Analysis'!$B$29,0)</f>
        <v>0</v>
      </c>
      <c r="O992" t="e">
        <f t="shared" si="77"/>
        <v>#VALUE!</v>
      </c>
      <c r="P992">
        <f t="shared" ca="1" si="78"/>
        <v>0</v>
      </c>
    </row>
    <row r="993" spans="1:16" x14ac:dyDescent="0.3">
      <c r="A993">
        <v>991</v>
      </c>
      <c r="B993">
        <f>'Real Input'!M993</f>
        <v>23.771536999993259</v>
      </c>
      <c r="C993">
        <f ca="1">INDIRECT(CONCATENATE("'Real Input'!",'Real Analysis'!$B$2,A993+2))</f>
        <v>9.8467776899999997</v>
      </c>
      <c r="D993">
        <f t="shared" si="76"/>
        <v>1.85969999874942E-2</v>
      </c>
      <c r="E993">
        <f ca="1">IF(B993&gt;0,C993-'Real Analysis'!$B$14,0)</f>
        <v>-9.7201123714274473E-3</v>
      </c>
      <c r="F993">
        <f t="shared" ca="1" si="79"/>
        <v>0.40117483372905915</v>
      </c>
      <c r="G993">
        <f t="shared" ref="G993:G1056" ca="1" si="80">IF(B993&gt;0,G992+F993*$D993,0)</f>
        <v>-0.24944815053446376</v>
      </c>
      <c r="H993">
        <f ca="1">IF(AND(B993&gt;'Real Analysis'!$B$31,B993&lt;'Real Analysis'!$B$32),FilterInput(E993,'Real Analysis'!$B$26,'Real Analysis'!$B$27),0)</f>
        <v>0</v>
      </c>
      <c r="I993" t="e">
        <f>MEDIAN2("Real Values",H993,'Real Analysis'!$B$5,2)</f>
        <v>#VALUE!</v>
      </c>
      <c r="J993" t="e">
        <f>AVERAGE2("Real Values",I993,'Real Analysis'!$B$6,2)</f>
        <v>#VALUE!</v>
      </c>
      <c r="K993" t="e">
        <f>INTEGRAL2(J993,$B993,K992,J992,$B992,'Real Analysis'!$B$19)</f>
        <v>#VALUE!</v>
      </c>
      <c r="L993">
        <f ca="1">IF(AND(B993&lt;'Real Analysis'!$B$32,B993&gt;'Real Analysis'!$B$31),INTEGRAL2(K993,$B993,L992,K992,$B992,'Real Analysis'!$B$20),0)</f>
        <v>0</v>
      </c>
      <c r="N993">
        <f>'Real Analysis'!$B$28*'Real Input'!U993+IF('Real Input'!U993 &gt; 0,'Real Analysis'!$B$29,0)</f>
        <v>0</v>
      </c>
      <c r="O993" t="e">
        <f t="shared" si="77"/>
        <v>#VALUE!</v>
      </c>
      <c r="P993">
        <f t="shared" ca="1" si="78"/>
        <v>0</v>
      </c>
    </row>
    <row r="994" spans="1:16" x14ac:dyDescent="0.3">
      <c r="A994">
        <v>992</v>
      </c>
      <c r="B994">
        <f>'Real Input'!M994</f>
        <v>23.787014999994426</v>
      </c>
      <c r="C994">
        <f ca="1">INDIRECT(CONCATENATE("'Real Input'!",'Real Analysis'!$B$2,A994+2))</f>
        <v>9.8604037800000022</v>
      </c>
      <c r="D994">
        <f t="shared" si="76"/>
        <v>1.5478000001166947E-2</v>
      </c>
      <c r="E994">
        <f ca="1">IF(B994&gt;0,C994-'Real Analysis'!$B$14,0)</f>
        <v>3.9059776285750303E-3</v>
      </c>
      <c r="F994">
        <f t="shared" ca="1" si="79"/>
        <v>0.40123529045079881</v>
      </c>
      <c r="G994">
        <f t="shared" ca="1" si="80"/>
        <v>-0.24323783070839808</v>
      </c>
      <c r="H994">
        <f ca="1">IF(AND(B994&gt;'Real Analysis'!$B$31,B994&lt;'Real Analysis'!$B$32),FilterInput(E994,'Real Analysis'!$B$26,'Real Analysis'!$B$27),0)</f>
        <v>0</v>
      </c>
      <c r="I994" t="e">
        <f>MEDIAN2("Real Values",H994,'Real Analysis'!$B$5,2)</f>
        <v>#VALUE!</v>
      </c>
      <c r="J994" t="e">
        <f>AVERAGE2("Real Values",I994,'Real Analysis'!$B$6,2)</f>
        <v>#VALUE!</v>
      </c>
      <c r="K994" t="e">
        <f>INTEGRAL2(J994,$B994,K993,J993,$B993,'Real Analysis'!$B$19)</f>
        <v>#VALUE!</v>
      </c>
      <c r="L994">
        <f ca="1">IF(AND(B994&lt;'Real Analysis'!$B$32,B994&gt;'Real Analysis'!$B$31),INTEGRAL2(K994,$B994,L993,K993,$B993,'Real Analysis'!$B$20),0)</f>
        <v>0</v>
      </c>
      <c r="N994">
        <f>'Real Analysis'!$B$28*'Real Input'!U994+IF('Real Input'!U994 &gt; 0,'Real Analysis'!$B$29,0)</f>
        <v>0</v>
      </c>
      <c r="O994" t="e">
        <f t="shared" si="77"/>
        <v>#VALUE!</v>
      </c>
      <c r="P994">
        <f t="shared" ca="1" si="78"/>
        <v>0</v>
      </c>
    </row>
    <row r="995" spans="1:16" x14ac:dyDescent="0.3">
      <c r="A995">
        <v>993</v>
      </c>
      <c r="B995">
        <f>'Real Input'!M995</f>
        <v>23.808394000006956</v>
      </c>
      <c r="C995">
        <f ca="1">INDIRECT(CONCATENATE("'Real Input'!",'Real Analysis'!$B$2,A995+2))</f>
        <v>9.8132569200000006</v>
      </c>
      <c r="D995">
        <f t="shared" si="76"/>
        <v>2.1379000012530014E-2</v>
      </c>
      <c r="E995">
        <f ca="1">IF(B995&gt;0,C995-'Real Analysis'!$B$14,0)</f>
        <v>-4.3240882371426537E-2</v>
      </c>
      <c r="F995">
        <f t="shared" ca="1" si="79"/>
        <v>0.40031084362603825</v>
      </c>
      <c r="G995">
        <f t="shared" ca="1" si="80"/>
        <v>-0.23467958517750109</v>
      </c>
      <c r="H995">
        <f ca="1">IF(AND(B995&gt;'Real Analysis'!$B$31,B995&lt;'Real Analysis'!$B$32),FilterInput(E995,'Real Analysis'!$B$26,'Real Analysis'!$B$27),0)</f>
        <v>0</v>
      </c>
      <c r="I995" t="e">
        <f>MEDIAN2("Real Values",H995,'Real Analysis'!$B$5,2)</f>
        <v>#VALUE!</v>
      </c>
      <c r="J995" t="e">
        <f>AVERAGE2("Real Values",I995,'Real Analysis'!$B$6,2)</f>
        <v>#VALUE!</v>
      </c>
      <c r="K995" t="e">
        <f>INTEGRAL2(J995,$B995,K994,J994,$B994,'Real Analysis'!$B$19)</f>
        <v>#VALUE!</v>
      </c>
      <c r="L995">
        <f ca="1">IF(AND(B995&lt;'Real Analysis'!$B$32,B995&gt;'Real Analysis'!$B$31),INTEGRAL2(K995,$B995,L994,K994,$B994,'Real Analysis'!$B$20),0)</f>
        <v>0</v>
      </c>
      <c r="N995">
        <f>'Real Analysis'!$B$28*'Real Input'!U995+IF('Real Input'!U995 &gt; 0,'Real Analysis'!$B$29,0)</f>
        <v>0</v>
      </c>
      <c r="O995" t="e">
        <f t="shared" si="77"/>
        <v>#VALUE!</v>
      </c>
      <c r="P995">
        <f t="shared" ca="1" si="78"/>
        <v>0</v>
      </c>
    </row>
    <row r="996" spans="1:16" x14ac:dyDescent="0.3">
      <c r="A996">
        <v>994</v>
      </c>
      <c r="B996">
        <f>'Real Input'!M996</f>
        <v>23.829131999998935</v>
      </c>
      <c r="C996">
        <f ca="1">INDIRECT(CONCATENATE("'Real Input'!",'Real Analysis'!$B$2,A996+2))</f>
        <v>9.8471602799999989</v>
      </c>
      <c r="D996">
        <f t="shared" si="76"/>
        <v>2.073799999197945E-2</v>
      </c>
      <c r="E996">
        <f ca="1">IF(B996&gt;0,C996-'Real Analysis'!$B$14,0)</f>
        <v>-9.337522371428264E-3</v>
      </c>
      <c r="F996">
        <f t="shared" ca="1" si="79"/>
        <v>0.40011720208717444</v>
      </c>
      <c r="G996">
        <f t="shared" ca="1" si="80"/>
        <v>-0.22638195464382643</v>
      </c>
      <c r="H996">
        <f ca="1">IF(AND(B996&gt;'Real Analysis'!$B$31,B996&lt;'Real Analysis'!$B$32),FilterInput(E996,'Real Analysis'!$B$26,'Real Analysis'!$B$27),0)</f>
        <v>0</v>
      </c>
      <c r="I996" t="e">
        <f>MEDIAN2("Real Values",H996,'Real Analysis'!$B$5,2)</f>
        <v>#VALUE!</v>
      </c>
      <c r="J996" t="e">
        <f>AVERAGE2("Real Values",I996,'Real Analysis'!$B$6,2)</f>
        <v>#VALUE!</v>
      </c>
      <c r="K996" t="e">
        <f>INTEGRAL2(J996,$B996,K995,J995,$B995,'Real Analysis'!$B$19)</f>
        <v>#VALUE!</v>
      </c>
      <c r="L996">
        <f ca="1">IF(AND(B996&lt;'Real Analysis'!$B$32,B996&gt;'Real Analysis'!$B$31),INTEGRAL2(K996,$B996,L995,K995,$B995,'Real Analysis'!$B$20),0)</f>
        <v>0</v>
      </c>
      <c r="N996">
        <f>'Real Analysis'!$B$28*'Real Input'!U996+IF('Real Input'!U996 &gt; 0,'Real Analysis'!$B$29,0)</f>
        <v>0</v>
      </c>
      <c r="O996" t="e">
        <f t="shared" si="77"/>
        <v>#VALUE!</v>
      </c>
      <c r="P996">
        <f t="shared" ca="1" si="78"/>
        <v>0</v>
      </c>
    </row>
    <row r="997" spans="1:16" x14ac:dyDescent="0.3">
      <c r="A997">
        <v>995</v>
      </c>
      <c r="B997">
        <f>'Real Input'!M997</f>
        <v>23.851704000000609</v>
      </c>
      <c r="C997">
        <f ca="1">INDIRECT(CONCATENATE("'Real Input'!",'Real Analysis'!$B$2,A997+2))</f>
        <v>9.8423141399999992</v>
      </c>
      <c r="D997">
        <f t="shared" si="76"/>
        <v>2.2572000001673587E-2</v>
      </c>
      <c r="E997">
        <f ca="1">IF(B997&gt;0,C997-'Real Analysis'!$B$14,0)</f>
        <v>-1.4183662371427985E-2</v>
      </c>
      <c r="F997">
        <f t="shared" ca="1" si="79"/>
        <v>0.39979704846010283</v>
      </c>
      <c r="G997">
        <f t="shared" ca="1" si="80"/>
        <v>-0.21735773566531591</v>
      </c>
      <c r="H997">
        <f ca="1">IF(AND(B997&gt;'Real Analysis'!$B$31,B997&lt;'Real Analysis'!$B$32),FilterInput(E997,'Real Analysis'!$B$26,'Real Analysis'!$B$27),0)</f>
        <v>0</v>
      </c>
      <c r="I997" t="e">
        <f>MEDIAN2("Real Values",H997,'Real Analysis'!$B$5,2)</f>
        <v>#VALUE!</v>
      </c>
      <c r="J997" t="e">
        <f>AVERAGE2("Real Values",I997,'Real Analysis'!$B$6,2)</f>
        <v>#VALUE!</v>
      </c>
      <c r="K997" t="e">
        <f>INTEGRAL2(J997,$B997,K996,J996,$B996,'Real Analysis'!$B$19)</f>
        <v>#VALUE!</v>
      </c>
      <c r="L997">
        <f ca="1">IF(AND(B997&lt;'Real Analysis'!$B$32,B997&gt;'Real Analysis'!$B$31),INTEGRAL2(K997,$B997,L996,K996,$B996,'Real Analysis'!$B$20),0)</f>
        <v>0</v>
      </c>
      <c r="N997">
        <f>'Real Analysis'!$B$28*'Real Input'!U997+IF('Real Input'!U997 &gt; 0,'Real Analysis'!$B$29,0)</f>
        <v>0</v>
      </c>
      <c r="O997" t="e">
        <f t="shared" si="77"/>
        <v>#VALUE!</v>
      </c>
      <c r="P997">
        <f t="shared" ca="1" si="78"/>
        <v>0</v>
      </c>
    </row>
    <row r="998" spans="1:16" x14ac:dyDescent="0.3">
      <c r="A998">
        <v>996</v>
      </c>
      <c r="B998">
        <f>'Real Input'!M998</f>
        <v>23.872075999999652</v>
      </c>
      <c r="C998">
        <f ca="1">INDIRECT(CONCATENATE("'Real Input'!",'Real Analysis'!$B$2,A998+2))</f>
        <v>9.8506526399999998</v>
      </c>
      <c r="D998">
        <f t="shared" si="76"/>
        <v>2.03719999990426E-2</v>
      </c>
      <c r="E998">
        <f ca="1">IF(B998&gt;0,C998-'Real Analysis'!$B$14,0)</f>
        <v>-5.8451623714272927E-3</v>
      </c>
      <c r="F998">
        <f t="shared" ca="1" si="79"/>
        <v>0.39967797081227774</v>
      </c>
      <c r="G998">
        <f t="shared" ca="1" si="80"/>
        <v>-0.20921549604431083</v>
      </c>
      <c r="H998">
        <f ca="1">IF(AND(B998&gt;'Real Analysis'!$B$31,B998&lt;'Real Analysis'!$B$32),FilterInput(E998,'Real Analysis'!$B$26,'Real Analysis'!$B$27),0)</f>
        <v>0</v>
      </c>
      <c r="I998" t="e">
        <f>MEDIAN2("Real Values",H998,'Real Analysis'!$B$5,2)</f>
        <v>#VALUE!</v>
      </c>
      <c r="J998" t="e">
        <f>AVERAGE2("Real Values",I998,'Real Analysis'!$B$6,2)</f>
        <v>#VALUE!</v>
      </c>
      <c r="K998" t="e">
        <f>INTEGRAL2(J998,$B998,K997,J997,$B997,'Real Analysis'!$B$19)</f>
        <v>#VALUE!</v>
      </c>
      <c r="L998">
        <f ca="1">IF(AND(B998&lt;'Real Analysis'!$B$32,B998&gt;'Real Analysis'!$B$31),INTEGRAL2(K998,$B998,L997,K997,$B997,'Real Analysis'!$B$20),0)</f>
        <v>0</v>
      </c>
      <c r="N998">
        <f>'Real Analysis'!$B$28*'Real Input'!U998+IF('Real Input'!U998 &gt; 0,'Real Analysis'!$B$29,0)</f>
        <v>0</v>
      </c>
      <c r="O998" t="e">
        <f t="shared" si="77"/>
        <v>#VALUE!</v>
      </c>
      <c r="P998">
        <f t="shared" ca="1" si="78"/>
        <v>0</v>
      </c>
    </row>
    <row r="999" spans="1:16" x14ac:dyDescent="0.3">
      <c r="A999">
        <v>997</v>
      </c>
      <c r="B999">
        <f>'Real Input'!M999</f>
        <v>23.891747000001487</v>
      </c>
      <c r="C999">
        <f ca="1">INDIRECT(CONCATENATE("'Real Input'!",'Real Analysis'!$B$2,A999+2))</f>
        <v>9.8523595800000017</v>
      </c>
      <c r="D999">
        <f t="shared" si="76"/>
        <v>1.9671000001835637E-2</v>
      </c>
      <c r="E999">
        <f ca="1">IF(B999&gt;0,C999-'Real Analysis'!$B$14,0)</f>
        <v>-4.1382223714254707E-3</v>
      </c>
      <c r="F999">
        <f t="shared" ca="1" si="79"/>
        <v>0.39959656784000186</v>
      </c>
      <c r="G999">
        <f t="shared" ca="1" si="80"/>
        <v>-0.20135503195759663</v>
      </c>
      <c r="H999">
        <f ca="1">IF(AND(B999&gt;'Real Analysis'!$B$31,B999&lt;'Real Analysis'!$B$32),FilterInput(E999,'Real Analysis'!$B$26,'Real Analysis'!$B$27),0)</f>
        <v>0</v>
      </c>
      <c r="I999" t="e">
        <f>MEDIAN2("Real Values",H999,'Real Analysis'!$B$5,2)</f>
        <v>#VALUE!</v>
      </c>
      <c r="J999" t="e">
        <f>AVERAGE2("Real Values",I999,'Real Analysis'!$B$6,2)</f>
        <v>#VALUE!</v>
      </c>
      <c r="K999" t="e">
        <f>INTEGRAL2(J999,$B999,K998,J998,$B998,'Real Analysis'!$B$19)</f>
        <v>#VALUE!</v>
      </c>
      <c r="L999">
        <f ca="1">IF(AND(B999&lt;'Real Analysis'!$B$32,B999&gt;'Real Analysis'!$B$31),INTEGRAL2(K999,$B999,L998,K998,$B998,'Real Analysis'!$B$20),0)</f>
        <v>0</v>
      </c>
      <c r="N999">
        <f>'Real Analysis'!$B$28*'Real Input'!U999+IF('Real Input'!U999 &gt; 0,'Real Analysis'!$B$29,0)</f>
        <v>0</v>
      </c>
      <c r="O999" t="e">
        <f t="shared" si="77"/>
        <v>#VALUE!</v>
      </c>
      <c r="P999">
        <f t="shared" ca="1" si="78"/>
        <v>0</v>
      </c>
    </row>
    <row r="1000" spans="1:16" x14ac:dyDescent="0.3">
      <c r="A1000">
        <v>998</v>
      </c>
      <c r="B1000">
        <f>'Real Input'!M1000</f>
        <v>23.913037999998778</v>
      </c>
      <c r="C1000">
        <f ca="1">INDIRECT(CONCATENATE("'Real Input'!",'Real Analysis'!$B$2,A1000+2))</f>
        <v>9.851172570000001</v>
      </c>
      <c r="D1000">
        <f t="shared" si="76"/>
        <v>2.1290999997290783E-2</v>
      </c>
      <c r="E1000">
        <f ca="1">IF(B1000&gt;0,C1000-'Real Analysis'!$B$14,0)</f>
        <v>-5.3252323714261252E-3</v>
      </c>
      <c r="F1000">
        <f t="shared" ca="1" si="79"/>
        <v>0.39948318831759627</v>
      </c>
      <c r="G1000">
        <f t="shared" ca="1" si="80"/>
        <v>-0.19284963539620897</v>
      </c>
      <c r="H1000">
        <f ca="1">IF(AND(B1000&gt;'Real Analysis'!$B$31,B1000&lt;'Real Analysis'!$B$32),FilterInput(E1000,'Real Analysis'!$B$26,'Real Analysis'!$B$27),0)</f>
        <v>0</v>
      </c>
      <c r="I1000" t="e">
        <f>MEDIAN2("Real Values",H1000,'Real Analysis'!$B$5,2)</f>
        <v>#VALUE!</v>
      </c>
      <c r="J1000" t="e">
        <f>AVERAGE2("Real Values",I1000,'Real Analysis'!$B$6,2)</f>
        <v>#VALUE!</v>
      </c>
      <c r="K1000" t="e">
        <f>INTEGRAL2(J1000,$B1000,K999,J999,$B999,'Real Analysis'!$B$19)</f>
        <v>#VALUE!</v>
      </c>
      <c r="L1000">
        <f ca="1">IF(AND(B1000&lt;'Real Analysis'!$B$32,B1000&gt;'Real Analysis'!$B$31),INTEGRAL2(K1000,$B1000,L999,K999,$B999,'Real Analysis'!$B$20),0)</f>
        <v>0</v>
      </c>
      <c r="N1000">
        <f>'Real Analysis'!$B$28*'Real Input'!U1000+IF('Real Input'!U1000 &gt; 0,'Real Analysis'!$B$29,0)</f>
        <v>0</v>
      </c>
      <c r="O1000" t="e">
        <f t="shared" si="77"/>
        <v>#VALUE!</v>
      </c>
      <c r="P1000">
        <f t="shared" ca="1" si="78"/>
        <v>0</v>
      </c>
    </row>
    <row r="1001" spans="1:16" x14ac:dyDescent="0.3">
      <c r="A1001">
        <v>999</v>
      </c>
      <c r="B1001">
        <f>'Real Input'!M1001</f>
        <v>23.928671000001486</v>
      </c>
      <c r="C1001">
        <f ca="1">INDIRECT(CONCATENATE("'Real Input'!",'Real Analysis'!$B$2,A1001+2))</f>
        <v>9.77924565</v>
      </c>
      <c r="D1001">
        <f t="shared" si="76"/>
        <v>1.5633000002708286E-2</v>
      </c>
      <c r="E1001">
        <f ca="1">IF(B1001&gt;0,C1001-'Real Analysis'!$B$14,0)</f>
        <v>-7.725215237142713E-2</v>
      </c>
      <c r="F1001">
        <f t="shared" ca="1" si="79"/>
        <v>0.39827550541936452</v>
      </c>
      <c r="G1001">
        <f t="shared" ca="1" si="80"/>
        <v>-0.18662339441890941</v>
      </c>
      <c r="H1001">
        <f ca="1">IF(AND(B1001&gt;'Real Analysis'!$B$31,B1001&lt;'Real Analysis'!$B$32),FilterInput(E1001,'Real Analysis'!$B$26,'Real Analysis'!$B$27),0)</f>
        <v>0</v>
      </c>
      <c r="I1001" t="e">
        <f>MEDIAN2("Real Values",H1001,'Real Analysis'!$B$5,2)</f>
        <v>#VALUE!</v>
      </c>
      <c r="J1001" t="e">
        <f>AVERAGE2("Real Values",I1001,'Real Analysis'!$B$6,2)</f>
        <v>#VALUE!</v>
      </c>
      <c r="K1001" t="e">
        <f>INTEGRAL2(J1001,$B1001,K1000,J1000,$B1000,'Real Analysis'!$B$19)</f>
        <v>#VALUE!</v>
      </c>
      <c r="L1001">
        <f ca="1">IF(AND(B1001&lt;'Real Analysis'!$B$32,B1001&gt;'Real Analysis'!$B$31),INTEGRAL2(K1001,$B1001,L1000,K1000,$B1000,'Real Analysis'!$B$20),0)</f>
        <v>0</v>
      </c>
      <c r="N1001">
        <f>'Real Analysis'!$B$28*'Real Input'!U1001+IF('Real Input'!U1001 &gt; 0,'Real Analysis'!$B$29,0)</f>
        <v>0</v>
      </c>
      <c r="O1001" t="e">
        <f t="shared" si="77"/>
        <v>#VALUE!</v>
      </c>
      <c r="P1001">
        <f t="shared" ca="1" si="78"/>
        <v>0</v>
      </c>
    </row>
    <row r="1002" spans="1:16" x14ac:dyDescent="0.3">
      <c r="A1002">
        <v>1000</v>
      </c>
      <c r="B1002">
        <f>'Real Input'!M1002</f>
        <v>23.950268999993568</v>
      </c>
      <c r="C1002">
        <f ca="1">INDIRECT(CONCATENATE("'Real Input'!",'Real Analysis'!$B$2,A1002+2))</f>
        <v>9.7767931500000014</v>
      </c>
      <c r="D1002">
        <f t="shared" si="76"/>
        <v>2.1597999992081895E-2</v>
      </c>
      <c r="E1002">
        <f ca="1">IF(B1002&gt;0,C1002-'Real Analysis'!$B$14,0)</f>
        <v>-7.9704652371425766E-2</v>
      </c>
      <c r="F1002">
        <f t="shared" ca="1" si="79"/>
        <v>0.39655404433807756</v>
      </c>
      <c r="G1002">
        <f t="shared" ca="1" si="80"/>
        <v>-0.17805862017243557</v>
      </c>
      <c r="H1002">
        <f ca="1">IF(AND(B1002&gt;'Real Analysis'!$B$31,B1002&lt;'Real Analysis'!$B$32),FilterInput(E1002,'Real Analysis'!$B$26,'Real Analysis'!$B$27),0)</f>
        <v>0</v>
      </c>
      <c r="I1002" t="e">
        <f>MEDIAN2("Real Values",H1002,'Real Analysis'!$B$5,2)</f>
        <v>#VALUE!</v>
      </c>
      <c r="J1002" t="e">
        <f>AVERAGE2("Real Values",I1002,'Real Analysis'!$B$6,2)</f>
        <v>#VALUE!</v>
      </c>
      <c r="K1002" t="e">
        <f>INTEGRAL2(J1002,$B1002,K1001,J1001,$B1001,'Real Analysis'!$B$19)</f>
        <v>#VALUE!</v>
      </c>
      <c r="L1002">
        <f ca="1">IF(AND(B1002&lt;'Real Analysis'!$B$32,B1002&gt;'Real Analysis'!$B$31),INTEGRAL2(K1002,$B1002,L1001,K1001,$B1001,'Real Analysis'!$B$20),0)</f>
        <v>0</v>
      </c>
      <c r="N1002">
        <f>'Real Analysis'!$B$28*'Real Input'!U1002+IF('Real Input'!U1002 &gt; 0,'Real Analysis'!$B$29,0)</f>
        <v>0</v>
      </c>
      <c r="O1002" t="e">
        <f t="shared" si="77"/>
        <v>#VALUE!</v>
      </c>
      <c r="P1002">
        <f t="shared" ca="1" si="78"/>
        <v>0</v>
      </c>
    </row>
    <row r="1003" spans="1:16" x14ac:dyDescent="0.3">
      <c r="A1003">
        <v>1001</v>
      </c>
      <c r="B1003">
        <f>'Real Input'!M1003</f>
        <v>23.969091999999364</v>
      </c>
      <c r="C1003">
        <f ca="1">INDIRECT(CONCATENATE("'Real Input'!",'Real Analysis'!$B$2,A1003+2))</f>
        <v>9.801867510000001</v>
      </c>
      <c r="D1003">
        <f t="shared" si="76"/>
        <v>1.882300000579562E-2</v>
      </c>
      <c r="E1003">
        <f ca="1">IF(B1003&gt;0,C1003-'Real Analysis'!$B$14,0)</f>
        <v>-5.4630292371426137E-2</v>
      </c>
      <c r="F1003">
        <f t="shared" ca="1" si="79"/>
        <v>0.39552573834445359</v>
      </c>
      <c r="G1003">
        <f t="shared" ca="1" si="80"/>
        <v>-0.17061363919728559</v>
      </c>
      <c r="H1003">
        <f ca="1">IF(AND(B1003&gt;'Real Analysis'!$B$31,B1003&lt;'Real Analysis'!$B$32),FilterInput(E1003,'Real Analysis'!$B$26,'Real Analysis'!$B$27),0)</f>
        <v>0</v>
      </c>
      <c r="I1003" t="e">
        <f>MEDIAN2("Real Values",H1003,'Real Analysis'!$B$5,2)</f>
        <v>#VALUE!</v>
      </c>
      <c r="J1003" t="e">
        <f>AVERAGE2("Real Values",I1003,'Real Analysis'!$B$6,2)</f>
        <v>#VALUE!</v>
      </c>
      <c r="K1003" t="e">
        <f>INTEGRAL2(J1003,$B1003,K1002,J1002,$B1002,'Real Analysis'!$B$19)</f>
        <v>#VALUE!</v>
      </c>
      <c r="L1003">
        <f ca="1">IF(AND(B1003&lt;'Real Analysis'!$B$32,B1003&gt;'Real Analysis'!$B$31),INTEGRAL2(K1003,$B1003,L1002,K1002,$B1002,'Real Analysis'!$B$20),0)</f>
        <v>0</v>
      </c>
      <c r="N1003">
        <f>'Real Analysis'!$B$28*'Real Input'!U1003+IF('Real Input'!U1003 &gt; 0,'Real Analysis'!$B$29,0)</f>
        <v>0</v>
      </c>
      <c r="O1003" t="e">
        <f t="shared" si="77"/>
        <v>#VALUE!</v>
      </c>
      <c r="P1003">
        <f t="shared" ca="1" si="78"/>
        <v>0</v>
      </c>
    </row>
    <row r="1004" spans="1:16" x14ac:dyDescent="0.3">
      <c r="A1004">
        <v>1002</v>
      </c>
      <c r="B1004">
        <f>'Real Input'!M1004</f>
        <v>23.991341999993892</v>
      </c>
      <c r="C1004">
        <f ca="1">INDIRECT(CONCATENATE("'Real Input'!",'Real Analysis'!$B$2,A1004+2))</f>
        <v>9.8538997500000001</v>
      </c>
      <c r="D1004">
        <f t="shared" si="76"/>
        <v>2.224999999452848E-2</v>
      </c>
      <c r="E1004">
        <f ca="1">IF(B1004&gt;0,C1004-'Real Analysis'!$B$14,0)</f>
        <v>-2.5980523714270731E-3</v>
      </c>
      <c r="F1004">
        <f t="shared" ca="1" si="79"/>
        <v>0.39546793167920358</v>
      </c>
      <c r="G1004">
        <f t="shared" ca="1" si="80"/>
        <v>-0.16181447771958712</v>
      </c>
      <c r="H1004">
        <f ca="1">IF(AND(B1004&gt;'Real Analysis'!$B$31,B1004&lt;'Real Analysis'!$B$32),FilterInput(E1004,'Real Analysis'!$B$26,'Real Analysis'!$B$27),0)</f>
        <v>0</v>
      </c>
      <c r="I1004" t="e">
        <f>MEDIAN2("Real Values",H1004,'Real Analysis'!$B$5,2)</f>
        <v>#VALUE!</v>
      </c>
      <c r="J1004" t="e">
        <f>AVERAGE2("Real Values",I1004,'Real Analysis'!$B$6,2)</f>
        <v>#VALUE!</v>
      </c>
      <c r="K1004" t="e">
        <f>INTEGRAL2(J1004,$B1004,K1003,J1003,$B1003,'Real Analysis'!$B$19)</f>
        <v>#VALUE!</v>
      </c>
      <c r="L1004">
        <f ca="1">IF(AND(B1004&lt;'Real Analysis'!$B$32,B1004&gt;'Real Analysis'!$B$31),INTEGRAL2(K1004,$B1004,L1003,K1003,$B1003,'Real Analysis'!$B$20),0)</f>
        <v>0</v>
      </c>
      <c r="N1004">
        <f>'Real Analysis'!$B$28*'Real Input'!U1004+IF('Real Input'!U1004 &gt; 0,'Real Analysis'!$B$29,0)</f>
        <v>0</v>
      </c>
      <c r="O1004" t="e">
        <f t="shared" si="77"/>
        <v>#VALUE!</v>
      </c>
      <c r="P1004">
        <f t="shared" ca="1" si="78"/>
        <v>0</v>
      </c>
    </row>
    <row r="1005" spans="1:16" x14ac:dyDescent="0.3">
      <c r="A1005">
        <v>1003</v>
      </c>
      <c r="B1005">
        <f>'Real Input'!M1005</f>
        <v>24.004977999997209</v>
      </c>
      <c r="C1005">
        <f ca="1">INDIRECT(CONCATENATE("'Real Input'!",'Real Analysis'!$B$2,A1005+2))</f>
        <v>9.8468954100000001</v>
      </c>
      <c r="D1005">
        <f t="shared" si="76"/>
        <v>1.363600000331644E-2</v>
      </c>
      <c r="E1005">
        <f ca="1">IF(B1005&gt;0,C1005-'Real Analysis'!$B$14,0)</f>
        <v>-9.6023923714270154E-3</v>
      </c>
      <c r="F1005">
        <f t="shared" ca="1" si="79"/>
        <v>0.39533699345679496</v>
      </c>
      <c r="G1005">
        <f t="shared" ca="1" si="80"/>
        <v>-0.15642366247549916</v>
      </c>
      <c r="H1005">
        <f ca="1">IF(AND(B1005&gt;'Real Analysis'!$B$31,B1005&lt;'Real Analysis'!$B$32),FilterInput(E1005,'Real Analysis'!$B$26,'Real Analysis'!$B$27),0)</f>
        <v>0</v>
      </c>
      <c r="I1005" t="e">
        <f>MEDIAN2("Real Values",H1005,'Real Analysis'!$B$5,2)</f>
        <v>#VALUE!</v>
      </c>
      <c r="J1005" t="e">
        <f>AVERAGE2("Real Values",I1005,'Real Analysis'!$B$6,2)</f>
        <v>#VALUE!</v>
      </c>
      <c r="K1005" t="e">
        <f>INTEGRAL2(J1005,$B1005,K1004,J1004,$B1004,'Real Analysis'!$B$19)</f>
        <v>#VALUE!</v>
      </c>
      <c r="L1005">
        <f ca="1">IF(AND(B1005&lt;'Real Analysis'!$B$32,B1005&gt;'Real Analysis'!$B$31),INTEGRAL2(K1005,$B1005,L1004,K1004,$B1004,'Real Analysis'!$B$20),0)</f>
        <v>0</v>
      </c>
      <c r="N1005">
        <f>'Real Analysis'!$B$28*'Real Input'!U1005+IF('Real Input'!U1005 &gt; 0,'Real Analysis'!$B$29,0)</f>
        <v>0</v>
      </c>
      <c r="O1005" t="e">
        <f t="shared" si="77"/>
        <v>#VALUE!</v>
      </c>
      <c r="P1005">
        <f t="shared" ca="1" si="78"/>
        <v>0</v>
      </c>
    </row>
    <row r="1006" spans="1:16" x14ac:dyDescent="0.3">
      <c r="A1006">
        <v>1004</v>
      </c>
      <c r="B1006">
        <f>'Real Input'!M1006</f>
        <v>24.030178000000888</v>
      </c>
      <c r="C1006">
        <f ca="1">INDIRECT(CONCATENATE("'Real Input'!",'Real Analysis'!$B$2,A1006+2))</f>
        <v>9.8491026600000016</v>
      </c>
      <c r="D1006">
        <f t="shared" si="76"/>
        <v>2.5200000003678724E-2</v>
      </c>
      <c r="E1006">
        <f ca="1">IF(B1006&gt;0,C1006-'Real Analysis'!$B$14,0)</f>
        <v>-7.3951423714255782E-3</v>
      </c>
      <c r="F1006">
        <f t="shared" ca="1" si="79"/>
        <v>0.39515063586900784</v>
      </c>
      <c r="G1006">
        <f t="shared" ca="1" si="80"/>
        <v>-0.1464658664501465</v>
      </c>
      <c r="H1006">
        <f ca="1">IF(AND(B1006&gt;'Real Analysis'!$B$31,B1006&lt;'Real Analysis'!$B$32),FilterInput(E1006,'Real Analysis'!$B$26,'Real Analysis'!$B$27),0)</f>
        <v>0</v>
      </c>
      <c r="I1006" t="e">
        <f>MEDIAN2("Real Values",H1006,'Real Analysis'!$B$5,2)</f>
        <v>#VALUE!</v>
      </c>
      <c r="J1006" t="e">
        <f>AVERAGE2("Real Values",I1006,'Real Analysis'!$B$6,2)</f>
        <v>#VALUE!</v>
      </c>
      <c r="K1006" t="e">
        <f>INTEGRAL2(J1006,$B1006,K1005,J1005,$B1005,'Real Analysis'!$B$19)</f>
        <v>#VALUE!</v>
      </c>
      <c r="L1006">
        <f ca="1">IF(AND(B1006&lt;'Real Analysis'!$B$32,B1006&gt;'Real Analysis'!$B$31),INTEGRAL2(K1006,$B1006,L1005,K1005,$B1005,'Real Analysis'!$B$20),0)</f>
        <v>0</v>
      </c>
      <c r="N1006">
        <f>'Real Analysis'!$B$28*'Real Input'!U1006+IF('Real Input'!U1006 &gt; 0,'Real Analysis'!$B$29,0)</f>
        <v>0</v>
      </c>
      <c r="O1006" t="e">
        <f t="shared" si="77"/>
        <v>#VALUE!</v>
      </c>
      <c r="P1006">
        <f t="shared" ca="1" si="78"/>
        <v>0</v>
      </c>
    </row>
    <row r="1007" spans="1:16" x14ac:dyDescent="0.3">
      <c r="A1007">
        <v>1005</v>
      </c>
      <c r="B1007">
        <f>'Real Input'!M1007</f>
        <v>24.051252999997814</v>
      </c>
      <c r="C1007">
        <f ca="1">INDIRECT(CONCATENATE("'Real Input'!",'Real Analysis'!$B$2,A1007+2))</f>
        <v>9.8509175100000004</v>
      </c>
      <c r="D1007">
        <f t="shared" si="76"/>
        <v>2.1074999996926636E-2</v>
      </c>
      <c r="E1007">
        <f ca="1">IF(B1007&gt;0,C1007-'Real Analysis'!$B$14,0)</f>
        <v>-5.5802923714267649E-3</v>
      </c>
      <c r="F1007">
        <f t="shared" ca="1" si="79"/>
        <v>0.39503303120729716</v>
      </c>
      <c r="G1007">
        <f t="shared" ca="1" si="80"/>
        <v>-0.13814054531866679</v>
      </c>
      <c r="H1007">
        <f ca="1">IF(AND(B1007&gt;'Real Analysis'!$B$31,B1007&lt;'Real Analysis'!$B$32),FilterInput(E1007,'Real Analysis'!$B$26,'Real Analysis'!$B$27),0)</f>
        <v>0</v>
      </c>
      <c r="I1007" t="e">
        <f>MEDIAN2("Real Values",H1007,'Real Analysis'!$B$5,2)</f>
        <v>#VALUE!</v>
      </c>
      <c r="J1007" t="e">
        <f>AVERAGE2("Real Values",I1007,'Real Analysis'!$B$6,2)</f>
        <v>#VALUE!</v>
      </c>
      <c r="K1007" t="e">
        <f>INTEGRAL2(J1007,$B1007,K1006,J1006,$B1006,'Real Analysis'!$B$19)</f>
        <v>#VALUE!</v>
      </c>
      <c r="L1007">
        <f ca="1">IF(AND(B1007&lt;'Real Analysis'!$B$32,B1007&gt;'Real Analysis'!$B$31),INTEGRAL2(K1007,$B1007,L1006,K1006,$B1006,'Real Analysis'!$B$20),0)</f>
        <v>0</v>
      </c>
      <c r="N1007">
        <f>'Real Analysis'!$B$28*'Real Input'!U1007+IF('Real Input'!U1007 &gt; 0,'Real Analysis'!$B$29,0)</f>
        <v>0</v>
      </c>
      <c r="O1007" t="e">
        <f t="shared" si="77"/>
        <v>#VALUE!</v>
      </c>
      <c r="P1007">
        <f t="shared" ca="1" si="78"/>
        <v>0</v>
      </c>
    </row>
    <row r="1008" spans="1:16" x14ac:dyDescent="0.3">
      <c r="A1008">
        <v>1006</v>
      </c>
      <c r="B1008">
        <f>'Real Input'!M1008</f>
        <v>24.071083000002545</v>
      </c>
      <c r="C1008">
        <f ca="1">INDIRECT(CONCATENATE("'Real Input'!",'Real Analysis'!$B$2,A1008+2))</f>
        <v>9.8672021099999991</v>
      </c>
      <c r="D1008">
        <f t="shared" si="76"/>
        <v>1.9830000004731119E-2</v>
      </c>
      <c r="E1008">
        <f ca="1">IF(B1008&gt;0,C1008-'Real Analysis'!$B$14,0)</f>
        <v>1.0704307628571996E-2</v>
      </c>
      <c r="F1008">
        <f t="shared" ca="1" si="79"/>
        <v>0.39524529762762239</v>
      </c>
      <c r="G1008">
        <f t="shared" ca="1" si="80"/>
        <v>-0.13030283106484108</v>
      </c>
      <c r="H1008">
        <f ca="1">IF(AND(B1008&gt;'Real Analysis'!$B$31,B1008&lt;'Real Analysis'!$B$32),FilterInput(E1008,'Real Analysis'!$B$26,'Real Analysis'!$B$27),0)</f>
        <v>0</v>
      </c>
      <c r="I1008" t="e">
        <f>MEDIAN2("Real Values",H1008,'Real Analysis'!$B$5,2)</f>
        <v>#VALUE!</v>
      </c>
      <c r="J1008" t="e">
        <f>AVERAGE2("Real Values",I1008,'Real Analysis'!$B$6,2)</f>
        <v>#VALUE!</v>
      </c>
      <c r="K1008" t="e">
        <f>INTEGRAL2(J1008,$B1008,K1007,J1007,$B1007,'Real Analysis'!$B$19)</f>
        <v>#VALUE!</v>
      </c>
      <c r="L1008">
        <f ca="1">IF(AND(B1008&lt;'Real Analysis'!$B$32,B1008&gt;'Real Analysis'!$B$31),INTEGRAL2(K1008,$B1008,L1007,K1007,$B1007,'Real Analysis'!$B$20),0)</f>
        <v>0</v>
      </c>
      <c r="N1008">
        <f>'Real Analysis'!$B$28*'Real Input'!U1008+IF('Real Input'!U1008 &gt; 0,'Real Analysis'!$B$29,0)</f>
        <v>0</v>
      </c>
      <c r="O1008" t="e">
        <f t="shared" si="77"/>
        <v>#VALUE!</v>
      </c>
      <c r="P1008">
        <f t="shared" ca="1" si="78"/>
        <v>0</v>
      </c>
    </row>
    <row r="1009" spans="1:16" x14ac:dyDescent="0.3">
      <c r="A1009">
        <v>1007</v>
      </c>
      <c r="B1009">
        <f>'Real Input'!M1009</f>
        <v>24.08887799999502</v>
      </c>
      <c r="C1009">
        <f ca="1">INDIRECT(CONCATENATE("'Real Input'!",'Real Analysis'!$B$2,A1009+2))</f>
        <v>9.85654845</v>
      </c>
      <c r="D1009">
        <f t="shared" si="76"/>
        <v>1.7794999992474914E-2</v>
      </c>
      <c r="E1009">
        <f ca="1">IF(B1009&gt;0,C1009-'Real Analysis'!$B$14,0)</f>
        <v>5.0647628572875192E-5</v>
      </c>
      <c r="F1009">
        <f t="shared" ca="1" si="79"/>
        <v>0.39524619890217244</v>
      </c>
      <c r="G1009">
        <f t="shared" ca="1" si="80"/>
        <v>-0.12326942495835119</v>
      </c>
      <c r="H1009">
        <f ca="1">IF(AND(B1009&gt;'Real Analysis'!$B$31,B1009&lt;'Real Analysis'!$B$32),FilterInput(E1009,'Real Analysis'!$B$26,'Real Analysis'!$B$27),0)</f>
        <v>0</v>
      </c>
      <c r="I1009" t="e">
        <f>MEDIAN2("Real Values",H1009,'Real Analysis'!$B$5,2)</f>
        <v>#VALUE!</v>
      </c>
      <c r="J1009" t="e">
        <f>AVERAGE2("Real Values",I1009,'Real Analysis'!$B$6,2)</f>
        <v>#VALUE!</v>
      </c>
      <c r="K1009" t="e">
        <f>INTEGRAL2(J1009,$B1009,K1008,J1008,$B1008,'Real Analysis'!$B$19)</f>
        <v>#VALUE!</v>
      </c>
      <c r="L1009">
        <f ca="1">IF(AND(B1009&lt;'Real Analysis'!$B$32,B1009&gt;'Real Analysis'!$B$31),INTEGRAL2(K1009,$B1009,L1008,K1008,$B1008,'Real Analysis'!$B$20),0)</f>
        <v>0</v>
      </c>
      <c r="N1009">
        <f>'Real Analysis'!$B$28*'Real Input'!U1009+IF('Real Input'!U1009 &gt; 0,'Real Analysis'!$B$29,0)</f>
        <v>0</v>
      </c>
      <c r="O1009" t="e">
        <f t="shared" si="77"/>
        <v>#VALUE!</v>
      </c>
      <c r="P1009">
        <f t="shared" ca="1" si="78"/>
        <v>0</v>
      </c>
    </row>
    <row r="1010" spans="1:16" x14ac:dyDescent="0.3">
      <c r="A1010">
        <v>1008</v>
      </c>
      <c r="B1010">
        <f>'Real Input'!M1010</f>
        <v>24.109505000000354</v>
      </c>
      <c r="C1010">
        <f ca="1">INDIRECT(CONCATENATE("'Real Input'!",'Real Analysis'!$B$2,A1010+2))</f>
        <v>9.8449726500000008</v>
      </c>
      <c r="D1010">
        <f t="shared" si="76"/>
        <v>2.0627000005333684E-2</v>
      </c>
      <c r="E1010">
        <f ca="1">IF(B1010&gt;0,C1010-'Real Analysis'!$B$14,0)</f>
        <v>-1.1525152371426373E-2</v>
      </c>
      <c r="F1010">
        <f t="shared" ca="1" si="79"/>
        <v>0.39500846958414554</v>
      </c>
      <c r="G1010">
        <f t="shared" ca="1" si="80"/>
        <v>-0.11512158525413217</v>
      </c>
      <c r="H1010">
        <f ca="1">IF(AND(B1010&gt;'Real Analysis'!$B$31,B1010&lt;'Real Analysis'!$B$32),FilterInput(E1010,'Real Analysis'!$B$26,'Real Analysis'!$B$27),0)</f>
        <v>0</v>
      </c>
      <c r="I1010" t="e">
        <f>MEDIAN2("Real Values",H1010,'Real Analysis'!$B$5,2)</f>
        <v>#VALUE!</v>
      </c>
      <c r="J1010" t="e">
        <f>AVERAGE2("Real Values",I1010,'Real Analysis'!$B$6,2)</f>
        <v>#VALUE!</v>
      </c>
      <c r="K1010" t="e">
        <f>INTEGRAL2(J1010,$B1010,K1009,J1009,$B1009,'Real Analysis'!$B$19)</f>
        <v>#VALUE!</v>
      </c>
      <c r="L1010">
        <f ca="1">IF(AND(B1010&lt;'Real Analysis'!$B$32,B1010&gt;'Real Analysis'!$B$31),INTEGRAL2(K1010,$B1010,L1009,K1009,$B1009,'Real Analysis'!$B$20),0)</f>
        <v>0</v>
      </c>
      <c r="N1010">
        <f>'Real Analysis'!$B$28*'Real Input'!U1010+IF('Real Input'!U1010 &gt; 0,'Real Analysis'!$B$29,0)</f>
        <v>0</v>
      </c>
      <c r="O1010" t="e">
        <f t="shared" si="77"/>
        <v>#VALUE!</v>
      </c>
      <c r="P1010">
        <f t="shared" ca="1" si="78"/>
        <v>0</v>
      </c>
    </row>
    <row r="1011" spans="1:16" x14ac:dyDescent="0.3">
      <c r="A1011">
        <v>1009</v>
      </c>
      <c r="B1011">
        <f>'Real Input'!M1011</f>
        <v>24.130529000001843</v>
      </c>
      <c r="C1011">
        <f ca="1">INDIRECT(CONCATENATE("'Real Input'!",'Real Analysis'!$B$2,A1011+2))</f>
        <v>9.8483472899999995</v>
      </c>
      <c r="D1011">
        <f t="shared" si="76"/>
        <v>2.1024000001489185E-2</v>
      </c>
      <c r="E1011">
        <f ca="1">IF(B1011&gt;0,C1011-'Real Analysis'!$B$14,0)</f>
        <v>-8.1505123714276095E-3</v>
      </c>
      <c r="F1011">
        <f t="shared" ca="1" si="79"/>
        <v>0.39483711321203652</v>
      </c>
      <c r="G1011">
        <f t="shared" ca="1" si="80"/>
        <v>-0.10682052978537433</v>
      </c>
      <c r="H1011">
        <f ca="1">IF(AND(B1011&gt;'Real Analysis'!$B$31,B1011&lt;'Real Analysis'!$B$32),FilterInput(E1011,'Real Analysis'!$B$26,'Real Analysis'!$B$27),0)</f>
        <v>0</v>
      </c>
      <c r="I1011" t="e">
        <f>MEDIAN2("Real Values",H1011,'Real Analysis'!$B$5,2)</f>
        <v>#VALUE!</v>
      </c>
      <c r="J1011" t="e">
        <f>AVERAGE2("Real Values",I1011,'Real Analysis'!$B$6,2)</f>
        <v>#VALUE!</v>
      </c>
      <c r="K1011" t="e">
        <f>INTEGRAL2(J1011,$B1011,K1010,J1010,$B1010,'Real Analysis'!$B$19)</f>
        <v>#VALUE!</v>
      </c>
      <c r="L1011">
        <f ca="1">IF(AND(B1011&lt;'Real Analysis'!$B$32,B1011&gt;'Real Analysis'!$B$31),INTEGRAL2(K1011,$B1011,L1010,K1010,$B1010,'Real Analysis'!$B$20),0)</f>
        <v>0</v>
      </c>
      <c r="N1011">
        <f>'Real Analysis'!$B$28*'Real Input'!U1011+IF('Real Input'!U1011 &gt; 0,'Real Analysis'!$B$29,0)</f>
        <v>0</v>
      </c>
      <c r="O1011" t="e">
        <f t="shared" si="77"/>
        <v>#VALUE!</v>
      </c>
      <c r="P1011">
        <f t="shared" ca="1" si="78"/>
        <v>0</v>
      </c>
    </row>
    <row r="1012" spans="1:16" x14ac:dyDescent="0.3">
      <c r="A1012">
        <v>1010</v>
      </c>
      <c r="B1012">
        <f>'Real Input'!M1012</f>
        <v>24.149757999999565</v>
      </c>
      <c r="C1012">
        <f ca="1">INDIRECT(CONCATENATE("'Real Input'!",'Real Analysis'!$B$2,A1012+2))</f>
        <v>9.851820029999999</v>
      </c>
      <c r="D1012">
        <f t="shared" si="76"/>
        <v>1.9228999997721985E-2</v>
      </c>
      <c r="E1012">
        <f ca="1">IF(B1012&gt;0,C1012-'Real Analysis'!$B$14,0)</f>
        <v>-4.6777723714281905E-3</v>
      </c>
      <c r="F1012">
        <f t="shared" ca="1" si="79"/>
        <v>0.39474716432711698</v>
      </c>
      <c r="G1012">
        <f t="shared" ca="1" si="80"/>
        <v>-9.9229936563427434E-2</v>
      </c>
      <c r="H1012">
        <f ca="1">IF(AND(B1012&gt;'Real Analysis'!$B$31,B1012&lt;'Real Analysis'!$B$32),FilterInput(E1012,'Real Analysis'!$B$26,'Real Analysis'!$B$27),0)</f>
        <v>0</v>
      </c>
      <c r="I1012" t="e">
        <f>MEDIAN2("Real Values",H1012,'Real Analysis'!$B$5,2)</f>
        <v>#VALUE!</v>
      </c>
      <c r="J1012" t="e">
        <f>AVERAGE2("Real Values",I1012,'Real Analysis'!$B$6,2)</f>
        <v>#VALUE!</v>
      </c>
      <c r="K1012" t="e">
        <f>INTEGRAL2(J1012,$B1012,K1011,J1011,$B1011,'Real Analysis'!$B$19)</f>
        <v>#VALUE!</v>
      </c>
      <c r="L1012">
        <f ca="1">IF(AND(B1012&lt;'Real Analysis'!$B$32,B1012&gt;'Real Analysis'!$B$31),INTEGRAL2(K1012,$B1012,L1011,K1011,$B1011,'Real Analysis'!$B$20),0)</f>
        <v>0</v>
      </c>
      <c r="N1012">
        <f>'Real Analysis'!$B$28*'Real Input'!U1012+IF('Real Input'!U1012 &gt; 0,'Real Analysis'!$B$29,0)</f>
        <v>0</v>
      </c>
      <c r="O1012" t="e">
        <f t="shared" si="77"/>
        <v>#VALUE!</v>
      </c>
      <c r="P1012">
        <f t="shared" ca="1" si="78"/>
        <v>0</v>
      </c>
    </row>
    <row r="1013" spans="1:16" x14ac:dyDescent="0.3">
      <c r="A1013">
        <v>1011</v>
      </c>
      <c r="B1013">
        <f>'Real Input'!M1013</f>
        <v>24.169351999997161</v>
      </c>
      <c r="C1013">
        <f ca="1">INDIRECT(CONCATENATE("'Real Input'!",'Real Analysis'!$B$2,A1013+2))</f>
        <v>9.85001499</v>
      </c>
      <c r="D1013">
        <f t="shared" si="76"/>
        <v>1.9593999997596256E-2</v>
      </c>
      <c r="E1013">
        <f ca="1">IF(B1013&gt;0,C1013-'Real Analysis'!$B$14,0)</f>
        <v>-6.4828123714271157E-3</v>
      </c>
      <c r="F1013">
        <f t="shared" ca="1" si="79"/>
        <v>0.39462014010152685</v>
      </c>
      <c r="G1013">
        <f t="shared" ca="1" si="80"/>
        <v>-9.149774953922668E-2</v>
      </c>
      <c r="H1013">
        <f ca="1">IF(AND(B1013&gt;'Real Analysis'!$B$31,B1013&lt;'Real Analysis'!$B$32),FilterInput(E1013,'Real Analysis'!$B$26,'Real Analysis'!$B$27),0)</f>
        <v>0</v>
      </c>
      <c r="I1013" t="e">
        <f>MEDIAN2("Real Values",H1013,'Real Analysis'!$B$5,2)</f>
        <v>#VALUE!</v>
      </c>
      <c r="J1013" t="e">
        <f>AVERAGE2("Real Values",I1013,'Real Analysis'!$B$6,2)</f>
        <v>#VALUE!</v>
      </c>
      <c r="K1013" t="e">
        <f>INTEGRAL2(J1013,$B1013,K1012,J1012,$B1012,'Real Analysis'!$B$19)</f>
        <v>#VALUE!</v>
      </c>
      <c r="L1013">
        <f ca="1">IF(AND(B1013&lt;'Real Analysis'!$B$32,B1013&gt;'Real Analysis'!$B$31),INTEGRAL2(K1013,$B1013,L1012,K1012,$B1012,'Real Analysis'!$B$20),0)</f>
        <v>0</v>
      </c>
      <c r="N1013">
        <f>'Real Analysis'!$B$28*'Real Input'!U1013+IF('Real Input'!U1013 &gt; 0,'Real Analysis'!$B$29,0)</f>
        <v>0</v>
      </c>
      <c r="O1013" t="e">
        <f t="shared" si="77"/>
        <v>#VALUE!</v>
      </c>
      <c r="P1013">
        <f t="shared" ca="1" si="78"/>
        <v>0</v>
      </c>
    </row>
    <row r="1014" spans="1:16" x14ac:dyDescent="0.3">
      <c r="A1014">
        <v>1012</v>
      </c>
      <c r="B1014">
        <f>'Real Input'!M1014</f>
        <v>24.185184999994817</v>
      </c>
      <c r="C1014">
        <f ca="1">INDIRECT(CONCATENATE("'Real Input'!",'Real Analysis'!$B$2,A1014+2))</f>
        <v>9.8487887399999998</v>
      </c>
      <c r="D1014">
        <f t="shared" si="76"/>
        <v>1.5832999997655861E-2</v>
      </c>
      <c r="E1014">
        <f ca="1">IF(B1014&gt;0,C1014-'Real Analysis'!$B$14,0)</f>
        <v>-7.7090623714273221E-3</v>
      </c>
      <c r="F1014">
        <f t="shared" ca="1" si="79"/>
        <v>0.39449808251701812</v>
      </c>
      <c r="G1014">
        <f t="shared" ca="1" si="80"/>
        <v>-8.5251661399659492E-2</v>
      </c>
      <c r="H1014">
        <f ca="1">IF(AND(B1014&gt;'Real Analysis'!$B$31,B1014&lt;'Real Analysis'!$B$32),FilterInput(E1014,'Real Analysis'!$B$26,'Real Analysis'!$B$27),0)</f>
        <v>0</v>
      </c>
      <c r="I1014" t="e">
        <f>MEDIAN2("Real Values",H1014,'Real Analysis'!$B$5,2)</f>
        <v>#VALUE!</v>
      </c>
      <c r="J1014" t="e">
        <f>AVERAGE2("Real Values",I1014,'Real Analysis'!$B$6,2)</f>
        <v>#VALUE!</v>
      </c>
      <c r="K1014" t="e">
        <f>INTEGRAL2(J1014,$B1014,K1013,J1013,$B1013,'Real Analysis'!$B$19)</f>
        <v>#VALUE!</v>
      </c>
      <c r="L1014">
        <f ca="1">IF(AND(B1014&lt;'Real Analysis'!$B$32,B1014&gt;'Real Analysis'!$B$31),INTEGRAL2(K1014,$B1014,L1013,K1013,$B1013,'Real Analysis'!$B$20),0)</f>
        <v>0</v>
      </c>
      <c r="N1014">
        <f>'Real Analysis'!$B$28*'Real Input'!U1014+IF('Real Input'!U1014 &gt; 0,'Real Analysis'!$B$29,0)</f>
        <v>0</v>
      </c>
      <c r="O1014" t="e">
        <f t="shared" si="77"/>
        <v>#VALUE!</v>
      </c>
      <c r="P1014">
        <f t="shared" ca="1" si="78"/>
        <v>0</v>
      </c>
    </row>
    <row r="1015" spans="1:16" x14ac:dyDescent="0.3">
      <c r="A1015">
        <v>1013</v>
      </c>
      <c r="B1015">
        <f>'Real Input'!M1015</f>
        <v>24.210292000003392</v>
      </c>
      <c r="C1015">
        <f ca="1">INDIRECT(CONCATENATE("'Real Input'!",'Real Analysis'!$B$2,A1015+2))</f>
        <v>9.866015100000002</v>
      </c>
      <c r="D1015">
        <f t="shared" si="76"/>
        <v>2.5107000008574687E-2</v>
      </c>
      <c r="E1015">
        <f ca="1">IF(B1015&gt;0,C1015-'Real Analysis'!$B$14,0)</f>
        <v>9.5172976285748945E-3</v>
      </c>
      <c r="F1015">
        <f t="shared" ca="1" si="79"/>
        <v>0.39473703330866033</v>
      </c>
      <c r="G1015">
        <f t="shared" ca="1" si="80"/>
        <v>-7.5340998700994213E-2</v>
      </c>
      <c r="H1015">
        <f ca="1">IF(AND(B1015&gt;'Real Analysis'!$B$31,B1015&lt;'Real Analysis'!$B$32),FilterInput(E1015,'Real Analysis'!$B$26,'Real Analysis'!$B$27),0)</f>
        <v>0</v>
      </c>
      <c r="I1015" t="e">
        <f>MEDIAN2("Real Values",H1015,'Real Analysis'!$B$5,2)</f>
        <v>#VALUE!</v>
      </c>
      <c r="J1015" t="e">
        <f>AVERAGE2("Real Values",I1015,'Real Analysis'!$B$6,2)</f>
        <v>#VALUE!</v>
      </c>
      <c r="K1015" t="e">
        <f>INTEGRAL2(J1015,$B1015,K1014,J1014,$B1014,'Real Analysis'!$B$19)</f>
        <v>#VALUE!</v>
      </c>
      <c r="L1015">
        <f ca="1">IF(AND(B1015&lt;'Real Analysis'!$B$32,B1015&gt;'Real Analysis'!$B$31),INTEGRAL2(K1015,$B1015,L1014,K1014,$B1014,'Real Analysis'!$B$20),0)</f>
        <v>0</v>
      </c>
      <c r="N1015">
        <f>'Real Analysis'!$B$28*'Real Input'!U1015+IF('Real Input'!U1015 &gt; 0,'Real Analysis'!$B$29,0)</f>
        <v>0</v>
      </c>
      <c r="O1015" t="e">
        <f t="shared" si="77"/>
        <v>#VALUE!</v>
      </c>
      <c r="P1015">
        <f t="shared" ca="1" si="78"/>
        <v>0</v>
      </c>
    </row>
    <row r="1016" spans="1:16" x14ac:dyDescent="0.3">
      <c r="A1016">
        <v>1014</v>
      </c>
      <c r="B1016">
        <f>'Real Input'!M1016</f>
        <v>24.230257000002894</v>
      </c>
      <c r="C1016">
        <f ca="1">INDIRECT(CONCATENATE("'Real Input'!",'Real Analysis'!$B$2,A1016+2))</f>
        <v>9.8563816800000019</v>
      </c>
      <c r="D1016">
        <f t="shared" si="76"/>
        <v>1.9964999999501742E-2</v>
      </c>
      <c r="E1016">
        <f ca="1">IF(B1016&gt;0,C1016-'Real Analysis'!$B$14,0)</f>
        <v>-1.1612237142522019E-4</v>
      </c>
      <c r="F1016">
        <f t="shared" ca="1" si="79"/>
        <v>0.39473471492551487</v>
      </c>
      <c r="G1016">
        <f t="shared" ca="1" si="80"/>
        <v>-6.7460120117702985E-2</v>
      </c>
      <c r="H1016">
        <f ca="1">IF(AND(B1016&gt;'Real Analysis'!$B$31,B1016&lt;'Real Analysis'!$B$32),FilterInput(E1016,'Real Analysis'!$B$26,'Real Analysis'!$B$27),0)</f>
        <v>0</v>
      </c>
      <c r="I1016" t="e">
        <f>MEDIAN2("Real Values",H1016,'Real Analysis'!$B$5,2)</f>
        <v>#VALUE!</v>
      </c>
      <c r="J1016" t="e">
        <f>AVERAGE2("Real Values",I1016,'Real Analysis'!$B$6,2)</f>
        <v>#VALUE!</v>
      </c>
      <c r="K1016" t="e">
        <f>INTEGRAL2(J1016,$B1016,K1015,J1015,$B1015,'Real Analysis'!$B$19)</f>
        <v>#VALUE!</v>
      </c>
      <c r="L1016">
        <f ca="1">IF(AND(B1016&lt;'Real Analysis'!$B$32,B1016&gt;'Real Analysis'!$B$31),INTEGRAL2(K1016,$B1016,L1015,K1015,$B1015,'Real Analysis'!$B$20),0)</f>
        <v>0</v>
      </c>
      <c r="N1016">
        <f>'Real Analysis'!$B$28*'Real Input'!U1016+IF('Real Input'!U1016 &gt; 0,'Real Analysis'!$B$29,0)</f>
        <v>0</v>
      </c>
      <c r="O1016" t="e">
        <f t="shared" si="77"/>
        <v>#VALUE!</v>
      </c>
      <c r="P1016">
        <f t="shared" ca="1" si="78"/>
        <v>0</v>
      </c>
    </row>
    <row r="1017" spans="1:16" x14ac:dyDescent="0.3">
      <c r="A1017">
        <v>1015</v>
      </c>
      <c r="B1017">
        <f>'Real Input'!M1017</f>
        <v>24.251063000003342</v>
      </c>
      <c r="C1017">
        <f ca="1">INDIRECT(CONCATENATE("'Real Input'!",'Real Analysis'!$B$2,A1017+2))</f>
        <v>9.8486219700000017</v>
      </c>
      <c r="D1017">
        <f t="shared" si="76"/>
        <v>2.0806000000447966E-2</v>
      </c>
      <c r="E1017">
        <f ca="1">IF(B1017&gt;0,C1017-'Real Analysis'!$B$14,0)</f>
        <v>-7.8758323714254175E-3</v>
      </c>
      <c r="F1017">
        <f t="shared" ca="1" si="79"/>
        <v>0.39457085035719147</v>
      </c>
      <c r="G1017">
        <f t="shared" ca="1" si="80"/>
        <v>-5.9250679004994505E-2</v>
      </c>
      <c r="H1017">
        <f ca="1">IF(AND(B1017&gt;'Real Analysis'!$B$31,B1017&lt;'Real Analysis'!$B$32),FilterInput(E1017,'Real Analysis'!$B$26,'Real Analysis'!$B$27),0)</f>
        <v>0</v>
      </c>
      <c r="I1017" t="e">
        <f>MEDIAN2("Real Values",H1017,'Real Analysis'!$B$5,2)</f>
        <v>#VALUE!</v>
      </c>
      <c r="J1017" t="e">
        <f>AVERAGE2("Real Values",I1017,'Real Analysis'!$B$6,2)</f>
        <v>#VALUE!</v>
      </c>
      <c r="K1017" t="e">
        <f>INTEGRAL2(J1017,$B1017,K1016,J1016,$B1016,'Real Analysis'!$B$19)</f>
        <v>#VALUE!</v>
      </c>
      <c r="L1017">
        <f ca="1">IF(AND(B1017&lt;'Real Analysis'!$B$32,B1017&gt;'Real Analysis'!$B$31),INTEGRAL2(K1017,$B1017,L1016,K1016,$B1016,'Real Analysis'!$B$20),0)</f>
        <v>0</v>
      </c>
      <c r="N1017">
        <f>'Real Analysis'!$B$28*'Real Input'!U1017+IF('Real Input'!U1017 &gt; 0,'Real Analysis'!$B$29,0)</f>
        <v>0</v>
      </c>
      <c r="O1017" t="e">
        <f t="shared" si="77"/>
        <v>#VALUE!</v>
      </c>
      <c r="P1017">
        <f t="shared" ca="1" si="78"/>
        <v>0</v>
      </c>
    </row>
    <row r="1018" spans="1:16" x14ac:dyDescent="0.3">
      <c r="A1018">
        <v>1016</v>
      </c>
      <c r="B1018">
        <f>'Real Input'!M1018</f>
        <v>24.260286999997334</v>
      </c>
      <c r="C1018">
        <f ca="1">INDIRECT(CONCATENATE("'Real Input'!",'Real Analysis'!$B$2,A1018+2))</f>
        <v>9.8281681200000008</v>
      </c>
      <c r="D1018">
        <f t="shared" si="76"/>
        <v>9.2239999939920381E-3</v>
      </c>
      <c r="E1018">
        <f ca="1">IF(B1018&gt;0,C1018-'Real Analysis'!$B$14,0)</f>
        <v>-2.8329682371426301E-2</v>
      </c>
      <c r="F1018">
        <f t="shared" ca="1" si="79"/>
        <v>0.39430953736716762</v>
      </c>
      <c r="G1018">
        <f t="shared" ca="1" si="80"/>
        <v>-5.5613567834688751E-2</v>
      </c>
      <c r="H1018">
        <f ca="1">IF(AND(B1018&gt;'Real Analysis'!$B$31,B1018&lt;'Real Analysis'!$B$32),FilterInput(E1018,'Real Analysis'!$B$26,'Real Analysis'!$B$27),0)</f>
        <v>0</v>
      </c>
      <c r="I1018" t="e">
        <f>MEDIAN2("Real Values",H1018,'Real Analysis'!$B$5,2)</f>
        <v>#VALUE!</v>
      </c>
      <c r="J1018" t="e">
        <f>AVERAGE2("Real Values",I1018,'Real Analysis'!$B$6,2)</f>
        <v>#VALUE!</v>
      </c>
      <c r="K1018" t="e">
        <f>INTEGRAL2(J1018,$B1018,K1017,J1017,$B1017,'Real Analysis'!$B$19)</f>
        <v>#VALUE!</v>
      </c>
      <c r="L1018">
        <f ca="1">IF(AND(B1018&lt;'Real Analysis'!$B$32,B1018&gt;'Real Analysis'!$B$31),INTEGRAL2(K1018,$B1018,L1017,K1017,$B1017,'Real Analysis'!$B$20),0)</f>
        <v>0</v>
      </c>
      <c r="N1018">
        <f>'Real Analysis'!$B$28*'Real Input'!U1018+IF('Real Input'!U1018 &gt; 0,'Real Analysis'!$B$29,0)</f>
        <v>0</v>
      </c>
      <c r="O1018" t="e">
        <f t="shared" si="77"/>
        <v>#VALUE!</v>
      </c>
      <c r="P1018">
        <f t="shared" ca="1" si="78"/>
        <v>0</v>
      </c>
    </row>
    <row r="1019" spans="1:16" x14ac:dyDescent="0.3">
      <c r="A1019">
        <v>1017</v>
      </c>
      <c r="B1019">
        <f>'Real Input'!M1019</f>
        <v>24.290764000004856</v>
      </c>
      <c r="C1019">
        <f ca="1">INDIRECT(CONCATENATE("'Real Input'!",'Real Analysis'!$B$2,A1019+2))</f>
        <v>9.8438935500000007</v>
      </c>
      <c r="D1019">
        <f t="shared" si="76"/>
        <v>3.0477000007522292E-2</v>
      </c>
      <c r="E1019">
        <f ca="1">IF(B1019&gt;0,C1019-'Real Analysis'!$B$14,0)</f>
        <v>-1.2604252371426483E-2</v>
      </c>
      <c r="F1019">
        <f t="shared" ca="1" si="79"/>
        <v>0.39392539756754885</v>
      </c>
      <c r="G1019">
        <f t="shared" ca="1" si="80"/>
        <v>-4.3607903490059344E-2</v>
      </c>
      <c r="H1019">
        <f ca="1">IF(AND(B1019&gt;'Real Analysis'!$B$31,B1019&lt;'Real Analysis'!$B$32),FilterInput(E1019,'Real Analysis'!$B$26,'Real Analysis'!$B$27),0)</f>
        <v>0</v>
      </c>
      <c r="I1019" t="e">
        <f>MEDIAN2("Real Values",H1019,'Real Analysis'!$B$5,2)</f>
        <v>#VALUE!</v>
      </c>
      <c r="J1019" t="e">
        <f>AVERAGE2("Real Values",I1019,'Real Analysis'!$B$6,2)</f>
        <v>#VALUE!</v>
      </c>
      <c r="K1019" t="e">
        <f>INTEGRAL2(J1019,$B1019,K1018,J1018,$B1018,'Real Analysis'!$B$19)</f>
        <v>#VALUE!</v>
      </c>
      <c r="L1019">
        <f ca="1">IF(AND(B1019&lt;'Real Analysis'!$B$32,B1019&gt;'Real Analysis'!$B$31),INTEGRAL2(K1019,$B1019,L1018,K1018,$B1018,'Real Analysis'!$B$20),0)</f>
        <v>0</v>
      </c>
      <c r="N1019">
        <f>'Real Analysis'!$B$28*'Real Input'!U1019+IF('Real Input'!U1019 &gt; 0,'Real Analysis'!$B$29,0)</f>
        <v>0</v>
      </c>
      <c r="O1019" t="e">
        <f t="shared" si="77"/>
        <v>#VALUE!</v>
      </c>
      <c r="P1019">
        <f t="shared" ca="1" si="78"/>
        <v>0</v>
      </c>
    </row>
    <row r="1020" spans="1:16" x14ac:dyDescent="0.3">
      <c r="A1020">
        <v>1018</v>
      </c>
      <c r="B1020">
        <f>'Real Input'!M1020</f>
        <v>24.312315999995917</v>
      </c>
      <c r="C1020">
        <f ca="1">INDIRECT(CONCATENATE("'Real Input'!",'Real Analysis'!$B$2,A1020+2))</f>
        <v>9.8529874200000016</v>
      </c>
      <c r="D1020">
        <f t="shared" si="76"/>
        <v>2.1551999991061166E-2</v>
      </c>
      <c r="E1020">
        <f ca="1">IF(B1020&gt;0,C1020-'Real Analysis'!$B$14,0)</f>
        <v>-3.5103823714255356E-3</v>
      </c>
      <c r="F1020">
        <f t="shared" ca="1" si="79"/>
        <v>0.39384974180671128</v>
      </c>
      <c r="G1020">
        <f t="shared" ca="1" si="80"/>
        <v>-3.511965385816166E-2</v>
      </c>
      <c r="H1020">
        <f ca="1">IF(AND(B1020&gt;'Real Analysis'!$B$31,B1020&lt;'Real Analysis'!$B$32),FilterInput(E1020,'Real Analysis'!$B$26,'Real Analysis'!$B$27),0)</f>
        <v>0</v>
      </c>
      <c r="I1020" t="e">
        <f>MEDIAN2("Real Values",H1020,'Real Analysis'!$B$5,2)</f>
        <v>#VALUE!</v>
      </c>
      <c r="J1020" t="e">
        <f>AVERAGE2("Real Values",I1020,'Real Analysis'!$B$6,2)</f>
        <v>#VALUE!</v>
      </c>
      <c r="K1020" t="e">
        <f>INTEGRAL2(J1020,$B1020,K1019,J1019,$B1019,'Real Analysis'!$B$19)</f>
        <v>#VALUE!</v>
      </c>
      <c r="L1020">
        <f ca="1">IF(AND(B1020&lt;'Real Analysis'!$B$32,B1020&gt;'Real Analysis'!$B$31),INTEGRAL2(K1020,$B1020,L1019,K1019,$B1019,'Real Analysis'!$B$20),0)</f>
        <v>0</v>
      </c>
      <c r="N1020">
        <f>'Real Analysis'!$B$28*'Real Input'!U1020+IF('Real Input'!U1020 &gt; 0,'Real Analysis'!$B$29,0)</f>
        <v>0</v>
      </c>
      <c r="O1020" t="e">
        <f t="shared" si="77"/>
        <v>#VALUE!</v>
      </c>
      <c r="P1020">
        <f t="shared" ca="1" si="78"/>
        <v>0</v>
      </c>
    </row>
    <row r="1021" spans="1:16" x14ac:dyDescent="0.3">
      <c r="A1021">
        <v>1019</v>
      </c>
      <c r="B1021">
        <f>'Real Input'!M1021</f>
        <v>24.332882999995491</v>
      </c>
      <c r="C1021">
        <f ca="1">INDIRECT(CONCATENATE("'Real Input'!",'Real Analysis'!$B$2,A1021+2))</f>
        <v>9.8332300799999999</v>
      </c>
      <c r="D1021">
        <f t="shared" si="76"/>
        <v>2.0566999999573454E-2</v>
      </c>
      <c r="E1021">
        <f ca="1">IF(B1021&gt;0,C1021-'Real Analysis'!$B$14,0)</f>
        <v>-2.3267722371427269E-2</v>
      </c>
      <c r="F1021">
        <f t="shared" ca="1" si="79"/>
        <v>0.39337119456070807</v>
      </c>
      <c r="G1021">
        <f t="shared" ca="1" si="80"/>
        <v>-2.7029188499799368E-2</v>
      </c>
      <c r="H1021">
        <f ca="1">IF(AND(B1021&gt;'Real Analysis'!$B$31,B1021&lt;'Real Analysis'!$B$32),FilterInput(E1021,'Real Analysis'!$B$26,'Real Analysis'!$B$27),0)</f>
        <v>0</v>
      </c>
      <c r="I1021" t="e">
        <f>MEDIAN2("Real Values",H1021,'Real Analysis'!$B$5,2)</f>
        <v>#VALUE!</v>
      </c>
      <c r="J1021" t="e">
        <f>AVERAGE2("Real Values",I1021,'Real Analysis'!$B$6,2)</f>
        <v>#VALUE!</v>
      </c>
      <c r="K1021" t="e">
        <f>INTEGRAL2(J1021,$B1021,K1020,J1020,$B1020,'Real Analysis'!$B$19)</f>
        <v>#VALUE!</v>
      </c>
      <c r="L1021">
        <f ca="1">IF(AND(B1021&lt;'Real Analysis'!$B$32,B1021&gt;'Real Analysis'!$B$31),INTEGRAL2(K1021,$B1021,L1020,K1020,$B1020,'Real Analysis'!$B$20),0)</f>
        <v>0</v>
      </c>
      <c r="N1021">
        <f>'Real Analysis'!$B$28*'Real Input'!U1021+IF('Real Input'!U1021 &gt; 0,'Real Analysis'!$B$29,0)</f>
        <v>0</v>
      </c>
      <c r="O1021" t="e">
        <f t="shared" si="77"/>
        <v>#VALUE!</v>
      </c>
      <c r="P1021">
        <f t="shared" ca="1" si="78"/>
        <v>0</v>
      </c>
    </row>
    <row r="1022" spans="1:16" x14ac:dyDescent="0.3">
      <c r="A1022">
        <v>1020</v>
      </c>
      <c r="B1022">
        <f>'Real Input'!M1022</f>
        <v>24.352180999994744</v>
      </c>
      <c r="C1022">
        <f ca="1">INDIRECT(CONCATENATE("'Real Input'!",'Real Analysis'!$B$2,A1022+2))</f>
        <v>9.8224292699999989</v>
      </c>
      <c r="D1022">
        <f t="shared" si="76"/>
        <v>1.9297999999253079E-2</v>
      </c>
      <c r="E1022">
        <f ca="1">IF(B1022&gt;0,C1022-'Real Analysis'!$B$14,0)</f>
        <v>-3.4068532371428262E-2</v>
      </c>
      <c r="F1022">
        <f t="shared" ca="1" si="79"/>
        <v>0.39271374002302967</v>
      </c>
      <c r="G1022">
        <f t="shared" ca="1" si="80"/>
        <v>-1.9450598745128268E-2</v>
      </c>
      <c r="H1022">
        <f ca="1">IF(AND(B1022&gt;'Real Analysis'!$B$31,B1022&lt;'Real Analysis'!$B$32),FilterInput(E1022,'Real Analysis'!$B$26,'Real Analysis'!$B$27),0)</f>
        <v>0</v>
      </c>
      <c r="I1022" t="e">
        <f>MEDIAN2("Real Values",H1022,'Real Analysis'!$B$5,2)</f>
        <v>#VALUE!</v>
      </c>
      <c r="J1022" t="e">
        <f>AVERAGE2("Real Values",I1022,'Real Analysis'!$B$6,2)</f>
        <v>#VALUE!</v>
      </c>
      <c r="K1022" t="e">
        <f>INTEGRAL2(J1022,$B1022,K1021,J1021,$B1021,'Real Analysis'!$B$19)</f>
        <v>#VALUE!</v>
      </c>
      <c r="L1022">
        <f ca="1">IF(AND(B1022&lt;'Real Analysis'!$B$32,B1022&gt;'Real Analysis'!$B$31),INTEGRAL2(K1022,$B1022,L1021,K1021,$B1021,'Real Analysis'!$B$20),0)</f>
        <v>0</v>
      </c>
      <c r="N1022">
        <f>'Real Analysis'!$B$28*'Real Input'!U1022+IF('Real Input'!U1022 &gt; 0,'Real Analysis'!$B$29,0)</f>
        <v>0</v>
      </c>
      <c r="O1022" t="e">
        <f t="shared" si="77"/>
        <v>#VALUE!</v>
      </c>
      <c r="P1022">
        <f t="shared" ca="1" si="78"/>
        <v>0</v>
      </c>
    </row>
    <row r="1023" spans="1:16" x14ac:dyDescent="0.3">
      <c r="A1023">
        <v>1021</v>
      </c>
      <c r="B1023">
        <f>'Real Input'!M1023</f>
        <v>24.370655000006082</v>
      </c>
      <c r="C1023">
        <f ca="1">INDIRECT(CONCATENATE("'Real Input'!",'Real Analysis'!$B$2,A1023+2))</f>
        <v>9.8020146600000011</v>
      </c>
      <c r="D1023">
        <f t="shared" si="76"/>
        <v>1.8474000011337921E-2</v>
      </c>
      <c r="E1023">
        <f ca="1">IF(B1023&gt;0,C1023-'Real Analysis'!$B$14,0)</f>
        <v>-5.4483142371426041E-2</v>
      </c>
      <c r="F1023">
        <f t="shared" ca="1" si="79"/>
        <v>0.3917072184502422</v>
      </c>
      <c r="G1023">
        <f t="shared" ca="1" si="80"/>
        <v>-1.2214199587037348E-2</v>
      </c>
      <c r="H1023">
        <f ca="1">IF(AND(B1023&gt;'Real Analysis'!$B$31,B1023&lt;'Real Analysis'!$B$32),FilterInput(E1023,'Real Analysis'!$B$26,'Real Analysis'!$B$27),0)</f>
        <v>0</v>
      </c>
      <c r="I1023" t="e">
        <f>MEDIAN2("Real Values",H1023,'Real Analysis'!$B$5,2)</f>
        <v>#VALUE!</v>
      </c>
      <c r="J1023" t="e">
        <f>AVERAGE2("Real Values",I1023,'Real Analysis'!$B$6,2)</f>
        <v>#VALUE!</v>
      </c>
      <c r="K1023" t="e">
        <f>INTEGRAL2(J1023,$B1023,K1022,J1022,$B1022,'Real Analysis'!$B$19)</f>
        <v>#VALUE!</v>
      </c>
      <c r="L1023">
        <f ca="1">IF(AND(B1023&lt;'Real Analysis'!$B$32,B1023&gt;'Real Analysis'!$B$31),INTEGRAL2(K1023,$B1023,L1022,K1022,$B1022,'Real Analysis'!$B$20),0)</f>
        <v>0</v>
      </c>
      <c r="N1023">
        <f>'Real Analysis'!$B$28*'Real Input'!U1023+IF('Real Input'!U1023 &gt; 0,'Real Analysis'!$B$29,0)</f>
        <v>0</v>
      </c>
      <c r="O1023" t="e">
        <f t="shared" si="77"/>
        <v>#VALUE!</v>
      </c>
      <c r="P1023">
        <f t="shared" ca="1" si="78"/>
        <v>0</v>
      </c>
    </row>
    <row r="1024" spans="1:16" x14ac:dyDescent="0.3">
      <c r="A1024">
        <v>1022</v>
      </c>
      <c r="B1024">
        <f>'Real Input'!M1024</f>
        <v>24.386303999999654</v>
      </c>
      <c r="C1024">
        <f ca="1">INDIRECT(CONCATENATE("'Real Input'!",'Real Analysis'!$B$2,A1024+2))</f>
        <v>9.8685460799999998</v>
      </c>
      <c r="D1024">
        <f t="shared" si="76"/>
        <v>1.5648999993572943E-2</v>
      </c>
      <c r="E1024">
        <f ca="1">IF(B1024&gt;0,C1024-'Real Analysis'!$B$14,0)</f>
        <v>1.2048277628572635E-2</v>
      </c>
      <c r="F1024">
        <f t="shared" ca="1" si="79"/>
        <v>0.39189576194677428</v>
      </c>
      <c r="G1024">
        <f t="shared" ca="1" si="80"/>
        <v>-6.0814228108510135E-3</v>
      </c>
      <c r="H1024">
        <f ca="1">IF(AND(B1024&gt;'Real Analysis'!$B$31,B1024&lt;'Real Analysis'!$B$32),FilterInput(E1024,'Real Analysis'!$B$26,'Real Analysis'!$B$27),0)</f>
        <v>0</v>
      </c>
      <c r="I1024" t="e">
        <f>MEDIAN2("Real Values",H1024,'Real Analysis'!$B$5,2)</f>
        <v>#VALUE!</v>
      </c>
      <c r="J1024" t="e">
        <f>AVERAGE2("Real Values",I1024,'Real Analysis'!$B$6,2)</f>
        <v>#VALUE!</v>
      </c>
      <c r="K1024" t="e">
        <f>INTEGRAL2(J1024,$B1024,K1023,J1023,$B1023,'Real Analysis'!$B$19)</f>
        <v>#VALUE!</v>
      </c>
      <c r="L1024">
        <f ca="1">IF(AND(B1024&lt;'Real Analysis'!$B$32,B1024&gt;'Real Analysis'!$B$31),INTEGRAL2(K1024,$B1024,L1023,K1023,$B1023,'Real Analysis'!$B$20),0)</f>
        <v>0</v>
      </c>
      <c r="N1024">
        <f>'Real Analysis'!$B$28*'Real Input'!U1024+IF('Real Input'!U1024 &gt; 0,'Real Analysis'!$B$29,0)</f>
        <v>0</v>
      </c>
      <c r="O1024" t="e">
        <f t="shared" si="77"/>
        <v>#VALUE!</v>
      </c>
      <c r="P1024">
        <f t="shared" ca="1" si="78"/>
        <v>0</v>
      </c>
    </row>
    <row r="1025" spans="1:16" x14ac:dyDescent="0.3">
      <c r="A1025">
        <v>1023</v>
      </c>
      <c r="B1025">
        <f>'Real Input'!M1025</f>
        <v>24.411489999998594</v>
      </c>
      <c r="C1025">
        <f ca="1">INDIRECT(CONCATENATE("'Real Input'!",'Real Analysis'!$B$2,A1025+2))</f>
        <v>9.8204770800000016</v>
      </c>
      <c r="D1025">
        <f t="shared" si="76"/>
        <v>2.5185999998939224E-2</v>
      </c>
      <c r="E1025">
        <f ca="1">IF(B1025&gt;0,C1025-'Real Analysis'!$B$14,0)</f>
        <v>-3.6020722371425506E-2</v>
      </c>
      <c r="F1025">
        <f t="shared" ca="1" si="79"/>
        <v>0.39098854403316574</v>
      </c>
      <c r="G1025">
        <f t="shared" ca="1" si="80"/>
        <v>3.7660146587535472E-3</v>
      </c>
      <c r="H1025">
        <f ca="1">IF(AND(B1025&gt;'Real Analysis'!$B$31,B1025&lt;'Real Analysis'!$B$32),FilterInput(E1025,'Real Analysis'!$B$26,'Real Analysis'!$B$27),0)</f>
        <v>0</v>
      </c>
      <c r="I1025" t="e">
        <f>MEDIAN2("Real Values",H1025,'Real Analysis'!$B$5,2)</f>
        <v>#VALUE!</v>
      </c>
      <c r="J1025" t="e">
        <f>AVERAGE2("Real Values",I1025,'Real Analysis'!$B$6,2)</f>
        <v>#VALUE!</v>
      </c>
      <c r="K1025" t="e">
        <f>INTEGRAL2(J1025,$B1025,K1024,J1024,$B1024,'Real Analysis'!$B$19)</f>
        <v>#VALUE!</v>
      </c>
      <c r="L1025">
        <f ca="1">IF(AND(B1025&lt;'Real Analysis'!$B$32,B1025&gt;'Real Analysis'!$B$31),INTEGRAL2(K1025,$B1025,L1024,K1024,$B1024,'Real Analysis'!$B$20),0)</f>
        <v>0</v>
      </c>
      <c r="N1025">
        <f>'Real Analysis'!$B$28*'Real Input'!U1025+IF('Real Input'!U1025 &gt; 0,'Real Analysis'!$B$29,0)</f>
        <v>0</v>
      </c>
      <c r="O1025" t="e">
        <f t="shared" si="77"/>
        <v>#VALUE!</v>
      </c>
      <c r="P1025">
        <f t="shared" ca="1" si="78"/>
        <v>0</v>
      </c>
    </row>
    <row r="1026" spans="1:16" x14ac:dyDescent="0.3">
      <c r="A1026">
        <v>1024</v>
      </c>
      <c r="B1026">
        <f>'Real Input'!M1026</f>
        <v>24.430787000004784</v>
      </c>
      <c r="C1026">
        <f ca="1">INDIRECT(CONCATENATE("'Real Input'!",'Real Analysis'!$B$2,A1026+2))</f>
        <v>9.8643474000000015</v>
      </c>
      <c r="D1026">
        <f t="shared" si="76"/>
        <v>1.9297000006190501E-2</v>
      </c>
      <c r="E1026">
        <f ca="1">IF(B1026&gt;0,C1026-'Real Analysis'!$B$14,0)</f>
        <v>7.8495976285744007E-3</v>
      </c>
      <c r="F1026">
        <f t="shared" ca="1" si="79"/>
        <v>0.39114001771865292</v>
      </c>
      <c r="G1026">
        <f t="shared" ca="1" si="80"/>
        <v>1.1313843583091746E-2</v>
      </c>
      <c r="H1026">
        <f ca="1">IF(AND(B1026&gt;'Real Analysis'!$B$31,B1026&lt;'Real Analysis'!$B$32),FilterInput(E1026,'Real Analysis'!$B$26,'Real Analysis'!$B$27),0)</f>
        <v>0</v>
      </c>
      <c r="I1026" t="e">
        <f>MEDIAN2("Real Values",H1026,'Real Analysis'!$B$5,2)</f>
        <v>#VALUE!</v>
      </c>
      <c r="J1026" t="e">
        <f>AVERAGE2("Real Values",I1026,'Real Analysis'!$B$6,2)</f>
        <v>#VALUE!</v>
      </c>
      <c r="K1026" t="e">
        <f>INTEGRAL2(J1026,$B1026,K1025,J1025,$B1025,'Real Analysis'!$B$19)</f>
        <v>#VALUE!</v>
      </c>
      <c r="L1026">
        <f ca="1">IF(AND(B1026&lt;'Real Analysis'!$B$32,B1026&gt;'Real Analysis'!$B$31),INTEGRAL2(K1026,$B1026,L1025,K1025,$B1025,'Real Analysis'!$B$20),0)</f>
        <v>0</v>
      </c>
      <c r="N1026">
        <f>'Real Analysis'!$B$28*'Real Input'!U1026+IF('Real Input'!U1026 &gt; 0,'Real Analysis'!$B$29,0)</f>
        <v>0</v>
      </c>
      <c r="O1026" t="e">
        <f t="shared" si="77"/>
        <v>#VALUE!</v>
      </c>
      <c r="P1026">
        <f t="shared" ca="1" si="78"/>
        <v>0</v>
      </c>
    </row>
    <row r="1027" spans="1:16" x14ac:dyDescent="0.3">
      <c r="A1027">
        <v>1025</v>
      </c>
      <c r="B1027">
        <f>'Real Input'!M1027</f>
        <v>24.451795999993919</v>
      </c>
      <c r="C1027">
        <f ca="1">INDIRECT(CONCATENATE("'Real Input'!",'Real Analysis'!$B$2,A1027+2))</f>
        <v>9.8534386800000018</v>
      </c>
      <c r="D1027">
        <f t="shared" ref="D1027:D1090" si="81">B1027-B1026</f>
        <v>2.1008999989135191E-2</v>
      </c>
      <c r="E1027">
        <f ca="1">IF(B1027&gt;0,C1027-'Real Analysis'!$B$14,0)</f>
        <v>-3.0591223714253601E-3</v>
      </c>
      <c r="F1027">
        <f t="shared" ca="1" si="79"/>
        <v>0.3910757486167849</v>
      </c>
      <c r="G1027">
        <f t="shared" ca="1" si="80"/>
        <v>1.9529953981532816E-2</v>
      </c>
      <c r="H1027">
        <f ca="1">IF(AND(B1027&gt;'Real Analysis'!$B$31,B1027&lt;'Real Analysis'!$B$32),FilterInput(E1027,'Real Analysis'!$B$26,'Real Analysis'!$B$27),0)</f>
        <v>0</v>
      </c>
      <c r="I1027" t="e">
        <f>MEDIAN2("Real Values",H1027,'Real Analysis'!$B$5,2)</f>
        <v>#VALUE!</v>
      </c>
      <c r="J1027" t="e">
        <f>AVERAGE2("Real Values",I1027,'Real Analysis'!$B$6,2)</f>
        <v>#VALUE!</v>
      </c>
      <c r="K1027" t="e">
        <f>INTEGRAL2(J1027,$B1027,K1026,J1026,$B1026,'Real Analysis'!$B$19)</f>
        <v>#VALUE!</v>
      </c>
      <c r="L1027">
        <f ca="1">IF(AND(B1027&lt;'Real Analysis'!$B$32,B1027&gt;'Real Analysis'!$B$31),INTEGRAL2(K1027,$B1027,L1026,K1026,$B1026,'Real Analysis'!$B$20),0)</f>
        <v>0</v>
      </c>
      <c r="N1027">
        <f>'Real Analysis'!$B$28*'Real Input'!U1027+IF('Real Input'!U1027 &gt; 0,'Real Analysis'!$B$29,0)</f>
        <v>0</v>
      </c>
      <c r="O1027" t="e">
        <f t="shared" ref="O1027:O1090" si="82">_xlfn.COVARIANCE.P($L$102:$L$1200,N1027:N2125)</f>
        <v>#VALUE!</v>
      </c>
      <c r="P1027">
        <f t="shared" ref="P1027:P1090" ca="1" si="83">N1027-L1027</f>
        <v>0</v>
      </c>
    </row>
    <row r="1028" spans="1:16" x14ac:dyDescent="0.3">
      <c r="A1028">
        <v>1026</v>
      </c>
      <c r="B1028">
        <f>'Real Input'!M1028</f>
        <v>24.472370000003139</v>
      </c>
      <c r="C1028">
        <f ca="1">INDIRECT(CONCATENATE("'Real Input'!",'Real Analysis'!$B$2,A1028+2))</f>
        <v>9.8485925400000021</v>
      </c>
      <c r="D1028">
        <f t="shared" si="81"/>
        <v>2.0574000009219162E-2</v>
      </c>
      <c r="E1028">
        <f ca="1">IF(B1028&gt;0,C1028-'Real Analysis'!$B$14,0)</f>
        <v>-7.9052623714250814E-3</v>
      </c>
      <c r="F1028">
        <f t="shared" ref="F1028:F1091" ca="1" si="84">IF(B1028&gt;0,F1027+E1028*$D1028,0)</f>
        <v>0.39091310574868232</v>
      </c>
      <c r="G1028">
        <f t="shared" ca="1" si="80"/>
        <v>2.7572600222810099E-2</v>
      </c>
      <c r="H1028">
        <f ca="1">IF(AND(B1028&gt;'Real Analysis'!$B$31,B1028&lt;'Real Analysis'!$B$32),FilterInput(E1028,'Real Analysis'!$B$26,'Real Analysis'!$B$27),0)</f>
        <v>0</v>
      </c>
      <c r="I1028" t="e">
        <f>MEDIAN2("Real Values",H1028,'Real Analysis'!$B$5,2)</f>
        <v>#VALUE!</v>
      </c>
      <c r="J1028" t="e">
        <f>AVERAGE2("Real Values",I1028,'Real Analysis'!$B$6,2)</f>
        <v>#VALUE!</v>
      </c>
      <c r="K1028" t="e">
        <f>INTEGRAL2(J1028,$B1028,K1027,J1027,$B1027,'Real Analysis'!$B$19)</f>
        <v>#VALUE!</v>
      </c>
      <c r="L1028">
        <f ca="1">IF(AND(B1028&lt;'Real Analysis'!$B$32,B1028&gt;'Real Analysis'!$B$31),INTEGRAL2(K1028,$B1028,L1027,K1027,$B1027,'Real Analysis'!$B$20),0)</f>
        <v>0</v>
      </c>
      <c r="N1028">
        <f>'Real Analysis'!$B$28*'Real Input'!U1028+IF('Real Input'!U1028 &gt; 0,'Real Analysis'!$B$29,0)</f>
        <v>0</v>
      </c>
      <c r="O1028" t="e">
        <f t="shared" si="82"/>
        <v>#VALUE!</v>
      </c>
      <c r="P1028">
        <f t="shared" ca="1" si="83"/>
        <v>0</v>
      </c>
    </row>
    <row r="1029" spans="1:16" x14ac:dyDescent="0.3">
      <c r="A1029">
        <v>1027</v>
      </c>
      <c r="B1029">
        <f>'Real Input'!M1029</f>
        <v>24.493352999998024</v>
      </c>
      <c r="C1029">
        <f ca="1">INDIRECT(CONCATENATE("'Real Input'!",'Real Analysis'!$B$2,A1029+2))</f>
        <v>9.8493871500000019</v>
      </c>
      <c r="D1029">
        <f t="shared" si="81"/>
        <v>2.0982999994885176E-2</v>
      </c>
      <c r="E1029">
        <f ca="1">IF(B1029&gt;0,C1029-'Real Analysis'!$B$14,0)</f>
        <v>-7.1106523714252745E-3</v>
      </c>
      <c r="F1029">
        <f t="shared" ca="1" si="84"/>
        <v>0.39076390293000907</v>
      </c>
      <c r="G1029">
        <f t="shared" ca="1" si="80"/>
        <v>3.5771999195991791E-2</v>
      </c>
      <c r="H1029">
        <f ca="1">IF(AND(B1029&gt;'Real Analysis'!$B$31,B1029&lt;'Real Analysis'!$B$32),FilterInput(E1029,'Real Analysis'!$B$26,'Real Analysis'!$B$27),0)</f>
        <v>0</v>
      </c>
      <c r="I1029" t="e">
        <f>MEDIAN2("Real Values",H1029,'Real Analysis'!$B$5,2)</f>
        <v>#VALUE!</v>
      </c>
      <c r="J1029" t="e">
        <f>AVERAGE2("Real Values",I1029,'Real Analysis'!$B$6,2)</f>
        <v>#VALUE!</v>
      </c>
      <c r="K1029" t="e">
        <f>INTEGRAL2(J1029,$B1029,K1028,J1028,$B1028,'Real Analysis'!$B$19)</f>
        <v>#VALUE!</v>
      </c>
      <c r="L1029">
        <f ca="1">IF(AND(B1029&lt;'Real Analysis'!$B$32,B1029&gt;'Real Analysis'!$B$31),INTEGRAL2(K1029,$B1029,L1028,K1028,$B1028,'Real Analysis'!$B$20),0)</f>
        <v>0</v>
      </c>
      <c r="N1029">
        <f>'Real Analysis'!$B$28*'Real Input'!U1029+IF('Real Input'!U1029 &gt; 0,'Real Analysis'!$B$29,0)</f>
        <v>0</v>
      </c>
      <c r="O1029" t="e">
        <f t="shared" si="82"/>
        <v>#VALUE!</v>
      </c>
      <c r="P1029">
        <f t="shared" ca="1" si="83"/>
        <v>0</v>
      </c>
    </row>
    <row r="1030" spans="1:16" x14ac:dyDescent="0.3">
      <c r="A1030">
        <v>1028</v>
      </c>
      <c r="B1030">
        <f>'Real Input'!M1030</f>
        <v>24.513412000000244</v>
      </c>
      <c r="C1030">
        <f ca="1">INDIRECT(CONCATENATE("'Real Input'!",'Real Analysis'!$B$2,A1030+2))</f>
        <v>9.8507997899999999</v>
      </c>
      <c r="D1030">
        <f t="shared" si="81"/>
        <v>2.0059000002220273E-2</v>
      </c>
      <c r="E1030">
        <f ca="1">IF(B1030&gt;0,C1030-'Real Analysis'!$B$14,0)</f>
        <v>-5.6980123714271969E-3</v>
      </c>
      <c r="F1030">
        <f t="shared" ca="1" si="84"/>
        <v>0.39064960649983793</v>
      </c>
      <c r="G1030">
        <f t="shared" ca="1" si="80"/>
        <v>4.3608039653639387E-2</v>
      </c>
      <c r="H1030">
        <f ca="1">IF(AND(B1030&gt;'Real Analysis'!$B$31,B1030&lt;'Real Analysis'!$B$32),FilterInput(E1030,'Real Analysis'!$B$26,'Real Analysis'!$B$27),0)</f>
        <v>0</v>
      </c>
      <c r="I1030" t="e">
        <f>MEDIAN2("Real Values",H1030,'Real Analysis'!$B$5,2)</f>
        <v>#VALUE!</v>
      </c>
      <c r="J1030" t="e">
        <f>AVERAGE2("Real Values",I1030,'Real Analysis'!$B$6,2)</f>
        <v>#VALUE!</v>
      </c>
      <c r="K1030" t="e">
        <f>INTEGRAL2(J1030,$B1030,K1029,J1029,$B1029,'Real Analysis'!$B$19)</f>
        <v>#VALUE!</v>
      </c>
      <c r="L1030">
        <f ca="1">IF(AND(B1030&lt;'Real Analysis'!$B$32,B1030&gt;'Real Analysis'!$B$31),INTEGRAL2(K1030,$B1030,L1029,K1029,$B1029,'Real Analysis'!$B$20),0)</f>
        <v>0</v>
      </c>
      <c r="N1030">
        <f>'Real Analysis'!$B$28*'Real Input'!U1030+IF('Real Input'!U1030 &gt; 0,'Real Analysis'!$B$29,0)</f>
        <v>0</v>
      </c>
      <c r="O1030" t="e">
        <f t="shared" si="82"/>
        <v>#VALUE!</v>
      </c>
      <c r="P1030">
        <f t="shared" ca="1" si="83"/>
        <v>0</v>
      </c>
    </row>
    <row r="1031" spans="1:16" x14ac:dyDescent="0.3">
      <c r="A1031">
        <v>1029</v>
      </c>
      <c r="B1031">
        <f>'Real Input'!M1031</f>
        <v>24.527015999992727</v>
      </c>
      <c r="C1031">
        <f ca="1">INDIRECT(CONCATENATE("'Real Input'!",'Real Analysis'!$B$2,A1031+2))</f>
        <v>9.850574159999999</v>
      </c>
      <c r="D1031">
        <f t="shared" si="81"/>
        <v>1.3603999992483296E-2</v>
      </c>
      <c r="E1031">
        <f ca="1">IF(B1031&gt;0,C1031-'Real Analysis'!$B$14,0)</f>
        <v>-5.9236423714281727E-3</v>
      </c>
      <c r="F1031">
        <f t="shared" ca="1" si="84"/>
        <v>0.39056902126906157</v>
      </c>
      <c r="G1031">
        <f t="shared" ca="1" si="80"/>
        <v>4.8921340616047908E-2</v>
      </c>
      <c r="H1031">
        <f ca="1">IF(AND(B1031&gt;'Real Analysis'!$B$31,B1031&lt;'Real Analysis'!$B$32),FilterInput(E1031,'Real Analysis'!$B$26,'Real Analysis'!$B$27),0)</f>
        <v>0</v>
      </c>
      <c r="I1031" t="e">
        <f>MEDIAN2("Real Values",H1031,'Real Analysis'!$B$5,2)</f>
        <v>#VALUE!</v>
      </c>
      <c r="J1031" t="e">
        <f>AVERAGE2("Real Values",I1031,'Real Analysis'!$B$6,2)</f>
        <v>#VALUE!</v>
      </c>
      <c r="K1031" t="e">
        <f>INTEGRAL2(J1031,$B1031,K1030,J1030,$B1030,'Real Analysis'!$B$19)</f>
        <v>#VALUE!</v>
      </c>
      <c r="L1031">
        <f ca="1">IF(AND(B1031&lt;'Real Analysis'!$B$32,B1031&gt;'Real Analysis'!$B$31),INTEGRAL2(K1031,$B1031,L1030,K1030,$B1030,'Real Analysis'!$B$20),0)</f>
        <v>0</v>
      </c>
      <c r="N1031">
        <f>'Real Analysis'!$B$28*'Real Input'!U1031+IF('Real Input'!U1031 &gt; 0,'Real Analysis'!$B$29,0)</f>
        <v>0</v>
      </c>
      <c r="O1031" t="e">
        <f t="shared" si="82"/>
        <v>#VALUE!</v>
      </c>
      <c r="P1031">
        <f t="shared" ca="1" si="83"/>
        <v>0</v>
      </c>
    </row>
    <row r="1032" spans="1:16" x14ac:dyDescent="0.3">
      <c r="A1032">
        <v>1030</v>
      </c>
      <c r="B1032">
        <f>'Real Input'!M1032</f>
        <v>24.547990999999456</v>
      </c>
      <c r="C1032">
        <f ca="1">INDIRECT(CONCATENATE("'Real Input'!",'Real Analysis'!$B$2,A1032+2))</f>
        <v>9.8506035899999986</v>
      </c>
      <c r="D1032">
        <f t="shared" si="81"/>
        <v>2.0975000006728806E-2</v>
      </c>
      <c r="E1032">
        <f ca="1">IF(B1032&gt;0,C1032-'Real Analysis'!$B$14,0)</f>
        <v>-5.8942123714285088E-3</v>
      </c>
      <c r="F1032">
        <f t="shared" ca="1" si="84"/>
        <v>0.39044539016453117</v>
      </c>
      <c r="G1032">
        <f t="shared" ca="1" si="80"/>
        <v>5.7110932677376179E-2</v>
      </c>
      <c r="H1032">
        <f ca="1">IF(AND(B1032&gt;'Real Analysis'!$B$31,B1032&lt;'Real Analysis'!$B$32),FilterInput(E1032,'Real Analysis'!$B$26,'Real Analysis'!$B$27),0)</f>
        <v>0</v>
      </c>
      <c r="I1032" t="e">
        <f>MEDIAN2("Real Values",H1032,'Real Analysis'!$B$5,2)</f>
        <v>#VALUE!</v>
      </c>
      <c r="J1032" t="e">
        <f>AVERAGE2("Real Values",I1032,'Real Analysis'!$B$6,2)</f>
        <v>#VALUE!</v>
      </c>
      <c r="K1032" t="e">
        <f>INTEGRAL2(J1032,$B1032,K1031,J1031,$B1031,'Real Analysis'!$B$19)</f>
        <v>#VALUE!</v>
      </c>
      <c r="L1032">
        <f ca="1">IF(AND(B1032&lt;'Real Analysis'!$B$32,B1032&gt;'Real Analysis'!$B$31),INTEGRAL2(K1032,$B1032,L1031,K1031,$B1031,'Real Analysis'!$B$20),0)</f>
        <v>0</v>
      </c>
      <c r="N1032">
        <f>'Real Analysis'!$B$28*'Real Input'!U1032+IF('Real Input'!U1032 &gt; 0,'Real Analysis'!$B$29,0)</f>
        <v>0</v>
      </c>
      <c r="O1032" t="e">
        <f t="shared" si="82"/>
        <v>#VALUE!</v>
      </c>
      <c r="P1032">
        <f t="shared" ca="1" si="83"/>
        <v>0</v>
      </c>
    </row>
    <row r="1033" spans="1:16" x14ac:dyDescent="0.3">
      <c r="A1033">
        <v>1031</v>
      </c>
      <c r="B1033">
        <f>'Real Input'!M1033</f>
        <v>24.568528000003425</v>
      </c>
      <c r="C1033">
        <f ca="1">INDIRECT(CONCATENATE("'Real Input'!",'Real Analysis'!$B$2,A1033+2))</f>
        <v>9.8507507400000005</v>
      </c>
      <c r="D1033">
        <f t="shared" si="81"/>
        <v>2.0537000003969297E-2</v>
      </c>
      <c r="E1033">
        <f ca="1">IF(B1033&gt;0,C1033-'Real Analysis'!$B$14,0)</f>
        <v>-5.7470623714266367E-3</v>
      </c>
      <c r="F1033">
        <f t="shared" ca="1" si="84"/>
        <v>0.39032736274458635</v>
      </c>
      <c r="G1033">
        <f t="shared" ca="1" si="80"/>
        <v>6.512708572761107E-2</v>
      </c>
      <c r="H1033">
        <f ca="1">IF(AND(B1033&gt;'Real Analysis'!$B$31,B1033&lt;'Real Analysis'!$B$32),FilterInput(E1033,'Real Analysis'!$B$26,'Real Analysis'!$B$27),0)</f>
        <v>0</v>
      </c>
      <c r="I1033" t="e">
        <f>MEDIAN2("Real Values",H1033,'Real Analysis'!$B$5,2)</f>
        <v>#VALUE!</v>
      </c>
      <c r="J1033" t="e">
        <f>AVERAGE2("Real Values",I1033,'Real Analysis'!$B$6,2)</f>
        <v>#VALUE!</v>
      </c>
      <c r="K1033" t="e">
        <f>INTEGRAL2(J1033,$B1033,K1032,J1032,$B1032,'Real Analysis'!$B$19)</f>
        <v>#VALUE!</v>
      </c>
      <c r="L1033">
        <f ca="1">IF(AND(B1033&lt;'Real Analysis'!$B$32,B1033&gt;'Real Analysis'!$B$31),INTEGRAL2(K1033,$B1033,L1032,K1032,$B1032,'Real Analysis'!$B$20),0)</f>
        <v>0</v>
      </c>
      <c r="N1033">
        <f>'Real Analysis'!$B$28*'Real Input'!U1033+IF('Real Input'!U1033 &gt; 0,'Real Analysis'!$B$29,0)</f>
        <v>0</v>
      </c>
      <c r="O1033" t="e">
        <f t="shared" si="82"/>
        <v>#VALUE!</v>
      </c>
      <c r="P1033">
        <f t="shared" ca="1" si="83"/>
        <v>0</v>
      </c>
    </row>
    <row r="1034" spans="1:16" x14ac:dyDescent="0.3">
      <c r="A1034">
        <v>1032</v>
      </c>
      <c r="B1034">
        <f>'Real Input'!M1034</f>
        <v>24.592092000006232</v>
      </c>
      <c r="C1034">
        <f ca="1">INDIRECT(CONCATENATE("'Real Input'!",'Real Analysis'!$B$2,A1034+2))</f>
        <v>9.8507311200000007</v>
      </c>
      <c r="D1034">
        <f t="shared" si="81"/>
        <v>2.3564000002807006E-2</v>
      </c>
      <c r="E1034">
        <f ca="1">IF(B1034&gt;0,C1034-'Real Analysis'!$B$14,0)</f>
        <v>-5.7666823714264126E-3</v>
      </c>
      <c r="F1034">
        <f t="shared" ca="1" si="84"/>
        <v>0.39019147664116988</v>
      </c>
      <c r="G1034">
        <f t="shared" ca="1" si="80"/>
        <v>7.4321557684278866E-2</v>
      </c>
      <c r="H1034">
        <f ca="1">IF(AND(B1034&gt;'Real Analysis'!$B$31,B1034&lt;'Real Analysis'!$B$32),FilterInput(E1034,'Real Analysis'!$B$26,'Real Analysis'!$B$27),0)</f>
        <v>0</v>
      </c>
      <c r="I1034" t="e">
        <f>MEDIAN2("Real Values",H1034,'Real Analysis'!$B$5,2)</f>
        <v>#VALUE!</v>
      </c>
      <c r="J1034" t="e">
        <f>AVERAGE2("Real Values",I1034,'Real Analysis'!$B$6,2)</f>
        <v>#VALUE!</v>
      </c>
      <c r="K1034" t="e">
        <f>INTEGRAL2(J1034,$B1034,K1033,J1033,$B1033,'Real Analysis'!$B$19)</f>
        <v>#VALUE!</v>
      </c>
      <c r="L1034">
        <f ca="1">IF(AND(B1034&lt;'Real Analysis'!$B$32,B1034&gt;'Real Analysis'!$B$31),INTEGRAL2(K1034,$B1034,L1033,K1033,$B1033,'Real Analysis'!$B$20),0)</f>
        <v>0</v>
      </c>
      <c r="N1034">
        <f>'Real Analysis'!$B$28*'Real Input'!U1034+IF('Real Input'!U1034 &gt; 0,'Real Analysis'!$B$29,0)</f>
        <v>0</v>
      </c>
      <c r="O1034" t="e">
        <f t="shared" si="82"/>
        <v>#VALUE!</v>
      </c>
      <c r="P1034">
        <f t="shared" ca="1" si="83"/>
        <v>0</v>
      </c>
    </row>
    <row r="1035" spans="1:16" x14ac:dyDescent="0.3">
      <c r="A1035">
        <v>1033</v>
      </c>
      <c r="B1035">
        <f>'Real Input'!M1035</f>
        <v>24.612911000003805</v>
      </c>
      <c r="C1035">
        <f ca="1">INDIRECT(CONCATENATE("'Real Input'!",'Real Analysis'!$B$2,A1035+2))</f>
        <v>9.8508488400000012</v>
      </c>
      <c r="D1035">
        <f t="shared" si="81"/>
        <v>2.0818999997572973E-2</v>
      </c>
      <c r="E1035">
        <f ca="1">IF(B1035&gt;0,C1035-'Real Analysis'!$B$14,0)</f>
        <v>-5.6489623714259807E-3</v>
      </c>
      <c r="F1035">
        <f t="shared" ca="1" si="84"/>
        <v>0.39007387089357287</v>
      </c>
      <c r="G1035">
        <f t="shared" ca="1" si="80"/>
        <v>8.2442505601465432E-2</v>
      </c>
      <c r="H1035">
        <f ca="1">IF(AND(B1035&gt;'Real Analysis'!$B$31,B1035&lt;'Real Analysis'!$B$32),FilterInput(E1035,'Real Analysis'!$B$26,'Real Analysis'!$B$27),0)</f>
        <v>0</v>
      </c>
      <c r="I1035" t="e">
        <f>MEDIAN2("Real Values",H1035,'Real Analysis'!$B$5,2)</f>
        <v>#VALUE!</v>
      </c>
      <c r="J1035" t="e">
        <f>AVERAGE2("Real Values",I1035,'Real Analysis'!$B$6,2)</f>
        <v>#VALUE!</v>
      </c>
      <c r="K1035" t="e">
        <f>INTEGRAL2(J1035,$B1035,K1034,J1034,$B1034,'Real Analysis'!$B$19)</f>
        <v>#VALUE!</v>
      </c>
      <c r="L1035">
        <f ca="1">IF(AND(B1035&lt;'Real Analysis'!$B$32,B1035&gt;'Real Analysis'!$B$31),INTEGRAL2(K1035,$B1035,L1034,K1034,$B1034,'Real Analysis'!$B$20),0)</f>
        <v>0</v>
      </c>
      <c r="N1035">
        <f>'Real Analysis'!$B$28*'Real Input'!U1035+IF('Real Input'!U1035 &gt; 0,'Real Analysis'!$B$29,0)</f>
        <v>0</v>
      </c>
      <c r="O1035" t="e">
        <f t="shared" si="82"/>
        <v>#VALUE!</v>
      </c>
      <c r="P1035">
        <f t="shared" ca="1" si="83"/>
        <v>0</v>
      </c>
    </row>
    <row r="1036" spans="1:16" x14ac:dyDescent="0.3">
      <c r="A1036">
        <v>1034</v>
      </c>
      <c r="B1036">
        <f>'Real Input'!M1036</f>
        <v>24.630116999993334</v>
      </c>
      <c r="C1036">
        <f ca="1">INDIRECT(CONCATENATE("'Real Input'!",'Real Analysis'!$B$2,A1036+2))</f>
        <v>9.8507703600000003</v>
      </c>
      <c r="D1036">
        <f t="shared" si="81"/>
        <v>1.7205999989528209E-2</v>
      </c>
      <c r="E1036">
        <f ca="1">IF(B1036&gt;0,C1036-'Real Analysis'!$B$14,0)</f>
        <v>-5.7274423714268607E-3</v>
      </c>
      <c r="F1036">
        <f t="shared" ca="1" si="84"/>
        <v>0.38997532452019007</v>
      </c>
      <c r="G1036">
        <f t="shared" ca="1" si="80"/>
        <v>8.9152421031076082E-2</v>
      </c>
      <c r="H1036">
        <f ca="1">IF(AND(B1036&gt;'Real Analysis'!$B$31,B1036&lt;'Real Analysis'!$B$32),FilterInput(E1036,'Real Analysis'!$B$26,'Real Analysis'!$B$27),0)</f>
        <v>0</v>
      </c>
      <c r="I1036" t="e">
        <f>MEDIAN2("Real Values",H1036,'Real Analysis'!$B$5,2)</f>
        <v>#VALUE!</v>
      </c>
      <c r="J1036" t="e">
        <f>AVERAGE2("Real Values",I1036,'Real Analysis'!$B$6,2)</f>
        <v>#VALUE!</v>
      </c>
      <c r="K1036" t="e">
        <f>INTEGRAL2(J1036,$B1036,K1035,J1035,$B1035,'Real Analysis'!$B$19)</f>
        <v>#VALUE!</v>
      </c>
      <c r="L1036">
        <f ca="1">IF(AND(B1036&lt;'Real Analysis'!$B$32,B1036&gt;'Real Analysis'!$B$31),INTEGRAL2(K1036,$B1036,L1035,K1035,$B1035,'Real Analysis'!$B$20),0)</f>
        <v>0</v>
      </c>
      <c r="N1036">
        <f>'Real Analysis'!$B$28*'Real Input'!U1036+IF('Real Input'!U1036 &gt; 0,'Real Analysis'!$B$29,0)</f>
        <v>0</v>
      </c>
      <c r="O1036" t="e">
        <f t="shared" si="82"/>
        <v>#VALUE!</v>
      </c>
      <c r="P1036">
        <f t="shared" ca="1" si="83"/>
        <v>0</v>
      </c>
    </row>
    <row r="1037" spans="1:16" x14ac:dyDescent="0.3">
      <c r="A1037">
        <v>1035</v>
      </c>
      <c r="B1037">
        <f>'Real Input'!M1037</f>
        <v>24.647140999994008</v>
      </c>
      <c r="C1037">
        <f ca="1">INDIRECT(CONCATENATE("'Real Input'!",'Real Analysis'!$B$2,A1037+2))</f>
        <v>9.8507016899999993</v>
      </c>
      <c r="D1037">
        <f t="shared" si="81"/>
        <v>1.7024000000674278E-2</v>
      </c>
      <c r="E1037">
        <f ca="1">IF(B1037&gt;0,C1037-'Real Analysis'!$B$14,0)</f>
        <v>-5.7961123714278528E-3</v>
      </c>
      <c r="F1037">
        <f t="shared" ca="1" si="84"/>
        <v>0.38987665150317496</v>
      </c>
      <c r="G1037">
        <f t="shared" ca="1" si="80"/>
        <v>9.5789681146529013E-2</v>
      </c>
      <c r="H1037">
        <f ca="1">IF(AND(B1037&gt;'Real Analysis'!$B$31,B1037&lt;'Real Analysis'!$B$32),FilterInput(E1037,'Real Analysis'!$B$26,'Real Analysis'!$B$27),0)</f>
        <v>0</v>
      </c>
      <c r="I1037" t="e">
        <f>MEDIAN2("Real Values",H1037,'Real Analysis'!$B$5,2)</f>
        <v>#VALUE!</v>
      </c>
      <c r="J1037" t="e">
        <f>AVERAGE2("Real Values",I1037,'Real Analysis'!$B$6,2)</f>
        <v>#VALUE!</v>
      </c>
      <c r="K1037" t="e">
        <f>INTEGRAL2(J1037,$B1037,K1036,J1036,$B1036,'Real Analysis'!$B$19)</f>
        <v>#VALUE!</v>
      </c>
      <c r="L1037">
        <f ca="1">IF(AND(B1037&lt;'Real Analysis'!$B$32,B1037&gt;'Real Analysis'!$B$31),INTEGRAL2(K1037,$B1037,L1036,K1036,$B1036,'Real Analysis'!$B$20),0)</f>
        <v>0</v>
      </c>
      <c r="N1037">
        <f>'Real Analysis'!$B$28*'Real Input'!U1037+IF('Real Input'!U1037 &gt; 0,'Real Analysis'!$B$29,0)</f>
        <v>0</v>
      </c>
      <c r="O1037" t="e">
        <f t="shared" si="82"/>
        <v>#VALUE!</v>
      </c>
      <c r="P1037">
        <f t="shared" ca="1" si="83"/>
        <v>0</v>
      </c>
    </row>
    <row r="1038" spans="1:16" x14ac:dyDescent="0.3">
      <c r="A1038">
        <v>1036</v>
      </c>
      <c r="B1038">
        <f>'Real Input'!M1038</f>
        <v>24.668594000002486</v>
      </c>
      <c r="C1038">
        <f ca="1">INDIRECT(CONCATENATE("'Real Input'!",'Real Analysis'!$B$2,A1038+2))</f>
        <v>9.850711500000001</v>
      </c>
      <c r="D1038">
        <f t="shared" si="81"/>
        <v>2.1453000008477829E-2</v>
      </c>
      <c r="E1038">
        <f ca="1">IF(B1038&gt;0,C1038-'Real Analysis'!$B$14,0)</f>
        <v>-5.7863023714261885E-3</v>
      </c>
      <c r="F1038">
        <f t="shared" ca="1" si="84"/>
        <v>0.3897525179583517</v>
      </c>
      <c r="G1038">
        <f t="shared" ca="1" si="80"/>
        <v>0.10415104191759379</v>
      </c>
      <c r="H1038">
        <f ca="1">IF(AND(B1038&gt;'Real Analysis'!$B$31,B1038&lt;'Real Analysis'!$B$32),FilterInput(E1038,'Real Analysis'!$B$26,'Real Analysis'!$B$27),0)</f>
        <v>0</v>
      </c>
      <c r="I1038" t="e">
        <f>MEDIAN2("Real Values",H1038,'Real Analysis'!$B$5,2)</f>
        <v>#VALUE!</v>
      </c>
      <c r="J1038" t="e">
        <f>AVERAGE2("Real Values",I1038,'Real Analysis'!$B$6,2)</f>
        <v>#VALUE!</v>
      </c>
      <c r="K1038" t="e">
        <f>INTEGRAL2(J1038,$B1038,K1037,J1037,$B1037,'Real Analysis'!$B$19)</f>
        <v>#VALUE!</v>
      </c>
      <c r="L1038">
        <f ca="1">IF(AND(B1038&lt;'Real Analysis'!$B$32,B1038&gt;'Real Analysis'!$B$31),INTEGRAL2(K1038,$B1038,L1037,K1037,$B1037,'Real Analysis'!$B$20),0)</f>
        <v>0</v>
      </c>
      <c r="N1038">
        <f>'Real Analysis'!$B$28*'Real Input'!U1038+IF('Real Input'!U1038 &gt; 0,'Real Analysis'!$B$29,0)</f>
        <v>0</v>
      </c>
      <c r="O1038" t="e">
        <f t="shared" si="82"/>
        <v>#VALUE!</v>
      </c>
      <c r="P1038">
        <f t="shared" ca="1" si="83"/>
        <v>0</v>
      </c>
    </row>
    <row r="1039" spans="1:16" x14ac:dyDescent="0.3">
      <c r="A1039">
        <v>1037</v>
      </c>
      <c r="B1039">
        <f>'Real Input'!M1039</f>
        <v>24.690837999994983</v>
      </c>
      <c r="C1039">
        <f ca="1">INDIRECT(CONCATENATE("'Real Input'!",'Real Analysis'!$B$2,A1039+2))</f>
        <v>9.850711500000001</v>
      </c>
      <c r="D1039">
        <f t="shared" si="81"/>
        <v>2.2243999992497265E-2</v>
      </c>
      <c r="E1039">
        <f ca="1">IF(B1039&gt;0,C1039-'Real Analysis'!$B$14,0)</f>
        <v>-5.7863023714261885E-3</v>
      </c>
      <c r="F1039">
        <f t="shared" ca="1" si="84"/>
        <v>0.3896238074484451</v>
      </c>
      <c r="G1039">
        <f t="shared" ca="1" si="80"/>
        <v>0.11281783388755376</v>
      </c>
      <c r="H1039">
        <f ca="1">IF(AND(B1039&gt;'Real Analysis'!$B$31,B1039&lt;'Real Analysis'!$B$32),FilterInput(E1039,'Real Analysis'!$B$26,'Real Analysis'!$B$27),0)</f>
        <v>0</v>
      </c>
      <c r="I1039" t="e">
        <f>MEDIAN2("Real Values",H1039,'Real Analysis'!$B$5,2)</f>
        <v>#VALUE!</v>
      </c>
      <c r="J1039" t="e">
        <f>AVERAGE2("Real Values",I1039,'Real Analysis'!$B$6,2)</f>
        <v>#VALUE!</v>
      </c>
      <c r="K1039" t="e">
        <f>INTEGRAL2(J1039,$B1039,K1038,J1038,$B1038,'Real Analysis'!$B$19)</f>
        <v>#VALUE!</v>
      </c>
      <c r="L1039">
        <f ca="1">IF(AND(B1039&lt;'Real Analysis'!$B$32,B1039&gt;'Real Analysis'!$B$31),INTEGRAL2(K1039,$B1039,L1038,K1038,$B1038,'Real Analysis'!$B$20),0)</f>
        <v>0</v>
      </c>
      <c r="N1039">
        <f>'Real Analysis'!$B$28*'Real Input'!U1039+IF('Real Input'!U1039 &gt; 0,'Real Analysis'!$B$29,0)</f>
        <v>0</v>
      </c>
      <c r="O1039" t="e">
        <f t="shared" si="82"/>
        <v>#VALUE!</v>
      </c>
      <c r="P1039">
        <f t="shared" ca="1" si="83"/>
        <v>0</v>
      </c>
    </row>
    <row r="1040" spans="1:16" x14ac:dyDescent="0.3">
      <c r="A1040">
        <v>1038</v>
      </c>
      <c r="B1040">
        <f>'Real Input'!M1040</f>
        <v>24.712589999995544</v>
      </c>
      <c r="C1040">
        <f ca="1">INDIRECT(CONCATENATE("'Real Input'!",'Real Analysis'!$B$2,A1040+2))</f>
        <v>9.8501523300000002</v>
      </c>
      <c r="D1040">
        <f t="shared" si="81"/>
        <v>2.1752000000560656E-2</v>
      </c>
      <c r="E1040">
        <f ca="1">IF(B1040&gt;0,C1040-'Real Analysis'!$B$14,0)</f>
        <v>-6.3454723714269079E-3</v>
      </c>
      <c r="F1040">
        <f t="shared" ca="1" si="84"/>
        <v>0.38948578073341827</v>
      </c>
      <c r="G1040">
        <f t="shared" ca="1" si="80"/>
        <v>0.12128992859028544</v>
      </c>
      <c r="H1040">
        <f ca="1">IF(AND(B1040&gt;'Real Analysis'!$B$31,B1040&lt;'Real Analysis'!$B$32),FilterInput(E1040,'Real Analysis'!$B$26,'Real Analysis'!$B$27),0)</f>
        <v>0</v>
      </c>
      <c r="I1040" t="e">
        <f>MEDIAN2("Real Values",H1040,'Real Analysis'!$B$5,2)</f>
        <v>#VALUE!</v>
      </c>
      <c r="J1040" t="e">
        <f>AVERAGE2("Real Values",I1040,'Real Analysis'!$B$6,2)</f>
        <v>#VALUE!</v>
      </c>
      <c r="K1040" t="e">
        <f>INTEGRAL2(J1040,$B1040,K1039,J1039,$B1039,'Real Analysis'!$B$19)</f>
        <v>#VALUE!</v>
      </c>
      <c r="L1040">
        <f ca="1">IF(AND(B1040&lt;'Real Analysis'!$B$32,B1040&gt;'Real Analysis'!$B$31),INTEGRAL2(K1040,$B1040,L1039,K1039,$B1039,'Real Analysis'!$B$20),0)</f>
        <v>0</v>
      </c>
      <c r="N1040">
        <f>'Real Analysis'!$B$28*'Real Input'!U1040+IF('Real Input'!U1040 &gt; 0,'Real Analysis'!$B$29,0)</f>
        <v>0</v>
      </c>
      <c r="O1040" t="e">
        <f t="shared" si="82"/>
        <v>#VALUE!</v>
      </c>
      <c r="P1040">
        <f t="shared" ca="1" si="83"/>
        <v>0</v>
      </c>
    </row>
    <row r="1041" spans="1:16" x14ac:dyDescent="0.3">
      <c r="A1041">
        <v>1039</v>
      </c>
      <c r="B1041">
        <f>'Real Input'!M1041</f>
        <v>24.729158999994979</v>
      </c>
      <c r="C1041">
        <f ca="1">INDIRECT(CONCATENATE("'Real Input'!",'Real Analysis'!$B$2,A1041+2))</f>
        <v>9.8506526399999998</v>
      </c>
      <c r="D1041">
        <f t="shared" si="81"/>
        <v>1.6568999999435619E-2</v>
      </c>
      <c r="E1041">
        <f ca="1">IF(B1041&gt;0,C1041-'Real Analysis'!$B$14,0)</f>
        <v>-5.8451623714272927E-3</v>
      </c>
      <c r="F1041">
        <f t="shared" ca="1" si="84"/>
        <v>0.3893889322380894</v>
      </c>
      <c r="G1041">
        <f t="shared" ca="1" si="80"/>
        <v>0.12774171380831859</v>
      </c>
      <c r="H1041">
        <f ca="1">IF(AND(B1041&gt;'Real Analysis'!$B$31,B1041&lt;'Real Analysis'!$B$32),FilterInput(E1041,'Real Analysis'!$B$26,'Real Analysis'!$B$27),0)</f>
        <v>0</v>
      </c>
      <c r="I1041" t="e">
        <f>MEDIAN2("Real Values",H1041,'Real Analysis'!$B$5,2)</f>
        <v>#VALUE!</v>
      </c>
      <c r="J1041" t="e">
        <f>AVERAGE2("Real Values",I1041,'Real Analysis'!$B$6,2)</f>
        <v>#VALUE!</v>
      </c>
      <c r="K1041" t="e">
        <f>INTEGRAL2(J1041,$B1041,K1040,J1040,$B1040,'Real Analysis'!$B$19)</f>
        <v>#VALUE!</v>
      </c>
      <c r="L1041">
        <f ca="1">IF(AND(B1041&lt;'Real Analysis'!$B$32,B1041&gt;'Real Analysis'!$B$31),INTEGRAL2(K1041,$B1041,L1040,K1040,$B1040,'Real Analysis'!$B$20),0)</f>
        <v>0</v>
      </c>
      <c r="N1041">
        <f>'Real Analysis'!$B$28*'Real Input'!U1041+IF('Real Input'!U1041 &gt; 0,'Real Analysis'!$B$29,0)</f>
        <v>0</v>
      </c>
      <c r="O1041" t="e">
        <f t="shared" si="82"/>
        <v>#VALUE!</v>
      </c>
      <c r="P1041">
        <f t="shared" ca="1" si="83"/>
        <v>0</v>
      </c>
    </row>
    <row r="1042" spans="1:16" x14ac:dyDescent="0.3">
      <c r="A1042">
        <v>1040</v>
      </c>
      <c r="B1042">
        <f>'Real Input'!M1042</f>
        <v>24.748250999997254</v>
      </c>
      <c r="C1042">
        <f ca="1">INDIRECT(CONCATENATE("'Real Input'!",'Real Analysis'!$B$2,A1042+2))</f>
        <v>9.8509175100000004</v>
      </c>
      <c r="D1042">
        <f t="shared" si="81"/>
        <v>1.909200000227429E-2</v>
      </c>
      <c r="E1042">
        <f ca="1">IF(B1042&gt;0,C1042-'Real Analysis'!$B$14,0)</f>
        <v>-5.5802923714267649E-3</v>
      </c>
      <c r="F1042">
        <f t="shared" ca="1" si="84"/>
        <v>0.38928239329612141</v>
      </c>
      <c r="G1042">
        <f t="shared" ca="1" si="80"/>
        <v>0.13517389326201348</v>
      </c>
      <c r="H1042">
        <f ca="1">IF(AND(B1042&gt;'Real Analysis'!$B$31,B1042&lt;'Real Analysis'!$B$32),FilterInput(E1042,'Real Analysis'!$B$26,'Real Analysis'!$B$27),0)</f>
        <v>0</v>
      </c>
      <c r="I1042" t="e">
        <f>MEDIAN2("Real Values",H1042,'Real Analysis'!$B$5,2)</f>
        <v>#VALUE!</v>
      </c>
      <c r="J1042" t="e">
        <f>AVERAGE2("Real Values",I1042,'Real Analysis'!$B$6,2)</f>
        <v>#VALUE!</v>
      </c>
      <c r="K1042" t="e">
        <f>INTEGRAL2(J1042,$B1042,K1041,J1041,$B1041,'Real Analysis'!$B$19)</f>
        <v>#VALUE!</v>
      </c>
      <c r="L1042">
        <f ca="1">IF(AND(B1042&lt;'Real Analysis'!$B$32,B1042&gt;'Real Analysis'!$B$31),INTEGRAL2(K1042,$B1042,L1041,K1041,$B1041,'Real Analysis'!$B$20),0)</f>
        <v>0</v>
      </c>
      <c r="N1042">
        <f>'Real Analysis'!$B$28*'Real Input'!U1042+IF('Real Input'!U1042 &gt; 0,'Real Analysis'!$B$29,0)</f>
        <v>0</v>
      </c>
      <c r="O1042" t="e">
        <f t="shared" si="82"/>
        <v>#VALUE!</v>
      </c>
      <c r="P1042">
        <f t="shared" ca="1" si="83"/>
        <v>0</v>
      </c>
    </row>
    <row r="1043" spans="1:16" x14ac:dyDescent="0.3">
      <c r="A1043">
        <v>1041</v>
      </c>
      <c r="B1043">
        <f>'Real Input'!M1043</f>
        <v>24.772182999993674</v>
      </c>
      <c r="C1043">
        <f ca="1">INDIRECT(CONCATENATE("'Real Input'!",'Real Analysis'!$B$2,A1043+2))</f>
        <v>9.8506526399999998</v>
      </c>
      <c r="D1043">
        <f t="shared" si="81"/>
        <v>2.3931999996420927E-2</v>
      </c>
      <c r="E1043">
        <f ca="1">IF(B1043&gt;0,C1043-'Real Analysis'!$B$14,0)</f>
        <v>-5.8451623714272927E-3</v>
      </c>
      <c r="F1043">
        <f t="shared" ca="1" si="84"/>
        <v>0.38914250687026936</v>
      </c>
      <c r="G1043">
        <f t="shared" ca="1" si="80"/>
        <v>0.14448685173504</v>
      </c>
      <c r="H1043">
        <f ca="1">IF(AND(B1043&gt;'Real Analysis'!$B$31,B1043&lt;'Real Analysis'!$B$32),FilterInput(E1043,'Real Analysis'!$B$26,'Real Analysis'!$B$27),0)</f>
        <v>0</v>
      </c>
      <c r="I1043" t="e">
        <f>MEDIAN2("Real Values",H1043,'Real Analysis'!$B$5,2)</f>
        <v>#VALUE!</v>
      </c>
      <c r="J1043" t="e">
        <f>AVERAGE2("Real Values",I1043,'Real Analysis'!$B$6,2)</f>
        <v>#VALUE!</v>
      </c>
      <c r="K1043" t="e">
        <f>INTEGRAL2(J1043,$B1043,K1042,J1042,$B1042,'Real Analysis'!$B$19)</f>
        <v>#VALUE!</v>
      </c>
      <c r="L1043">
        <f ca="1">IF(AND(B1043&lt;'Real Analysis'!$B$32,B1043&gt;'Real Analysis'!$B$31),INTEGRAL2(K1043,$B1043,L1042,K1042,$B1042,'Real Analysis'!$B$20),0)</f>
        <v>0</v>
      </c>
      <c r="N1043">
        <f>'Real Analysis'!$B$28*'Real Input'!U1043+IF('Real Input'!U1043 &gt; 0,'Real Analysis'!$B$29,0)</f>
        <v>0</v>
      </c>
      <c r="O1043" t="e">
        <f t="shared" si="82"/>
        <v>#VALUE!</v>
      </c>
      <c r="P1043">
        <f t="shared" ca="1" si="83"/>
        <v>0</v>
      </c>
    </row>
    <row r="1044" spans="1:16" x14ac:dyDescent="0.3">
      <c r="A1044">
        <v>1042</v>
      </c>
      <c r="B1044">
        <f>'Real Input'!M1044</f>
        <v>24.788973999995505</v>
      </c>
      <c r="C1044">
        <f ca="1">INDIRECT(CONCATENATE("'Real Input'!",'Real Analysis'!$B$2,A1044+2))</f>
        <v>9.8507409300000006</v>
      </c>
      <c r="D1044">
        <f t="shared" si="81"/>
        <v>1.679100000183098E-2</v>
      </c>
      <c r="E1044">
        <f ca="1">IF(B1044&gt;0,C1044-'Real Analysis'!$B$14,0)</f>
        <v>-5.7568723714265246E-3</v>
      </c>
      <c r="F1044">
        <f t="shared" ca="1" si="84"/>
        <v>0.38904584322627017</v>
      </c>
      <c r="G1044">
        <f t="shared" ca="1" si="80"/>
        <v>0.15101932048936464</v>
      </c>
      <c r="H1044">
        <f ca="1">IF(AND(B1044&gt;'Real Analysis'!$B$31,B1044&lt;'Real Analysis'!$B$32),FilterInput(E1044,'Real Analysis'!$B$26,'Real Analysis'!$B$27),0)</f>
        <v>0</v>
      </c>
      <c r="I1044" t="e">
        <f>MEDIAN2("Real Values",H1044,'Real Analysis'!$B$5,2)</f>
        <v>#VALUE!</v>
      </c>
      <c r="J1044" t="e">
        <f>AVERAGE2("Real Values",I1044,'Real Analysis'!$B$6,2)</f>
        <v>#VALUE!</v>
      </c>
      <c r="K1044" t="e">
        <f>INTEGRAL2(J1044,$B1044,K1043,J1043,$B1043,'Real Analysis'!$B$19)</f>
        <v>#VALUE!</v>
      </c>
      <c r="L1044">
        <f ca="1">IF(AND(B1044&lt;'Real Analysis'!$B$32,B1044&gt;'Real Analysis'!$B$31),INTEGRAL2(K1044,$B1044,L1043,K1043,$B1043,'Real Analysis'!$B$20),0)</f>
        <v>0</v>
      </c>
      <c r="N1044">
        <f>'Real Analysis'!$B$28*'Real Input'!U1044+IF('Real Input'!U1044 &gt; 0,'Real Analysis'!$B$29,0)</f>
        <v>0</v>
      </c>
      <c r="O1044" t="e">
        <f t="shared" si="82"/>
        <v>#VALUE!</v>
      </c>
      <c r="P1044">
        <f t="shared" ca="1" si="83"/>
        <v>0</v>
      </c>
    </row>
    <row r="1045" spans="1:16" x14ac:dyDescent="0.3">
      <c r="A1045">
        <v>1043</v>
      </c>
      <c r="B1045">
        <f>'Real Input'!M1045</f>
        <v>24.810652000000118</v>
      </c>
      <c r="C1045">
        <f ca="1">INDIRECT(CONCATENATE("'Real Input'!",'Real Analysis'!$B$2,A1045+2))</f>
        <v>9.8501032800000008</v>
      </c>
      <c r="D1045">
        <f t="shared" si="81"/>
        <v>2.1678000004612841E-2</v>
      </c>
      <c r="E1045">
        <f ca="1">IF(B1045&gt;0,C1045-'Real Analysis'!$B$14,0)</f>
        <v>-6.3945223714263477E-3</v>
      </c>
      <c r="F1045">
        <f t="shared" ca="1" si="84"/>
        <v>0.3889072227702729</v>
      </c>
      <c r="G1045">
        <f t="shared" ca="1" si="80"/>
        <v>0.1594500512663726</v>
      </c>
      <c r="H1045">
        <f ca="1">IF(AND(B1045&gt;'Real Analysis'!$B$31,B1045&lt;'Real Analysis'!$B$32),FilterInput(E1045,'Real Analysis'!$B$26,'Real Analysis'!$B$27),0)</f>
        <v>0</v>
      </c>
      <c r="I1045" t="e">
        <f>MEDIAN2("Real Values",H1045,'Real Analysis'!$B$5,2)</f>
        <v>#VALUE!</v>
      </c>
      <c r="J1045" t="e">
        <f>AVERAGE2("Real Values",I1045,'Real Analysis'!$B$6,2)</f>
        <v>#VALUE!</v>
      </c>
      <c r="K1045" t="e">
        <f>INTEGRAL2(J1045,$B1045,K1044,J1044,$B1044,'Real Analysis'!$B$19)</f>
        <v>#VALUE!</v>
      </c>
      <c r="L1045">
        <f ca="1">IF(AND(B1045&lt;'Real Analysis'!$B$32,B1045&gt;'Real Analysis'!$B$31),INTEGRAL2(K1045,$B1045,L1044,K1044,$B1044,'Real Analysis'!$B$20),0)</f>
        <v>0</v>
      </c>
      <c r="N1045">
        <f>'Real Analysis'!$B$28*'Real Input'!U1045+IF('Real Input'!U1045 &gt; 0,'Real Analysis'!$B$29,0)</f>
        <v>0</v>
      </c>
      <c r="O1045" t="e">
        <f t="shared" si="82"/>
        <v>#VALUE!</v>
      </c>
      <c r="P1045">
        <f t="shared" ca="1" si="83"/>
        <v>0</v>
      </c>
    </row>
    <row r="1046" spans="1:16" x14ac:dyDescent="0.3">
      <c r="A1046">
        <v>1044</v>
      </c>
      <c r="B1046">
        <f>'Real Input'!M1046</f>
        <v>24.830902000001515</v>
      </c>
      <c r="C1046">
        <f ca="1">INDIRECT(CONCATENATE("'Real Input'!",'Real Analysis'!$B$2,A1046+2))</f>
        <v>9.8505839700000006</v>
      </c>
      <c r="D1046">
        <f t="shared" si="81"/>
        <v>2.0250000001396984E-2</v>
      </c>
      <c r="E1046">
        <f ca="1">IF(B1046&gt;0,C1046-'Real Analysis'!$B$14,0)</f>
        <v>-5.9138323714265084E-3</v>
      </c>
      <c r="F1046">
        <f t="shared" ca="1" si="84"/>
        <v>0.38878746766474326</v>
      </c>
      <c r="G1046">
        <f t="shared" ca="1" si="80"/>
        <v>0.16732299748712678</v>
      </c>
      <c r="H1046">
        <f ca="1">IF(AND(B1046&gt;'Real Analysis'!$B$31,B1046&lt;'Real Analysis'!$B$32),FilterInput(E1046,'Real Analysis'!$B$26,'Real Analysis'!$B$27),0)</f>
        <v>0</v>
      </c>
      <c r="I1046" t="e">
        <f>MEDIAN2("Real Values",H1046,'Real Analysis'!$B$5,2)</f>
        <v>#VALUE!</v>
      </c>
      <c r="J1046" t="e">
        <f>AVERAGE2("Real Values",I1046,'Real Analysis'!$B$6,2)</f>
        <v>#VALUE!</v>
      </c>
      <c r="K1046" t="e">
        <f>INTEGRAL2(J1046,$B1046,K1045,J1045,$B1045,'Real Analysis'!$B$19)</f>
        <v>#VALUE!</v>
      </c>
      <c r="L1046">
        <f ca="1">IF(AND(B1046&lt;'Real Analysis'!$B$32,B1046&gt;'Real Analysis'!$B$31),INTEGRAL2(K1046,$B1046,L1045,K1045,$B1045,'Real Analysis'!$B$20),0)</f>
        <v>0</v>
      </c>
      <c r="N1046">
        <f>'Real Analysis'!$B$28*'Real Input'!U1046+IF('Real Input'!U1046 &gt; 0,'Real Analysis'!$B$29,0)</f>
        <v>0</v>
      </c>
      <c r="O1046" t="e">
        <f t="shared" si="82"/>
        <v>#VALUE!</v>
      </c>
      <c r="P1046">
        <f t="shared" ca="1" si="83"/>
        <v>0</v>
      </c>
    </row>
    <row r="1047" spans="1:16" x14ac:dyDescent="0.3">
      <c r="A1047">
        <v>1045</v>
      </c>
      <c r="B1047">
        <f>'Real Input'!M1047</f>
        <v>24.851580000002286</v>
      </c>
      <c r="C1047">
        <f ca="1">INDIRECT(CONCATENATE("'Real Input'!",'Real Analysis'!$B$2,A1047+2))</f>
        <v>9.8509371300000002</v>
      </c>
      <c r="D1047">
        <f t="shared" si="81"/>
        <v>2.0678000000771135E-2</v>
      </c>
      <c r="E1047">
        <f ca="1">IF(B1047&gt;0,C1047-'Real Analysis'!$B$14,0)</f>
        <v>-5.560672371426989E-3</v>
      </c>
      <c r="F1047">
        <f t="shared" ca="1" si="84"/>
        <v>0.38867248408144262</v>
      </c>
      <c r="G1047">
        <f t="shared" ca="1" si="80"/>
        <v>0.17535996711326257</v>
      </c>
      <c r="H1047">
        <f ca="1">IF(AND(B1047&gt;'Real Analysis'!$B$31,B1047&lt;'Real Analysis'!$B$32),FilterInput(E1047,'Real Analysis'!$B$26,'Real Analysis'!$B$27),0)</f>
        <v>0</v>
      </c>
      <c r="I1047" t="e">
        <f>MEDIAN2("Real Values",H1047,'Real Analysis'!$B$5,2)</f>
        <v>#VALUE!</v>
      </c>
      <c r="J1047" t="e">
        <f>AVERAGE2("Real Values",I1047,'Real Analysis'!$B$6,2)</f>
        <v>#VALUE!</v>
      </c>
      <c r="K1047" t="e">
        <f>INTEGRAL2(J1047,$B1047,K1046,J1046,$B1046,'Real Analysis'!$B$19)</f>
        <v>#VALUE!</v>
      </c>
      <c r="L1047">
        <f ca="1">IF(AND(B1047&lt;'Real Analysis'!$B$32,B1047&gt;'Real Analysis'!$B$31),INTEGRAL2(K1047,$B1047,L1046,K1046,$B1046,'Real Analysis'!$B$20),0)</f>
        <v>0</v>
      </c>
      <c r="N1047">
        <f>'Real Analysis'!$B$28*'Real Input'!U1047+IF('Real Input'!U1047 &gt; 0,'Real Analysis'!$B$29,0)</f>
        <v>0</v>
      </c>
      <c r="O1047" t="e">
        <f t="shared" si="82"/>
        <v>#VALUE!</v>
      </c>
      <c r="P1047">
        <f t="shared" ca="1" si="83"/>
        <v>0</v>
      </c>
    </row>
    <row r="1048" spans="1:16" x14ac:dyDescent="0.3">
      <c r="A1048">
        <v>1046</v>
      </c>
      <c r="B1048">
        <f>'Real Input'!M1048</f>
        <v>24.863641000003554</v>
      </c>
      <c r="C1048">
        <f ca="1">INDIRECT(CONCATENATE("'Real Input'!",'Real Analysis'!$B$2,A1048+2))</f>
        <v>9.8507409300000006</v>
      </c>
      <c r="D1048">
        <f t="shared" si="81"/>
        <v>1.206100000126753E-2</v>
      </c>
      <c r="E1048">
        <f ca="1">IF(B1048&gt;0,C1048-'Real Analysis'!$B$14,0)</f>
        <v>-5.7568723714265246E-3</v>
      </c>
      <c r="F1048">
        <f t="shared" ca="1" si="84"/>
        <v>0.38860305044376353</v>
      </c>
      <c r="G1048">
        <f t="shared" ca="1" si="80"/>
        <v>0.18004690850515737</v>
      </c>
      <c r="H1048">
        <f ca="1">IF(AND(B1048&gt;'Real Analysis'!$B$31,B1048&lt;'Real Analysis'!$B$32),FilterInput(E1048,'Real Analysis'!$B$26,'Real Analysis'!$B$27),0)</f>
        <v>0</v>
      </c>
      <c r="I1048" t="e">
        <f>MEDIAN2("Real Values",H1048,'Real Analysis'!$B$5,2)</f>
        <v>#VALUE!</v>
      </c>
      <c r="J1048" t="e">
        <f>AVERAGE2("Real Values",I1048,'Real Analysis'!$B$6,2)</f>
        <v>#VALUE!</v>
      </c>
      <c r="K1048" t="e">
        <f>INTEGRAL2(J1048,$B1048,K1047,J1047,$B1047,'Real Analysis'!$B$19)</f>
        <v>#VALUE!</v>
      </c>
      <c r="L1048">
        <f ca="1">IF(AND(B1048&lt;'Real Analysis'!$B$32,B1048&gt;'Real Analysis'!$B$31),INTEGRAL2(K1048,$B1048,L1047,K1047,$B1047,'Real Analysis'!$B$20),0)</f>
        <v>0</v>
      </c>
      <c r="N1048">
        <f>'Real Analysis'!$B$28*'Real Input'!U1048+IF('Real Input'!U1048 &gt; 0,'Real Analysis'!$B$29,0)</f>
        <v>0</v>
      </c>
      <c r="O1048" t="e">
        <f t="shared" si="82"/>
        <v>#VALUE!</v>
      </c>
      <c r="P1048">
        <f t="shared" ca="1" si="83"/>
        <v>0</v>
      </c>
    </row>
    <row r="1049" spans="1:16" x14ac:dyDescent="0.3">
      <c r="A1049">
        <v>1047</v>
      </c>
      <c r="B1049">
        <f>'Real Input'!M1049</f>
        <v>24.889215000002878</v>
      </c>
      <c r="C1049">
        <f ca="1">INDIRECT(CONCATENATE("'Real Input'!",'Real Analysis'!$B$2,A1049+2))</f>
        <v>9.8507997899999999</v>
      </c>
      <c r="D1049">
        <f t="shared" si="81"/>
        <v>2.557399999932386E-2</v>
      </c>
      <c r="E1049">
        <f ca="1">IF(B1049&gt;0,C1049-'Real Analysis'!$B$14,0)</f>
        <v>-5.6980123714271969E-3</v>
      </c>
      <c r="F1049">
        <f t="shared" ca="1" si="84"/>
        <v>0.38845732947538053</v>
      </c>
      <c r="G1049">
        <f t="shared" ca="1" si="80"/>
        <v>0.18998131624889811</v>
      </c>
      <c r="H1049">
        <f ca="1">IF(AND(B1049&gt;'Real Analysis'!$B$31,B1049&lt;'Real Analysis'!$B$32),FilterInput(E1049,'Real Analysis'!$B$26,'Real Analysis'!$B$27),0)</f>
        <v>0</v>
      </c>
      <c r="I1049" t="e">
        <f>MEDIAN2("Real Values",H1049,'Real Analysis'!$B$5,2)</f>
        <v>#VALUE!</v>
      </c>
      <c r="J1049" t="e">
        <f>AVERAGE2("Real Values",I1049,'Real Analysis'!$B$6,2)</f>
        <v>#VALUE!</v>
      </c>
      <c r="K1049" t="e">
        <f>INTEGRAL2(J1049,$B1049,K1048,J1048,$B1048,'Real Analysis'!$B$19)</f>
        <v>#VALUE!</v>
      </c>
      <c r="L1049">
        <f ca="1">IF(AND(B1049&lt;'Real Analysis'!$B$32,B1049&gt;'Real Analysis'!$B$31),INTEGRAL2(K1049,$B1049,L1048,K1048,$B1048,'Real Analysis'!$B$20),0)</f>
        <v>0</v>
      </c>
      <c r="N1049">
        <f>'Real Analysis'!$B$28*'Real Input'!U1049+IF('Real Input'!U1049 &gt; 0,'Real Analysis'!$B$29,0)</f>
        <v>0</v>
      </c>
      <c r="O1049" t="e">
        <f t="shared" si="82"/>
        <v>#VALUE!</v>
      </c>
      <c r="P1049">
        <f t="shared" ca="1" si="83"/>
        <v>0</v>
      </c>
    </row>
    <row r="1050" spans="1:16" x14ac:dyDescent="0.3">
      <c r="A1050">
        <v>1048</v>
      </c>
      <c r="B1050">
        <f>'Real Input'!M1050</f>
        <v>24.905175000007148</v>
      </c>
      <c r="C1050">
        <f ca="1">INDIRECT(CONCATENATE("'Real Input'!",'Real Analysis'!$B$2,A1050+2))</f>
        <v>9.8507605500000004</v>
      </c>
      <c r="D1050">
        <f t="shared" si="81"/>
        <v>1.5960000004270114E-2</v>
      </c>
      <c r="E1050">
        <f ca="1">IF(B1050&gt;0,C1050-'Real Analysis'!$B$14,0)</f>
        <v>-5.7372523714267487E-3</v>
      </c>
      <c r="F1050">
        <f t="shared" ca="1" si="84"/>
        <v>0.38836576292750807</v>
      </c>
      <c r="G1050">
        <f t="shared" ca="1" si="80"/>
        <v>0.1961796338268795</v>
      </c>
      <c r="H1050">
        <f ca="1">IF(AND(B1050&gt;'Real Analysis'!$B$31,B1050&lt;'Real Analysis'!$B$32),FilterInput(E1050,'Real Analysis'!$B$26,'Real Analysis'!$B$27),0)</f>
        <v>0</v>
      </c>
      <c r="I1050" t="e">
        <f>MEDIAN2("Real Values",H1050,'Real Analysis'!$B$5,2)</f>
        <v>#VALUE!</v>
      </c>
      <c r="J1050" t="e">
        <f>AVERAGE2("Real Values",I1050,'Real Analysis'!$B$6,2)</f>
        <v>#VALUE!</v>
      </c>
      <c r="K1050" t="e">
        <f>INTEGRAL2(J1050,$B1050,K1049,J1049,$B1049,'Real Analysis'!$B$19)</f>
        <v>#VALUE!</v>
      </c>
      <c r="L1050">
        <f ca="1">IF(AND(B1050&lt;'Real Analysis'!$B$32,B1050&gt;'Real Analysis'!$B$31),INTEGRAL2(K1050,$B1050,L1049,K1049,$B1049,'Real Analysis'!$B$20),0)</f>
        <v>0</v>
      </c>
      <c r="N1050">
        <f>'Real Analysis'!$B$28*'Real Input'!U1050+IF('Real Input'!U1050 &gt; 0,'Real Analysis'!$B$29,0)</f>
        <v>0</v>
      </c>
      <c r="O1050" t="e">
        <f t="shared" si="82"/>
        <v>#VALUE!</v>
      </c>
      <c r="P1050">
        <f t="shared" ca="1" si="83"/>
        <v>0</v>
      </c>
    </row>
    <row r="1051" spans="1:16" x14ac:dyDescent="0.3">
      <c r="A1051">
        <v>1049</v>
      </c>
      <c r="B1051">
        <f>'Real Input'!M1051</f>
        <v>24.923880999995163</v>
      </c>
      <c r="C1051">
        <f ca="1">INDIRECT(CONCATENATE("'Real Input'!",'Real Analysis'!$B$2,A1051+2))</f>
        <v>9.8502798600000006</v>
      </c>
      <c r="D1051">
        <f t="shared" si="81"/>
        <v>1.870599998801481E-2</v>
      </c>
      <c r="E1051">
        <f ca="1">IF(B1051&gt;0,C1051-'Real Analysis'!$B$14,0)</f>
        <v>-6.217942371426588E-3</v>
      </c>
      <c r="F1051">
        <f t="shared" ca="1" si="84"/>
        <v>0.38824945009758272</v>
      </c>
      <c r="G1051">
        <f t="shared" ca="1" si="80"/>
        <v>0.20344222803575163</v>
      </c>
      <c r="H1051">
        <f ca="1">IF(AND(B1051&gt;'Real Analysis'!$B$31,B1051&lt;'Real Analysis'!$B$32),FilterInput(E1051,'Real Analysis'!$B$26,'Real Analysis'!$B$27),0)</f>
        <v>0</v>
      </c>
      <c r="I1051" t="e">
        <f>MEDIAN2("Real Values",H1051,'Real Analysis'!$B$5,2)</f>
        <v>#VALUE!</v>
      </c>
      <c r="J1051" t="e">
        <f>AVERAGE2("Real Values",I1051,'Real Analysis'!$B$6,2)</f>
        <v>#VALUE!</v>
      </c>
      <c r="K1051" t="e">
        <f>INTEGRAL2(J1051,$B1051,K1050,J1050,$B1050,'Real Analysis'!$B$19)</f>
        <v>#VALUE!</v>
      </c>
      <c r="L1051">
        <f ca="1">IF(AND(B1051&lt;'Real Analysis'!$B$32,B1051&gt;'Real Analysis'!$B$31),INTEGRAL2(K1051,$B1051,L1050,K1050,$B1050,'Real Analysis'!$B$20),0)</f>
        <v>0</v>
      </c>
      <c r="N1051">
        <f>'Real Analysis'!$B$28*'Real Input'!U1051+IF('Real Input'!U1051 &gt; 0,'Real Analysis'!$B$29,0)</f>
        <v>0</v>
      </c>
      <c r="O1051" t="e">
        <f t="shared" si="82"/>
        <v>#VALUE!</v>
      </c>
      <c r="P1051">
        <f t="shared" ca="1" si="83"/>
        <v>0</v>
      </c>
    </row>
    <row r="1052" spans="1:16" x14ac:dyDescent="0.3">
      <c r="A1052">
        <v>1050</v>
      </c>
      <c r="B1052">
        <f>'Real Input'!M1052</f>
        <v>24.952577000003657</v>
      </c>
      <c r="C1052">
        <f ca="1">INDIRECT(CONCATENATE("'Real Input'!",'Real Analysis'!$B$2,A1052+2))</f>
        <v>9.851084280000002</v>
      </c>
      <c r="D1052">
        <f t="shared" si="81"/>
        <v>2.8696000008494593E-2</v>
      </c>
      <c r="E1052">
        <f ca="1">IF(B1052&gt;0,C1052-'Real Analysis'!$B$14,0)</f>
        <v>-5.4135223714251168E-3</v>
      </c>
      <c r="F1052">
        <f t="shared" ca="1" si="84"/>
        <v>0.38809410365956631</v>
      </c>
      <c r="G1052">
        <f t="shared" ca="1" si="80"/>
        <v>0.21457897643766324</v>
      </c>
      <c r="H1052">
        <f ca="1">IF(AND(B1052&gt;'Real Analysis'!$B$31,B1052&lt;'Real Analysis'!$B$32),FilterInput(E1052,'Real Analysis'!$B$26,'Real Analysis'!$B$27),0)</f>
        <v>0</v>
      </c>
      <c r="I1052" t="e">
        <f>MEDIAN2("Real Values",H1052,'Real Analysis'!$B$5,2)</f>
        <v>#VALUE!</v>
      </c>
      <c r="J1052" t="e">
        <f>AVERAGE2("Real Values",I1052,'Real Analysis'!$B$6,2)</f>
        <v>#VALUE!</v>
      </c>
      <c r="K1052" t="e">
        <f>INTEGRAL2(J1052,$B1052,K1051,J1051,$B1051,'Real Analysis'!$B$19)</f>
        <v>#VALUE!</v>
      </c>
      <c r="L1052">
        <f ca="1">IF(AND(B1052&lt;'Real Analysis'!$B$32,B1052&gt;'Real Analysis'!$B$31),INTEGRAL2(K1052,$B1052,L1051,K1051,$B1051,'Real Analysis'!$B$20),0)</f>
        <v>0</v>
      </c>
      <c r="N1052">
        <f>'Real Analysis'!$B$28*'Real Input'!U1052+IF('Real Input'!U1052 &gt; 0,'Real Analysis'!$B$29,0)</f>
        <v>0</v>
      </c>
      <c r="O1052" t="e">
        <f t="shared" si="82"/>
        <v>#VALUE!</v>
      </c>
      <c r="P1052">
        <f t="shared" ca="1" si="83"/>
        <v>0</v>
      </c>
    </row>
    <row r="1053" spans="1:16" x14ac:dyDescent="0.3">
      <c r="A1053">
        <v>1051</v>
      </c>
      <c r="B1053">
        <f>'Real Input'!M1053</f>
        <v>24.970560000001569</v>
      </c>
      <c r="C1053">
        <f ca="1">INDIRECT(CONCATENATE("'Real Input'!",'Real Analysis'!$B$2,A1053+2))</f>
        <v>9.8503877699999993</v>
      </c>
      <c r="D1053">
        <f t="shared" si="81"/>
        <v>1.7982999997911975E-2</v>
      </c>
      <c r="E1053">
        <f ca="1">IF(B1053&gt;0,C1053-'Real Analysis'!$B$14,0)</f>
        <v>-6.1100323714278204E-3</v>
      </c>
      <c r="F1053">
        <f t="shared" ca="1" si="84"/>
        <v>0.38798422694744367</v>
      </c>
      <c r="G1053">
        <f t="shared" ca="1" si="80"/>
        <v>0.22155609679004901</v>
      </c>
      <c r="H1053">
        <f ca="1">IF(AND(B1053&gt;'Real Analysis'!$B$31,B1053&lt;'Real Analysis'!$B$32),FilterInput(E1053,'Real Analysis'!$B$26,'Real Analysis'!$B$27),0)</f>
        <v>0</v>
      </c>
      <c r="I1053" t="e">
        <f>MEDIAN2("Real Values",H1053,'Real Analysis'!$B$5,2)</f>
        <v>#VALUE!</v>
      </c>
      <c r="J1053" t="e">
        <f>AVERAGE2("Real Values",I1053,'Real Analysis'!$B$6,2)</f>
        <v>#VALUE!</v>
      </c>
      <c r="K1053" t="e">
        <f>INTEGRAL2(J1053,$B1053,K1052,J1052,$B1052,'Real Analysis'!$B$19)</f>
        <v>#VALUE!</v>
      </c>
      <c r="L1053">
        <f ca="1">IF(AND(B1053&lt;'Real Analysis'!$B$32,B1053&gt;'Real Analysis'!$B$31),INTEGRAL2(K1053,$B1053,L1052,K1052,$B1052,'Real Analysis'!$B$20),0)</f>
        <v>0</v>
      </c>
      <c r="N1053">
        <f>'Real Analysis'!$B$28*'Real Input'!U1053+IF('Real Input'!U1053 &gt; 0,'Real Analysis'!$B$29,0)</f>
        <v>0</v>
      </c>
      <c r="O1053" t="e">
        <f t="shared" si="82"/>
        <v>#VALUE!</v>
      </c>
      <c r="P1053">
        <f t="shared" ca="1" si="83"/>
        <v>0</v>
      </c>
    </row>
    <row r="1054" spans="1:16" x14ac:dyDescent="0.3">
      <c r="A1054">
        <v>1052</v>
      </c>
      <c r="B1054">
        <f>'Real Input'!M1054</f>
        <v>24.990554000003613</v>
      </c>
      <c r="C1054">
        <f ca="1">INDIRECT(CONCATENATE("'Real Input'!",'Real Analysis'!$B$2,A1054+2))</f>
        <v>9.8494950600000006</v>
      </c>
      <c r="D1054">
        <f t="shared" si="81"/>
        <v>1.9994000002043322E-2</v>
      </c>
      <c r="E1054">
        <f ca="1">IF(B1054&gt;0,C1054-'Real Analysis'!$B$14,0)</f>
        <v>-7.0027423714265069E-3</v>
      </c>
      <c r="F1054">
        <f t="shared" ca="1" si="84"/>
        <v>0.38784421411645503</v>
      </c>
      <c r="G1054">
        <f t="shared" ca="1" si="80"/>
        <v>0.22931065400788589</v>
      </c>
      <c r="H1054">
        <f ca="1">IF(AND(B1054&gt;'Real Analysis'!$B$31,B1054&lt;'Real Analysis'!$B$32),FilterInput(E1054,'Real Analysis'!$B$26,'Real Analysis'!$B$27),0)</f>
        <v>0</v>
      </c>
      <c r="I1054" t="e">
        <f>MEDIAN2("Real Values",H1054,'Real Analysis'!$B$5,2)</f>
        <v>#VALUE!</v>
      </c>
      <c r="J1054" t="e">
        <f>AVERAGE2("Real Values",I1054,'Real Analysis'!$B$6,2)</f>
        <v>#VALUE!</v>
      </c>
      <c r="K1054" t="e">
        <f>INTEGRAL2(J1054,$B1054,K1053,J1053,$B1053,'Real Analysis'!$B$19)</f>
        <v>#VALUE!</v>
      </c>
      <c r="L1054">
        <f ca="1">IF(AND(B1054&lt;'Real Analysis'!$B$32,B1054&gt;'Real Analysis'!$B$31),INTEGRAL2(K1054,$B1054,L1053,K1053,$B1053,'Real Analysis'!$B$20),0)</f>
        <v>0</v>
      </c>
      <c r="N1054">
        <f>'Real Analysis'!$B$28*'Real Input'!U1054+IF('Real Input'!U1054 &gt; 0,'Real Analysis'!$B$29,0)</f>
        <v>0</v>
      </c>
      <c r="O1054" t="e">
        <f t="shared" si="82"/>
        <v>#VALUE!</v>
      </c>
      <c r="P1054">
        <f t="shared" ca="1" si="83"/>
        <v>0</v>
      </c>
    </row>
    <row r="1055" spans="1:16" x14ac:dyDescent="0.3">
      <c r="A1055">
        <v>1053</v>
      </c>
      <c r="B1055">
        <f>'Real Input'!M1055</f>
        <v>25.009464999995544</v>
      </c>
      <c r="C1055">
        <f ca="1">INDIRECT(CONCATENATE("'Real Input'!",'Real Analysis'!$B$2,A1055+2))</f>
        <v>9.8488279799999994</v>
      </c>
      <c r="D1055">
        <f t="shared" si="81"/>
        <v>1.8910999991931021E-2</v>
      </c>
      <c r="E1055">
        <f ca="1">IF(B1055&gt;0,C1055-'Real Analysis'!$B$14,0)</f>
        <v>-7.6698223714277702E-3</v>
      </c>
      <c r="F1055">
        <f t="shared" ca="1" si="84"/>
        <v>0.38769917010565086</v>
      </c>
      <c r="G1055">
        <f t="shared" ca="1" si="80"/>
        <v>0.23664243301062551</v>
      </c>
      <c r="H1055">
        <f ca="1">IF(AND(B1055&gt;'Real Analysis'!$B$31,B1055&lt;'Real Analysis'!$B$32),FilterInput(E1055,'Real Analysis'!$B$26,'Real Analysis'!$B$27),0)</f>
        <v>0</v>
      </c>
      <c r="I1055" t="e">
        <f>MEDIAN2("Real Values",H1055,'Real Analysis'!$B$5,2)</f>
        <v>#VALUE!</v>
      </c>
      <c r="J1055" t="e">
        <f>AVERAGE2("Real Values",I1055,'Real Analysis'!$B$6,2)</f>
        <v>#VALUE!</v>
      </c>
      <c r="K1055" t="e">
        <f>INTEGRAL2(J1055,$B1055,K1054,J1054,$B1054,'Real Analysis'!$B$19)</f>
        <v>#VALUE!</v>
      </c>
      <c r="L1055">
        <f ca="1">IF(AND(B1055&lt;'Real Analysis'!$B$32,B1055&gt;'Real Analysis'!$B$31),INTEGRAL2(K1055,$B1055,L1054,K1054,$B1054,'Real Analysis'!$B$20),0)</f>
        <v>0</v>
      </c>
      <c r="N1055">
        <f>'Real Analysis'!$B$28*'Real Input'!U1055+IF('Real Input'!U1055 &gt; 0,'Real Analysis'!$B$29,0)</f>
        <v>0</v>
      </c>
      <c r="O1055" t="e">
        <f t="shared" si="82"/>
        <v>#VALUE!</v>
      </c>
      <c r="P1055">
        <f t="shared" ca="1" si="83"/>
        <v>0</v>
      </c>
    </row>
    <row r="1056" spans="1:16" x14ac:dyDescent="0.3">
      <c r="A1056">
        <v>1054</v>
      </c>
      <c r="B1056">
        <f>'Real Input'!M1056</f>
        <v>25.029137999998056</v>
      </c>
      <c r="C1056">
        <f ca="1">INDIRECT(CONCATENATE("'Real Input'!",'Real Analysis'!$B$2,A1056+2))</f>
        <v>9.8508684599999992</v>
      </c>
      <c r="D1056">
        <f t="shared" si="81"/>
        <v>1.9673000002512708E-2</v>
      </c>
      <c r="E1056">
        <f ca="1">IF(B1056&gt;0,C1056-'Real Analysis'!$B$14,0)</f>
        <v>-5.6293423714279811E-3</v>
      </c>
      <c r="F1056">
        <f t="shared" ca="1" si="84"/>
        <v>0.38758842405316363</v>
      </c>
      <c r="G1056">
        <f t="shared" ca="1" si="80"/>
        <v>0.24426746007799729</v>
      </c>
      <c r="H1056">
        <f ca="1">IF(AND(B1056&gt;'Real Analysis'!$B$31,B1056&lt;'Real Analysis'!$B$32),FilterInput(E1056,'Real Analysis'!$B$26,'Real Analysis'!$B$27),0)</f>
        <v>0</v>
      </c>
      <c r="I1056" t="e">
        <f>MEDIAN2("Real Values",H1056,'Real Analysis'!$B$5,2)</f>
        <v>#VALUE!</v>
      </c>
      <c r="J1056" t="e">
        <f>AVERAGE2("Real Values",I1056,'Real Analysis'!$B$6,2)</f>
        <v>#VALUE!</v>
      </c>
      <c r="K1056" t="e">
        <f>INTEGRAL2(J1056,$B1056,K1055,J1055,$B1055,'Real Analysis'!$B$19)</f>
        <v>#VALUE!</v>
      </c>
      <c r="L1056">
        <f ca="1">IF(AND(B1056&lt;'Real Analysis'!$B$32,B1056&gt;'Real Analysis'!$B$31),INTEGRAL2(K1056,$B1056,L1055,K1055,$B1055,'Real Analysis'!$B$20),0)</f>
        <v>0</v>
      </c>
      <c r="N1056">
        <f>'Real Analysis'!$B$28*'Real Input'!U1056+IF('Real Input'!U1056 &gt; 0,'Real Analysis'!$B$29,0)</f>
        <v>0</v>
      </c>
      <c r="O1056" t="e">
        <f t="shared" si="82"/>
        <v>#VALUE!</v>
      </c>
      <c r="P1056">
        <f t="shared" ca="1" si="83"/>
        <v>0</v>
      </c>
    </row>
    <row r="1057" spans="1:16" x14ac:dyDescent="0.3">
      <c r="A1057">
        <v>1055</v>
      </c>
      <c r="B1057">
        <f>'Real Input'!M1057</f>
        <v>25.049568000002182</v>
      </c>
      <c r="C1057">
        <f ca="1">INDIRECT(CONCATENATE("'Real Input'!",'Real Analysis'!$B$2,A1057+2))</f>
        <v>9.8510646600000005</v>
      </c>
      <c r="D1057">
        <f t="shared" si="81"/>
        <v>2.0430000004125759E-2</v>
      </c>
      <c r="E1057">
        <f ca="1">IF(B1057&gt;0,C1057-'Real Analysis'!$B$14,0)</f>
        <v>-5.4331423714266691E-3</v>
      </c>
      <c r="F1057">
        <f t="shared" ca="1" si="84"/>
        <v>0.38747742495449294</v>
      </c>
      <c r="G1057">
        <f t="shared" ref="G1057:G1120" ca="1" si="85">IF(B1057&gt;0,G1056+F1057*$D1057,0)</f>
        <v>0.25218362387141624</v>
      </c>
      <c r="H1057">
        <f ca="1">IF(AND(B1057&gt;'Real Analysis'!$B$31,B1057&lt;'Real Analysis'!$B$32),FilterInput(E1057,'Real Analysis'!$B$26,'Real Analysis'!$B$27),0)</f>
        <v>0</v>
      </c>
      <c r="I1057" t="e">
        <f>MEDIAN2("Real Values",H1057,'Real Analysis'!$B$5,2)</f>
        <v>#VALUE!</v>
      </c>
      <c r="J1057" t="e">
        <f>AVERAGE2("Real Values",I1057,'Real Analysis'!$B$6,2)</f>
        <v>#VALUE!</v>
      </c>
      <c r="K1057" t="e">
        <f>INTEGRAL2(J1057,$B1057,K1056,J1056,$B1056,'Real Analysis'!$B$19)</f>
        <v>#VALUE!</v>
      </c>
      <c r="L1057">
        <f ca="1">IF(AND(B1057&lt;'Real Analysis'!$B$32,B1057&gt;'Real Analysis'!$B$31),INTEGRAL2(K1057,$B1057,L1056,K1056,$B1056,'Real Analysis'!$B$20),0)</f>
        <v>0</v>
      </c>
      <c r="N1057">
        <f>'Real Analysis'!$B$28*'Real Input'!U1057+IF('Real Input'!U1057 &gt; 0,'Real Analysis'!$B$29,0)</f>
        <v>0</v>
      </c>
      <c r="O1057" t="e">
        <f t="shared" si="82"/>
        <v>#VALUE!</v>
      </c>
      <c r="P1057">
        <f t="shared" ca="1" si="83"/>
        <v>0</v>
      </c>
    </row>
    <row r="1058" spans="1:16" x14ac:dyDescent="0.3">
      <c r="A1058">
        <v>1056</v>
      </c>
      <c r="B1058">
        <f>'Real Input'!M1058</f>
        <v>25.069510999994236</v>
      </c>
      <c r="C1058">
        <f ca="1">INDIRECT(CONCATENATE("'Real Input'!",'Real Analysis'!$B$2,A1058+2))</f>
        <v>9.8487495000000003</v>
      </c>
      <c r="D1058">
        <f t="shared" si="81"/>
        <v>1.9942999992053956E-2</v>
      </c>
      <c r="E1058">
        <f ca="1">IF(B1058&gt;0,C1058-'Real Analysis'!$B$14,0)</f>
        <v>-7.7483023714268739E-3</v>
      </c>
      <c r="F1058">
        <f t="shared" ca="1" si="84"/>
        <v>0.38732290056036117</v>
      </c>
      <c r="G1058">
        <f t="shared" ca="1" si="85"/>
        <v>0.25990800447421386</v>
      </c>
      <c r="H1058">
        <f ca="1">IF(AND(B1058&gt;'Real Analysis'!$B$31,B1058&lt;'Real Analysis'!$B$32),FilterInput(E1058,'Real Analysis'!$B$26,'Real Analysis'!$B$27),0)</f>
        <v>0</v>
      </c>
      <c r="I1058" t="e">
        <f>MEDIAN2("Real Values",H1058,'Real Analysis'!$B$5,2)</f>
        <v>#VALUE!</v>
      </c>
      <c r="J1058" t="e">
        <f>AVERAGE2("Real Values",I1058,'Real Analysis'!$B$6,2)</f>
        <v>#VALUE!</v>
      </c>
      <c r="K1058" t="e">
        <f>INTEGRAL2(J1058,$B1058,K1057,J1057,$B1057,'Real Analysis'!$B$19)</f>
        <v>#VALUE!</v>
      </c>
      <c r="L1058">
        <f ca="1">IF(AND(B1058&lt;'Real Analysis'!$B$32,B1058&gt;'Real Analysis'!$B$31),INTEGRAL2(K1058,$B1058,L1057,K1057,$B1057,'Real Analysis'!$B$20),0)</f>
        <v>0</v>
      </c>
      <c r="N1058">
        <f>'Real Analysis'!$B$28*'Real Input'!U1058+IF('Real Input'!U1058 &gt; 0,'Real Analysis'!$B$29,0)</f>
        <v>0</v>
      </c>
      <c r="O1058" t="e">
        <f t="shared" si="82"/>
        <v>#VALUE!</v>
      </c>
      <c r="P1058">
        <f t="shared" ca="1" si="83"/>
        <v>0</v>
      </c>
    </row>
    <row r="1059" spans="1:16" x14ac:dyDescent="0.3">
      <c r="A1059">
        <v>1057</v>
      </c>
      <c r="B1059">
        <f>'Real Input'!M1059</f>
        <v>25.090064000003622</v>
      </c>
      <c r="C1059">
        <f ca="1">INDIRECT(CONCATENATE("'Real Input'!",'Real Analysis'!$B$2,A1059+2))</f>
        <v>9.8509861800000014</v>
      </c>
      <c r="D1059">
        <f t="shared" si="81"/>
        <v>2.0553000009385869E-2</v>
      </c>
      <c r="E1059">
        <f ca="1">IF(B1059&gt;0,C1059-'Real Analysis'!$B$14,0)</f>
        <v>-5.5116223714257728E-3</v>
      </c>
      <c r="F1059">
        <f t="shared" ca="1" si="84"/>
        <v>0.38720962018570954</v>
      </c>
      <c r="G1059">
        <f t="shared" ca="1" si="85"/>
        <v>0.26786632380152503</v>
      </c>
      <c r="H1059">
        <f ca="1">IF(AND(B1059&gt;'Real Analysis'!$B$31,B1059&lt;'Real Analysis'!$B$32),FilterInput(E1059,'Real Analysis'!$B$26,'Real Analysis'!$B$27),0)</f>
        <v>0</v>
      </c>
      <c r="I1059" t="e">
        <f>MEDIAN2("Real Values",H1059,'Real Analysis'!$B$5,2)</f>
        <v>#VALUE!</v>
      </c>
      <c r="J1059" t="e">
        <f>AVERAGE2("Real Values",I1059,'Real Analysis'!$B$6,2)</f>
        <v>#VALUE!</v>
      </c>
      <c r="K1059" t="e">
        <f>INTEGRAL2(J1059,$B1059,K1058,J1058,$B1058,'Real Analysis'!$B$19)</f>
        <v>#VALUE!</v>
      </c>
      <c r="L1059">
        <f ca="1">IF(AND(B1059&lt;'Real Analysis'!$B$32,B1059&gt;'Real Analysis'!$B$31),INTEGRAL2(K1059,$B1059,L1058,K1058,$B1058,'Real Analysis'!$B$20),0)</f>
        <v>0</v>
      </c>
      <c r="N1059">
        <f>'Real Analysis'!$B$28*'Real Input'!U1059+IF('Real Input'!U1059 &gt; 0,'Real Analysis'!$B$29,0)</f>
        <v>0</v>
      </c>
      <c r="O1059" t="e">
        <f t="shared" si="82"/>
        <v>#VALUE!</v>
      </c>
      <c r="P1059">
        <f t="shared" ca="1" si="83"/>
        <v>0</v>
      </c>
    </row>
    <row r="1060" spans="1:16" x14ac:dyDescent="0.3">
      <c r="A1060">
        <v>1058</v>
      </c>
      <c r="B1060">
        <f>'Real Input'!M1060</f>
        <v>25.112080000006245</v>
      </c>
      <c r="C1060">
        <f ca="1">INDIRECT(CONCATENATE("'Real Input'!",'Real Analysis'!$B$2,A1060+2))</f>
        <v>9.8509371300000002</v>
      </c>
      <c r="D1060">
        <f t="shared" si="81"/>
        <v>2.2016000002622604E-2</v>
      </c>
      <c r="E1060">
        <f ca="1">IF(B1060&gt;0,C1060-'Real Analysis'!$B$14,0)</f>
        <v>-5.560672371426989E-3</v>
      </c>
      <c r="F1060">
        <f t="shared" ca="1" si="84"/>
        <v>0.38708719642276562</v>
      </c>
      <c r="G1060">
        <f t="shared" ca="1" si="85"/>
        <v>0.27638843551898379</v>
      </c>
      <c r="H1060">
        <f ca="1">IF(AND(B1060&gt;'Real Analysis'!$B$31,B1060&lt;'Real Analysis'!$B$32),FilterInput(E1060,'Real Analysis'!$B$26,'Real Analysis'!$B$27),0)</f>
        <v>0</v>
      </c>
      <c r="I1060" t="e">
        <f>MEDIAN2("Real Values",H1060,'Real Analysis'!$B$5,2)</f>
        <v>#VALUE!</v>
      </c>
      <c r="J1060" t="e">
        <f>AVERAGE2("Real Values",I1060,'Real Analysis'!$B$6,2)</f>
        <v>#VALUE!</v>
      </c>
      <c r="K1060" t="e">
        <f>INTEGRAL2(J1060,$B1060,K1059,J1059,$B1059,'Real Analysis'!$B$19)</f>
        <v>#VALUE!</v>
      </c>
      <c r="L1060">
        <f ca="1">IF(AND(B1060&lt;'Real Analysis'!$B$32,B1060&gt;'Real Analysis'!$B$31),INTEGRAL2(K1060,$B1060,L1059,K1059,$B1059,'Real Analysis'!$B$20),0)</f>
        <v>0</v>
      </c>
      <c r="N1060">
        <f>'Real Analysis'!$B$28*'Real Input'!U1060+IF('Real Input'!U1060 &gt; 0,'Real Analysis'!$B$29,0)</f>
        <v>0</v>
      </c>
      <c r="O1060" t="e">
        <f t="shared" si="82"/>
        <v>#VALUE!</v>
      </c>
      <c r="P1060">
        <f t="shared" ca="1" si="83"/>
        <v>0</v>
      </c>
    </row>
    <row r="1061" spans="1:16" x14ac:dyDescent="0.3">
      <c r="A1061">
        <v>1059</v>
      </c>
      <c r="B1061">
        <f>'Real Input'!M1061</f>
        <v>25.130132000005688</v>
      </c>
      <c r="C1061">
        <f ca="1">INDIRECT(CONCATENATE("'Real Input'!",'Real Analysis'!$B$2,A1061+2))</f>
        <v>9.8506330200000018</v>
      </c>
      <c r="D1061">
        <f t="shared" si="81"/>
        <v>1.8051999999443069E-2</v>
      </c>
      <c r="E1061">
        <f ca="1">IF(B1061&gt;0,C1061-'Real Analysis'!$B$14,0)</f>
        <v>-5.8647823714252922E-3</v>
      </c>
      <c r="F1061">
        <f t="shared" ca="1" si="84"/>
        <v>0.3869813253713999</v>
      </c>
      <c r="G1061">
        <f t="shared" ca="1" si="85"/>
        <v>0.28337422240437277</v>
      </c>
      <c r="H1061">
        <f ca="1">IF(AND(B1061&gt;'Real Analysis'!$B$31,B1061&lt;'Real Analysis'!$B$32),FilterInput(E1061,'Real Analysis'!$B$26,'Real Analysis'!$B$27),0)</f>
        <v>0</v>
      </c>
      <c r="I1061" t="e">
        <f>MEDIAN2("Real Values",H1061,'Real Analysis'!$B$5,2)</f>
        <v>#VALUE!</v>
      </c>
      <c r="J1061" t="e">
        <f>AVERAGE2("Real Values",I1061,'Real Analysis'!$B$6,2)</f>
        <v>#VALUE!</v>
      </c>
      <c r="K1061" t="e">
        <f>INTEGRAL2(J1061,$B1061,K1060,J1060,$B1060,'Real Analysis'!$B$19)</f>
        <v>#VALUE!</v>
      </c>
      <c r="L1061">
        <f ca="1">IF(AND(B1061&lt;'Real Analysis'!$B$32,B1061&gt;'Real Analysis'!$B$31),INTEGRAL2(K1061,$B1061,L1060,K1060,$B1060,'Real Analysis'!$B$20),0)</f>
        <v>0</v>
      </c>
      <c r="N1061">
        <f>'Real Analysis'!$B$28*'Real Input'!U1061+IF('Real Input'!U1061 &gt; 0,'Real Analysis'!$B$29,0)</f>
        <v>0</v>
      </c>
      <c r="O1061" t="e">
        <f t="shared" si="82"/>
        <v>#VALUE!</v>
      </c>
      <c r="P1061">
        <f t="shared" ca="1" si="83"/>
        <v>0</v>
      </c>
    </row>
    <row r="1062" spans="1:16" x14ac:dyDescent="0.3">
      <c r="A1062">
        <v>1060</v>
      </c>
      <c r="B1062">
        <f>'Real Input'!M1062</f>
        <v>25.151247000001604</v>
      </c>
      <c r="C1062">
        <f ca="1">INDIRECT(CONCATENATE("'Real Input'!",'Real Analysis'!$B$2,A1062+2))</f>
        <v>9.850711500000001</v>
      </c>
      <c r="D1062">
        <f t="shared" si="81"/>
        <v>2.1114999995916151E-2</v>
      </c>
      <c r="E1062">
        <f ca="1">IF(B1062&gt;0,C1062-'Real Analysis'!$B$14,0)</f>
        <v>-5.7863023714261885E-3</v>
      </c>
      <c r="F1062">
        <f t="shared" ca="1" si="84"/>
        <v>0.38685914759685086</v>
      </c>
      <c r="G1062">
        <f t="shared" ca="1" si="85"/>
        <v>0.29154275330430041</v>
      </c>
      <c r="H1062">
        <f ca="1">IF(AND(B1062&gt;'Real Analysis'!$B$31,B1062&lt;'Real Analysis'!$B$32),FilterInput(E1062,'Real Analysis'!$B$26,'Real Analysis'!$B$27),0)</f>
        <v>0</v>
      </c>
      <c r="I1062" t="e">
        <f>MEDIAN2("Real Values",H1062,'Real Analysis'!$B$5,2)</f>
        <v>#VALUE!</v>
      </c>
      <c r="J1062" t="e">
        <f>AVERAGE2("Real Values",I1062,'Real Analysis'!$B$6,2)</f>
        <v>#VALUE!</v>
      </c>
      <c r="K1062" t="e">
        <f>INTEGRAL2(J1062,$B1062,K1061,J1061,$B1061,'Real Analysis'!$B$19)</f>
        <v>#VALUE!</v>
      </c>
      <c r="L1062">
        <f ca="1">IF(AND(B1062&lt;'Real Analysis'!$B$32,B1062&gt;'Real Analysis'!$B$31),INTEGRAL2(K1062,$B1062,L1061,K1061,$B1061,'Real Analysis'!$B$20),0)</f>
        <v>0</v>
      </c>
      <c r="N1062">
        <f>'Real Analysis'!$B$28*'Real Input'!U1062+IF('Real Input'!U1062 &gt; 0,'Real Analysis'!$B$29,0)</f>
        <v>0</v>
      </c>
      <c r="O1062" t="e">
        <f t="shared" si="82"/>
        <v>#VALUE!</v>
      </c>
      <c r="P1062">
        <f t="shared" ca="1" si="83"/>
        <v>0</v>
      </c>
    </row>
    <row r="1063" spans="1:16" x14ac:dyDescent="0.3">
      <c r="A1063">
        <v>1061</v>
      </c>
      <c r="B1063">
        <f>'Real Input'!M1063</f>
        <v>25.170014000002993</v>
      </c>
      <c r="C1063">
        <f ca="1">INDIRECT(CONCATENATE("'Real Input'!",'Real Analysis'!$B$2,A1063+2))</f>
        <v>9.8342110799999993</v>
      </c>
      <c r="D1063">
        <f t="shared" si="81"/>
        <v>1.8767000001389533E-2</v>
      </c>
      <c r="E1063">
        <f ca="1">IF(B1063&gt;0,C1063-'Real Analysis'!$B$14,0)</f>
        <v>-2.2286722371427814E-2</v>
      </c>
      <c r="F1063">
        <f t="shared" ca="1" si="84"/>
        <v>0.3864408926780753</v>
      </c>
      <c r="G1063">
        <f t="shared" ca="1" si="85"/>
        <v>0.29879508953772682</v>
      </c>
      <c r="H1063">
        <f ca="1">IF(AND(B1063&gt;'Real Analysis'!$B$31,B1063&lt;'Real Analysis'!$B$32),FilterInput(E1063,'Real Analysis'!$B$26,'Real Analysis'!$B$27),0)</f>
        <v>0</v>
      </c>
      <c r="I1063" t="e">
        <f>MEDIAN2("Real Values",H1063,'Real Analysis'!$B$5,2)</f>
        <v>#VALUE!</v>
      </c>
      <c r="J1063" t="e">
        <f>AVERAGE2("Real Values",I1063,'Real Analysis'!$B$6,2)</f>
        <v>#VALUE!</v>
      </c>
      <c r="K1063" t="e">
        <f>INTEGRAL2(J1063,$B1063,K1062,J1062,$B1062,'Real Analysis'!$B$19)</f>
        <v>#VALUE!</v>
      </c>
      <c r="L1063">
        <f ca="1">IF(AND(B1063&lt;'Real Analysis'!$B$32,B1063&gt;'Real Analysis'!$B$31),INTEGRAL2(K1063,$B1063,L1062,K1062,$B1062,'Real Analysis'!$B$20),0)</f>
        <v>0</v>
      </c>
      <c r="N1063">
        <f>'Real Analysis'!$B$28*'Real Input'!U1063+IF('Real Input'!U1063 &gt; 0,'Real Analysis'!$B$29,0)</f>
        <v>0</v>
      </c>
      <c r="O1063" t="e">
        <f t="shared" si="82"/>
        <v>#VALUE!</v>
      </c>
      <c r="P1063">
        <f t="shared" ca="1" si="83"/>
        <v>0</v>
      </c>
    </row>
    <row r="1064" spans="1:16" x14ac:dyDescent="0.3">
      <c r="A1064">
        <v>1062</v>
      </c>
      <c r="B1064">
        <f>'Real Input'!M1064</f>
        <v>25.191411000007065</v>
      </c>
      <c r="C1064">
        <f ca="1">INDIRECT(CONCATENATE("'Real Input'!",'Real Analysis'!$B$2,A1064+2))</f>
        <v>9.8638765200000016</v>
      </c>
      <c r="D1064">
        <f t="shared" si="81"/>
        <v>2.1397000004071742E-2</v>
      </c>
      <c r="E1064">
        <f ca="1">IF(B1064&gt;0,C1064-'Real Analysis'!$B$14,0)</f>
        <v>7.3787176285744493E-3</v>
      </c>
      <c r="F1064">
        <f t="shared" ca="1" si="84"/>
        <v>0.38659877509920393</v>
      </c>
      <c r="G1064">
        <f t="shared" ca="1" si="85"/>
        <v>0.30706714353009862</v>
      </c>
      <c r="H1064">
        <f ca="1">IF(AND(B1064&gt;'Real Analysis'!$B$31,B1064&lt;'Real Analysis'!$B$32),FilterInput(E1064,'Real Analysis'!$B$26,'Real Analysis'!$B$27),0)</f>
        <v>0</v>
      </c>
      <c r="I1064" t="e">
        <f>MEDIAN2("Real Values",H1064,'Real Analysis'!$B$5,2)</f>
        <v>#VALUE!</v>
      </c>
      <c r="J1064" t="e">
        <f>AVERAGE2("Real Values",I1064,'Real Analysis'!$B$6,2)</f>
        <v>#VALUE!</v>
      </c>
      <c r="K1064" t="e">
        <f>INTEGRAL2(J1064,$B1064,K1063,J1063,$B1063,'Real Analysis'!$B$19)</f>
        <v>#VALUE!</v>
      </c>
      <c r="L1064">
        <f ca="1">IF(AND(B1064&lt;'Real Analysis'!$B$32,B1064&gt;'Real Analysis'!$B$31),INTEGRAL2(K1064,$B1064,L1063,K1063,$B1063,'Real Analysis'!$B$20),0)</f>
        <v>0</v>
      </c>
      <c r="N1064">
        <f>'Real Analysis'!$B$28*'Real Input'!U1064+IF('Real Input'!U1064 &gt; 0,'Real Analysis'!$B$29,0)</f>
        <v>0</v>
      </c>
      <c r="O1064" t="e">
        <f t="shared" si="82"/>
        <v>#VALUE!</v>
      </c>
      <c r="P1064">
        <f t="shared" ca="1" si="83"/>
        <v>0</v>
      </c>
    </row>
    <row r="1065" spans="1:16" x14ac:dyDescent="0.3">
      <c r="A1065">
        <v>1063</v>
      </c>
      <c r="B1065">
        <f>'Real Input'!M1065</f>
        <v>25.195875000004889</v>
      </c>
      <c r="C1065">
        <f ca="1">INDIRECT(CONCATENATE("'Real Input'!",'Real Analysis'!$B$2,A1065+2))</f>
        <v>9.8529776099999999</v>
      </c>
      <c r="D1065">
        <f t="shared" si="81"/>
        <v>4.4639999978244305E-3</v>
      </c>
      <c r="E1065">
        <f ca="1">IF(B1065&gt;0,C1065-'Real Analysis'!$B$14,0)</f>
        <v>-3.5201923714271999E-3</v>
      </c>
      <c r="F1065">
        <f t="shared" ca="1" si="84"/>
        <v>0.38658306096046552</v>
      </c>
      <c r="G1065">
        <f t="shared" ca="1" si="85"/>
        <v>0.3087928503133851</v>
      </c>
      <c r="H1065">
        <f ca="1">IF(AND(B1065&gt;'Real Analysis'!$B$31,B1065&lt;'Real Analysis'!$B$32),FilterInput(E1065,'Real Analysis'!$B$26,'Real Analysis'!$B$27),0)</f>
        <v>0</v>
      </c>
      <c r="I1065" t="e">
        <f>MEDIAN2("Real Values",H1065,'Real Analysis'!$B$5,2)</f>
        <v>#VALUE!</v>
      </c>
      <c r="J1065" t="e">
        <f>AVERAGE2("Real Values",I1065,'Real Analysis'!$B$6,2)</f>
        <v>#VALUE!</v>
      </c>
      <c r="K1065" t="e">
        <f>INTEGRAL2(J1065,$B1065,K1064,J1064,$B1064,'Real Analysis'!$B$19)</f>
        <v>#VALUE!</v>
      </c>
      <c r="L1065">
        <f ca="1">IF(AND(B1065&lt;'Real Analysis'!$B$32,B1065&gt;'Real Analysis'!$B$31),INTEGRAL2(K1065,$B1065,L1064,K1064,$B1064,'Real Analysis'!$B$20),0)</f>
        <v>0</v>
      </c>
      <c r="N1065">
        <f>'Real Analysis'!$B$28*'Real Input'!U1065+IF('Real Input'!U1065 &gt; 0,'Real Analysis'!$B$29,0)</f>
        <v>0</v>
      </c>
      <c r="O1065" t="e">
        <f t="shared" si="82"/>
        <v>#VALUE!</v>
      </c>
      <c r="P1065">
        <f t="shared" ca="1" si="83"/>
        <v>0</v>
      </c>
    </row>
    <row r="1066" spans="1:16" x14ac:dyDescent="0.3">
      <c r="A1066">
        <v>1064</v>
      </c>
      <c r="B1066">
        <f>'Real Input'!M1066</f>
        <v>25.233873000004678</v>
      </c>
      <c r="C1066">
        <f ca="1">INDIRECT(CONCATENATE("'Real Input'!",'Real Analysis'!$B$2,A1066+2))</f>
        <v>9.8494754400000009</v>
      </c>
      <c r="D1066">
        <f t="shared" si="81"/>
        <v>3.799799999978859E-2</v>
      </c>
      <c r="E1066">
        <f ca="1">IF(B1066&gt;0,C1066-'Real Analysis'!$B$14,0)</f>
        <v>-7.0223623714262828E-3</v>
      </c>
      <c r="F1066">
        <f t="shared" ca="1" si="84"/>
        <v>0.38631622523507753</v>
      </c>
      <c r="G1066">
        <f t="shared" ca="1" si="85"/>
        <v>0.3234720942397859</v>
      </c>
      <c r="H1066">
        <f ca="1">IF(AND(B1066&gt;'Real Analysis'!$B$31,B1066&lt;'Real Analysis'!$B$32),FilterInput(E1066,'Real Analysis'!$B$26,'Real Analysis'!$B$27),0)</f>
        <v>0</v>
      </c>
      <c r="I1066" t="e">
        <f>MEDIAN2("Real Values",H1066,'Real Analysis'!$B$5,2)</f>
        <v>#VALUE!</v>
      </c>
      <c r="J1066" t="e">
        <f>AVERAGE2("Real Values",I1066,'Real Analysis'!$B$6,2)</f>
        <v>#VALUE!</v>
      </c>
      <c r="K1066" t="e">
        <f>INTEGRAL2(J1066,$B1066,K1065,J1065,$B1065,'Real Analysis'!$B$19)</f>
        <v>#VALUE!</v>
      </c>
      <c r="L1066">
        <f ca="1">IF(AND(B1066&lt;'Real Analysis'!$B$32,B1066&gt;'Real Analysis'!$B$31),INTEGRAL2(K1066,$B1066,L1065,K1065,$B1065,'Real Analysis'!$B$20),0)</f>
        <v>0</v>
      </c>
      <c r="N1066">
        <f>'Real Analysis'!$B$28*'Real Input'!U1066+IF('Real Input'!U1066 &gt; 0,'Real Analysis'!$B$29,0)</f>
        <v>0</v>
      </c>
      <c r="O1066" t="e">
        <f t="shared" si="82"/>
        <v>#VALUE!</v>
      </c>
      <c r="P1066">
        <f t="shared" ca="1" si="83"/>
        <v>0</v>
      </c>
    </row>
    <row r="1067" spans="1:16" x14ac:dyDescent="0.3">
      <c r="A1067">
        <v>1065</v>
      </c>
      <c r="B1067">
        <f>'Real Input'!M1067</f>
        <v>25.248592000003555</v>
      </c>
      <c r="C1067">
        <f ca="1">INDIRECT(CONCATENATE("'Real Input'!",'Real Analysis'!$B$2,A1067+2))</f>
        <v>9.8502602400000008</v>
      </c>
      <c r="D1067">
        <f t="shared" si="81"/>
        <v>1.4718999998876825E-2</v>
      </c>
      <c r="E1067">
        <f ca="1">IF(B1067&gt;0,C1067-'Real Analysis'!$B$14,0)</f>
        <v>-6.2375623714263639E-3</v>
      </c>
      <c r="F1067">
        <f t="shared" ca="1" si="84"/>
        <v>0.38622441455453949</v>
      </c>
      <c r="G1067">
        <f t="shared" ca="1" si="85"/>
        <v>0.32915693139718039</v>
      </c>
      <c r="H1067">
        <f ca="1">IF(AND(B1067&gt;'Real Analysis'!$B$31,B1067&lt;'Real Analysis'!$B$32),FilterInput(E1067,'Real Analysis'!$B$26,'Real Analysis'!$B$27),0)</f>
        <v>0</v>
      </c>
      <c r="I1067" t="e">
        <f>MEDIAN2("Real Values",H1067,'Real Analysis'!$B$5,2)</f>
        <v>#VALUE!</v>
      </c>
      <c r="J1067" t="e">
        <f>AVERAGE2("Real Values",I1067,'Real Analysis'!$B$6,2)</f>
        <v>#VALUE!</v>
      </c>
      <c r="K1067" t="e">
        <f>INTEGRAL2(J1067,$B1067,K1066,J1066,$B1066,'Real Analysis'!$B$19)</f>
        <v>#VALUE!</v>
      </c>
      <c r="L1067">
        <f ca="1">IF(AND(B1067&lt;'Real Analysis'!$B$32,B1067&gt;'Real Analysis'!$B$31),INTEGRAL2(K1067,$B1067,L1066,K1066,$B1066,'Real Analysis'!$B$20),0)</f>
        <v>0</v>
      </c>
      <c r="N1067">
        <f>'Real Analysis'!$B$28*'Real Input'!U1067+IF('Real Input'!U1067 &gt; 0,'Real Analysis'!$B$29,0)</f>
        <v>0</v>
      </c>
      <c r="O1067" t="e">
        <f t="shared" si="82"/>
        <v>#VALUE!</v>
      </c>
      <c r="P1067">
        <f t="shared" ca="1" si="83"/>
        <v>0</v>
      </c>
    </row>
    <row r="1068" spans="1:16" x14ac:dyDescent="0.3">
      <c r="A1068">
        <v>1066</v>
      </c>
      <c r="B1068">
        <f>'Real Input'!M1068</f>
        <v>25.270485000000917</v>
      </c>
      <c r="C1068">
        <f ca="1">INDIRECT(CONCATENATE("'Real Input'!",'Real Analysis'!$B$2,A1068+2))</f>
        <v>9.8509959899999995</v>
      </c>
      <c r="D1068">
        <f t="shared" si="81"/>
        <v>2.1892999997362494E-2</v>
      </c>
      <c r="E1068">
        <f ca="1">IF(B1068&gt;0,C1068-'Real Analysis'!$B$14,0)</f>
        <v>-5.5018123714276612E-3</v>
      </c>
      <c r="F1068">
        <f t="shared" ca="1" si="84"/>
        <v>0.38610396337630631</v>
      </c>
      <c r="G1068">
        <f t="shared" ca="1" si="85"/>
        <v>0.33760990546635949</v>
      </c>
      <c r="H1068">
        <f ca="1">IF(AND(B1068&gt;'Real Analysis'!$B$31,B1068&lt;'Real Analysis'!$B$32),FilterInput(E1068,'Real Analysis'!$B$26,'Real Analysis'!$B$27),0)</f>
        <v>0</v>
      </c>
      <c r="I1068" t="e">
        <f>MEDIAN2("Real Values",H1068,'Real Analysis'!$B$5,2)</f>
        <v>#VALUE!</v>
      </c>
      <c r="J1068" t="e">
        <f>AVERAGE2("Real Values",I1068,'Real Analysis'!$B$6,2)</f>
        <v>#VALUE!</v>
      </c>
      <c r="K1068" t="e">
        <f>INTEGRAL2(J1068,$B1068,K1067,J1067,$B1067,'Real Analysis'!$B$19)</f>
        <v>#VALUE!</v>
      </c>
      <c r="L1068">
        <f ca="1">IF(AND(B1068&lt;'Real Analysis'!$B$32,B1068&gt;'Real Analysis'!$B$31),INTEGRAL2(K1068,$B1068,L1067,K1067,$B1067,'Real Analysis'!$B$20),0)</f>
        <v>0</v>
      </c>
      <c r="N1068">
        <f>'Real Analysis'!$B$28*'Real Input'!U1068+IF('Real Input'!U1068 &gt; 0,'Real Analysis'!$B$29,0)</f>
        <v>0</v>
      </c>
      <c r="O1068" t="e">
        <f t="shared" si="82"/>
        <v>#VALUE!</v>
      </c>
      <c r="P1068">
        <f t="shared" ca="1" si="83"/>
        <v>0</v>
      </c>
    </row>
    <row r="1069" spans="1:16" x14ac:dyDescent="0.3">
      <c r="A1069">
        <v>1067</v>
      </c>
      <c r="B1069">
        <f>'Real Input'!M1069</f>
        <v>25.291649999999208</v>
      </c>
      <c r="C1069">
        <f ca="1">INDIRECT(CONCATENATE("'Real Input'!",'Real Analysis'!$B$2,A1069+2))</f>
        <v>9.8483472899999995</v>
      </c>
      <c r="D1069">
        <f t="shared" si="81"/>
        <v>2.1164999998291023E-2</v>
      </c>
      <c r="E1069">
        <f ca="1">IF(B1069&gt;0,C1069-'Real Analysis'!$B$14,0)</f>
        <v>-8.1505123714276095E-3</v>
      </c>
      <c r="F1069">
        <f t="shared" ca="1" si="84"/>
        <v>0.38593145778197896</v>
      </c>
      <c r="G1069">
        <f t="shared" ca="1" si="85"/>
        <v>0.34577814476965552</v>
      </c>
      <c r="H1069">
        <f ca="1">IF(AND(B1069&gt;'Real Analysis'!$B$31,B1069&lt;'Real Analysis'!$B$32),FilterInput(E1069,'Real Analysis'!$B$26,'Real Analysis'!$B$27),0)</f>
        <v>0</v>
      </c>
      <c r="I1069" t="e">
        <f>MEDIAN2("Real Values",H1069,'Real Analysis'!$B$5,2)</f>
        <v>#VALUE!</v>
      </c>
      <c r="J1069" t="e">
        <f>AVERAGE2("Real Values",I1069,'Real Analysis'!$B$6,2)</f>
        <v>#VALUE!</v>
      </c>
      <c r="K1069" t="e">
        <f>INTEGRAL2(J1069,$B1069,K1068,J1068,$B1068,'Real Analysis'!$B$19)</f>
        <v>#VALUE!</v>
      </c>
      <c r="L1069">
        <f ca="1">IF(AND(B1069&lt;'Real Analysis'!$B$32,B1069&gt;'Real Analysis'!$B$31),INTEGRAL2(K1069,$B1069,L1068,K1068,$B1068,'Real Analysis'!$B$20),0)</f>
        <v>0</v>
      </c>
      <c r="N1069">
        <f>'Real Analysis'!$B$28*'Real Input'!U1069+IF('Real Input'!U1069 &gt; 0,'Real Analysis'!$B$29,0)</f>
        <v>0</v>
      </c>
      <c r="O1069" t="e">
        <f t="shared" si="82"/>
        <v>#VALUE!</v>
      </c>
      <c r="P1069">
        <f t="shared" ca="1" si="83"/>
        <v>0</v>
      </c>
    </row>
    <row r="1070" spans="1:16" x14ac:dyDescent="0.3">
      <c r="A1070">
        <v>1068</v>
      </c>
      <c r="B1070">
        <f>'Real Input'!M1070</f>
        <v>25.311413000003085</v>
      </c>
      <c r="C1070">
        <f ca="1">INDIRECT(CONCATENATE("'Real Input'!",'Real Analysis'!$B$2,A1070+2))</f>
        <v>9.8322687000000002</v>
      </c>
      <c r="D1070">
        <f t="shared" si="81"/>
        <v>1.9763000003877096E-2</v>
      </c>
      <c r="E1070">
        <f ca="1">IF(B1070&gt;0,C1070-'Real Analysis'!$B$14,0)</f>
        <v>-2.4229102371426947E-2</v>
      </c>
      <c r="F1070">
        <f t="shared" ca="1" si="84"/>
        <v>0.38545261803171849</v>
      </c>
      <c r="G1070">
        <f t="shared" ca="1" si="85"/>
        <v>0.35339584486131081</v>
      </c>
      <c r="H1070">
        <f ca="1">IF(AND(B1070&gt;'Real Analysis'!$B$31,B1070&lt;'Real Analysis'!$B$32),FilterInput(E1070,'Real Analysis'!$B$26,'Real Analysis'!$B$27),0)</f>
        <v>0</v>
      </c>
      <c r="I1070" t="e">
        <f>MEDIAN2("Real Values",H1070,'Real Analysis'!$B$5,2)</f>
        <v>#VALUE!</v>
      </c>
      <c r="J1070" t="e">
        <f>AVERAGE2("Real Values",I1070,'Real Analysis'!$B$6,2)</f>
        <v>#VALUE!</v>
      </c>
      <c r="K1070" t="e">
        <f>INTEGRAL2(J1070,$B1070,K1069,J1069,$B1069,'Real Analysis'!$B$19)</f>
        <v>#VALUE!</v>
      </c>
      <c r="L1070">
        <f ca="1">IF(AND(B1070&lt;'Real Analysis'!$B$32,B1070&gt;'Real Analysis'!$B$31),INTEGRAL2(K1070,$B1070,L1069,K1069,$B1069,'Real Analysis'!$B$20),0)</f>
        <v>0</v>
      </c>
      <c r="N1070">
        <f>'Real Analysis'!$B$28*'Real Input'!U1070+IF('Real Input'!U1070 &gt; 0,'Real Analysis'!$B$29,0)</f>
        <v>0</v>
      </c>
      <c r="O1070" t="e">
        <f t="shared" si="82"/>
        <v>#VALUE!</v>
      </c>
      <c r="P1070">
        <f t="shared" ca="1" si="83"/>
        <v>0</v>
      </c>
    </row>
    <row r="1071" spans="1:16" x14ac:dyDescent="0.3">
      <c r="A1071">
        <v>1069</v>
      </c>
      <c r="B1071">
        <f>'Real Input'!M1071</f>
        <v>25.331086000005598</v>
      </c>
      <c r="C1071">
        <f ca="1">INDIRECT(CONCATENATE("'Real Input'!",'Real Analysis'!$B$2,A1071+2))</f>
        <v>9.7858379700000011</v>
      </c>
      <c r="D1071">
        <f t="shared" si="81"/>
        <v>1.9673000002512708E-2</v>
      </c>
      <c r="E1071">
        <f ca="1">IF(B1071&gt;0,C1071-'Real Analysis'!$B$14,0)</f>
        <v>-7.0659832371426035E-2</v>
      </c>
      <c r="F1071">
        <f t="shared" ca="1" si="84"/>
        <v>0.38406252714929789</v>
      </c>
      <c r="G1071">
        <f t="shared" ca="1" si="85"/>
        <v>0.36095150695888401</v>
      </c>
      <c r="H1071">
        <f ca="1">IF(AND(B1071&gt;'Real Analysis'!$B$31,B1071&lt;'Real Analysis'!$B$32),FilterInput(E1071,'Real Analysis'!$B$26,'Real Analysis'!$B$27),0)</f>
        <v>0</v>
      </c>
      <c r="I1071" t="e">
        <f>MEDIAN2("Real Values",H1071,'Real Analysis'!$B$5,2)</f>
        <v>#VALUE!</v>
      </c>
      <c r="J1071" t="e">
        <f>AVERAGE2("Real Values",I1071,'Real Analysis'!$B$6,2)</f>
        <v>#VALUE!</v>
      </c>
      <c r="K1071" t="e">
        <f>INTEGRAL2(J1071,$B1071,K1070,J1070,$B1070,'Real Analysis'!$B$19)</f>
        <v>#VALUE!</v>
      </c>
      <c r="L1071">
        <f ca="1">IF(AND(B1071&lt;'Real Analysis'!$B$32,B1071&gt;'Real Analysis'!$B$31),INTEGRAL2(K1071,$B1071,L1070,K1070,$B1070,'Real Analysis'!$B$20),0)</f>
        <v>0</v>
      </c>
      <c r="N1071">
        <f>'Real Analysis'!$B$28*'Real Input'!U1071+IF('Real Input'!U1071 &gt; 0,'Real Analysis'!$B$29,0)</f>
        <v>0</v>
      </c>
      <c r="O1071" t="e">
        <f t="shared" si="82"/>
        <v>#VALUE!</v>
      </c>
      <c r="P1071">
        <f t="shared" ca="1" si="83"/>
        <v>0</v>
      </c>
    </row>
    <row r="1072" spans="1:16" x14ac:dyDescent="0.3">
      <c r="A1072">
        <v>1070</v>
      </c>
      <c r="B1072">
        <f>'Real Input'!M1072</f>
        <v>25.346539000005578</v>
      </c>
      <c r="C1072">
        <f ca="1">INDIRECT(CONCATENATE("'Real Input'!",'Real Analysis'!$B$2,A1072+2))</f>
        <v>9.8669961000000015</v>
      </c>
      <c r="D1072">
        <f t="shared" si="81"/>
        <v>1.5452999999979511E-2</v>
      </c>
      <c r="E1072">
        <f ca="1">IF(B1072&gt;0,C1072-'Real Analysis'!$B$14,0)</f>
        <v>1.0498297628574349E-2</v>
      </c>
      <c r="F1072">
        <f t="shared" ca="1" si="84"/>
        <v>0.38422475734255201</v>
      </c>
      <c r="G1072">
        <f t="shared" ca="1" si="85"/>
        <v>0.36688893213409057</v>
      </c>
      <c r="H1072">
        <f ca="1">IF(AND(B1072&gt;'Real Analysis'!$B$31,B1072&lt;'Real Analysis'!$B$32),FilterInput(E1072,'Real Analysis'!$B$26,'Real Analysis'!$B$27),0)</f>
        <v>0</v>
      </c>
      <c r="I1072" t="e">
        <f>MEDIAN2("Real Values",H1072,'Real Analysis'!$B$5,2)</f>
        <v>#VALUE!</v>
      </c>
      <c r="J1072" t="e">
        <f>AVERAGE2("Real Values",I1072,'Real Analysis'!$B$6,2)</f>
        <v>#VALUE!</v>
      </c>
      <c r="K1072" t="e">
        <f>INTEGRAL2(J1072,$B1072,K1071,J1071,$B1071,'Real Analysis'!$B$19)</f>
        <v>#VALUE!</v>
      </c>
      <c r="L1072">
        <f ca="1">IF(AND(B1072&lt;'Real Analysis'!$B$32,B1072&gt;'Real Analysis'!$B$31),INTEGRAL2(K1072,$B1072,L1071,K1071,$B1071,'Real Analysis'!$B$20),0)</f>
        <v>0</v>
      </c>
      <c r="N1072">
        <f>'Real Analysis'!$B$28*'Real Input'!U1072+IF('Real Input'!U1072 &gt; 0,'Real Analysis'!$B$29,0)</f>
        <v>0</v>
      </c>
      <c r="O1072" t="e">
        <f t="shared" si="82"/>
        <v>#VALUE!</v>
      </c>
      <c r="P1072">
        <f t="shared" ca="1" si="83"/>
        <v>0</v>
      </c>
    </row>
    <row r="1073" spans="1:16" x14ac:dyDescent="0.3">
      <c r="A1073">
        <v>1071</v>
      </c>
      <c r="B1073">
        <f>'Real Input'!M1073</f>
        <v>25.366806000005454</v>
      </c>
      <c r="C1073">
        <f ca="1">INDIRECT(CONCATENATE("'Real Input'!",'Real Analysis'!$B$2,A1073+2))</f>
        <v>9.8464931999999994</v>
      </c>
      <c r="D1073">
        <f t="shared" si="81"/>
        <v>2.0266999999876134E-2</v>
      </c>
      <c r="E1073">
        <f ca="1">IF(B1073&gt;0,C1073-'Real Analysis'!$B$14,0)</f>
        <v>-1.0004602371427751E-2</v>
      </c>
      <c r="F1073">
        <f t="shared" ca="1" si="84"/>
        <v>0.38402199406629151</v>
      </c>
      <c r="G1073">
        <f t="shared" ca="1" si="85"/>
        <v>0.37467190588778454</v>
      </c>
      <c r="H1073">
        <f ca="1">IF(AND(B1073&gt;'Real Analysis'!$B$31,B1073&lt;'Real Analysis'!$B$32),FilterInput(E1073,'Real Analysis'!$B$26,'Real Analysis'!$B$27),0)</f>
        <v>0</v>
      </c>
      <c r="I1073" t="e">
        <f>MEDIAN2("Real Values",H1073,'Real Analysis'!$B$5,2)</f>
        <v>#VALUE!</v>
      </c>
      <c r="J1073" t="e">
        <f>AVERAGE2("Real Values",I1073,'Real Analysis'!$B$6,2)</f>
        <v>#VALUE!</v>
      </c>
      <c r="K1073" t="e">
        <f>INTEGRAL2(J1073,$B1073,K1072,J1072,$B1072,'Real Analysis'!$B$19)</f>
        <v>#VALUE!</v>
      </c>
      <c r="L1073">
        <f ca="1">IF(AND(B1073&lt;'Real Analysis'!$B$32,B1073&gt;'Real Analysis'!$B$31),INTEGRAL2(K1073,$B1073,L1072,K1072,$B1072,'Real Analysis'!$B$20),0)</f>
        <v>0</v>
      </c>
      <c r="N1073">
        <f>'Real Analysis'!$B$28*'Real Input'!U1073+IF('Real Input'!U1073 &gt; 0,'Real Analysis'!$B$29,0)</f>
        <v>0</v>
      </c>
      <c r="O1073" t="e">
        <f t="shared" si="82"/>
        <v>#VALUE!</v>
      </c>
      <c r="P1073">
        <f t="shared" ca="1" si="83"/>
        <v>0</v>
      </c>
    </row>
    <row r="1074" spans="1:16" x14ac:dyDescent="0.3">
      <c r="A1074">
        <v>1072</v>
      </c>
      <c r="B1074">
        <f>'Real Input'!M1074</f>
        <v>25.391757999997935</v>
      </c>
      <c r="C1074">
        <f ca="1">INDIRECT(CONCATENATE("'Real Input'!",'Real Analysis'!$B$2,A1074+2))</f>
        <v>9.8489751300000012</v>
      </c>
      <c r="D1074">
        <f t="shared" si="81"/>
        <v>2.4951999992481433E-2</v>
      </c>
      <c r="E1074">
        <f ca="1">IF(B1074&gt;0,C1074-'Real Analysis'!$B$14,0)</f>
        <v>-7.5226723714258981E-3</v>
      </c>
      <c r="F1074">
        <f t="shared" ca="1" si="84"/>
        <v>0.38383428834533623</v>
      </c>
      <c r="G1074">
        <f t="shared" ca="1" si="85"/>
        <v>0.38424933904769148</v>
      </c>
      <c r="H1074">
        <f ca="1">IF(AND(B1074&gt;'Real Analysis'!$B$31,B1074&lt;'Real Analysis'!$B$32),FilterInput(E1074,'Real Analysis'!$B$26,'Real Analysis'!$B$27),0)</f>
        <v>0</v>
      </c>
      <c r="I1074" t="e">
        <f>MEDIAN2("Real Values",H1074,'Real Analysis'!$B$5,2)</f>
        <v>#VALUE!</v>
      </c>
      <c r="J1074" t="e">
        <f>AVERAGE2("Real Values",I1074,'Real Analysis'!$B$6,2)</f>
        <v>#VALUE!</v>
      </c>
      <c r="K1074" t="e">
        <f>INTEGRAL2(J1074,$B1074,K1073,J1073,$B1073,'Real Analysis'!$B$19)</f>
        <v>#VALUE!</v>
      </c>
      <c r="L1074">
        <f ca="1">IF(AND(B1074&lt;'Real Analysis'!$B$32,B1074&gt;'Real Analysis'!$B$31),INTEGRAL2(K1074,$B1074,L1073,K1073,$B1073,'Real Analysis'!$B$20),0)</f>
        <v>0</v>
      </c>
      <c r="N1074">
        <f>'Real Analysis'!$B$28*'Real Input'!U1074+IF('Real Input'!U1074 &gt; 0,'Real Analysis'!$B$29,0)</f>
        <v>0</v>
      </c>
      <c r="O1074" t="e">
        <f t="shared" si="82"/>
        <v>#VALUE!</v>
      </c>
      <c r="P1074">
        <f t="shared" ca="1" si="83"/>
        <v>0</v>
      </c>
    </row>
    <row r="1075" spans="1:16" x14ac:dyDescent="0.3">
      <c r="A1075">
        <v>1073</v>
      </c>
      <c r="B1075">
        <f>'Real Input'!M1075</f>
        <v>25.409874999997555</v>
      </c>
      <c r="C1075">
        <f ca="1">INDIRECT(CONCATENATE("'Real Input'!",'Real Analysis'!$B$2,A1075+2))</f>
        <v>9.8510450400000007</v>
      </c>
      <c r="D1075">
        <f t="shared" si="81"/>
        <v>1.811699999962002E-2</v>
      </c>
      <c r="E1075">
        <f ca="1">IF(B1075&gt;0,C1075-'Real Analysis'!$B$14,0)</f>
        <v>-5.452762371426445E-3</v>
      </c>
      <c r="F1075">
        <f t="shared" ca="1" si="84"/>
        <v>0.38373550064945516</v>
      </c>
      <c r="G1075">
        <f t="shared" ca="1" si="85"/>
        <v>0.39120147511281184</v>
      </c>
      <c r="H1075">
        <f ca="1">IF(AND(B1075&gt;'Real Analysis'!$B$31,B1075&lt;'Real Analysis'!$B$32),FilterInput(E1075,'Real Analysis'!$B$26,'Real Analysis'!$B$27),0)</f>
        <v>0</v>
      </c>
      <c r="I1075" t="e">
        <f>MEDIAN2("Real Values",H1075,'Real Analysis'!$B$5,2)</f>
        <v>#VALUE!</v>
      </c>
      <c r="J1075" t="e">
        <f>AVERAGE2("Real Values",I1075,'Real Analysis'!$B$6,2)</f>
        <v>#VALUE!</v>
      </c>
      <c r="K1075" t="e">
        <f>INTEGRAL2(J1075,$B1075,K1074,J1074,$B1074,'Real Analysis'!$B$19)</f>
        <v>#VALUE!</v>
      </c>
      <c r="L1075">
        <f ca="1">IF(AND(B1075&lt;'Real Analysis'!$B$32,B1075&gt;'Real Analysis'!$B$31),INTEGRAL2(K1075,$B1075,L1074,K1074,$B1074,'Real Analysis'!$B$20),0)</f>
        <v>0</v>
      </c>
      <c r="N1075">
        <f>'Real Analysis'!$B$28*'Real Input'!U1075+IF('Real Input'!U1075 &gt; 0,'Real Analysis'!$B$29,0)</f>
        <v>0</v>
      </c>
      <c r="O1075" t="e">
        <f t="shared" si="82"/>
        <v>#VALUE!</v>
      </c>
      <c r="P1075">
        <f t="shared" ca="1" si="83"/>
        <v>0</v>
      </c>
    </row>
    <row r="1076" spans="1:16" x14ac:dyDescent="0.3">
      <c r="A1076">
        <v>1074</v>
      </c>
      <c r="B1076">
        <f>'Real Input'!M1076</f>
        <v>25.432696000003489</v>
      </c>
      <c r="C1076">
        <f ca="1">INDIRECT(CONCATENATE("'Real Input'!",'Real Analysis'!$B$2,A1076+2))</f>
        <v>9.8513099099999994</v>
      </c>
      <c r="D1076">
        <f t="shared" si="81"/>
        <v>2.2821000005933456E-2</v>
      </c>
      <c r="E1076">
        <f ca="1">IF(B1076&gt;0,C1076-'Real Analysis'!$B$14,0)</f>
        <v>-5.1878923714276937E-3</v>
      </c>
      <c r="F1076">
        <f t="shared" ca="1" si="84"/>
        <v>0.38361710775761604</v>
      </c>
      <c r="G1076">
        <f t="shared" ca="1" si="85"/>
        <v>0.39995600113122459</v>
      </c>
      <c r="H1076">
        <f ca="1">IF(AND(B1076&gt;'Real Analysis'!$B$31,B1076&lt;'Real Analysis'!$B$32),FilterInput(E1076,'Real Analysis'!$B$26,'Real Analysis'!$B$27),0)</f>
        <v>0</v>
      </c>
      <c r="I1076" t="e">
        <f>MEDIAN2("Real Values",H1076,'Real Analysis'!$B$5,2)</f>
        <v>#VALUE!</v>
      </c>
      <c r="J1076" t="e">
        <f>AVERAGE2("Real Values",I1076,'Real Analysis'!$B$6,2)</f>
        <v>#VALUE!</v>
      </c>
      <c r="K1076" t="e">
        <f>INTEGRAL2(J1076,$B1076,K1075,J1075,$B1075,'Real Analysis'!$B$19)</f>
        <v>#VALUE!</v>
      </c>
      <c r="L1076">
        <f ca="1">IF(AND(B1076&lt;'Real Analysis'!$B$32,B1076&gt;'Real Analysis'!$B$31),INTEGRAL2(K1076,$B1076,L1075,K1075,$B1075,'Real Analysis'!$B$20),0)</f>
        <v>0</v>
      </c>
      <c r="N1076">
        <f>'Real Analysis'!$B$28*'Real Input'!U1076+IF('Real Input'!U1076 &gt; 0,'Real Analysis'!$B$29,0)</f>
        <v>0</v>
      </c>
      <c r="O1076" t="e">
        <f t="shared" si="82"/>
        <v>#VALUE!</v>
      </c>
      <c r="P1076">
        <f t="shared" ca="1" si="83"/>
        <v>0</v>
      </c>
    </row>
    <row r="1077" spans="1:16" x14ac:dyDescent="0.3">
      <c r="A1077">
        <v>1075</v>
      </c>
      <c r="B1077">
        <f>'Real Input'!M1077</f>
        <v>25.448818999997457</v>
      </c>
      <c r="C1077">
        <f ca="1">INDIRECT(CONCATENATE("'Real Input'!",'Real Analysis'!$B$2,A1077+2))</f>
        <v>9.8503681500000013</v>
      </c>
      <c r="D1077">
        <f t="shared" si="81"/>
        <v>1.6122999993967824E-2</v>
      </c>
      <c r="E1077">
        <f ca="1">IF(B1077&gt;0,C1077-'Real Analysis'!$B$14,0)</f>
        <v>-6.12965237142582E-3</v>
      </c>
      <c r="F1077">
        <f t="shared" ca="1" si="84"/>
        <v>0.38351827937246852</v>
      </c>
      <c r="G1077">
        <f t="shared" ca="1" si="85"/>
        <v>0.40613946634723347</v>
      </c>
      <c r="H1077">
        <f ca="1">IF(AND(B1077&gt;'Real Analysis'!$B$31,B1077&lt;'Real Analysis'!$B$32),FilterInput(E1077,'Real Analysis'!$B$26,'Real Analysis'!$B$27),0)</f>
        <v>0</v>
      </c>
      <c r="I1077" t="e">
        <f>MEDIAN2("Real Values",H1077,'Real Analysis'!$B$5,2)</f>
        <v>#VALUE!</v>
      </c>
      <c r="J1077" t="e">
        <f>AVERAGE2("Real Values",I1077,'Real Analysis'!$B$6,2)</f>
        <v>#VALUE!</v>
      </c>
      <c r="K1077" t="e">
        <f>INTEGRAL2(J1077,$B1077,K1076,J1076,$B1076,'Real Analysis'!$B$19)</f>
        <v>#VALUE!</v>
      </c>
      <c r="L1077">
        <f ca="1">IF(AND(B1077&lt;'Real Analysis'!$B$32,B1077&gt;'Real Analysis'!$B$31),INTEGRAL2(K1077,$B1077,L1076,K1076,$B1076,'Real Analysis'!$B$20),0)</f>
        <v>0</v>
      </c>
      <c r="N1077">
        <f>'Real Analysis'!$B$28*'Real Input'!U1077+IF('Real Input'!U1077 &gt; 0,'Real Analysis'!$B$29,0)</f>
        <v>0</v>
      </c>
      <c r="O1077" t="e">
        <f t="shared" si="82"/>
        <v>#VALUE!</v>
      </c>
      <c r="P1077">
        <f t="shared" ca="1" si="83"/>
        <v>0</v>
      </c>
    </row>
    <row r="1078" spans="1:16" x14ac:dyDescent="0.3">
      <c r="A1078">
        <v>1076</v>
      </c>
      <c r="B1078">
        <f>'Real Input'!M1078</f>
        <v>25.467323000004399</v>
      </c>
      <c r="C1078">
        <f ca="1">INDIRECT(CONCATENATE("'Real Input'!",'Real Analysis'!$B$2,A1078+2))</f>
        <v>9.8476213500000007</v>
      </c>
      <c r="D1078">
        <f t="shared" si="81"/>
        <v>1.8504000006942078E-2</v>
      </c>
      <c r="E1078">
        <f ca="1">IF(B1078&gt;0,C1078-'Real Analysis'!$B$14,0)</f>
        <v>-8.8764523714264243E-3</v>
      </c>
      <c r="F1078">
        <f t="shared" ca="1" si="84"/>
        <v>0.38335402949772601</v>
      </c>
      <c r="G1078">
        <f t="shared" ca="1" si="85"/>
        <v>0.41323304931172067</v>
      </c>
      <c r="H1078">
        <f ca="1">IF(AND(B1078&gt;'Real Analysis'!$B$31,B1078&lt;'Real Analysis'!$B$32),FilterInput(E1078,'Real Analysis'!$B$26,'Real Analysis'!$B$27),0)</f>
        <v>0</v>
      </c>
      <c r="I1078" t="e">
        <f>MEDIAN2("Real Values",H1078,'Real Analysis'!$B$5,2)</f>
        <v>#VALUE!</v>
      </c>
      <c r="J1078" t="e">
        <f>AVERAGE2("Real Values",I1078,'Real Analysis'!$B$6,2)</f>
        <v>#VALUE!</v>
      </c>
      <c r="K1078" t="e">
        <f>INTEGRAL2(J1078,$B1078,K1077,J1077,$B1077,'Real Analysis'!$B$19)</f>
        <v>#VALUE!</v>
      </c>
      <c r="L1078">
        <f ca="1">IF(AND(B1078&lt;'Real Analysis'!$B$32,B1078&gt;'Real Analysis'!$B$31),INTEGRAL2(K1078,$B1078,L1077,K1077,$B1077,'Real Analysis'!$B$20),0)</f>
        <v>0</v>
      </c>
      <c r="N1078">
        <f>'Real Analysis'!$B$28*'Real Input'!U1078+IF('Real Input'!U1078 &gt; 0,'Real Analysis'!$B$29,0)</f>
        <v>0</v>
      </c>
      <c r="O1078" t="e">
        <f t="shared" si="82"/>
        <v>#VALUE!</v>
      </c>
      <c r="P1078">
        <f t="shared" ca="1" si="83"/>
        <v>0</v>
      </c>
    </row>
    <row r="1079" spans="1:16" x14ac:dyDescent="0.3">
      <c r="A1079">
        <v>1077</v>
      </c>
      <c r="B1079">
        <f>'Real Input'!M1079</f>
        <v>25.487355999997817</v>
      </c>
      <c r="C1079">
        <f ca="1">INDIRECT(CONCATENATE("'Real Input'!",'Real Analysis'!$B$2,A1079+2))</f>
        <v>9.850417199999999</v>
      </c>
      <c r="D1079">
        <f t="shared" si="81"/>
        <v>2.0032999993418343E-2</v>
      </c>
      <c r="E1079">
        <f ca="1">IF(B1079&gt;0,C1079-'Real Analysis'!$B$14,0)</f>
        <v>-6.0806023714281565E-3</v>
      </c>
      <c r="F1079">
        <f t="shared" ca="1" si="84"/>
        <v>0.38323221679045921</v>
      </c>
      <c r="G1079">
        <f t="shared" ca="1" si="85"/>
        <v>0.42091034030816166</v>
      </c>
      <c r="H1079">
        <f ca="1">IF(AND(B1079&gt;'Real Analysis'!$B$31,B1079&lt;'Real Analysis'!$B$32),FilterInput(E1079,'Real Analysis'!$B$26,'Real Analysis'!$B$27),0)</f>
        <v>0</v>
      </c>
      <c r="I1079" t="e">
        <f>MEDIAN2("Real Values",H1079,'Real Analysis'!$B$5,2)</f>
        <v>#VALUE!</v>
      </c>
      <c r="J1079" t="e">
        <f>AVERAGE2("Real Values",I1079,'Real Analysis'!$B$6,2)</f>
        <v>#VALUE!</v>
      </c>
      <c r="K1079" t="e">
        <f>INTEGRAL2(J1079,$B1079,K1078,J1078,$B1078,'Real Analysis'!$B$19)</f>
        <v>#VALUE!</v>
      </c>
      <c r="L1079">
        <f ca="1">IF(AND(B1079&lt;'Real Analysis'!$B$32,B1079&gt;'Real Analysis'!$B$31),INTEGRAL2(K1079,$B1079,L1078,K1078,$B1078,'Real Analysis'!$B$20),0)</f>
        <v>0</v>
      </c>
      <c r="N1079">
        <f>'Real Analysis'!$B$28*'Real Input'!U1079+IF('Real Input'!U1079 &gt; 0,'Real Analysis'!$B$29,0)</f>
        <v>0</v>
      </c>
      <c r="O1079" t="e">
        <f t="shared" si="82"/>
        <v>#VALUE!</v>
      </c>
      <c r="P1079">
        <f t="shared" ca="1" si="83"/>
        <v>0</v>
      </c>
    </row>
    <row r="1080" spans="1:16" x14ac:dyDescent="0.3">
      <c r="A1080">
        <v>1078</v>
      </c>
      <c r="B1080">
        <f>'Real Input'!M1080</f>
        <v>25.512679000006756</v>
      </c>
      <c r="C1080">
        <f ca="1">INDIRECT(CONCATENATE("'Real Input'!",'Real Analysis'!$B$2,A1080+2))</f>
        <v>9.8506232100000002</v>
      </c>
      <c r="D1080">
        <f t="shared" si="81"/>
        <v>2.5323000008938834E-2</v>
      </c>
      <c r="E1080">
        <f ca="1">IF(B1080&gt;0,C1080-'Real Analysis'!$B$14,0)</f>
        <v>-5.8745923714269566E-3</v>
      </c>
      <c r="F1080">
        <f t="shared" ca="1" si="84"/>
        <v>0.38308345448778508</v>
      </c>
      <c r="G1080">
        <f t="shared" ca="1" si="85"/>
        <v>0.43061116262958016</v>
      </c>
      <c r="H1080">
        <f ca="1">IF(AND(B1080&gt;'Real Analysis'!$B$31,B1080&lt;'Real Analysis'!$B$32),FilterInput(E1080,'Real Analysis'!$B$26,'Real Analysis'!$B$27),0)</f>
        <v>0</v>
      </c>
      <c r="I1080" t="e">
        <f>MEDIAN2("Real Values",H1080,'Real Analysis'!$B$5,2)</f>
        <v>#VALUE!</v>
      </c>
      <c r="J1080" t="e">
        <f>AVERAGE2("Real Values",I1080,'Real Analysis'!$B$6,2)</f>
        <v>#VALUE!</v>
      </c>
      <c r="K1080" t="e">
        <f>INTEGRAL2(J1080,$B1080,K1079,J1079,$B1079,'Real Analysis'!$B$19)</f>
        <v>#VALUE!</v>
      </c>
      <c r="L1080">
        <f ca="1">IF(AND(B1080&lt;'Real Analysis'!$B$32,B1080&gt;'Real Analysis'!$B$31),INTEGRAL2(K1080,$B1080,L1079,K1079,$B1079,'Real Analysis'!$B$20),0)</f>
        <v>0</v>
      </c>
      <c r="N1080">
        <f>'Real Analysis'!$B$28*'Real Input'!U1080+IF('Real Input'!U1080 &gt; 0,'Real Analysis'!$B$29,0)</f>
        <v>0</v>
      </c>
      <c r="O1080" t="e">
        <f t="shared" si="82"/>
        <v>#VALUE!</v>
      </c>
      <c r="P1080">
        <f t="shared" ca="1" si="83"/>
        <v>0</v>
      </c>
    </row>
    <row r="1081" spans="1:16" x14ac:dyDescent="0.3">
      <c r="A1081">
        <v>1079</v>
      </c>
      <c r="B1081">
        <f>'Real Input'!M1081</f>
        <v>25.532206999996561</v>
      </c>
      <c r="C1081">
        <f ca="1">INDIRECT(CONCATENATE("'Real Input'!",'Real Analysis'!$B$2,A1081+2))</f>
        <v>9.8506918800000012</v>
      </c>
      <c r="D1081">
        <f t="shared" si="81"/>
        <v>1.9527999989804812E-2</v>
      </c>
      <c r="E1081">
        <f ca="1">IF(B1081&gt;0,C1081-'Real Analysis'!$B$14,0)</f>
        <v>-5.8059223714259645E-3</v>
      </c>
      <c r="F1081">
        <f t="shared" ca="1" si="84"/>
        <v>0.38297007643577508</v>
      </c>
      <c r="G1081">
        <f t="shared" ca="1" si="85"/>
        <v>0.43808980227831351</v>
      </c>
      <c r="H1081">
        <f ca="1">IF(AND(B1081&gt;'Real Analysis'!$B$31,B1081&lt;'Real Analysis'!$B$32),FilterInput(E1081,'Real Analysis'!$B$26,'Real Analysis'!$B$27),0)</f>
        <v>0</v>
      </c>
      <c r="I1081" t="e">
        <f>MEDIAN2("Real Values",H1081,'Real Analysis'!$B$5,2)</f>
        <v>#VALUE!</v>
      </c>
      <c r="J1081" t="e">
        <f>AVERAGE2("Real Values",I1081,'Real Analysis'!$B$6,2)</f>
        <v>#VALUE!</v>
      </c>
      <c r="K1081" t="e">
        <f>INTEGRAL2(J1081,$B1081,K1080,J1080,$B1080,'Real Analysis'!$B$19)</f>
        <v>#VALUE!</v>
      </c>
      <c r="L1081">
        <f ca="1">IF(AND(B1081&lt;'Real Analysis'!$B$32,B1081&gt;'Real Analysis'!$B$31),INTEGRAL2(K1081,$B1081,L1080,K1080,$B1080,'Real Analysis'!$B$20),0)</f>
        <v>0</v>
      </c>
      <c r="N1081">
        <f>'Real Analysis'!$B$28*'Real Input'!U1081+IF('Real Input'!U1081 &gt; 0,'Real Analysis'!$B$29,0)</f>
        <v>0</v>
      </c>
      <c r="O1081" t="e">
        <f t="shared" si="82"/>
        <v>#VALUE!</v>
      </c>
      <c r="P1081">
        <f t="shared" ca="1" si="83"/>
        <v>0</v>
      </c>
    </row>
    <row r="1082" spans="1:16" x14ac:dyDescent="0.3">
      <c r="A1082">
        <v>1080</v>
      </c>
      <c r="B1082">
        <f>'Real Input'!M1082</f>
        <v>25.550080000000889</v>
      </c>
      <c r="C1082">
        <f ca="1">INDIRECT(CONCATENATE("'Real Input'!",'Real Analysis'!$B$2,A1082+2))</f>
        <v>9.8506820699999995</v>
      </c>
      <c r="D1082">
        <f t="shared" si="81"/>
        <v>1.7873000004328787E-2</v>
      </c>
      <c r="E1082">
        <f ca="1">IF(B1082&gt;0,C1082-'Real Analysis'!$B$14,0)</f>
        <v>-5.8157323714276288E-3</v>
      </c>
      <c r="F1082">
        <f t="shared" ca="1" si="84"/>
        <v>0.38286613185107538</v>
      </c>
      <c r="G1082">
        <f t="shared" ca="1" si="85"/>
        <v>0.44493276865454512</v>
      </c>
      <c r="H1082">
        <f ca="1">IF(AND(B1082&gt;'Real Analysis'!$B$31,B1082&lt;'Real Analysis'!$B$32),FilterInput(E1082,'Real Analysis'!$B$26,'Real Analysis'!$B$27),0)</f>
        <v>0</v>
      </c>
      <c r="I1082" t="e">
        <f>MEDIAN2("Real Values",H1082,'Real Analysis'!$B$5,2)</f>
        <v>#VALUE!</v>
      </c>
      <c r="J1082" t="e">
        <f>AVERAGE2("Real Values",I1082,'Real Analysis'!$B$6,2)</f>
        <v>#VALUE!</v>
      </c>
      <c r="K1082" t="e">
        <f>INTEGRAL2(J1082,$B1082,K1081,J1081,$B1081,'Real Analysis'!$B$19)</f>
        <v>#VALUE!</v>
      </c>
      <c r="L1082">
        <f ca="1">IF(AND(B1082&lt;'Real Analysis'!$B$32,B1082&gt;'Real Analysis'!$B$31),INTEGRAL2(K1082,$B1082,L1081,K1081,$B1081,'Real Analysis'!$B$20),0)</f>
        <v>0</v>
      </c>
      <c r="N1082">
        <f>'Real Analysis'!$B$28*'Real Input'!U1082+IF('Real Input'!U1082 &gt; 0,'Real Analysis'!$B$29,0)</f>
        <v>0</v>
      </c>
      <c r="O1082" t="e">
        <f t="shared" si="82"/>
        <v>#VALUE!</v>
      </c>
      <c r="P1082">
        <f t="shared" ca="1" si="83"/>
        <v>0</v>
      </c>
    </row>
    <row r="1083" spans="1:16" x14ac:dyDescent="0.3">
      <c r="A1083">
        <v>1081</v>
      </c>
      <c r="B1083">
        <f>'Real Input'!M1083</f>
        <v>25.568671999993967</v>
      </c>
      <c r="C1083">
        <f ca="1">INDIRECT(CONCATENATE("'Real Input'!",'Real Analysis'!$B$2,A1083+2))</f>
        <v>9.8508488400000012</v>
      </c>
      <c r="D1083">
        <f t="shared" si="81"/>
        <v>1.8591999993077479E-2</v>
      </c>
      <c r="E1083">
        <f ca="1">IF(B1083&gt;0,C1083-'Real Analysis'!$B$14,0)</f>
        <v>-5.6489623714259807E-3</v>
      </c>
      <c r="F1083">
        <f t="shared" ca="1" si="84"/>
        <v>0.38276110634270494</v>
      </c>
      <c r="G1083">
        <f t="shared" ca="1" si="85"/>
        <v>0.452049063141019</v>
      </c>
      <c r="H1083">
        <f ca="1">IF(AND(B1083&gt;'Real Analysis'!$B$31,B1083&lt;'Real Analysis'!$B$32),FilterInput(E1083,'Real Analysis'!$B$26,'Real Analysis'!$B$27),0)</f>
        <v>0</v>
      </c>
      <c r="I1083" t="e">
        <f>MEDIAN2("Real Values",H1083,'Real Analysis'!$B$5,2)</f>
        <v>#VALUE!</v>
      </c>
      <c r="J1083" t="e">
        <f>AVERAGE2("Real Values",I1083,'Real Analysis'!$B$6,2)</f>
        <v>#VALUE!</v>
      </c>
      <c r="K1083" t="e">
        <f>INTEGRAL2(J1083,$B1083,K1082,J1082,$B1082,'Real Analysis'!$B$19)</f>
        <v>#VALUE!</v>
      </c>
      <c r="L1083">
        <f ca="1">IF(AND(B1083&lt;'Real Analysis'!$B$32,B1083&gt;'Real Analysis'!$B$31),INTEGRAL2(K1083,$B1083,L1082,K1082,$B1082,'Real Analysis'!$B$20),0)</f>
        <v>0</v>
      </c>
      <c r="N1083">
        <f>'Real Analysis'!$B$28*'Real Input'!U1083+IF('Real Input'!U1083 &gt; 0,'Real Analysis'!$B$29,0)</f>
        <v>0</v>
      </c>
      <c r="O1083" t="e">
        <f t="shared" si="82"/>
        <v>#VALUE!</v>
      </c>
      <c r="P1083">
        <f t="shared" ca="1" si="83"/>
        <v>0</v>
      </c>
    </row>
    <row r="1084" spans="1:16" x14ac:dyDescent="0.3">
      <c r="A1084">
        <v>1082</v>
      </c>
      <c r="B1084">
        <f>'Real Input'!M1084</f>
        <v>25.591994999995222</v>
      </c>
      <c r="C1084">
        <f ca="1">INDIRECT(CONCATENATE("'Real Input'!",'Real Analysis'!$B$2,A1084+2))</f>
        <v>9.8508390299999995</v>
      </c>
      <c r="D1084">
        <f t="shared" si="81"/>
        <v>2.3323000001255423E-2</v>
      </c>
      <c r="E1084">
        <f ca="1">IF(B1084&gt;0,C1084-'Real Analysis'!$B$14,0)</f>
        <v>-5.658772371427645E-3</v>
      </c>
      <c r="F1084">
        <f t="shared" ca="1" si="84"/>
        <v>0.38262912679467903</v>
      </c>
      <c r="G1084">
        <f t="shared" ca="1" si="85"/>
        <v>0.46097312226573167</v>
      </c>
      <c r="H1084">
        <f ca="1">IF(AND(B1084&gt;'Real Analysis'!$B$31,B1084&lt;'Real Analysis'!$B$32),FilterInput(E1084,'Real Analysis'!$B$26,'Real Analysis'!$B$27),0)</f>
        <v>0</v>
      </c>
      <c r="I1084" t="e">
        <f>MEDIAN2("Real Values",H1084,'Real Analysis'!$B$5,2)</f>
        <v>#VALUE!</v>
      </c>
      <c r="J1084" t="e">
        <f>AVERAGE2("Real Values",I1084,'Real Analysis'!$B$6,2)</f>
        <v>#VALUE!</v>
      </c>
      <c r="K1084" t="e">
        <f>INTEGRAL2(J1084,$B1084,K1083,J1083,$B1083,'Real Analysis'!$B$19)</f>
        <v>#VALUE!</v>
      </c>
      <c r="L1084">
        <f ca="1">IF(AND(B1084&lt;'Real Analysis'!$B$32,B1084&gt;'Real Analysis'!$B$31),INTEGRAL2(K1084,$B1084,L1083,K1083,$B1083,'Real Analysis'!$B$20),0)</f>
        <v>0</v>
      </c>
      <c r="N1084">
        <f>'Real Analysis'!$B$28*'Real Input'!U1084+IF('Real Input'!U1084 &gt; 0,'Real Analysis'!$B$29,0)</f>
        <v>0</v>
      </c>
      <c r="O1084" t="e">
        <f t="shared" si="82"/>
        <v>#VALUE!</v>
      </c>
      <c r="P1084">
        <f t="shared" ca="1" si="83"/>
        <v>0</v>
      </c>
    </row>
    <row r="1085" spans="1:16" x14ac:dyDescent="0.3">
      <c r="A1085">
        <v>1083</v>
      </c>
      <c r="B1085">
        <f>'Real Input'!M1085</f>
        <v>25.604158999994979</v>
      </c>
      <c r="C1085">
        <f ca="1">INDIRECT(CONCATENATE("'Real Input'!",'Real Analysis'!$B$2,A1085+2))</f>
        <v>9.8354863800000008</v>
      </c>
      <c r="D1085">
        <f t="shared" si="81"/>
        <v>1.2163999999756925E-2</v>
      </c>
      <c r="E1085">
        <f ca="1">IF(B1085&gt;0,C1085-'Real Analysis'!$B$14,0)</f>
        <v>-2.1011422371426391E-2</v>
      </c>
      <c r="F1085">
        <f t="shared" ca="1" si="84"/>
        <v>0.38237354385295813</v>
      </c>
      <c r="G1085">
        <f t="shared" ca="1" si="85"/>
        <v>0.46562431405306609</v>
      </c>
      <c r="H1085">
        <f ca="1">IF(AND(B1085&gt;'Real Analysis'!$B$31,B1085&lt;'Real Analysis'!$B$32),FilterInput(E1085,'Real Analysis'!$B$26,'Real Analysis'!$B$27),0)</f>
        <v>0</v>
      </c>
      <c r="I1085" t="e">
        <f>MEDIAN2("Real Values",H1085,'Real Analysis'!$B$5,2)</f>
        <v>#VALUE!</v>
      </c>
      <c r="J1085" t="e">
        <f>AVERAGE2("Real Values",I1085,'Real Analysis'!$B$6,2)</f>
        <v>#VALUE!</v>
      </c>
      <c r="K1085" t="e">
        <f>INTEGRAL2(J1085,$B1085,K1084,J1084,$B1084,'Real Analysis'!$B$19)</f>
        <v>#VALUE!</v>
      </c>
      <c r="L1085">
        <f ca="1">IF(AND(B1085&lt;'Real Analysis'!$B$32,B1085&gt;'Real Analysis'!$B$31),INTEGRAL2(K1085,$B1085,L1084,K1084,$B1084,'Real Analysis'!$B$20),0)</f>
        <v>0</v>
      </c>
      <c r="N1085">
        <f>'Real Analysis'!$B$28*'Real Input'!U1085+IF('Real Input'!U1085 &gt; 0,'Real Analysis'!$B$29,0)</f>
        <v>0</v>
      </c>
      <c r="O1085" t="e">
        <f t="shared" si="82"/>
        <v>#VALUE!</v>
      </c>
      <c r="P1085">
        <f t="shared" ca="1" si="83"/>
        <v>0</v>
      </c>
    </row>
    <row r="1086" spans="1:16" x14ac:dyDescent="0.3">
      <c r="A1086">
        <v>1084</v>
      </c>
      <c r="B1086">
        <f>'Real Input'!M1086</f>
        <v>25.62855199999467</v>
      </c>
      <c r="C1086">
        <f ca="1">INDIRECT(CONCATENATE("'Real Input'!",'Real Analysis'!$B$2,A1086+2))</f>
        <v>9.7665122699999998</v>
      </c>
      <c r="D1086">
        <f t="shared" si="81"/>
        <v>2.4392999999690801E-2</v>
      </c>
      <c r="E1086">
        <f ca="1">IF(B1086&gt;0,C1086-'Real Analysis'!$B$14,0)</f>
        <v>-8.9985532371427368E-2</v>
      </c>
      <c r="F1086">
        <f t="shared" ca="1" si="84"/>
        <v>0.38017852676184971</v>
      </c>
      <c r="G1086">
        <f t="shared" ca="1" si="85"/>
        <v>0.47489800885625033</v>
      </c>
      <c r="H1086">
        <f ca="1">IF(AND(B1086&gt;'Real Analysis'!$B$31,B1086&lt;'Real Analysis'!$B$32),FilterInput(E1086,'Real Analysis'!$B$26,'Real Analysis'!$B$27),0)</f>
        <v>0</v>
      </c>
      <c r="I1086" t="e">
        <f>MEDIAN2("Real Values",H1086,'Real Analysis'!$B$5,2)</f>
        <v>#VALUE!</v>
      </c>
      <c r="J1086" t="e">
        <f>AVERAGE2("Real Values",I1086,'Real Analysis'!$B$6,2)</f>
        <v>#VALUE!</v>
      </c>
      <c r="K1086" t="e">
        <f>INTEGRAL2(J1086,$B1086,K1085,J1085,$B1085,'Real Analysis'!$B$19)</f>
        <v>#VALUE!</v>
      </c>
      <c r="L1086">
        <f ca="1">IF(AND(B1086&lt;'Real Analysis'!$B$32,B1086&gt;'Real Analysis'!$B$31),INTEGRAL2(K1086,$B1086,L1085,K1085,$B1085,'Real Analysis'!$B$20),0)</f>
        <v>0</v>
      </c>
      <c r="N1086">
        <f>'Real Analysis'!$B$28*'Real Input'!U1086+IF('Real Input'!U1086 &gt; 0,'Real Analysis'!$B$29,0)</f>
        <v>0</v>
      </c>
      <c r="O1086" t="e">
        <f t="shared" si="82"/>
        <v>#VALUE!</v>
      </c>
      <c r="P1086">
        <f t="shared" ca="1" si="83"/>
        <v>0</v>
      </c>
    </row>
    <row r="1087" spans="1:16" x14ac:dyDescent="0.3">
      <c r="A1087">
        <v>1085</v>
      </c>
      <c r="B1087">
        <f>'Real Input'!M1087</f>
        <v>25.64916099999391</v>
      </c>
      <c r="C1087">
        <f ca="1">INDIRECT(CONCATENATE("'Real Input'!",'Real Analysis'!$B$2,A1087+2))</f>
        <v>9.7670616300000006</v>
      </c>
      <c r="D1087">
        <f t="shared" si="81"/>
        <v>2.0608999999240041E-2</v>
      </c>
      <c r="E1087">
        <f ca="1">IF(B1087&gt;0,C1087-'Real Analysis'!$B$14,0)</f>
        <v>-8.9436172371426537E-2</v>
      </c>
      <c r="F1087">
        <f t="shared" ca="1" si="84"/>
        <v>0.37833533668551494</v>
      </c>
      <c r="G1087">
        <f t="shared" ca="1" si="85"/>
        <v>0.48269512180971458</v>
      </c>
      <c r="H1087">
        <f ca="1">IF(AND(B1087&gt;'Real Analysis'!$B$31,B1087&lt;'Real Analysis'!$B$32),FilterInput(E1087,'Real Analysis'!$B$26,'Real Analysis'!$B$27),0)</f>
        <v>0</v>
      </c>
      <c r="I1087" t="e">
        <f>MEDIAN2("Real Values",H1087,'Real Analysis'!$B$5,2)</f>
        <v>#VALUE!</v>
      </c>
      <c r="J1087" t="e">
        <f>AVERAGE2("Real Values",I1087,'Real Analysis'!$B$6,2)</f>
        <v>#VALUE!</v>
      </c>
      <c r="K1087" t="e">
        <f>INTEGRAL2(J1087,$B1087,K1086,J1086,$B1086,'Real Analysis'!$B$19)</f>
        <v>#VALUE!</v>
      </c>
      <c r="L1087">
        <f ca="1">IF(AND(B1087&lt;'Real Analysis'!$B$32,B1087&gt;'Real Analysis'!$B$31),INTEGRAL2(K1087,$B1087,L1086,K1086,$B1086,'Real Analysis'!$B$20),0)</f>
        <v>0</v>
      </c>
      <c r="N1087">
        <f>'Real Analysis'!$B$28*'Real Input'!U1087+IF('Real Input'!U1087 &gt; 0,'Real Analysis'!$B$29,0)</f>
        <v>0</v>
      </c>
      <c r="O1087" t="e">
        <f t="shared" si="82"/>
        <v>#VALUE!</v>
      </c>
      <c r="P1087">
        <f t="shared" ca="1" si="83"/>
        <v>0</v>
      </c>
    </row>
    <row r="1088" spans="1:16" x14ac:dyDescent="0.3">
      <c r="A1088">
        <v>1086</v>
      </c>
      <c r="B1088">
        <f>'Real Input'!M1088</f>
        <v>25.670091000007233</v>
      </c>
      <c r="C1088">
        <f ca="1">INDIRECT(CONCATENATE("'Real Input'!",'Real Analysis'!$B$2,A1088+2))</f>
        <v>9.8590205700000002</v>
      </c>
      <c r="D1088">
        <f t="shared" si="81"/>
        <v>2.0930000013322569E-2</v>
      </c>
      <c r="E1088">
        <f ca="1">IF(B1088&gt;0,C1088-'Real Analysis'!$B$14,0)</f>
        <v>2.5227676285730638E-3</v>
      </c>
      <c r="F1088">
        <f t="shared" ca="1" si="84"/>
        <v>0.37838813821201461</v>
      </c>
      <c r="G1088">
        <f t="shared" ca="1" si="85"/>
        <v>0.49061478554753313</v>
      </c>
      <c r="H1088">
        <f ca="1">IF(AND(B1088&gt;'Real Analysis'!$B$31,B1088&lt;'Real Analysis'!$B$32),FilterInput(E1088,'Real Analysis'!$B$26,'Real Analysis'!$B$27),0)</f>
        <v>0</v>
      </c>
      <c r="I1088" t="e">
        <f>MEDIAN2("Real Values",H1088,'Real Analysis'!$B$5,2)</f>
        <v>#VALUE!</v>
      </c>
      <c r="J1088" t="e">
        <f>AVERAGE2("Real Values",I1088,'Real Analysis'!$B$6,2)</f>
        <v>#VALUE!</v>
      </c>
      <c r="K1088" t="e">
        <f>INTEGRAL2(J1088,$B1088,K1087,J1087,$B1087,'Real Analysis'!$B$19)</f>
        <v>#VALUE!</v>
      </c>
      <c r="L1088">
        <f ca="1">IF(AND(B1088&lt;'Real Analysis'!$B$32,B1088&gt;'Real Analysis'!$B$31),INTEGRAL2(K1088,$B1088,L1087,K1087,$B1087,'Real Analysis'!$B$20),0)</f>
        <v>0</v>
      </c>
      <c r="N1088">
        <f>'Real Analysis'!$B$28*'Real Input'!U1088+IF('Real Input'!U1088 &gt; 0,'Real Analysis'!$B$29,0)</f>
        <v>0</v>
      </c>
      <c r="O1088" t="e">
        <f t="shared" si="82"/>
        <v>#VALUE!</v>
      </c>
      <c r="P1088">
        <f t="shared" ca="1" si="83"/>
        <v>0</v>
      </c>
    </row>
    <row r="1089" spans="1:16" x14ac:dyDescent="0.3">
      <c r="A1089">
        <v>1087</v>
      </c>
      <c r="B1089">
        <f>'Real Input'!M1089</f>
        <v>25.688160000005155</v>
      </c>
      <c r="C1089">
        <f ca="1">INDIRECT(CONCATENATE("'Real Input'!",'Real Analysis'!$B$2,A1089+2))</f>
        <v>9.8490536100000003</v>
      </c>
      <c r="D1089">
        <f t="shared" si="81"/>
        <v>1.8068999997922219E-2</v>
      </c>
      <c r="E1089">
        <f ca="1">IF(B1089&gt;0,C1089-'Real Analysis'!$B$14,0)</f>
        <v>-7.4441923714267944E-3</v>
      </c>
      <c r="F1089">
        <f t="shared" ca="1" si="84"/>
        <v>0.37825362910007077</v>
      </c>
      <c r="G1089">
        <f t="shared" ca="1" si="85"/>
        <v>0.49744945037095639</v>
      </c>
      <c r="H1089">
        <f ca="1">IF(AND(B1089&gt;'Real Analysis'!$B$31,B1089&lt;'Real Analysis'!$B$32),FilterInput(E1089,'Real Analysis'!$B$26,'Real Analysis'!$B$27),0)</f>
        <v>0</v>
      </c>
      <c r="I1089" t="e">
        <f>MEDIAN2("Real Values",H1089,'Real Analysis'!$B$5,2)</f>
        <v>#VALUE!</v>
      </c>
      <c r="J1089" t="e">
        <f>AVERAGE2("Real Values",I1089,'Real Analysis'!$B$6,2)</f>
        <v>#VALUE!</v>
      </c>
      <c r="K1089" t="e">
        <f>INTEGRAL2(J1089,$B1089,K1088,J1088,$B1088,'Real Analysis'!$B$19)</f>
        <v>#VALUE!</v>
      </c>
      <c r="L1089">
        <f ca="1">IF(AND(B1089&lt;'Real Analysis'!$B$32,B1089&gt;'Real Analysis'!$B$31),INTEGRAL2(K1089,$B1089,L1088,K1088,$B1088,'Real Analysis'!$B$20),0)</f>
        <v>0</v>
      </c>
      <c r="N1089">
        <f>'Real Analysis'!$B$28*'Real Input'!U1089+IF('Real Input'!U1089 &gt; 0,'Real Analysis'!$B$29,0)</f>
        <v>0</v>
      </c>
      <c r="O1089" t="e">
        <f t="shared" si="82"/>
        <v>#VALUE!</v>
      </c>
      <c r="P1089">
        <f t="shared" ca="1" si="83"/>
        <v>0</v>
      </c>
    </row>
    <row r="1090" spans="1:16" x14ac:dyDescent="0.3">
      <c r="A1090">
        <v>1088</v>
      </c>
      <c r="B1090">
        <f>'Real Input'!M1090</f>
        <v>25.709323000002769</v>
      </c>
      <c r="C1090">
        <f ca="1">INDIRECT(CONCATENATE("'Real Input'!",'Real Analysis'!$B$2,A1090+2))</f>
        <v>9.8495441100000001</v>
      </c>
      <c r="D1090">
        <f t="shared" si="81"/>
        <v>2.1162999997613952E-2</v>
      </c>
      <c r="E1090">
        <f ca="1">IF(B1090&gt;0,C1090-'Real Analysis'!$B$14,0)</f>
        <v>-6.9536923714270671E-3</v>
      </c>
      <c r="F1090">
        <f t="shared" ca="1" si="84"/>
        <v>0.37810646810843085</v>
      </c>
      <c r="G1090">
        <f t="shared" ca="1" si="85"/>
        <v>0.50545131755463291</v>
      </c>
      <c r="H1090">
        <f ca="1">IF(AND(B1090&gt;'Real Analysis'!$B$31,B1090&lt;'Real Analysis'!$B$32),FilterInput(E1090,'Real Analysis'!$B$26,'Real Analysis'!$B$27),0)</f>
        <v>0</v>
      </c>
      <c r="I1090" t="e">
        <f>MEDIAN2("Real Values",H1090,'Real Analysis'!$B$5,2)</f>
        <v>#VALUE!</v>
      </c>
      <c r="J1090" t="e">
        <f>AVERAGE2("Real Values",I1090,'Real Analysis'!$B$6,2)</f>
        <v>#VALUE!</v>
      </c>
      <c r="K1090" t="e">
        <f>INTEGRAL2(J1090,$B1090,K1089,J1089,$B1089,'Real Analysis'!$B$19)</f>
        <v>#VALUE!</v>
      </c>
      <c r="L1090">
        <f ca="1">IF(AND(B1090&lt;'Real Analysis'!$B$32,B1090&gt;'Real Analysis'!$B$31),INTEGRAL2(K1090,$B1090,L1089,K1089,$B1089,'Real Analysis'!$B$20),0)</f>
        <v>0</v>
      </c>
      <c r="N1090">
        <f>'Real Analysis'!$B$28*'Real Input'!U1090+IF('Real Input'!U1090 &gt; 0,'Real Analysis'!$B$29,0)</f>
        <v>0</v>
      </c>
      <c r="O1090" t="e">
        <f t="shared" si="82"/>
        <v>#VALUE!</v>
      </c>
      <c r="P1090">
        <f t="shared" ca="1" si="83"/>
        <v>0</v>
      </c>
    </row>
    <row r="1091" spans="1:16" x14ac:dyDescent="0.3">
      <c r="A1091">
        <v>1089</v>
      </c>
      <c r="B1091">
        <f>'Real Input'!M1091</f>
        <v>25.728407000002335</v>
      </c>
      <c r="C1091">
        <f ca="1">INDIRECT(CONCATENATE("'Real Input'!",'Real Analysis'!$B$2,A1091+2))</f>
        <v>9.8497206899999998</v>
      </c>
      <c r="D1091">
        <f t="shared" ref="D1091:D1152" si="86">B1091-B1090</f>
        <v>1.9083999999566004E-2</v>
      </c>
      <c r="E1091">
        <f ca="1">IF(B1091&gt;0,C1091-'Real Analysis'!$B$14,0)</f>
        <v>-6.7771123714273074E-3</v>
      </c>
      <c r="F1091">
        <f t="shared" ca="1" si="84"/>
        <v>0.37797713369593749</v>
      </c>
      <c r="G1091">
        <f t="shared" ca="1" si="85"/>
        <v>0.51266463317392219</v>
      </c>
      <c r="H1091">
        <f ca="1">IF(AND(B1091&gt;'Real Analysis'!$B$31,B1091&lt;'Real Analysis'!$B$32),FilterInput(E1091,'Real Analysis'!$B$26,'Real Analysis'!$B$27),0)</f>
        <v>0</v>
      </c>
      <c r="I1091" t="e">
        <f>MEDIAN2("Real Values",H1091,'Real Analysis'!$B$5,2)</f>
        <v>#VALUE!</v>
      </c>
      <c r="J1091" t="e">
        <f>AVERAGE2("Real Values",I1091,'Real Analysis'!$B$6,2)</f>
        <v>#VALUE!</v>
      </c>
      <c r="K1091" t="e">
        <f>INTEGRAL2(J1091,$B1091,K1090,J1090,$B1090,'Real Analysis'!$B$19)</f>
        <v>#VALUE!</v>
      </c>
      <c r="L1091">
        <f ca="1">IF(AND(B1091&lt;'Real Analysis'!$B$32,B1091&gt;'Real Analysis'!$B$31),INTEGRAL2(K1091,$B1091,L1090,K1090,$B1090,'Real Analysis'!$B$20),0)</f>
        <v>0</v>
      </c>
      <c r="N1091">
        <f>'Real Analysis'!$B$28*'Real Input'!U1091+IF('Real Input'!U1091 &gt; 0,'Real Analysis'!$B$29,0)</f>
        <v>0</v>
      </c>
      <c r="O1091" t="e">
        <f t="shared" ref="O1091:O1152" si="87">_xlfn.COVARIANCE.P($L$102:$L$1200,N1091:N2189)</f>
        <v>#VALUE!</v>
      </c>
      <c r="P1091">
        <f t="shared" ref="P1091:P1152" ca="1" si="88">N1091-L1091</f>
        <v>0</v>
      </c>
    </row>
    <row r="1092" spans="1:16" x14ac:dyDescent="0.3">
      <c r="A1092">
        <v>1090</v>
      </c>
      <c r="B1092">
        <f>'Real Input'!M1092</f>
        <v>25.752332000003662</v>
      </c>
      <c r="C1092">
        <f ca="1">INDIRECT(CONCATENATE("'Real Input'!",'Real Analysis'!$B$2,A1092+2))</f>
        <v>9.8515061100000008</v>
      </c>
      <c r="D1092">
        <f t="shared" si="86"/>
        <v>2.3925000001327135E-2</v>
      </c>
      <c r="E1092">
        <f ca="1">IF(B1092&gt;0,C1092-'Real Analysis'!$B$14,0)</f>
        <v>-4.9916923714263817E-3</v>
      </c>
      <c r="F1092">
        <f t="shared" ref="F1092:F1152" ca="1" si="89">IF(B1092&gt;0,F1091+E1092*$D1092,0)</f>
        <v>0.37785770745594449</v>
      </c>
      <c r="G1092">
        <f t="shared" ca="1" si="85"/>
        <v>0.52170487882530714</v>
      </c>
      <c r="H1092">
        <f ca="1">IF(AND(B1092&gt;'Real Analysis'!$B$31,B1092&lt;'Real Analysis'!$B$32),FilterInput(E1092,'Real Analysis'!$B$26,'Real Analysis'!$B$27),0)</f>
        <v>0</v>
      </c>
      <c r="I1092" t="e">
        <f>MEDIAN2("Real Values",H1092,'Real Analysis'!$B$5,2)</f>
        <v>#VALUE!</v>
      </c>
      <c r="J1092" t="e">
        <f>AVERAGE2("Real Values",I1092,'Real Analysis'!$B$6,2)</f>
        <v>#VALUE!</v>
      </c>
      <c r="K1092" t="e">
        <f>INTEGRAL2(J1092,$B1092,K1091,J1091,$B1091,'Real Analysis'!$B$19)</f>
        <v>#VALUE!</v>
      </c>
      <c r="L1092">
        <f ca="1">IF(AND(B1092&lt;'Real Analysis'!$B$32,B1092&gt;'Real Analysis'!$B$31),INTEGRAL2(K1092,$B1092,L1091,K1091,$B1091,'Real Analysis'!$B$20),0)</f>
        <v>0</v>
      </c>
      <c r="N1092">
        <f>'Real Analysis'!$B$28*'Real Input'!U1092+IF('Real Input'!U1092 &gt; 0,'Real Analysis'!$B$29,0)</f>
        <v>0</v>
      </c>
      <c r="O1092" t="e">
        <f t="shared" si="87"/>
        <v>#VALUE!</v>
      </c>
      <c r="P1092">
        <f t="shared" ca="1" si="88"/>
        <v>0</v>
      </c>
    </row>
    <row r="1093" spans="1:16" x14ac:dyDescent="0.3">
      <c r="A1093">
        <v>1091</v>
      </c>
      <c r="B1093">
        <f>'Real Input'!M1093</f>
        <v>25.768882999997004</v>
      </c>
      <c r="C1093">
        <f ca="1">INDIRECT(CONCATENATE("'Real Input'!",'Real Analysis'!$B$2,A1093+2))</f>
        <v>9.8506526399999998</v>
      </c>
      <c r="D1093">
        <f t="shared" si="86"/>
        <v>1.6550999993341975E-2</v>
      </c>
      <c r="E1093">
        <f ca="1">IF(B1093&gt;0,C1093-'Real Analysis'!$B$14,0)</f>
        <v>-5.8451623714272927E-3</v>
      </c>
      <c r="F1093">
        <f t="shared" ca="1" si="89"/>
        <v>0.37776096417357391</v>
      </c>
      <c r="G1093">
        <f t="shared" ca="1" si="85"/>
        <v>0.52795720054082884</v>
      </c>
      <c r="H1093">
        <f ca="1">IF(AND(B1093&gt;'Real Analysis'!$B$31,B1093&lt;'Real Analysis'!$B$32),FilterInput(E1093,'Real Analysis'!$B$26,'Real Analysis'!$B$27),0)</f>
        <v>0</v>
      </c>
      <c r="I1093" t="e">
        <f>MEDIAN2("Real Values",H1093,'Real Analysis'!$B$5,2)</f>
        <v>#VALUE!</v>
      </c>
      <c r="J1093" t="e">
        <f>AVERAGE2("Real Values",I1093,'Real Analysis'!$B$6,2)</f>
        <v>#VALUE!</v>
      </c>
      <c r="K1093" t="e">
        <f>INTEGRAL2(J1093,$B1093,K1092,J1092,$B1092,'Real Analysis'!$B$19)</f>
        <v>#VALUE!</v>
      </c>
      <c r="L1093">
        <f ca="1">IF(AND(B1093&lt;'Real Analysis'!$B$32,B1093&gt;'Real Analysis'!$B$31),INTEGRAL2(K1093,$B1093,L1092,K1092,$B1092,'Real Analysis'!$B$20),0)</f>
        <v>0</v>
      </c>
      <c r="N1093">
        <f>'Real Analysis'!$B$28*'Real Input'!U1093+IF('Real Input'!U1093 &gt; 0,'Real Analysis'!$B$29,0)</f>
        <v>0</v>
      </c>
      <c r="O1093" t="e">
        <f t="shared" si="87"/>
        <v>#VALUE!</v>
      </c>
      <c r="P1093">
        <f t="shared" ca="1" si="88"/>
        <v>0</v>
      </c>
    </row>
    <row r="1094" spans="1:16" x14ac:dyDescent="0.3">
      <c r="A1094">
        <v>1092</v>
      </c>
      <c r="B1094">
        <f>'Real Input'!M1094</f>
        <v>25.790080999999191</v>
      </c>
      <c r="C1094">
        <f ca="1">INDIRECT(CONCATENATE("'Real Input'!",'Real Analysis'!$B$2,A1094+2))</f>
        <v>9.8500934700000009</v>
      </c>
      <c r="D1094">
        <f t="shared" si="86"/>
        <v>2.1198000002186745E-2</v>
      </c>
      <c r="E1094">
        <f ca="1">IF(B1094&gt;0,C1094-'Real Analysis'!$B$14,0)</f>
        <v>-6.4043323714262357E-3</v>
      </c>
      <c r="F1094">
        <f t="shared" ca="1" si="89"/>
        <v>0.37762520513595044</v>
      </c>
      <c r="G1094">
        <f t="shared" ca="1" si="85"/>
        <v>0.53596209964012653</v>
      </c>
      <c r="H1094">
        <f ca="1">IF(AND(B1094&gt;'Real Analysis'!$B$31,B1094&lt;'Real Analysis'!$B$32),FilterInput(E1094,'Real Analysis'!$B$26,'Real Analysis'!$B$27),0)</f>
        <v>0</v>
      </c>
      <c r="I1094" t="e">
        <f>MEDIAN2("Real Values",H1094,'Real Analysis'!$B$5,2)</f>
        <v>#VALUE!</v>
      </c>
      <c r="J1094" t="e">
        <f>AVERAGE2("Real Values",I1094,'Real Analysis'!$B$6,2)</f>
        <v>#VALUE!</v>
      </c>
      <c r="K1094" t="e">
        <f>INTEGRAL2(J1094,$B1094,K1093,J1093,$B1093,'Real Analysis'!$B$19)</f>
        <v>#VALUE!</v>
      </c>
      <c r="L1094">
        <f ca="1">IF(AND(B1094&lt;'Real Analysis'!$B$32,B1094&gt;'Real Analysis'!$B$31),INTEGRAL2(K1094,$B1094,L1093,K1093,$B1093,'Real Analysis'!$B$20),0)</f>
        <v>0</v>
      </c>
      <c r="N1094">
        <f>'Real Analysis'!$B$28*'Real Input'!U1094+IF('Real Input'!U1094 &gt; 0,'Real Analysis'!$B$29,0)</f>
        <v>0</v>
      </c>
      <c r="O1094" t="e">
        <f t="shared" si="87"/>
        <v>#VALUE!</v>
      </c>
      <c r="P1094">
        <f t="shared" ca="1" si="88"/>
        <v>0</v>
      </c>
    </row>
    <row r="1095" spans="1:16" x14ac:dyDescent="0.3">
      <c r="A1095">
        <v>1093</v>
      </c>
      <c r="B1095">
        <f>'Real Input'!M1095</f>
        <v>25.80885099999432</v>
      </c>
      <c r="C1095">
        <f ca="1">INDIRECT(CONCATENATE("'Real Input'!",'Real Analysis'!$B$2,A1095+2))</f>
        <v>9.8473172399999989</v>
      </c>
      <c r="D1095">
        <f t="shared" si="86"/>
        <v>1.8769999995129183E-2</v>
      </c>
      <c r="E1095">
        <f ca="1">IF(B1095&gt;0,C1095-'Real Analysis'!$B$14,0)</f>
        <v>-9.1805623714282802E-3</v>
      </c>
      <c r="F1095">
        <f t="shared" ca="1" si="89"/>
        <v>0.37745288598028343</v>
      </c>
      <c r="G1095">
        <f t="shared" ca="1" si="85"/>
        <v>0.54304689030813791</v>
      </c>
      <c r="H1095">
        <f ca="1">IF(AND(B1095&gt;'Real Analysis'!$B$31,B1095&lt;'Real Analysis'!$B$32),FilterInput(E1095,'Real Analysis'!$B$26,'Real Analysis'!$B$27),0)</f>
        <v>0</v>
      </c>
      <c r="I1095" t="e">
        <f>MEDIAN2("Real Values",H1095,'Real Analysis'!$B$5,2)</f>
        <v>#VALUE!</v>
      </c>
      <c r="J1095" t="e">
        <f>AVERAGE2("Real Values",I1095,'Real Analysis'!$B$6,2)</f>
        <v>#VALUE!</v>
      </c>
      <c r="K1095" t="e">
        <f>INTEGRAL2(J1095,$B1095,K1094,J1094,$B1094,'Real Analysis'!$B$19)</f>
        <v>#VALUE!</v>
      </c>
      <c r="L1095">
        <f ca="1">IF(AND(B1095&lt;'Real Analysis'!$B$32,B1095&gt;'Real Analysis'!$B$31),INTEGRAL2(K1095,$B1095,L1094,K1094,$B1094,'Real Analysis'!$B$20),0)</f>
        <v>0</v>
      </c>
      <c r="N1095">
        <f>'Real Analysis'!$B$28*'Real Input'!U1095+IF('Real Input'!U1095 &gt; 0,'Real Analysis'!$B$29,0)</f>
        <v>0</v>
      </c>
      <c r="O1095" t="e">
        <f t="shared" si="87"/>
        <v>#VALUE!</v>
      </c>
      <c r="P1095">
        <f t="shared" ca="1" si="88"/>
        <v>0</v>
      </c>
    </row>
    <row r="1096" spans="1:16" x14ac:dyDescent="0.3">
      <c r="A1096">
        <v>1094</v>
      </c>
      <c r="B1096">
        <f>'Real Input'!M1096</f>
        <v>25.829733000005945</v>
      </c>
      <c r="C1096">
        <f ca="1">INDIRECT(CONCATENATE("'Real Input'!",'Real Analysis'!$B$2,A1096+2))</f>
        <v>9.7623135899999998</v>
      </c>
      <c r="D1096">
        <f t="shared" si="86"/>
        <v>2.0882000011624768E-2</v>
      </c>
      <c r="E1096">
        <f ca="1">IF(B1096&gt;0,C1096-'Real Analysis'!$B$14,0)</f>
        <v>-9.4184212371427378E-2</v>
      </c>
      <c r="F1096">
        <f t="shared" ca="1" si="89"/>
        <v>0.37548613125644842</v>
      </c>
      <c r="G1096">
        <f t="shared" ca="1" si="85"/>
        <v>0.55088779170540003</v>
      </c>
      <c r="H1096">
        <f ca="1">IF(AND(B1096&gt;'Real Analysis'!$B$31,B1096&lt;'Real Analysis'!$B$32),FilterInput(E1096,'Real Analysis'!$B$26,'Real Analysis'!$B$27),0)</f>
        <v>0</v>
      </c>
      <c r="I1096" t="e">
        <f>MEDIAN2("Real Values",H1096,'Real Analysis'!$B$5,2)</f>
        <v>#VALUE!</v>
      </c>
      <c r="J1096" t="e">
        <f>AVERAGE2("Real Values",I1096,'Real Analysis'!$B$6,2)</f>
        <v>#VALUE!</v>
      </c>
      <c r="K1096" t="e">
        <f>INTEGRAL2(J1096,$B1096,K1095,J1095,$B1095,'Real Analysis'!$B$19)</f>
        <v>#VALUE!</v>
      </c>
      <c r="L1096">
        <f ca="1">IF(AND(B1096&lt;'Real Analysis'!$B$32,B1096&gt;'Real Analysis'!$B$31),INTEGRAL2(K1096,$B1096,L1095,K1095,$B1095,'Real Analysis'!$B$20),0)</f>
        <v>0</v>
      </c>
      <c r="N1096">
        <f>'Real Analysis'!$B$28*'Real Input'!U1096+IF('Real Input'!U1096 &gt; 0,'Real Analysis'!$B$29,0)</f>
        <v>0</v>
      </c>
      <c r="O1096" t="e">
        <f t="shared" si="87"/>
        <v>#VALUE!</v>
      </c>
      <c r="P1096">
        <f t="shared" ca="1" si="88"/>
        <v>0</v>
      </c>
    </row>
    <row r="1097" spans="1:16" x14ac:dyDescent="0.3">
      <c r="A1097">
        <v>1095</v>
      </c>
      <c r="B1097">
        <f>'Real Input'!M1097</f>
        <v>25.844184999994468</v>
      </c>
      <c r="C1097">
        <f ca="1">INDIRECT(CONCATENATE("'Real Input'!",'Real Analysis'!$B$2,A1097+2))</f>
        <v>9.8482590000000005</v>
      </c>
      <c r="D1097">
        <f t="shared" si="86"/>
        <v>1.4451999988523312E-2</v>
      </c>
      <c r="E1097">
        <f ca="1">IF(B1097&gt;0,C1097-'Real Analysis'!$B$14,0)</f>
        <v>-8.2388023714266012E-3</v>
      </c>
      <c r="F1097">
        <f t="shared" ca="1" si="89"/>
        <v>0.37536706408467113</v>
      </c>
      <c r="G1097">
        <f t="shared" ca="1" si="85"/>
        <v>0.55631259651124376</v>
      </c>
      <c r="H1097">
        <f ca="1">IF(AND(B1097&gt;'Real Analysis'!$B$31,B1097&lt;'Real Analysis'!$B$32),FilterInput(E1097,'Real Analysis'!$B$26,'Real Analysis'!$B$27),0)</f>
        <v>0</v>
      </c>
      <c r="I1097" t="e">
        <f>MEDIAN2("Real Values",H1097,'Real Analysis'!$B$5,2)</f>
        <v>#VALUE!</v>
      </c>
      <c r="J1097" t="e">
        <f>AVERAGE2("Real Values",I1097,'Real Analysis'!$B$6,2)</f>
        <v>#VALUE!</v>
      </c>
      <c r="K1097" t="e">
        <f>INTEGRAL2(J1097,$B1097,K1096,J1096,$B1096,'Real Analysis'!$B$19)</f>
        <v>#VALUE!</v>
      </c>
      <c r="L1097">
        <f ca="1">IF(AND(B1097&lt;'Real Analysis'!$B$32,B1097&gt;'Real Analysis'!$B$31),INTEGRAL2(K1097,$B1097,L1096,K1096,$B1096,'Real Analysis'!$B$20),0)</f>
        <v>0</v>
      </c>
      <c r="N1097">
        <f>'Real Analysis'!$B$28*'Real Input'!U1097+IF('Real Input'!U1097 &gt; 0,'Real Analysis'!$B$29,0)</f>
        <v>0</v>
      </c>
      <c r="O1097" t="e">
        <f t="shared" si="87"/>
        <v>#VALUE!</v>
      </c>
      <c r="P1097">
        <f t="shared" ca="1" si="88"/>
        <v>0</v>
      </c>
    </row>
    <row r="1098" spans="1:16" x14ac:dyDescent="0.3">
      <c r="A1098">
        <v>1096</v>
      </c>
      <c r="B1098">
        <f>'Real Input'!M1098</f>
        <v>25.869984999997541</v>
      </c>
      <c r="C1098">
        <f ca="1">INDIRECT(CONCATENATE("'Real Input'!",'Real Analysis'!$B$2,A1098+2))</f>
        <v>9.8416470599999997</v>
      </c>
      <c r="D1098">
        <f t="shared" si="86"/>
        <v>2.5800000003073364E-2</v>
      </c>
      <c r="E1098">
        <f ca="1">IF(B1098&gt;0,C1098-'Real Analysis'!$B$14,0)</f>
        <v>-1.4850742371427472E-2</v>
      </c>
      <c r="F1098">
        <f t="shared" ca="1" si="89"/>
        <v>0.37498391493144267</v>
      </c>
      <c r="G1098">
        <f t="shared" ca="1" si="85"/>
        <v>0.56598718151762739</v>
      </c>
      <c r="H1098">
        <f ca="1">IF(AND(B1098&gt;'Real Analysis'!$B$31,B1098&lt;'Real Analysis'!$B$32),FilterInput(E1098,'Real Analysis'!$B$26,'Real Analysis'!$B$27),0)</f>
        <v>0</v>
      </c>
      <c r="I1098" t="e">
        <f>MEDIAN2("Real Values",H1098,'Real Analysis'!$B$5,2)</f>
        <v>#VALUE!</v>
      </c>
      <c r="J1098" t="e">
        <f>AVERAGE2("Real Values",I1098,'Real Analysis'!$B$6,2)</f>
        <v>#VALUE!</v>
      </c>
      <c r="K1098" t="e">
        <f>INTEGRAL2(J1098,$B1098,K1097,J1097,$B1097,'Real Analysis'!$B$19)</f>
        <v>#VALUE!</v>
      </c>
      <c r="L1098">
        <f ca="1">IF(AND(B1098&lt;'Real Analysis'!$B$32,B1098&gt;'Real Analysis'!$B$31),INTEGRAL2(K1098,$B1098,L1097,K1097,$B1097,'Real Analysis'!$B$20),0)</f>
        <v>0</v>
      </c>
      <c r="N1098">
        <f>'Real Analysis'!$B$28*'Real Input'!U1098+IF('Real Input'!U1098 &gt; 0,'Real Analysis'!$B$29,0)</f>
        <v>0</v>
      </c>
      <c r="O1098" t="e">
        <f t="shared" si="87"/>
        <v>#VALUE!</v>
      </c>
      <c r="P1098">
        <f t="shared" ca="1" si="88"/>
        <v>0</v>
      </c>
    </row>
    <row r="1099" spans="1:16" x14ac:dyDescent="0.3">
      <c r="A1099">
        <v>1097</v>
      </c>
      <c r="B1099">
        <f>'Real Input'!M1099</f>
        <v>25.889815000002272</v>
      </c>
      <c r="C1099">
        <f ca="1">INDIRECT(CONCATENATE("'Real Input'!",'Real Analysis'!$B$2,A1099+2))</f>
        <v>9.8486219700000017</v>
      </c>
      <c r="D1099">
        <f t="shared" si="86"/>
        <v>1.9830000004731119E-2</v>
      </c>
      <c r="E1099">
        <f ca="1">IF(B1099&gt;0,C1099-'Real Analysis'!$B$14,0)</f>
        <v>-7.8758323714254175E-3</v>
      </c>
      <c r="F1099">
        <f t="shared" ca="1" si="89"/>
        <v>0.37482773717548007</v>
      </c>
      <c r="G1099">
        <f t="shared" ca="1" si="85"/>
        <v>0.57342001554759048</v>
      </c>
      <c r="H1099">
        <f ca="1">IF(AND(B1099&gt;'Real Analysis'!$B$31,B1099&lt;'Real Analysis'!$B$32),FilterInput(E1099,'Real Analysis'!$B$26,'Real Analysis'!$B$27),0)</f>
        <v>0</v>
      </c>
      <c r="I1099" t="e">
        <f>MEDIAN2("Real Values",H1099,'Real Analysis'!$B$5,2)</f>
        <v>#VALUE!</v>
      </c>
      <c r="J1099" t="e">
        <f>AVERAGE2("Real Values",I1099,'Real Analysis'!$B$6,2)</f>
        <v>#VALUE!</v>
      </c>
      <c r="K1099" t="e">
        <f>INTEGRAL2(J1099,$B1099,K1098,J1098,$B1098,'Real Analysis'!$B$19)</f>
        <v>#VALUE!</v>
      </c>
      <c r="L1099">
        <f ca="1">IF(AND(B1099&lt;'Real Analysis'!$B$32,B1099&gt;'Real Analysis'!$B$31),INTEGRAL2(K1099,$B1099,L1098,K1098,$B1098,'Real Analysis'!$B$20),0)</f>
        <v>0</v>
      </c>
      <c r="N1099">
        <f>'Real Analysis'!$B$28*'Real Input'!U1099+IF('Real Input'!U1099 &gt; 0,'Real Analysis'!$B$29,0)</f>
        <v>0</v>
      </c>
      <c r="O1099" t="e">
        <f t="shared" si="87"/>
        <v>#VALUE!</v>
      </c>
      <c r="P1099">
        <f t="shared" ca="1" si="88"/>
        <v>0</v>
      </c>
    </row>
    <row r="1100" spans="1:16" x14ac:dyDescent="0.3">
      <c r="A1100">
        <v>1098</v>
      </c>
      <c r="B1100">
        <f>'Real Input'!M1100</f>
        <v>25.910757000005106</v>
      </c>
      <c r="C1100">
        <f ca="1">INDIRECT(CONCATENATE("'Real Input'!",'Real Analysis'!$B$2,A1100+2))</f>
        <v>9.8318664900000012</v>
      </c>
      <c r="D1100">
        <f t="shared" si="86"/>
        <v>2.0942000002833083E-2</v>
      </c>
      <c r="E1100">
        <f ca="1">IF(B1100&gt;0,C1100-'Real Analysis'!$B$14,0)</f>
        <v>-2.4631312371425906E-2</v>
      </c>
      <c r="F1100">
        <f t="shared" ca="1" si="89"/>
        <v>0.37431190823172789</v>
      </c>
      <c r="G1100">
        <f t="shared" ca="1" si="85"/>
        <v>0.58125885553083978</v>
      </c>
      <c r="H1100">
        <f ca="1">IF(AND(B1100&gt;'Real Analysis'!$B$31,B1100&lt;'Real Analysis'!$B$32),FilterInput(E1100,'Real Analysis'!$B$26,'Real Analysis'!$B$27),0)</f>
        <v>0</v>
      </c>
      <c r="I1100" t="e">
        <f>MEDIAN2("Real Values",H1100,'Real Analysis'!$B$5,2)</f>
        <v>#VALUE!</v>
      </c>
      <c r="J1100" t="e">
        <f>AVERAGE2("Real Values",I1100,'Real Analysis'!$B$6,2)</f>
        <v>#VALUE!</v>
      </c>
      <c r="K1100" t="e">
        <f>INTEGRAL2(J1100,$B1100,K1099,J1099,$B1099,'Real Analysis'!$B$19)</f>
        <v>#VALUE!</v>
      </c>
      <c r="L1100">
        <f ca="1">IF(AND(B1100&lt;'Real Analysis'!$B$32,B1100&gt;'Real Analysis'!$B$31),INTEGRAL2(K1100,$B1100,L1099,K1099,$B1099,'Real Analysis'!$B$20),0)</f>
        <v>0</v>
      </c>
      <c r="N1100">
        <f>'Real Analysis'!$B$28*'Real Input'!U1100+IF('Real Input'!U1100 &gt; 0,'Real Analysis'!$B$29,0)</f>
        <v>0</v>
      </c>
      <c r="O1100" t="e">
        <f t="shared" si="87"/>
        <v>#VALUE!</v>
      </c>
      <c r="P1100">
        <f t="shared" ca="1" si="88"/>
        <v>0</v>
      </c>
    </row>
    <row r="1101" spans="1:16" x14ac:dyDescent="0.3">
      <c r="A1101">
        <v>1099</v>
      </c>
      <c r="B1101">
        <f>'Real Input'!M1101</f>
        <v>25.929401000001235</v>
      </c>
      <c r="C1101">
        <f ca="1">INDIRECT(CONCATENATE("'Real Input'!",'Real Analysis'!$B$2,A1101+2))</f>
        <v>9.7725454200000001</v>
      </c>
      <c r="D1101">
        <f t="shared" si="86"/>
        <v>1.8643999996129423E-2</v>
      </c>
      <c r="E1101">
        <f ca="1">IF(B1101&gt;0,C1101-'Real Analysis'!$B$14,0)</f>
        <v>-8.3952382371426992E-2</v>
      </c>
      <c r="F1101">
        <f t="shared" ca="1" si="89"/>
        <v>0.37274670001511995</v>
      </c>
      <c r="G1101">
        <f t="shared" ca="1" si="85"/>
        <v>0.58820834500447894</v>
      </c>
      <c r="H1101">
        <f ca="1">IF(AND(B1101&gt;'Real Analysis'!$B$31,B1101&lt;'Real Analysis'!$B$32),FilterInput(E1101,'Real Analysis'!$B$26,'Real Analysis'!$B$27),0)</f>
        <v>0</v>
      </c>
      <c r="I1101" t="e">
        <f>MEDIAN2("Real Values",H1101,'Real Analysis'!$B$5,2)</f>
        <v>#VALUE!</v>
      </c>
      <c r="J1101" t="e">
        <f>AVERAGE2("Real Values",I1101,'Real Analysis'!$B$6,2)</f>
        <v>#VALUE!</v>
      </c>
      <c r="K1101" t="e">
        <f>INTEGRAL2(J1101,$B1101,K1100,J1100,$B1100,'Real Analysis'!$B$19)</f>
        <v>#VALUE!</v>
      </c>
      <c r="L1101">
        <f ca="1">IF(AND(B1101&lt;'Real Analysis'!$B$32,B1101&gt;'Real Analysis'!$B$31),INTEGRAL2(K1101,$B1101,L1100,K1100,$B1100,'Real Analysis'!$B$20),0)</f>
        <v>0</v>
      </c>
      <c r="N1101">
        <f>'Real Analysis'!$B$28*'Real Input'!U1101+IF('Real Input'!U1101 &gt; 0,'Real Analysis'!$B$29,0)</f>
        <v>0</v>
      </c>
      <c r="O1101" t="e">
        <f t="shared" si="87"/>
        <v>#VALUE!</v>
      </c>
      <c r="P1101">
        <f t="shared" ca="1" si="88"/>
        <v>0</v>
      </c>
    </row>
    <row r="1102" spans="1:16" x14ac:dyDescent="0.3">
      <c r="A1102">
        <v>1100</v>
      </c>
      <c r="B1102">
        <f>'Real Input'!M1102</f>
        <v>25.94962499999383</v>
      </c>
      <c r="C1102">
        <f ca="1">INDIRECT(CONCATENATE("'Real Input'!",'Real Analysis'!$B$2,A1102+2))</f>
        <v>9.7986302100000007</v>
      </c>
      <c r="D1102">
        <f t="shared" si="86"/>
        <v>2.0223999992595054E-2</v>
      </c>
      <c r="E1102">
        <f ca="1">IF(B1102&gt;0,C1102-'Real Analysis'!$B$14,0)</f>
        <v>-5.7867592371426468E-2</v>
      </c>
      <c r="F1102">
        <f t="shared" ca="1" si="89"/>
        <v>0.37157638582742875</v>
      </c>
      <c r="G1102">
        <f t="shared" ca="1" si="85"/>
        <v>0.59572310582870136</v>
      </c>
      <c r="H1102">
        <f ca="1">IF(AND(B1102&gt;'Real Analysis'!$B$31,B1102&lt;'Real Analysis'!$B$32),FilterInput(E1102,'Real Analysis'!$B$26,'Real Analysis'!$B$27),0)</f>
        <v>0</v>
      </c>
      <c r="I1102" t="e">
        <f>MEDIAN2("Real Values",H1102,'Real Analysis'!$B$5,2)</f>
        <v>#VALUE!</v>
      </c>
      <c r="J1102" t="e">
        <f>AVERAGE2("Real Values",I1102,'Real Analysis'!$B$6,2)</f>
        <v>#VALUE!</v>
      </c>
      <c r="K1102" t="e">
        <f>INTEGRAL2(J1102,$B1102,K1101,J1101,$B1101,'Real Analysis'!$B$19)</f>
        <v>#VALUE!</v>
      </c>
      <c r="L1102">
        <f ca="1">IF(AND(B1102&lt;'Real Analysis'!$B$32,B1102&gt;'Real Analysis'!$B$31),INTEGRAL2(K1102,$B1102,L1101,K1101,$B1101,'Real Analysis'!$B$20),0)</f>
        <v>0</v>
      </c>
      <c r="N1102">
        <f>'Real Analysis'!$B$28*'Real Input'!U1102+IF('Real Input'!U1102 &gt; 0,'Real Analysis'!$B$29,0)</f>
        <v>0</v>
      </c>
      <c r="O1102" t="e">
        <f t="shared" si="87"/>
        <v>#VALUE!</v>
      </c>
      <c r="P1102">
        <f t="shared" ca="1" si="88"/>
        <v>0</v>
      </c>
    </row>
    <row r="1103" spans="1:16" x14ac:dyDescent="0.3">
      <c r="A1103">
        <v>1101</v>
      </c>
      <c r="B1103">
        <f>'Real Input'!M1103</f>
        <v>25.972777999995742</v>
      </c>
      <c r="C1103">
        <f ca="1">INDIRECT(CONCATENATE("'Real Input'!",'Real Analysis'!$B$2,A1103+2))</f>
        <v>9.8402736599999994</v>
      </c>
      <c r="D1103">
        <f t="shared" si="86"/>
        <v>2.3153000001912005E-2</v>
      </c>
      <c r="E1103">
        <f ca="1">IF(B1103&gt;0,C1103-'Real Analysis'!$B$14,0)</f>
        <v>-1.6224142371427774E-2</v>
      </c>
      <c r="F1103">
        <f t="shared" ca="1" si="89"/>
        <v>0.37120074825907207</v>
      </c>
      <c r="G1103">
        <f t="shared" ca="1" si="85"/>
        <v>0.60431751675385337</v>
      </c>
      <c r="H1103">
        <f ca="1">IF(AND(B1103&gt;'Real Analysis'!$B$31,B1103&lt;'Real Analysis'!$B$32),FilterInput(E1103,'Real Analysis'!$B$26,'Real Analysis'!$B$27),0)</f>
        <v>0</v>
      </c>
      <c r="I1103" t="e">
        <f>MEDIAN2("Real Values",H1103,'Real Analysis'!$B$5,2)</f>
        <v>#VALUE!</v>
      </c>
      <c r="J1103" t="e">
        <f>AVERAGE2("Real Values",I1103,'Real Analysis'!$B$6,2)</f>
        <v>#VALUE!</v>
      </c>
      <c r="K1103" t="e">
        <f>INTEGRAL2(J1103,$B1103,K1102,J1102,$B1102,'Real Analysis'!$B$19)</f>
        <v>#VALUE!</v>
      </c>
      <c r="L1103">
        <f ca="1">IF(AND(B1103&lt;'Real Analysis'!$B$32,B1103&gt;'Real Analysis'!$B$31),INTEGRAL2(K1103,$B1103,L1102,K1102,$B1102,'Real Analysis'!$B$20),0)</f>
        <v>0</v>
      </c>
      <c r="N1103">
        <f>'Real Analysis'!$B$28*'Real Input'!U1103+IF('Real Input'!U1103 &gt; 0,'Real Analysis'!$B$29,0)</f>
        <v>0</v>
      </c>
      <c r="O1103" t="e">
        <f t="shared" si="87"/>
        <v>#VALUE!</v>
      </c>
      <c r="P1103">
        <f t="shared" ca="1" si="88"/>
        <v>0</v>
      </c>
    </row>
    <row r="1104" spans="1:16" x14ac:dyDescent="0.3">
      <c r="A1104">
        <v>1102</v>
      </c>
      <c r="B1104">
        <f>'Real Input'!M1104</f>
        <v>25.990013999995426</v>
      </c>
      <c r="C1104">
        <f ca="1">INDIRECT(CONCATENATE("'Real Input'!",'Real Analysis'!$B$2,A1104+2))</f>
        <v>9.8614534499999991</v>
      </c>
      <c r="D1104">
        <f t="shared" si="86"/>
        <v>1.7235999999684282E-2</v>
      </c>
      <c r="E1104">
        <f ca="1">IF(B1104&gt;0,C1104-'Real Analysis'!$B$14,0)</f>
        <v>4.9556476285719242E-3</v>
      </c>
      <c r="F1104">
        <f t="shared" ca="1" si="89"/>
        <v>0.37128616380159657</v>
      </c>
      <c r="G1104">
        <f t="shared" ca="1" si="85"/>
        <v>0.61071700507302051</v>
      </c>
      <c r="H1104">
        <f ca="1">IF(AND(B1104&gt;'Real Analysis'!$B$31,B1104&lt;'Real Analysis'!$B$32),FilterInput(E1104,'Real Analysis'!$B$26,'Real Analysis'!$B$27),0)</f>
        <v>0</v>
      </c>
      <c r="I1104" t="e">
        <f>MEDIAN2("Real Values",H1104,'Real Analysis'!$B$5,2)</f>
        <v>#VALUE!</v>
      </c>
      <c r="J1104" t="e">
        <f>AVERAGE2("Real Values",I1104,'Real Analysis'!$B$6,2)</f>
        <v>#VALUE!</v>
      </c>
      <c r="K1104" t="e">
        <f>INTEGRAL2(J1104,$B1104,K1103,J1103,$B1103,'Real Analysis'!$B$19)</f>
        <v>#VALUE!</v>
      </c>
      <c r="L1104">
        <f ca="1">IF(AND(B1104&lt;'Real Analysis'!$B$32,B1104&gt;'Real Analysis'!$B$31),INTEGRAL2(K1104,$B1104,L1103,K1103,$B1103,'Real Analysis'!$B$20),0)</f>
        <v>0</v>
      </c>
      <c r="N1104">
        <f>'Real Analysis'!$B$28*'Real Input'!U1104+IF('Real Input'!U1104 &gt; 0,'Real Analysis'!$B$29,0)</f>
        <v>0</v>
      </c>
      <c r="O1104" t="e">
        <f t="shared" si="87"/>
        <v>#VALUE!</v>
      </c>
      <c r="P1104">
        <f t="shared" ca="1" si="88"/>
        <v>0</v>
      </c>
    </row>
    <row r="1105" spans="1:16" x14ac:dyDescent="0.3">
      <c r="A1105">
        <v>1103</v>
      </c>
      <c r="B1105">
        <f>'Real Input'!M1105</f>
        <v>26.010427000001073</v>
      </c>
      <c r="C1105">
        <f ca="1">INDIRECT(CONCATENATE("'Real Input'!",'Real Analysis'!$B$2,A1105+2))</f>
        <v>9.8406366300000006</v>
      </c>
      <c r="D1105">
        <f t="shared" si="86"/>
        <v>2.0413000005646609E-2</v>
      </c>
      <c r="E1105">
        <f ca="1">IF(B1105&gt;0,C1105-'Real Analysis'!$B$14,0)</f>
        <v>-1.5861172371426591E-2</v>
      </c>
      <c r="F1105">
        <f t="shared" ca="1" si="89"/>
        <v>0.37096238968988909</v>
      </c>
      <c r="G1105">
        <f t="shared" ca="1" si="85"/>
        <v>0.61828946033585486</v>
      </c>
      <c r="H1105">
        <f ca="1">IF(AND(B1105&gt;'Real Analysis'!$B$31,B1105&lt;'Real Analysis'!$B$32),FilterInput(E1105,'Real Analysis'!$B$26,'Real Analysis'!$B$27),0)</f>
        <v>0</v>
      </c>
      <c r="I1105" t="e">
        <f>MEDIAN2("Real Values",H1105,'Real Analysis'!$B$5,2)</f>
        <v>#VALUE!</v>
      </c>
      <c r="J1105" t="e">
        <f>AVERAGE2("Real Values",I1105,'Real Analysis'!$B$6,2)</f>
        <v>#VALUE!</v>
      </c>
      <c r="K1105" t="e">
        <f>INTEGRAL2(J1105,$B1105,K1104,J1104,$B1104,'Real Analysis'!$B$19)</f>
        <v>#VALUE!</v>
      </c>
      <c r="L1105">
        <f ca="1">IF(AND(B1105&lt;'Real Analysis'!$B$32,B1105&gt;'Real Analysis'!$B$31),INTEGRAL2(K1105,$B1105,L1104,K1104,$B1104,'Real Analysis'!$B$20),0)</f>
        <v>0</v>
      </c>
      <c r="N1105">
        <f>'Real Analysis'!$B$28*'Real Input'!U1105+IF('Real Input'!U1105 &gt; 0,'Real Analysis'!$B$29,0)</f>
        <v>0</v>
      </c>
      <c r="O1105" t="e">
        <f t="shared" si="87"/>
        <v>#VALUE!</v>
      </c>
      <c r="P1105">
        <f t="shared" ca="1" si="88"/>
        <v>0</v>
      </c>
    </row>
    <row r="1106" spans="1:16" x14ac:dyDescent="0.3">
      <c r="A1106">
        <v>1104</v>
      </c>
      <c r="B1106">
        <f>'Real Input'!M1106</f>
        <v>26.032560000006924</v>
      </c>
      <c r="C1106">
        <f ca="1">INDIRECT(CONCATENATE("'Real Input'!",'Real Analysis'!$B$2,A1106+2))</f>
        <v>9.7838661600000005</v>
      </c>
      <c r="D1106">
        <f t="shared" si="86"/>
        <v>2.21330000058515E-2</v>
      </c>
      <c r="E1106">
        <f ca="1">IF(B1106&gt;0,C1106-'Real Analysis'!$B$14,0)</f>
        <v>-7.2631642371426608E-2</v>
      </c>
      <c r="F1106">
        <f t="shared" ca="1" si="89"/>
        <v>0.36935483354885729</v>
      </c>
      <c r="G1106">
        <f t="shared" ca="1" si="85"/>
        <v>0.626464390868953</v>
      </c>
      <c r="H1106">
        <f ca="1">IF(AND(B1106&gt;'Real Analysis'!$B$31,B1106&lt;'Real Analysis'!$B$32),FilterInput(E1106,'Real Analysis'!$B$26,'Real Analysis'!$B$27),0)</f>
        <v>0</v>
      </c>
      <c r="I1106" t="e">
        <f>MEDIAN2("Real Values",H1106,'Real Analysis'!$B$5,2)</f>
        <v>#VALUE!</v>
      </c>
      <c r="J1106" t="e">
        <f>AVERAGE2("Real Values",I1106,'Real Analysis'!$B$6,2)</f>
        <v>#VALUE!</v>
      </c>
      <c r="K1106" t="e">
        <f>INTEGRAL2(J1106,$B1106,K1105,J1105,$B1105,'Real Analysis'!$B$19)</f>
        <v>#VALUE!</v>
      </c>
      <c r="L1106">
        <f ca="1">IF(AND(B1106&lt;'Real Analysis'!$B$32,B1106&gt;'Real Analysis'!$B$31),INTEGRAL2(K1106,$B1106,L1105,K1105,$B1105,'Real Analysis'!$B$20),0)</f>
        <v>0</v>
      </c>
      <c r="N1106">
        <f>'Real Analysis'!$B$28*'Real Input'!U1106+IF('Real Input'!U1106 &gt; 0,'Real Analysis'!$B$29,0)</f>
        <v>0</v>
      </c>
      <c r="O1106" t="e">
        <f t="shared" si="87"/>
        <v>#VALUE!</v>
      </c>
      <c r="P1106">
        <f t="shared" ca="1" si="88"/>
        <v>0</v>
      </c>
    </row>
    <row r="1107" spans="1:16" x14ac:dyDescent="0.3">
      <c r="A1107">
        <v>1105</v>
      </c>
      <c r="B1107">
        <f>'Real Input'!M1107</f>
        <v>26.051613999996334</v>
      </c>
      <c r="C1107">
        <f ca="1">INDIRECT(CONCATENATE("'Real Input'!",'Real Analysis'!$B$2,A1107+2))</f>
        <v>9.7787257200000006</v>
      </c>
      <c r="D1107">
        <f t="shared" si="86"/>
        <v>1.9053999989409931E-2</v>
      </c>
      <c r="E1107">
        <f ca="1">IF(B1107&gt;0,C1107-'Real Analysis'!$B$14,0)</f>
        <v>-7.7772082371426521E-2</v>
      </c>
      <c r="F1107">
        <f t="shared" ca="1" si="89"/>
        <v>0.36787296429217575</v>
      </c>
      <c r="G1107">
        <f t="shared" ca="1" si="85"/>
        <v>0.63347384232668036</v>
      </c>
      <c r="H1107">
        <f ca="1">IF(AND(B1107&gt;'Real Analysis'!$B$31,B1107&lt;'Real Analysis'!$B$32),FilterInput(E1107,'Real Analysis'!$B$26,'Real Analysis'!$B$27),0)</f>
        <v>0</v>
      </c>
      <c r="I1107" t="e">
        <f>MEDIAN2("Real Values",H1107,'Real Analysis'!$B$5,2)</f>
        <v>#VALUE!</v>
      </c>
      <c r="J1107" t="e">
        <f>AVERAGE2("Real Values",I1107,'Real Analysis'!$B$6,2)</f>
        <v>#VALUE!</v>
      </c>
      <c r="K1107" t="e">
        <f>INTEGRAL2(J1107,$B1107,K1106,J1106,$B1106,'Real Analysis'!$B$19)</f>
        <v>#VALUE!</v>
      </c>
      <c r="L1107">
        <f ca="1">IF(AND(B1107&lt;'Real Analysis'!$B$32,B1107&gt;'Real Analysis'!$B$31),INTEGRAL2(K1107,$B1107,L1106,K1106,$B1106,'Real Analysis'!$B$20),0)</f>
        <v>0</v>
      </c>
      <c r="N1107">
        <f>'Real Analysis'!$B$28*'Real Input'!U1107+IF('Real Input'!U1107 &gt; 0,'Real Analysis'!$B$29,0)</f>
        <v>0</v>
      </c>
      <c r="O1107" t="e">
        <f t="shared" si="87"/>
        <v>#VALUE!</v>
      </c>
      <c r="P1107">
        <f t="shared" ca="1" si="88"/>
        <v>0</v>
      </c>
    </row>
    <row r="1108" spans="1:16" x14ac:dyDescent="0.3">
      <c r="A1108">
        <v>1106</v>
      </c>
      <c r="B1108">
        <f>'Real Input'!M1108</f>
        <v>26.072595999998157</v>
      </c>
      <c r="C1108">
        <f ca="1">INDIRECT(CONCATENATE("'Real Input'!",'Real Analysis'!$B$2,A1108+2))</f>
        <v>9.8375268600000005</v>
      </c>
      <c r="D1108">
        <f t="shared" si="86"/>
        <v>2.0982000001822598E-2</v>
      </c>
      <c r="E1108">
        <f ca="1">IF(B1108&gt;0,C1108-'Real Analysis'!$B$14,0)</f>
        <v>-1.8970942371426602E-2</v>
      </c>
      <c r="F1108">
        <f t="shared" ca="1" si="89"/>
        <v>0.36747491597930393</v>
      </c>
      <c r="G1108">
        <f t="shared" ca="1" si="85"/>
        <v>0.64118420101442786</v>
      </c>
      <c r="H1108">
        <f ca="1">IF(AND(B1108&gt;'Real Analysis'!$B$31,B1108&lt;'Real Analysis'!$B$32),FilterInput(E1108,'Real Analysis'!$B$26,'Real Analysis'!$B$27),0)</f>
        <v>0</v>
      </c>
      <c r="I1108" t="e">
        <f>MEDIAN2("Real Values",H1108,'Real Analysis'!$B$5,2)</f>
        <v>#VALUE!</v>
      </c>
      <c r="J1108" t="e">
        <f>AVERAGE2("Real Values",I1108,'Real Analysis'!$B$6,2)</f>
        <v>#VALUE!</v>
      </c>
      <c r="K1108" t="e">
        <f>INTEGRAL2(J1108,$B1108,K1107,J1107,$B1107,'Real Analysis'!$B$19)</f>
        <v>#VALUE!</v>
      </c>
      <c r="L1108">
        <f ca="1">IF(AND(B1108&lt;'Real Analysis'!$B$32,B1108&gt;'Real Analysis'!$B$31),INTEGRAL2(K1108,$B1108,L1107,K1107,$B1107,'Real Analysis'!$B$20),0)</f>
        <v>0</v>
      </c>
      <c r="N1108">
        <f>'Real Analysis'!$B$28*'Real Input'!U1108+IF('Real Input'!U1108 &gt; 0,'Real Analysis'!$B$29,0)</f>
        <v>0</v>
      </c>
      <c r="O1108" t="e">
        <f t="shared" si="87"/>
        <v>#VALUE!</v>
      </c>
      <c r="P1108">
        <f t="shared" ca="1" si="88"/>
        <v>0</v>
      </c>
    </row>
    <row r="1109" spans="1:16" x14ac:dyDescent="0.3">
      <c r="A1109">
        <v>1107</v>
      </c>
      <c r="B1109">
        <f>'Real Input'!M1109</f>
        <v>26.092378999994253</v>
      </c>
      <c r="C1109">
        <f ca="1">INDIRECT(CONCATENATE("'Real Input'!",'Real Analysis'!$B$2,A1109+2))</f>
        <v>9.8412742800000004</v>
      </c>
      <c r="D1109">
        <f t="shared" si="86"/>
        <v>1.9782999996095896E-2</v>
      </c>
      <c r="E1109">
        <f ca="1">IF(B1109&gt;0,C1109-'Real Analysis'!$B$14,0)</f>
        <v>-1.5223522371426768E-2</v>
      </c>
      <c r="F1109">
        <f t="shared" ca="1" si="89"/>
        <v>0.36717374903628941</v>
      </c>
      <c r="G1109">
        <f t="shared" ca="1" si="85"/>
        <v>0.64844799929017927</v>
      </c>
      <c r="H1109">
        <f ca="1">IF(AND(B1109&gt;'Real Analysis'!$B$31,B1109&lt;'Real Analysis'!$B$32),FilterInput(E1109,'Real Analysis'!$B$26,'Real Analysis'!$B$27),0)</f>
        <v>0</v>
      </c>
      <c r="I1109" t="e">
        <f>MEDIAN2("Real Values",H1109,'Real Analysis'!$B$5,2)</f>
        <v>#VALUE!</v>
      </c>
      <c r="J1109" t="e">
        <f>AVERAGE2("Real Values",I1109,'Real Analysis'!$B$6,2)</f>
        <v>#VALUE!</v>
      </c>
      <c r="K1109" t="e">
        <f>INTEGRAL2(J1109,$B1109,K1108,J1108,$B1108,'Real Analysis'!$B$19)</f>
        <v>#VALUE!</v>
      </c>
      <c r="L1109">
        <f ca="1">IF(AND(B1109&lt;'Real Analysis'!$B$32,B1109&gt;'Real Analysis'!$B$31),INTEGRAL2(K1109,$B1109,L1108,K1108,$B1108,'Real Analysis'!$B$20),0)</f>
        <v>0</v>
      </c>
      <c r="N1109">
        <f>'Real Analysis'!$B$28*'Real Input'!U1109+IF('Real Input'!U1109 &gt; 0,'Real Analysis'!$B$29,0)</f>
        <v>0</v>
      </c>
      <c r="O1109" t="e">
        <f t="shared" si="87"/>
        <v>#VALUE!</v>
      </c>
      <c r="P1109">
        <f t="shared" ca="1" si="88"/>
        <v>0</v>
      </c>
    </row>
    <row r="1110" spans="1:16" x14ac:dyDescent="0.3">
      <c r="A1110">
        <v>1108</v>
      </c>
      <c r="B1110">
        <f>'Real Input'!M1110</f>
        <v>26.112676999997348</v>
      </c>
      <c r="C1110">
        <f ca="1">INDIRECT(CONCATENATE("'Real Input'!",'Real Analysis'!$B$2,A1110+2))</f>
        <v>9.8528010300000002</v>
      </c>
      <c r="D1110">
        <f t="shared" si="86"/>
        <v>2.0298000003094785E-2</v>
      </c>
      <c r="E1110">
        <f ca="1">IF(B1110&gt;0,C1110-'Real Analysis'!$B$14,0)</f>
        <v>-3.6967723714269596E-3</v>
      </c>
      <c r="F1110">
        <f t="shared" ca="1" si="89"/>
        <v>0.36709871195068272</v>
      </c>
      <c r="G1110">
        <f t="shared" ca="1" si="85"/>
        <v>0.65589936894649037</v>
      </c>
      <c r="H1110">
        <f ca="1">IF(AND(B1110&gt;'Real Analysis'!$B$31,B1110&lt;'Real Analysis'!$B$32),FilterInput(E1110,'Real Analysis'!$B$26,'Real Analysis'!$B$27),0)</f>
        <v>0</v>
      </c>
      <c r="I1110" t="e">
        <f>MEDIAN2("Real Values",H1110,'Real Analysis'!$B$5,2)</f>
        <v>#VALUE!</v>
      </c>
      <c r="J1110" t="e">
        <f>AVERAGE2("Real Values",I1110,'Real Analysis'!$B$6,2)</f>
        <v>#VALUE!</v>
      </c>
      <c r="K1110" t="e">
        <f>INTEGRAL2(J1110,$B1110,K1109,J1109,$B1109,'Real Analysis'!$B$19)</f>
        <v>#VALUE!</v>
      </c>
      <c r="L1110">
        <f ca="1">IF(AND(B1110&lt;'Real Analysis'!$B$32,B1110&gt;'Real Analysis'!$B$31),INTEGRAL2(K1110,$B1110,L1109,K1109,$B1109,'Real Analysis'!$B$20),0)</f>
        <v>0</v>
      </c>
      <c r="N1110">
        <f>'Real Analysis'!$B$28*'Real Input'!U1110+IF('Real Input'!U1110 &gt; 0,'Real Analysis'!$B$29,0)</f>
        <v>0</v>
      </c>
      <c r="O1110" t="e">
        <f t="shared" si="87"/>
        <v>#VALUE!</v>
      </c>
      <c r="P1110">
        <f t="shared" ca="1" si="88"/>
        <v>0</v>
      </c>
    </row>
    <row r="1111" spans="1:16" x14ac:dyDescent="0.3">
      <c r="A1111">
        <v>1109</v>
      </c>
      <c r="B1111">
        <f>'Real Input'!M1111</f>
        <v>26.130694999999832</v>
      </c>
      <c r="C1111">
        <f ca="1">INDIRECT(CONCATENATE("'Real Input'!",'Real Analysis'!$B$2,A1111+2))</f>
        <v>9.8505447299999993</v>
      </c>
      <c r="D1111">
        <f t="shared" si="86"/>
        <v>1.8018000002484769E-2</v>
      </c>
      <c r="E1111">
        <f ca="1">IF(B1111&gt;0,C1111-'Real Analysis'!$B$14,0)</f>
        <v>-5.9530723714278366E-3</v>
      </c>
      <c r="F1111">
        <f t="shared" ca="1" si="89"/>
        <v>0.36699144949267953</v>
      </c>
      <c r="G1111">
        <f t="shared" ca="1" si="85"/>
        <v>0.66251182088436134</v>
      </c>
      <c r="H1111">
        <f ca="1">IF(AND(B1111&gt;'Real Analysis'!$B$31,B1111&lt;'Real Analysis'!$B$32),FilterInput(E1111,'Real Analysis'!$B$26,'Real Analysis'!$B$27),0)</f>
        <v>0</v>
      </c>
      <c r="I1111" t="e">
        <f>MEDIAN2("Real Values",H1111,'Real Analysis'!$B$5,2)</f>
        <v>#VALUE!</v>
      </c>
      <c r="J1111" t="e">
        <f>AVERAGE2("Real Values",I1111,'Real Analysis'!$B$6,2)</f>
        <v>#VALUE!</v>
      </c>
      <c r="K1111" t="e">
        <f>INTEGRAL2(J1111,$B1111,K1110,J1110,$B1110,'Real Analysis'!$B$19)</f>
        <v>#VALUE!</v>
      </c>
      <c r="L1111">
        <f ca="1">IF(AND(B1111&lt;'Real Analysis'!$B$32,B1111&gt;'Real Analysis'!$B$31),INTEGRAL2(K1111,$B1111,L1110,K1110,$B1110,'Real Analysis'!$B$20),0)</f>
        <v>0</v>
      </c>
      <c r="N1111">
        <f>'Real Analysis'!$B$28*'Real Input'!U1111+IF('Real Input'!U1111 &gt; 0,'Real Analysis'!$B$29,0)</f>
        <v>0</v>
      </c>
      <c r="O1111" t="e">
        <f t="shared" si="87"/>
        <v>#VALUE!</v>
      </c>
      <c r="P1111">
        <f t="shared" ca="1" si="88"/>
        <v>0</v>
      </c>
    </row>
    <row r="1112" spans="1:16" x14ac:dyDescent="0.3">
      <c r="A1112">
        <v>1110</v>
      </c>
      <c r="B1112">
        <f>'Real Input'!M1112</f>
        <v>26.15151500000502</v>
      </c>
      <c r="C1112">
        <f ca="1">INDIRECT(CONCATENATE("'Real Input'!",'Real Analysis'!$B$2,A1112+2))</f>
        <v>9.8315820000000009</v>
      </c>
      <c r="D1112">
        <f t="shared" si="86"/>
        <v>2.0820000005187467E-2</v>
      </c>
      <c r="E1112">
        <f ca="1">IF(B1112&gt;0,C1112-'Real Analysis'!$B$14,0)</f>
        <v>-2.491580237142621E-2</v>
      </c>
      <c r="F1112">
        <f t="shared" ca="1" si="89"/>
        <v>0.36647270248717717</v>
      </c>
      <c r="G1112">
        <f t="shared" ca="1" si="85"/>
        <v>0.67014178255204548</v>
      </c>
      <c r="H1112">
        <f ca="1">IF(AND(B1112&gt;'Real Analysis'!$B$31,B1112&lt;'Real Analysis'!$B$32),FilterInput(E1112,'Real Analysis'!$B$26,'Real Analysis'!$B$27),0)</f>
        <v>0</v>
      </c>
      <c r="I1112" t="e">
        <f>MEDIAN2("Real Values",H1112,'Real Analysis'!$B$5,2)</f>
        <v>#VALUE!</v>
      </c>
      <c r="J1112" t="e">
        <f>AVERAGE2("Real Values",I1112,'Real Analysis'!$B$6,2)</f>
        <v>#VALUE!</v>
      </c>
      <c r="K1112" t="e">
        <f>INTEGRAL2(J1112,$B1112,K1111,J1111,$B1111,'Real Analysis'!$B$19)</f>
        <v>#VALUE!</v>
      </c>
      <c r="L1112">
        <f ca="1">IF(AND(B1112&lt;'Real Analysis'!$B$32,B1112&gt;'Real Analysis'!$B$31),INTEGRAL2(K1112,$B1112,L1111,K1111,$B1111,'Real Analysis'!$B$20),0)</f>
        <v>0</v>
      </c>
      <c r="N1112">
        <f>'Real Analysis'!$B$28*'Real Input'!U1112+IF('Real Input'!U1112 &gt; 0,'Real Analysis'!$B$29,0)</f>
        <v>0</v>
      </c>
      <c r="O1112" t="e">
        <f t="shared" si="87"/>
        <v>#VALUE!</v>
      </c>
      <c r="P1112">
        <f t="shared" ca="1" si="88"/>
        <v>0</v>
      </c>
    </row>
    <row r="1113" spans="1:16" x14ac:dyDescent="0.3">
      <c r="A1113">
        <v>1111</v>
      </c>
      <c r="B1113">
        <f>'Real Input'!M1113</f>
        <v>26.160948999997345</v>
      </c>
      <c r="C1113">
        <f ca="1">INDIRECT(CONCATENATE("'Real Input'!",'Real Analysis'!$B$2,A1113+2))</f>
        <v>9.8131293900000003</v>
      </c>
      <c r="D1113">
        <f t="shared" si="86"/>
        <v>9.4339999923249707E-3</v>
      </c>
      <c r="E1113">
        <f ca="1">IF(B1113&gt;0,C1113-'Real Analysis'!$B$14,0)</f>
        <v>-4.3368412371426857E-2</v>
      </c>
      <c r="F1113">
        <f t="shared" ca="1" si="89"/>
        <v>0.36606356488519798</v>
      </c>
      <c r="G1113">
        <f t="shared" ca="1" si="85"/>
        <v>0.67359522622036294</v>
      </c>
      <c r="H1113">
        <f ca="1">IF(AND(B1113&gt;'Real Analysis'!$B$31,B1113&lt;'Real Analysis'!$B$32),FilterInput(E1113,'Real Analysis'!$B$26,'Real Analysis'!$B$27),0)</f>
        <v>0</v>
      </c>
      <c r="I1113" t="e">
        <f>MEDIAN2("Real Values",H1113,'Real Analysis'!$B$5,2)</f>
        <v>#VALUE!</v>
      </c>
      <c r="J1113" t="e">
        <f>AVERAGE2("Real Values",I1113,'Real Analysis'!$B$6,2)</f>
        <v>#VALUE!</v>
      </c>
      <c r="K1113" t="e">
        <f>INTEGRAL2(J1113,$B1113,K1112,J1112,$B1112,'Real Analysis'!$B$19)</f>
        <v>#VALUE!</v>
      </c>
      <c r="L1113">
        <f ca="1">IF(AND(B1113&lt;'Real Analysis'!$B$32,B1113&gt;'Real Analysis'!$B$31),INTEGRAL2(K1113,$B1113,L1112,K1112,$B1112,'Real Analysis'!$B$20),0)</f>
        <v>0</v>
      </c>
      <c r="N1113">
        <f>'Real Analysis'!$B$28*'Real Input'!U1113+IF('Real Input'!U1113 &gt; 0,'Real Analysis'!$B$29,0)</f>
        <v>0</v>
      </c>
      <c r="O1113" t="e">
        <f t="shared" si="87"/>
        <v>#VALUE!</v>
      </c>
      <c r="P1113">
        <f t="shared" ca="1" si="88"/>
        <v>0</v>
      </c>
    </row>
    <row r="1114" spans="1:16" x14ac:dyDescent="0.3">
      <c r="A1114">
        <v>1112</v>
      </c>
      <c r="B1114">
        <f>'Real Input'!M1114</f>
        <v>26.192194999995991</v>
      </c>
      <c r="C1114">
        <f ca="1">INDIRECT(CONCATENATE("'Real Input'!",'Real Analysis'!$B$2,A1114+2))</f>
        <v>9.8525263499999998</v>
      </c>
      <c r="D1114">
        <f t="shared" si="86"/>
        <v>3.1245999998645857E-2</v>
      </c>
      <c r="E1114">
        <f ca="1">IF(B1114&gt;0,C1114-'Real Analysis'!$B$14,0)</f>
        <v>-3.9714523714273753E-3</v>
      </c>
      <c r="F1114">
        <f t="shared" ca="1" si="89"/>
        <v>0.36593947288440576</v>
      </c>
      <c r="G1114">
        <f t="shared" ca="1" si="85"/>
        <v>0.68502937098961358</v>
      </c>
      <c r="H1114">
        <f ca="1">IF(AND(B1114&gt;'Real Analysis'!$B$31,B1114&lt;'Real Analysis'!$B$32),FilterInput(E1114,'Real Analysis'!$B$26,'Real Analysis'!$B$27),0)</f>
        <v>0</v>
      </c>
      <c r="I1114" t="e">
        <f>MEDIAN2("Real Values",H1114,'Real Analysis'!$B$5,2)</f>
        <v>#VALUE!</v>
      </c>
      <c r="J1114" t="e">
        <f>AVERAGE2("Real Values",I1114,'Real Analysis'!$B$6,2)</f>
        <v>#VALUE!</v>
      </c>
      <c r="K1114" t="e">
        <f>INTEGRAL2(J1114,$B1114,K1113,J1113,$B1113,'Real Analysis'!$B$19)</f>
        <v>#VALUE!</v>
      </c>
      <c r="L1114">
        <f ca="1">IF(AND(B1114&lt;'Real Analysis'!$B$32,B1114&gt;'Real Analysis'!$B$31),INTEGRAL2(K1114,$B1114,L1113,K1113,$B1113,'Real Analysis'!$B$20),0)</f>
        <v>0</v>
      </c>
      <c r="N1114">
        <f>'Real Analysis'!$B$28*'Real Input'!U1114+IF('Real Input'!U1114 &gt; 0,'Real Analysis'!$B$29,0)</f>
        <v>0</v>
      </c>
      <c r="O1114" t="e">
        <f t="shared" si="87"/>
        <v>#VALUE!</v>
      </c>
      <c r="P1114">
        <f t="shared" ca="1" si="88"/>
        <v>0</v>
      </c>
    </row>
    <row r="1115" spans="1:16" x14ac:dyDescent="0.3">
      <c r="A1115">
        <v>1113</v>
      </c>
      <c r="B1115">
        <f>'Real Input'!M1115</f>
        <v>26.212463999996544</v>
      </c>
      <c r="C1115">
        <f ca="1">INDIRECT(CONCATENATE("'Real Input'!",'Real Analysis'!$B$2,A1115+2))</f>
        <v>9.8496225899999992</v>
      </c>
      <c r="D1115">
        <f t="shared" si="86"/>
        <v>2.0269000000553206E-2</v>
      </c>
      <c r="E1115">
        <f ca="1">IF(B1115&gt;0,C1115-'Real Analysis'!$B$14,0)</f>
        <v>-6.8752123714279634E-3</v>
      </c>
      <c r="F1115">
        <f t="shared" ca="1" si="89"/>
        <v>0.36580011920484551</v>
      </c>
      <c r="G1115">
        <f t="shared" ca="1" si="85"/>
        <v>0.69244377360597897</v>
      </c>
      <c r="H1115">
        <f ca="1">IF(AND(B1115&gt;'Real Analysis'!$B$31,B1115&lt;'Real Analysis'!$B$32),FilterInput(E1115,'Real Analysis'!$B$26,'Real Analysis'!$B$27),0)</f>
        <v>0</v>
      </c>
      <c r="I1115" t="e">
        <f>MEDIAN2("Real Values",H1115,'Real Analysis'!$B$5,2)</f>
        <v>#VALUE!</v>
      </c>
      <c r="J1115" t="e">
        <f>AVERAGE2("Real Values",I1115,'Real Analysis'!$B$6,2)</f>
        <v>#VALUE!</v>
      </c>
      <c r="K1115" t="e">
        <f>INTEGRAL2(J1115,$B1115,K1114,J1114,$B1114,'Real Analysis'!$B$19)</f>
        <v>#VALUE!</v>
      </c>
      <c r="L1115">
        <f ca="1">IF(AND(B1115&lt;'Real Analysis'!$B$32,B1115&gt;'Real Analysis'!$B$31),INTEGRAL2(K1115,$B1115,L1114,K1114,$B1114,'Real Analysis'!$B$20),0)</f>
        <v>0</v>
      </c>
      <c r="N1115">
        <f>'Real Analysis'!$B$28*'Real Input'!U1115+IF('Real Input'!U1115 &gt; 0,'Real Analysis'!$B$29,0)</f>
        <v>0</v>
      </c>
      <c r="O1115" t="e">
        <f t="shared" si="87"/>
        <v>#VALUE!</v>
      </c>
      <c r="P1115">
        <f t="shared" ca="1" si="88"/>
        <v>0</v>
      </c>
    </row>
    <row r="1116" spans="1:16" x14ac:dyDescent="0.3">
      <c r="A1116">
        <v>1114</v>
      </c>
      <c r="B1116">
        <f>'Real Input'!M1116</f>
        <v>26.23177100000612</v>
      </c>
      <c r="C1116">
        <f ca="1">INDIRECT(CONCATENATE("'Real Input'!",'Real Analysis'!$B$2,A1116+2))</f>
        <v>9.8497010700000001</v>
      </c>
      <c r="D1116">
        <f t="shared" si="86"/>
        <v>1.9307000009575859E-2</v>
      </c>
      <c r="E1116">
        <f ca="1">IF(B1116&gt;0,C1116-'Real Analysis'!$B$14,0)</f>
        <v>-6.7967323714270833E-3</v>
      </c>
      <c r="F1116">
        <f t="shared" ca="1" si="89"/>
        <v>0.36566889469288527</v>
      </c>
      <c r="G1116">
        <f t="shared" ca="1" si="85"/>
        <v>0.69950374295931605</v>
      </c>
      <c r="H1116">
        <f ca="1">IF(AND(B1116&gt;'Real Analysis'!$B$31,B1116&lt;'Real Analysis'!$B$32),FilterInput(E1116,'Real Analysis'!$B$26,'Real Analysis'!$B$27),0)</f>
        <v>0</v>
      </c>
      <c r="I1116" t="e">
        <f>MEDIAN2("Real Values",H1116,'Real Analysis'!$B$5,2)</f>
        <v>#VALUE!</v>
      </c>
      <c r="J1116" t="e">
        <f>AVERAGE2("Real Values",I1116,'Real Analysis'!$B$6,2)</f>
        <v>#VALUE!</v>
      </c>
      <c r="K1116" t="e">
        <f>INTEGRAL2(J1116,$B1116,K1115,J1115,$B1115,'Real Analysis'!$B$19)</f>
        <v>#VALUE!</v>
      </c>
      <c r="L1116">
        <f ca="1">IF(AND(B1116&lt;'Real Analysis'!$B$32,B1116&gt;'Real Analysis'!$B$31),INTEGRAL2(K1116,$B1116,L1115,K1115,$B1115,'Real Analysis'!$B$20),0)</f>
        <v>0</v>
      </c>
      <c r="N1116">
        <f>'Real Analysis'!$B$28*'Real Input'!U1116+IF('Real Input'!U1116 &gt; 0,'Real Analysis'!$B$29,0)</f>
        <v>0</v>
      </c>
      <c r="O1116" t="e">
        <f t="shared" si="87"/>
        <v>#VALUE!</v>
      </c>
      <c r="P1116">
        <f t="shared" ca="1" si="88"/>
        <v>0</v>
      </c>
    </row>
    <row r="1117" spans="1:16" x14ac:dyDescent="0.3">
      <c r="A1117">
        <v>1115</v>
      </c>
      <c r="B1117">
        <f>'Real Input'!M1117</f>
        <v>26.252322999993339</v>
      </c>
      <c r="C1117">
        <f ca="1">INDIRECT(CONCATENATE("'Real Input'!",'Real Analysis'!$B$2,A1117+2))</f>
        <v>9.8129430000000006</v>
      </c>
      <c r="D1117">
        <f t="shared" si="86"/>
        <v>2.055199998721946E-2</v>
      </c>
      <c r="E1117">
        <f ca="1">IF(B1117&gt;0,C1117-'Real Analysis'!$B$14,0)</f>
        <v>-4.3554802371426504E-2</v>
      </c>
      <c r="F1117">
        <f t="shared" ca="1" si="89"/>
        <v>0.36477375639510434</v>
      </c>
      <c r="G1117">
        <f t="shared" ca="1" si="85"/>
        <v>0.70700057319608622</v>
      </c>
      <c r="H1117">
        <f ca="1">IF(AND(B1117&gt;'Real Analysis'!$B$31,B1117&lt;'Real Analysis'!$B$32),FilterInput(E1117,'Real Analysis'!$B$26,'Real Analysis'!$B$27),0)</f>
        <v>0</v>
      </c>
      <c r="I1117" t="e">
        <f>MEDIAN2("Real Values",H1117,'Real Analysis'!$B$5,2)</f>
        <v>#VALUE!</v>
      </c>
      <c r="J1117" t="e">
        <f>AVERAGE2("Real Values",I1117,'Real Analysis'!$B$6,2)</f>
        <v>#VALUE!</v>
      </c>
      <c r="K1117" t="e">
        <f>INTEGRAL2(J1117,$B1117,K1116,J1116,$B1116,'Real Analysis'!$B$19)</f>
        <v>#VALUE!</v>
      </c>
      <c r="L1117">
        <f ca="1">IF(AND(B1117&lt;'Real Analysis'!$B$32,B1117&gt;'Real Analysis'!$B$31),INTEGRAL2(K1117,$B1117,L1116,K1116,$B1116,'Real Analysis'!$B$20),0)</f>
        <v>0</v>
      </c>
      <c r="N1117">
        <f>'Real Analysis'!$B$28*'Real Input'!U1117+IF('Real Input'!U1117 &gt; 0,'Real Analysis'!$B$29,0)</f>
        <v>0</v>
      </c>
      <c r="O1117" t="e">
        <f t="shared" si="87"/>
        <v>#VALUE!</v>
      </c>
      <c r="P1117">
        <f t="shared" ca="1" si="88"/>
        <v>0</v>
      </c>
    </row>
    <row r="1118" spans="1:16" x14ac:dyDescent="0.3">
      <c r="A1118">
        <v>1116</v>
      </c>
      <c r="B1118">
        <f>'Real Input'!M1118</f>
        <v>26.266526999999769</v>
      </c>
      <c r="C1118">
        <f ca="1">INDIRECT(CONCATENATE("'Real Input'!",'Real Analysis'!$B$2,A1118+2))</f>
        <v>9.8415195299999993</v>
      </c>
      <c r="D1118">
        <f t="shared" si="86"/>
        <v>1.4204000006429851E-2</v>
      </c>
      <c r="E1118">
        <f ca="1">IF(B1118&gt;0,C1118-'Real Analysis'!$B$14,0)</f>
        <v>-1.4978272371427792E-2</v>
      </c>
      <c r="F1118">
        <f t="shared" ca="1" si="89"/>
        <v>0.36456100501424427</v>
      </c>
      <c r="G1118">
        <f t="shared" ca="1" si="85"/>
        <v>0.71217879771365267</v>
      </c>
      <c r="H1118">
        <f ca="1">IF(AND(B1118&gt;'Real Analysis'!$B$31,B1118&lt;'Real Analysis'!$B$32),FilterInput(E1118,'Real Analysis'!$B$26,'Real Analysis'!$B$27),0)</f>
        <v>0</v>
      </c>
      <c r="I1118" t="e">
        <f>MEDIAN2("Real Values",H1118,'Real Analysis'!$B$5,2)</f>
        <v>#VALUE!</v>
      </c>
      <c r="J1118" t="e">
        <f>AVERAGE2("Real Values",I1118,'Real Analysis'!$B$6,2)</f>
        <v>#VALUE!</v>
      </c>
      <c r="K1118" t="e">
        <f>INTEGRAL2(J1118,$B1118,K1117,J1117,$B1117,'Real Analysis'!$B$19)</f>
        <v>#VALUE!</v>
      </c>
      <c r="L1118">
        <f ca="1">IF(AND(B1118&lt;'Real Analysis'!$B$32,B1118&gt;'Real Analysis'!$B$31),INTEGRAL2(K1118,$B1118,L1117,K1117,$B1117,'Real Analysis'!$B$20),0)</f>
        <v>0</v>
      </c>
      <c r="N1118">
        <f>'Real Analysis'!$B$28*'Real Input'!U1118+IF('Real Input'!U1118 &gt; 0,'Real Analysis'!$B$29,0)</f>
        <v>0</v>
      </c>
      <c r="O1118" t="e">
        <f t="shared" si="87"/>
        <v>#VALUE!</v>
      </c>
      <c r="P1118">
        <f t="shared" ca="1" si="88"/>
        <v>0</v>
      </c>
    </row>
    <row r="1119" spans="1:16" x14ac:dyDescent="0.3">
      <c r="A1119">
        <v>1117</v>
      </c>
      <c r="B1119">
        <f>'Real Input'!M1119</f>
        <v>26.289130999997724</v>
      </c>
      <c r="C1119">
        <f ca="1">INDIRECT(CONCATENATE("'Real Input'!",'Real Analysis'!$B$2,A1119+2))</f>
        <v>9.7853474700000014</v>
      </c>
      <c r="D1119">
        <f t="shared" si="86"/>
        <v>2.2603999997954816E-2</v>
      </c>
      <c r="E1119">
        <f ca="1">IF(B1119&gt;0,C1119-'Real Analysis'!$B$14,0)</f>
        <v>-7.1150332371425762E-2</v>
      </c>
      <c r="F1119">
        <f t="shared" ca="1" si="89"/>
        <v>0.36295272290146607</v>
      </c>
      <c r="G1119">
        <f t="shared" ca="1" si="85"/>
        <v>0.72038298106137511</v>
      </c>
      <c r="H1119">
        <f ca="1">IF(AND(B1119&gt;'Real Analysis'!$B$31,B1119&lt;'Real Analysis'!$B$32),FilterInput(E1119,'Real Analysis'!$B$26,'Real Analysis'!$B$27),0)</f>
        <v>0</v>
      </c>
      <c r="I1119" t="e">
        <f>MEDIAN2("Real Values",H1119,'Real Analysis'!$B$5,2)</f>
        <v>#VALUE!</v>
      </c>
      <c r="J1119" t="e">
        <f>AVERAGE2("Real Values",I1119,'Real Analysis'!$B$6,2)</f>
        <v>#VALUE!</v>
      </c>
      <c r="K1119" t="e">
        <f>INTEGRAL2(J1119,$B1119,K1118,J1118,$B1118,'Real Analysis'!$B$19)</f>
        <v>#VALUE!</v>
      </c>
      <c r="L1119">
        <f ca="1">IF(AND(B1119&lt;'Real Analysis'!$B$32,B1119&gt;'Real Analysis'!$B$31),INTEGRAL2(K1119,$B1119,L1118,K1118,$B1118,'Real Analysis'!$B$20),0)</f>
        <v>0</v>
      </c>
      <c r="N1119">
        <f>'Real Analysis'!$B$28*'Real Input'!U1119+IF('Real Input'!U1119 &gt; 0,'Real Analysis'!$B$29,0)</f>
        <v>0</v>
      </c>
      <c r="O1119" t="e">
        <f t="shared" si="87"/>
        <v>#VALUE!</v>
      </c>
      <c r="P1119">
        <f t="shared" ca="1" si="88"/>
        <v>0</v>
      </c>
    </row>
    <row r="1120" spans="1:16" x14ac:dyDescent="0.3">
      <c r="A1120">
        <v>1118</v>
      </c>
      <c r="B1120">
        <f>'Real Input'!M1120</f>
        <v>26.307276999999885</v>
      </c>
      <c r="C1120">
        <f ca="1">INDIRECT(CONCATENATE("'Real Input'!",'Real Analysis'!$B$2,A1120+2))</f>
        <v>9.8266181400000008</v>
      </c>
      <c r="D1120">
        <f t="shared" si="86"/>
        <v>1.81460000021616E-2</v>
      </c>
      <c r="E1120">
        <f ca="1">IF(B1120&gt;0,C1120-'Real Analysis'!$B$14,0)</f>
        <v>-2.9879662371426363E-2</v>
      </c>
      <c r="F1120">
        <f t="shared" ca="1" si="89"/>
        <v>0.36241052654800959</v>
      </c>
      <c r="G1120">
        <f t="shared" ca="1" si="85"/>
        <v>0.72695928247689867</v>
      </c>
      <c r="H1120">
        <f ca="1">IF(AND(B1120&gt;'Real Analysis'!$B$31,B1120&lt;'Real Analysis'!$B$32),FilterInput(E1120,'Real Analysis'!$B$26,'Real Analysis'!$B$27),0)</f>
        <v>0</v>
      </c>
      <c r="I1120" t="e">
        <f>MEDIAN2("Real Values",H1120,'Real Analysis'!$B$5,2)</f>
        <v>#VALUE!</v>
      </c>
      <c r="J1120" t="e">
        <f>AVERAGE2("Real Values",I1120,'Real Analysis'!$B$6,2)</f>
        <v>#VALUE!</v>
      </c>
      <c r="K1120" t="e">
        <f>INTEGRAL2(J1120,$B1120,K1119,J1119,$B1119,'Real Analysis'!$B$19)</f>
        <v>#VALUE!</v>
      </c>
      <c r="L1120">
        <f ca="1">IF(AND(B1120&lt;'Real Analysis'!$B$32,B1120&gt;'Real Analysis'!$B$31),INTEGRAL2(K1120,$B1120,L1119,K1119,$B1119,'Real Analysis'!$B$20),0)</f>
        <v>0</v>
      </c>
      <c r="N1120">
        <f>'Real Analysis'!$B$28*'Real Input'!U1120+IF('Real Input'!U1120 &gt; 0,'Real Analysis'!$B$29,0)</f>
        <v>0</v>
      </c>
      <c r="O1120" t="e">
        <f t="shared" si="87"/>
        <v>#VALUE!</v>
      </c>
      <c r="P1120">
        <f t="shared" ca="1" si="88"/>
        <v>0</v>
      </c>
    </row>
    <row r="1121" spans="1:16" x14ac:dyDescent="0.3">
      <c r="A1121">
        <v>1119</v>
      </c>
      <c r="B1121">
        <f>'Real Input'!M1121</f>
        <v>26.328584999995655</v>
      </c>
      <c r="C1121">
        <f ca="1">INDIRECT(CONCATENATE("'Real Input'!",'Real Analysis'!$B$2,A1121+2))</f>
        <v>9.8680555800000018</v>
      </c>
      <c r="D1121">
        <f t="shared" si="86"/>
        <v>2.1307999995769933E-2</v>
      </c>
      <c r="E1121">
        <f ca="1">IF(B1121&gt;0,C1121-'Real Analysis'!$B$14,0)</f>
        <v>1.1557777628574684E-2</v>
      </c>
      <c r="F1121">
        <f t="shared" ca="1" si="89"/>
        <v>0.36265679967367037</v>
      </c>
      <c r="G1121">
        <f t="shared" ref="G1121:G1152" ca="1" si="90">IF(B1121&gt;0,G1120+F1121*$D1121,0)</f>
        <v>0.7346867735628112</v>
      </c>
      <c r="H1121">
        <f ca="1">IF(AND(B1121&gt;'Real Analysis'!$B$31,B1121&lt;'Real Analysis'!$B$32),FilterInput(E1121,'Real Analysis'!$B$26,'Real Analysis'!$B$27),0)</f>
        <v>0</v>
      </c>
      <c r="I1121" t="e">
        <f>MEDIAN2("Real Values",H1121,'Real Analysis'!$B$5,2)</f>
        <v>#VALUE!</v>
      </c>
      <c r="J1121" t="e">
        <f>AVERAGE2("Real Values",I1121,'Real Analysis'!$B$6,2)</f>
        <v>#VALUE!</v>
      </c>
      <c r="K1121" t="e">
        <f>INTEGRAL2(J1121,$B1121,K1120,J1120,$B1120,'Real Analysis'!$B$19)</f>
        <v>#VALUE!</v>
      </c>
      <c r="L1121">
        <f ca="1">IF(AND(B1121&lt;'Real Analysis'!$B$32,B1121&gt;'Real Analysis'!$B$31),INTEGRAL2(K1121,$B1121,L1120,K1120,$B1120,'Real Analysis'!$B$20),0)</f>
        <v>0</v>
      </c>
      <c r="N1121">
        <f>'Real Analysis'!$B$28*'Real Input'!U1121+IF('Real Input'!U1121 &gt; 0,'Real Analysis'!$B$29,0)</f>
        <v>0</v>
      </c>
      <c r="O1121" t="e">
        <f t="shared" si="87"/>
        <v>#VALUE!</v>
      </c>
      <c r="P1121">
        <f t="shared" ca="1" si="88"/>
        <v>0</v>
      </c>
    </row>
    <row r="1122" spans="1:16" x14ac:dyDescent="0.3">
      <c r="A1122">
        <v>1120</v>
      </c>
      <c r="B1122">
        <f>'Real Input'!M1122</f>
        <v>26.352679000003263</v>
      </c>
      <c r="C1122">
        <f ca="1">INDIRECT(CONCATENATE("'Real Input'!",'Real Analysis'!$B$2,A1122+2))</f>
        <v>9.853732980000002</v>
      </c>
      <c r="D1122">
        <f t="shared" si="86"/>
        <v>2.4094000007607974E-2</v>
      </c>
      <c r="E1122">
        <f ca="1">IF(B1122&gt;0,C1122-'Real Analysis'!$B$14,0)</f>
        <v>-2.7648223714251685E-3</v>
      </c>
      <c r="F1122">
        <f t="shared" ca="1" si="89"/>
        <v>0.36259018404343224</v>
      </c>
      <c r="G1122">
        <f t="shared" ca="1" si="90"/>
        <v>0.74342302145991224</v>
      </c>
      <c r="H1122">
        <f ca="1">IF(AND(B1122&gt;'Real Analysis'!$B$31,B1122&lt;'Real Analysis'!$B$32),FilterInput(E1122,'Real Analysis'!$B$26,'Real Analysis'!$B$27),0)</f>
        <v>0</v>
      </c>
      <c r="I1122" t="e">
        <f>MEDIAN2("Real Values",H1122,'Real Analysis'!$B$5,2)</f>
        <v>#VALUE!</v>
      </c>
      <c r="J1122" t="e">
        <f>AVERAGE2("Real Values",I1122,'Real Analysis'!$B$6,2)</f>
        <v>#VALUE!</v>
      </c>
      <c r="K1122" t="e">
        <f>INTEGRAL2(J1122,$B1122,K1121,J1121,$B1121,'Real Analysis'!$B$19)</f>
        <v>#VALUE!</v>
      </c>
      <c r="L1122">
        <f ca="1">IF(AND(B1122&lt;'Real Analysis'!$B$32,B1122&gt;'Real Analysis'!$B$31),INTEGRAL2(K1122,$B1122,L1121,K1121,$B1121,'Real Analysis'!$B$20),0)</f>
        <v>0</v>
      </c>
      <c r="N1122">
        <f>'Real Analysis'!$B$28*'Real Input'!U1122+IF('Real Input'!U1122 &gt; 0,'Real Analysis'!$B$29,0)</f>
        <v>0</v>
      </c>
      <c r="O1122" t="e">
        <f t="shared" si="87"/>
        <v>#VALUE!</v>
      </c>
      <c r="P1122">
        <f t="shared" ca="1" si="88"/>
        <v>0</v>
      </c>
    </row>
    <row r="1123" spans="1:16" x14ac:dyDescent="0.3">
      <c r="A1123">
        <v>1121</v>
      </c>
      <c r="B1123">
        <f>'Real Input'!M1123</f>
        <v>26.372602999996161</v>
      </c>
      <c r="C1123">
        <f ca="1">INDIRECT(CONCATENATE("'Real Input'!",'Real Analysis'!$B$2,A1123+2))</f>
        <v>9.851172570000001</v>
      </c>
      <c r="D1123">
        <f t="shared" si="86"/>
        <v>1.9923999992897734E-2</v>
      </c>
      <c r="E1123">
        <f ca="1">IF(B1123&gt;0,C1123-'Real Analysis'!$B$14,0)</f>
        <v>-5.3252323714261252E-3</v>
      </c>
      <c r="F1123">
        <f t="shared" ca="1" si="89"/>
        <v>0.36248408411370175</v>
      </c>
      <c r="G1123">
        <f t="shared" ca="1" si="90"/>
        <v>0.75064515434921919</v>
      </c>
      <c r="H1123">
        <f ca="1">IF(AND(B1123&gt;'Real Analysis'!$B$31,B1123&lt;'Real Analysis'!$B$32),FilterInput(E1123,'Real Analysis'!$B$26,'Real Analysis'!$B$27),0)</f>
        <v>0</v>
      </c>
      <c r="I1123" t="e">
        <f>MEDIAN2("Real Values",H1123,'Real Analysis'!$B$5,2)</f>
        <v>#VALUE!</v>
      </c>
      <c r="J1123" t="e">
        <f>AVERAGE2("Real Values",I1123,'Real Analysis'!$B$6,2)</f>
        <v>#VALUE!</v>
      </c>
      <c r="K1123" t="e">
        <f>INTEGRAL2(J1123,$B1123,K1122,J1122,$B1122,'Real Analysis'!$B$19)</f>
        <v>#VALUE!</v>
      </c>
      <c r="L1123">
        <f ca="1">IF(AND(B1123&lt;'Real Analysis'!$B$32,B1123&gt;'Real Analysis'!$B$31),INTEGRAL2(K1123,$B1123,L1122,K1122,$B1122,'Real Analysis'!$B$20),0)</f>
        <v>0</v>
      </c>
      <c r="N1123">
        <f>'Real Analysis'!$B$28*'Real Input'!U1123+IF('Real Input'!U1123 &gt; 0,'Real Analysis'!$B$29,0)</f>
        <v>0</v>
      </c>
      <c r="O1123" t="e">
        <f t="shared" si="87"/>
        <v>#VALUE!</v>
      </c>
      <c r="P1123">
        <f t="shared" ca="1" si="88"/>
        <v>0</v>
      </c>
    </row>
    <row r="1124" spans="1:16" x14ac:dyDescent="0.3">
      <c r="A1124">
        <v>1122</v>
      </c>
      <c r="B1124">
        <f>'Real Input'!M1124</f>
        <v>26.389469999994617</v>
      </c>
      <c r="C1124">
        <f ca="1">INDIRECT(CONCATENATE("'Real Input'!",'Real Analysis'!$B$2,A1124+2))</f>
        <v>9.8519475599999993</v>
      </c>
      <c r="D1124">
        <f t="shared" si="86"/>
        <v>1.6866999998455867E-2</v>
      </c>
      <c r="E1124">
        <f ca="1">IF(B1124&gt;0,C1124-'Real Analysis'!$B$14,0)</f>
        <v>-4.5502423714278706E-3</v>
      </c>
      <c r="F1124">
        <f t="shared" ca="1" si="89"/>
        <v>0.3624073351756299</v>
      </c>
      <c r="G1124">
        <f t="shared" ca="1" si="90"/>
        <v>0.75675787887106694</v>
      </c>
      <c r="H1124">
        <f ca="1">IF(AND(B1124&gt;'Real Analysis'!$B$31,B1124&lt;'Real Analysis'!$B$32),FilterInput(E1124,'Real Analysis'!$B$26,'Real Analysis'!$B$27),0)</f>
        <v>0</v>
      </c>
      <c r="I1124" t="e">
        <f>MEDIAN2("Real Values",H1124,'Real Analysis'!$B$5,2)</f>
        <v>#VALUE!</v>
      </c>
      <c r="J1124" t="e">
        <f>AVERAGE2("Real Values",I1124,'Real Analysis'!$B$6,2)</f>
        <v>#VALUE!</v>
      </c>
      <c r="K1124" t="e">
        <f>INTEGRAL2(J1124,$B1124,K1123,J1123,$B1123,'Real Analysis'!$B$19)</f>
        <v>#VALUE!</v>
      </c>
      <c r="L1124">
        <f ca="1">IF(AND(B1124&lt;'Real Analysis'!$B$32,B1124&gt;'Real Analysis'!$B$31),INTEGRAL2(K1124,$B1124,L1123,K1123,$B1123,'Real Analysis'!$B$20),0)</f>
        <v>0</v>
      </c>
      <c r="N1124">
        <f>'Real Analysis'!$B$28*'Real Input'!U1124+IF('Real Input'!U1124 &gt; 0,'Real Analysis'!$B$29,0)</f>
        <v>0</v>
      </c>
      <c r="O1124" t="e">
        <f t="shared" si="87"/>
        <v>#VALUE!</v>
      </c>
      <c r="P1124">
        <f t="shared" ca="1" si="88"/>
        <v>0</v>
      </c>
    </row>
    <row r="1125" spans="1:16" x14ac:dyDescent="0.3">
      <c r="A1125">
        <v>1123</v>
      </c>
      <c r="B1125">
        <f>'Real Input'!M1125</f>
        <v>0</v>
      </c>
      <c r="C1125">
        <f ca="1">INDIRECT(CONCATENATE("'Real Input'!",'Real Analysis'!$B$2,A1125+2))</f>
        <v>0</v>
      </c>
      <c r="D1125">
        <f t="shared" si="86"/>
        <v>-26.389469999994617</v>
      </c>
      <c r="E1125">
        <f>IF(B1125&gt;0,C1125-'Real Analysis'!$B$14,0)</f>
        <v>0</v>
      </c>
      <c r="F1125">
        <f t="shared" si="89"/>
        <v>0</v>
      </c>
      <c r="G1125">
        <f t="shared" si="90"/>
        <v>0</v>
      </c>
      <c r="H1125">
        <f ca="1">IF(AND(B1125&gt;'Real Analysis'!$B$31,B1125&lt;'Real Analysis'!$B$32),FilterInput(E1125,'Real Analysis'!$B$26,'Real Analysis'!$B$27),0)</f>
        <v>0</v>
      </c>
      <c r="I1125" t="e">
        <f>MEDIAN2("Real Values",H1125,'Real Analysis'!$B$5,2)</f>
        <v>#VALUE!</v>
      </c>
      <c r="J1125" t="e">
        <f>AVERAGE2("Real Values",I1125,'Real Analysis'!$B$6,2)</f>
        <v>#VALUE!</v>
      </c>
      <c r="K1125" t="e">
        <f>INTEGRAL2(J1125,$B1125,K1124,J1124,$B1124,'Real Analysis'!$B$19)</f>
        <v>#VALUE!</v>
      </c>
      <c r="L1125">
        <f ca="1">IF(AND(B1125&lt;'Real Analysis'!$B$32,B1125&gt;'Real Analysis'!$B$31),INTEGRAL2(K1125,$B1125,L1124,K1124,$B1124,'Real Analysis'!$B$20),0)</f>
        <v>0</v>
      </c>
      <c r="N1125">
        <f>'Real Analysis'!$B$28*'Real Input'!U1125+IF('Real Input'!U1125 &gt; 0,'Real Analysis'!$B$29,0)</f>
        <v>0</v>
      </c>
      <c r="O1125" t="e">
        <f t="shared" si="87"/>
        <v>#VALUE!</v>
      </c>
      <c r="P1125">
        <f t="shared" ca="1" si="88"/>
        <v>0</v>
      </c>
    </row>
    <row r="1126" spans="1:16" x14ac:dyDescent="0.3">
      <c r="A1126">
        <v>1124</v>
      </c>
      <c r="B1126">
        <f>'Real Input'!M1126</f>
        <v>0</v>
      </c>
      <c r="C1126">
        <f ca="1">INDIRECT(CONCATENATE("'Real Input'!",'Real Analysis'!$B$2,A1126+2))</f>
        <v>0</v>
      </c>
      <c r="D1126">
        <f t="shared" si="86"/>
        <v>0</v>
      </c>
      <c r="E1126">
        <f>IF(B1126&gt;0,C1126-'Real Analysis'!$B$14,0)</f>
        <v>0</v>
      </c>
      <c r="F1126">
        <f t="shared" si="89"/>
        <v>0</v>
      </c>
      <c r="G1126">
        <f t="shared" si="90"/>
        <v>0</v>
      </c>
      <c r="H1126">
        <f ca="1">IF(AND(B1126&gt;'Real Analysis'!$B$31,B1126&lt;'Real Analysis'!$B$32),FilterInput(E1126,'Real Analysis'!$B$26,'Real Analysis'!$B$27),0)</f>
        <v>0</v>
      </c>
      <c r="I1126" t="e">
        <f>MEDIAN2("Real Values",H1126,'Real Analysis'!$B$5,2)</f>
        <v>#VALUE!</v>
      </c>
      <c r="J1126" t="e">
        <f>AVERAGE2("Real Values",I1126,'Real Analysis'!$B$6,2)</f>
        <v>#VALUE!</v>
      </c>
      <c r="K1126" t="e">
        <f>INTEGRAL2(J1126,$B1126,K1125,J1125,$B1125,'Real Analysis'!$B$19)</f>
        <v>#VALUE!</v>
      </c>
      <c r="L1126">
        <f ca="1">IF(AND(B1126&lt;'Real Analysis'!$B$32,B1126&gt;'Real Analysis'!$B$31),INTEGRAL2(K1126,$B1126,L1125,K1125,$B1125,'Real Analysis'!$B$20),0)</f>
        <v>0</v>
      </c>
      <c r="N1126">
        <f>'Real Analysis'!$B$28*'Real Input'!U1126+IF('Real Input'!U1126 &gt; 0,'Real Analysis'!$B$29,0)</f>
        <v>0</v>
      </c>
      <c r="O1126" t="e">
        <f t="shared" si="87"/>
        <v>#VALUE!</v>
      </c>
      <c r="P1126">
        <f t="shared" ca="1" si="88"/>
        <v>0</v>
      </c>
    </row>
    <row r="1127" spans="1:16" x14ac:dyDescent="0.3">
      <c r="A1127">
        <v>1125</v>
      </c>
      <c r="B1127">
        <f>'Real Input'!M1127</f>
        <v>0</v>
      </c>
      <c r="C1127">
        <f ca="1">INDIRECT(CONCATENATE("'Real Input'!",'Real Analysis'!$B$2,A1127+2))</f>
        <v>0</v>
      </c>
      <c r="D1127">
        <f t="shared" si="86"/>
        <v>0</v>
      </c>
      <c r="E1127">
        <f>IF(B1127&gt;0,C1127-'Real Analysis'!$B$14,0)</f>
        <v>0</v>
      </c>
      <c r="F1127">
        <f t="shared" si="89"/>
        <v>0</v>
      </c>
      <c r="G1127">
        <f t="shared" si="90"/>
        <v>0</v>
      </c>
      <c r="H1127">
        <f ca="1">IF(AND(B1127&gt;'Real Analysis'!$B$31,B1127&lt;'Real Analysis'!$B$32),FilterInput(E1127,'Real Analysis'!$B$26,'Real Analysis'!$B$27),0)</f>
        <v>0</v>
      </c>
      <c r="I1127" t="e">
        <f>MEDIAN2("Real Values",H1127,'Real Analysis'!$B$5,2)</f>
        <v>#VALUE!</v>
      </c>
      <c r="J1127" t="e">
        <f>AVERAGE2("Real Values",I1127,'Real Analysis'!$B$6,2)</f>
        <v>#VALUE!</v>
      </c>
      <c r="K1127" t="e">
        <f>INTEGRAL2(J1127,$B1127,K1126,J1126,$B1126,'Real Analysis'!$B$19)</f>
        <v>#VALUE!</v>
      </c>
      <c r="L1127">
        <f ca="1">IF(AND(B1127&lt;'Real Analysis'!$B$32,B1127&gt;'Real Analysis'!$B$31),INTEGRAL2(K1127,$B1127,L1126,K1126,$B1126,'Real Analysis'!$B$20),0)</f>
        <v>0</v>
      </c>
      <c r="N1127">
        <f>'Real Analysis'!$B$28*'Real Input'!U1127+IF('Real Input'!U1127 &gt; 0,'Real Analysis'!$B$29,0)</f>
        <v>0</v>
      </c>
      <c r="O1127" t="e">
        <f t="shared" si="87"/>
        <v>#VALUE!</v>
      </c>
      <c r="P1127">
        <f t="shared" ca="1" si="88"/>
        <v>0</v>
      </c>
    </row>
    <row r="1128" spans="1:16" x14ac:dyDescent="0.3">
      <c r="A1128">
        <v>1126</v>
      </c>
      <c r="B1128">
        <f>'Real Input'!M1128</f>
        <v>0</v>
      </c>
      <c r="C1128">
        <f ca="1">INDIRECT(CONCATENATE("'Real Input'!",'Real Analysis'!$B$2,A1128+2))</f>
        <v>0</v>
      </c>
      <c r="D1128">
        <f t="shared" si="86"/>
        <v>0</v>
      </c>
      <c r="E1128">
        <f>IF(B1128&gt;0,C1128-'Real Analysis'!$B$14,0)</f>
        <v>0</v>
      </c>
      <c r="F1128">
        <f t="shared" si="89"/>
        <v>0</v>
      </c>
      <c r="G1128">
        <f t="shared" si="90"/>
        <v>0</v>
      </c>
      <c r="H1128">
        <f ca="1">IF(AND(B1128&gt;'Real Analysis'!$B$31,B1128&lt;'Real Analysis'!$B$32),FilterInput(E1128,'Real Analysis'!$B$26,'Real Analysis'!$B$27),0)</f>
        <v>0</v>
      </c>
      <c r="I1128" t="e">
        <f>MEDIAN2("Real Values",H1128,'Real Analysis'!$B$5,2)</f>
        <v>#VALUE!</v>
      </c>
      <c r="J1128" t="e">
        <f>AVERAGE2("Real Values",I1128,'Real Analysis'!$B$6,2)</f>
        <v>#VALUE!</v>
      </c>
      <c r="K1128" t="e">
        <f>INTEGRAL2(J1128,$B1128,K1127,J1127,$B1127,'Real Analysis'!$B$19)</f>
        <v>#VALUE!</v>
      </c>
      <c r="L1128">
        <f ca="1">IF(AND(B1128&lt;'Real Analysis'!$B$32,B1128&gt;'Real Analysis'!$B$31),INTEGRAL2(K1128,$B1128,L1127,K1127,$B1127,'Real Analysis'!$B$20),0)</f>
        <v>0</v>
      </c>
      <c r="N1128">
        <f>'Real Analysis'!$B$28*'Real Input'!U1128+IF('Real Input'!U1128 &gt; 0,'Real Analysis'!$B$29,0)</f>
        <v>0</v>
      </c>
      <c r="O1128" t="e">
        <f t="shared" si="87"/>
        <v>#VALUE!</v>
      </c>
      <c r="P1128">
        <f t="shared" ca="1" si="88"/>
        <v>0</v>
      </c>
    </row>
    <row r="1129" spans="1:16" x14ac:dyDescent="0.3">
      <c r="A1129">
        <v>1127</v>
      </c>
      <c r="B1129">
        <f>'Real Input'!M1129</f>
        <v>0</v>
      </c>
      <c r="C1129">
        <f ca="1">INDIRECT(CONCATENATE("'Real Input'!",'Real Analysis'!$B$2,A1129+2))</f>
        <v>0</v>
      </c>
      <c r="D1129">
        <f t="shared" si="86"/>
        <v>0</v>
      </c>
      <c r="E1129">
        <f>IF(B1129&gt;0,C1129-'Real Analysis'!$B$14,0)</f>
        <v>0</v>
      </c>
      <c r="F1129">
        <f t="shared" si="89"/>
        <v>0</v>
      </c>
      <c r="G1129">
        <f t="shared" si="90"/>
        <v>0</v>
      </c>
      <c r="H1129">
        <f ca="1">IF(AND(B1129&gt;'Real Analysis'!$B$31,B1129&lt;'Real Analysis'!$B$32),FilterInput(E1129,'Real Analysis'!$B$26,'Real Analysis'!$B$27),0)</f>
        <v>0</v>
      </c>
      <c r="I1129" t="e">
        <f>MEDIAN2("Real Values",H1129,'Real Analysis'!$B$5,2)</f>
        <v>#VALUE!</v>
      </c>
      <c r="J1129" t="e">
        <f>AVERAGE2("Real Values",I1129,'Real Analysis'!$B$6,2)</f>
        <v>#VALUE!</v>
      </c>
      <c r="K1129" t="e">
        <f>INTEGRAL2(J1129,$B1129,K1128,J1128,$B1128,'Real Analysis'!$B$19)</f>
        <v>#VALUE!</v>
      </c>
      <c r="L1129">
        <f ca="1">IF(AND(B1129&lt;'Real Analysis'!$B$32,B1129&gt;'Real Analysis'!$B$31),INTEGRAL2(K1129,$B1129,L1128,K1128,$B1128,'Real Analysis'!$B$20),0)</f>
        <v>0</v>
      </c>
      <c r="N1129">
        <f>'Real Analysis'!$B$28*'Real Input'!U1129+IF('Real Input'!U1129 &gt; 0,'Real Analysis'!$B$29,0)</f>
        <v>0</v>
      </c>
      <c r="O1129" t="e">
        <f t="shared" si="87"/>
        <v>#VALUE!</v>
      </c>
      <c r="P1129">
        <f t="shared" ca="1" si="88"/>
        <v>0</v>
      </c>
    </row>
    <row r="1130" spans="1:16" x14ac:dyDescent="0.3">
      <c r="A1130">
        <v>1128</v>
      </c>
      <c r="B1130">
        <f>'Real Input'!M1130</f>
        <v>0</v>
      </c>
      <c r="C1130">
        <f ca="1">INDIRECT(CONCATENATE("'Real Input'!",'Real Analysis'!$B$2,A1130+2))</f>
        <v>0</v>
      </c>
      <c r="D1130">
        <f t="shared" si="86"/>
        <v>0</v>
      </c>
      <c r="E1130">
        <f>IF(B1130&gt;0,C1130-'Real Analysis'!$B$14,0)</f>
        <v>0</v>
      </c>
      <c r="F1130">
        <f t="shared" si="89"/>
        <v>0</v>
      </c>
      <c r="G1130">
        <f t="shared" si="90"/>
        <v>0</v>
      </c>
      <c r="H1130">
        <f ca="1">IF(AND(B1130&gt;'Real Analysis'!$B$31,B1130&lt;'Real Analysis'!$B$32),FilterInput(E1130,'Real Analysis'!$B$26,'Real Analysis'!$B$27),0)</f>
        <v>0</v>
      </c>
      <c r="I1130" t="e">
        <f>MEDIAN2("Real Values",H1130,'Real Analysis'!$B$5,2)</f>
        <v>#VALUE!</v>
      </c>
      <c r="J1130" t="e">
        <f>AVERAGE2("Real Values",I1130,'Real Analysis'!$B$6,2)</f>
        <v>#VALUE!</v>
      </c>
      <c r="K1130" t="e">
        <f>INTEGRAL2(J1130,$B1130,K1129,J1129,$B1129,'Real Analysis'!$B$19)</f>
        <v>#VALUE!</v>
      </c>
      <c r="L1130">
        <f ca="1">IF(AND(B1130&lt;'Real Analysis'!$B$32,B1130&gt;'Real Analysis'!$B$31),INTEGRAL2(K1130,$B1130,L1129,K1129,$B1129,'Real Analysis'!$B$20),0)</f>
        <v>0</v>
      </c>
      <c r="N1130">
        <f>'Real Analysis'!$B$28*'Real Input'!U1130+IF('Real Input'!U1130 &gt; 0,'Real Analysis'!$B$29,0)</f>
        <v>0</v>
      </c>
      <c r="O1130" t="e">
        <f t="shared" si="87"/>
        <v>#VALUE!</v>
      </c>
      <c r="P1130">
        <f t="shared" ca="1" si="88"/>
        <v>0</v>
      </c>
    </row>
    <row r="1131" spans="1:16" x14ac:dyDescent="0.3">
      <c r="A1131">
        <v>1129</v>
      </c>
      <c r="B1131">
        <f>'Real Input'!M1131</f>
        <v>0</v>
      </c>
      <c r="C1131">
        <f ca="1">INDIRECT(CONCATENATE("'Real Input'!",'Real Analysis'!$B$2,A1131+2))</f>
        <v>0</v>
      </c>
      <c r="D1131">
        <f t="shared" si="86"/>
        <v>0</v>
      </c>
      <c r="E1131">
        <f>IF(B1131&gt;0,C1131-'Real Analysis'!$B$14,0)</f>
        <v>0</v>
      </c>
      <c r="F1131">
        <f t="shared" si="89"/>
        <v>0</v>
      </c>
      <c r="G1131">
        <f t="shared" si="90"/>
        <v>0</v>
      </c>
      <c r="H1131">
        <f ca="1">IF(AND(B1131&gt;'Real Analysis'!$B$31,B1131&lt;'Real Analysis'!$B$32),FilterInput(E1131,'Real Analysis'!$B$26,'Real Analysis'!$B$27),0)</f>
        <v>0</v>
      </c>
      <c r="I1131" t="e">
        <f>MEDIAN2("Real Values",H1131,'Real Analysis'!$B$5,2)</f>
        <v>#VALUE!</v>
      </c>
      <c r="J1131" t="e">
        <f>AVERAGE2("Real Values",I1131,'Real Analysis'!$B$6,2)</f>
        <v>#VALUE!</v>
      </c>
      <c r="K1131" t="e">
        <f>INTEGRAL2(J1131,$B1131,K1130,J1130,$B1130,'Real Analysis'!$B$19)</f>
        <v>#VALUE!</v>
      </c>
      <c r="L1131">
        <f ca="1">IF(AND(B1131&lt;'Real Analysis'!$B$32,B1131&gt;'Real Analysis'!$B$31),INTEGRAL2(K1131,$B1131,L1130,K1130,$B1130,'Real Analysis'!$B$20),0)</f>
        <v>0</v>
      </c>
      <c r="N1131">
        <f>'Real Analysis'!$B$28*'Real Input'!U1131+IF('Real Input'!U1131 &gt; 0,'Real Analysis'!$B$29,0)</f>
        <v>0</v>
      </c>
      <c r="O1131" t="e">
        <f t="shared" si="87"/>
        <v>#VALUE!</v>
      </c>
      <c r="P1131">
        <f t="shared" ca="1" si="88"/>
        <v>0</v>
      </c>
    </row>
    <row r="1132" spans="1:16" x14ac:dyDescent="0.3">
      <c r="A1132">
        <v>1130</v>
      </c>
      <c r="B1132">
        <f>'Real Input'!M1132</f>
        <v>0</v>
      </c>
      <c r="C1132">
        <f ca="1">INDIRECT(CONCATENATE("'Real Input'!",'Real Analysis'!$B$2,A1132+2))</f>
        <v>0</v>
      </c>
      <c r="D1132">
        <f t="shared" si="86"/>
        <v>0</v>
      </c>
      <c r="E1132">
        <f>IF(B1132&gt;0,C1132-'Real Analysis'!$B$14,0)</f>
        <v>0</v>
      </c>
      <c r="F1132">
        <f t="shared" si="89"/>
        <v>0</v>
      </c>
      <c r="G1132">
        <f t="shared" si="90"/>
        <v>0</v>
      </c>
      <c r="H1132">
        <f ca="1">IF(AND(B1132&gt;'Real Analysis'!$B$31,B1132&lt;'Real Analysis'!$B$32),FilterInput(E1132,'Real Analysis'!$B$26,'Real Analysis'!$B$27),0)</f>
        <v>0</v>
      </c>
      <c r="I1132" t="e">
        <f>MEDIAN2("Real Values",H1132,'Real Analysis'!$B$5,2)</f>
        <v>#VALUE!</v>
      </c>
      <c r="J1132" t="e">
        <f>AVERAGE2("Real Values",I1132,'Real Analysis'!$B$6,2)</f>
        <v>#VALUE!</v>
      </c>
      <c r="K1132" t="e">
        <f>INTEGRAL2(J1132,$B1132,K1131,J1131,$B1131,'Real Analysis'!$B$19)</f>
        <v>#VALUE!</v>
      </c>
      <c r="L1132">
        <f ca="1">IF(AND(B1132&lt;'Real Analysis'!$B$32,B1132&gt;'Real Analysis'!$B$31),INTEGRAL2(K1132,$B1132,L1131,K1131,$B1131,'Real Analysis'!$B$20),0)</f>
        <v>0</v>
      </c>
      <c r="N1132">
        <f>'Real Analysis'!$B$28*'Real Input'!U1132+IF('Real Input'!U1132 &gt; 0,'Real Analysis'!$B$29,0)</f>
        <v>0</v>
      </c>
      <c r="O1132" t="e">
        <f t="shared" si="87"/>
        <v>#VALUE!</v>
      </c>
      <c r="P1132">
        <f t="shared" ca="1" si="88"/>
        <v>0</v>
      </c>
    </row>
    <row r="1133" spans="1:16" x14ac:dyDescent="0.3">
      <c r="A1133">
        <v>1131</v>
      </c>
      <c r="B1133">
        <f>'Real Input'!M1133</f>
        <v>0</v>
      </c>
      <c r="C1133">
        <f ca="1">INDIRECT(CONCATENATE("'Real Input'!",'Real Analysis'!$B$2,A1133+2))</f>
        <v>0</v>
      </c>
      <c r="D1133">
        <f t="shared" si="86"/>
        <v>0</v>
      </c>
      <c r="E1133">
        <f>IF(B1133&gt;0,C1133-'Real Analysis'!$B$14,0)</f>
        <v>0</v>
      </c>
      <c r="F1133">
        <f t="shared" si="89"/>
        <v>0</v>
      </c>
      <c r="G1133">
        <f t="shared" si="90"/>
        <v>0</v>
      </c>
      <c r="H1133">
        <f ca="1">IF(AND(B1133&gt;'Real Analysis'!$B$31,B1133&lt;'Real Analysis'!$B$32),FilterInput(E1133,'Real Analysis'!$B$26,'Real Analysis'!$B$27),0)</f>
        <v>0</v>
      </c>
      <c r="I1133" t="e">
        <f>MEDIAN2("Real Values",H1133,'Real Analysis'!$B$5,2)</f>
        <v>#VALUE!</v>
      </c>
      <c r="J1133" t="e">
        <f>AVERAGE2("Real Values",I1133,'Real Analysis'!$B$6,2)</f>
        <v>#VALUE!</v>
      </c>
      <c r="K1133" t="e">
        <f>INTEGRAL2(J1133,$B1133,K1132,J1132,$B1132,'Real Analysis'!$B$19)</f>
        <v>#VALUE!</v>
      </c>
      <c r="L1133">
        <f ca="1">IF(AND(B1133&lt;'Real Analysis'!$B$32,B1133&gt;'Real Analysis'!$B$31),INTEGRAL2(K1133,$B1133,L1132,K1132,$B1132,'Real Analysis'!$B$20),0)</f>
        <v>0</v>
      </c>
      <c r="N1133">
        <f>'Real Analysis'!$B$28*'Real Input'!U1133+IF('Real Input'!U1133 &gt; 0,'Real Analysis'!$B$29,0)</f>
        <v>0</v>
      </c>
      <c r="O1133" t="e">
        <f t="shared" si="87"/>
        <v>#VALUE!</v>
      </c>
      <c r="P1133">
        <f t="shared" ca="1" si="88"/>
        <v>0</v>
      </c>
    </row>
    <row r="1134" spans="1:16" x14ac:dyDescent="0.3">
      <c r="A1134">
        <v>1132</v>
      </c>
      <c r="B1134">
        <f>'Real Input'!M1134</f>
        <v>0</v>
      </c>
      <c r="C1134">
        <f ca="1">INDIRECT(CONCATENATE("'Real Input'!",'Real Analysis'!$B$2,A1134+2))</f>
        <v>0</v>
      </c>
      <c r="D1134">
        <f t="shared" si="86"/>
        <v>0</v>
      </c>
      <c r="E1134">
        <f>IF(B1134&gt;0,C1134-'Real Analysis'!$B$14,0)</f>
        <v>0</v>
      </c>
      <c r="F1134">
        <f t="shared" si="89"/>
        <v>0</v>
      </c>
      <c r="G1134">
        <f t="shared" si="90"/>
        <v>0</v>
      </c>
      <c r="H1134">
        <f ca="1">IF(AND(B1134&gt;'Real Analysis'!$B$31,B1134&lt;'Real Analysis'!$B$32),FilterInput(E1134,'Real Analysis'!$B$26,'Real Analysis'!$B$27),0)</f>
        <v>0</v>
      </c>
      <c r="I1134" t="e">
        <f>MEDIAN2("Real Values",H1134,'Real Analysis'!$B$5,2)</f>
        <v>#VALUE!</v>
      </c>
      <c r="J1134" t="e">
        <f>AVERAGE2("Real Values",I1134,'Real Analysis'!$B$6,2)</f>
        <v>#VALUE!</v>
      </c>
      <c r="K1134" t="e">
        <f>INTEGRAL2(J1134,$B1134,K1133,J1133,$B1133,'Real Analysis'!$B$19)</f>
        <v>#VALUE!</v>
      </c>
      <c r="L1134">
        <f ca="1">IF(AND(B1134&lt;'Real Analysis'!$B$32,B1134&gt;'Real Analysis'!$B$31),INTEGRAL2(K1134,$B1134,L1133,K1133,$B1133,'Real Analysis'!$B$20),0)</f>
        <v>0</v>
      </c>
      <c r="N1134">
        <f>'Real Analysis'!$B$28*'Real Input'!U1134+IF('Real Input'!U1134 &gt; 0,'Real Analysis'!$B$29,0)</f>
        <v>0</v>
      </c>
      <c r="O1134" t="e">
        <f t="shared" si="87"/>
        <v>#VALUE!</v>
      </c>
      <c r="P1134">
        <f t="shared" ca="1" si="88"/>
        <v>0</v>
      </c>
    </row>
    <row r="1135" spans="1:16" x14ac:dyDescent="0.3">
      <c r="A1135">
        <v>1133</v>
      </c>
      <c r="B1135">
        <f>'Real Input'!M1135</f>
        <v>0</v>
      </c>
      <c r="C1135">
        <f ca="1">INDIRECT(CONCATENATE("'Real Input'!",'Real Analysis'!$B$2,A1135+2))</f>
        <v>0</v>
      </c>
      <c r="D1135">
        <f t="shared" si="86"/>
        <v>0</v>
      </c>
      <c r="E1135">
        <f>IF(B1135&gt;0,C1135-'Real Analysis'!$B$14,0)</f>
        <v>0</v>
      </c>
      <c r="F1135">
        <f t="shared" si="89"/>
        <v>0</v>
      </c>
      <c r="G1135">
        <f t="shared" si="90"/>
        <v>0</v>
      </c>
      <c r="H1135">
        <f ca="1">IF(AND(B1135&gt;'Real Analysis'!$B$31,B1135&lt;'Real Analysis'!$B$32),FilterInput(E1135,'Real Analysis'!$B$26,'Real Analysis'!$B$27),0)</f>
        <v>0</v>
      </c>
      <c r="I1135" t="e">
        <f>MEDIAN2("Real Values",H1135,'Real Analysis'!$B$5,2)</f>
        <v>#VALUE!</v>
      </c>
      <c r="J1135" t="e">
        <f>AVERAGE2("Real Values",I1135,'Real Analysis'!$B$6,2)</f>
        <v>#VALUE!</v>
      </c>
      <c r="K1135" t="e">
        <f>INTEGRAL2(J1135,$B1135,K1134,J1134,$B1134,'Real Analysis'!$B$19)</f>
        <v>#VALUE!</v>
      </c>
      <c r="L1135">
        <f ca="1">IF(AND(B1135&lt;'Real Analysis'!$B$32,B1135&gt;'Real Analysis'!$B$31),INTEGRAL2(K1135,$B1135,L1134,K1134,$B1134,'Real Analysis'!$B$20),0)</f>
        <v>0</v>
      </c>
      <c r="N1135">
        <f>'Real Analysis'!$B$28*'Real Input'!U1135+IF('Real Input'!U1135 &gt; 0,'Real Analysis'!$B$29,0)</f>
        <v>0</v>
      </c>
      <c r="O1135" t="e">
        <f t="shared" si="87"/>
        <v>#VALUE!</v>
      </c>
      <c r="P1135">
        <f t="shared" ca="1" si="88"/>
        <v>0</v>
      </c>
    </row>
    <row r="1136" spans="1:16" x14ac:dyDescent="0.3">
      <c r="A1136">
        <v>1134</v>
      </c>
      <c r="B1136">
        <f>'Real Input'!M1136</f>
        <v>0</v>
      </c>
      <c r="C1136">
        <f ca="1">INDIRECT(CONCATENATE("'Real Input'!",'Real Analysis'!$B$2,A1136+2))</f>
        <v>0</v>
      </c>
      <c r="D1136">
        <f t="shared" si="86"/>
        <v>0</v>
      </c>
      <c r="E1136">
        <f>IF(B1136&gt;0,C1136-'Real Analysis'!$B$14,0)</f>
        <v>0</v>
      </c>
      <c r="F1136">
        <f t="shared" si="89"/>
        <v>0</v>
      </c>
      <c r="G1136">
        <f t="shared" si="90"/>
        <v>0</v>
      </c>
      <c r="H1136">
        <f ca="1">IF(AND(B1136&gt;'Real Analysis'!$B$31,B1136&lt;'Real Analysis'!$B$32),FilterInput(E1136,'Real Analysis'!$B$26,'Real Analysis'!$B$27),0)</f>
        <v>0</v>
      </c>
      <c r="I1136" t="e">
        <f>MEDIAN2("Real Values",H1136,'Real Analysis'!$B$5,2)</f>
        <v>#VALUE!</v>
      </c>
      <c r="J1136" t="e">
        <f>AVERAGE2("Real Values",I1136,'Real Analysis'!$B$6,2)</f>
        <v>#VALUE!</v>
      </c>
      <c r="K1136" t="e">
        <f>INTEGRAL2(J1136,$B1136,K1135,J1135,$B1135,'Real Analysis'!$B$19)</f>
        <v>#VALUE!</v>
      </c>
      <c r="L1136">
        <f ca="1">IF(AND(B1136&lt;'Real Analysis'!$B$32,B1136&gt;'Real Analysis'!$B$31),INTEGRAL2(K1136,$B1136,L1135,K1135,$B1135,'Real Analysis'!$B$20),0)</f>
        <v>0</v>
      </c>
      <c r="N1136">
        <f>'Real Analysis'!$B$28*'Real Input'!U1136+IF('Real Input'!U1136 &gt; 0,'Real Analysis'!$B$29,0)</f>
        <v>0</v>
      </c>
      <c r="O1136" t="e">
        <f t="shared" si="87"/>
        <v>#VALUE!</v>
      </c>
      <c r="P1136">
        <f t="shared" ca="1" si="88"/>
        <v>0</v>
      </c>
    </row>
    <row r="1137" spans="1:16" x14ac:dyDescent="0.3">
      <c r="A1137">
        <v>1135</v>
      </c>
      <c r="B1137">
        <f>'Real Input'!M1137</f>
        <v>0</v>
      </c>
      <c r="C1137">
        <f ca="1">INDIRECT(CONCATENATE("'Real Input'!",'Real Analysis'!$B$2,A1137+2))</f>
        <v>0</v>
      </c>
      <c r="D1137">
        <f t="shared" si="86"/>
        <v>0</v>
      </c>
      <c r="E1137">
        <f>IF(B1137&gt;0,C1137-'Real Analysis'!$B$14,0)</f>
        <v>0</v>
      </c>
      <c r="F1137">
        <f t="shared" si="89"/>
        <v>0</v>
      </c>
      <c r="G1137">
        <f t="shared" si="90"/>
        <v>0</v>
      </c>
      <c r="H1137">
        <f ca="1">IF(AND(B1137&gt;'Real Analysis'!$B$31,B1137&lt;'Real Analysis'!$B$32),FilterInput(E1137,'Real Analysis'!$B$26,'Real Analysis'!$B$27),0)</f>
        <v>0</v>
      </c>
      <c r="I1137" t="e">
        <f>MEDIAN2("Real Values",H1137,'Real Analysis'!$B$5,2)</f>
        <v>#VALUE!</v>
      </c>
      <c r="J1137" t="e">
        <f>AVERAGE2("Real Values",I1137,'Real Analysis'!$B$6,2)</f>
        <v>#VALUE!</v>
      </c>
      <c r="K1137" t="e">
        <f>INTEGRAL2(J1137,$B1137,K1136,J1136,$B1136,'Real Analysis'!$B$19)</f>
        <v>#VALUE!</v>
      </c>
      <c r="L1137">
        <f ca="1">IF(AND(B1137&lt;'Real Analysis'!$B$32,B1137&gt;'Real Analysis'!$B$31),INTEGRAL2(K1137,$B1137,L1136,K1136,$B1136,'Real Analysis'!$B$20),0)</f>
        <v>0</v>
      </c>
      <c r="N1137">
        <f>'Real Analysis'!$B$28*'Real Input'!U1137+IF('Real Input'!U1137 &gt; 0,'Real Analysis'!$B$29,0)</f>
        <v>0</v>
      </c>
      <c r="O1137" t="e">
        <f t="shared" si="87"/>
        <v>#VALUE!</v>
      </c>
      <c r="P1137">
        <f t="shared" ca="1" si="88"/>
        <v>0</v>
      </c>
    </row>
    <row r="1138" spans="1:16" x14ac:dyDescent="0.3">
      <c r="A1138">
        <v>1136</v>
      </c>
      <c r="B1138">
        <f>'Real Input'!M1138</f>
        <v>0</v>
      </c>
      <c r="C1138">
        <f ca="1">INDIRECT(CONCATENATE("'Real Input'!",'Real Analysis'!$B$2,A1138+2))</f>
        <v>0</v>
      </c>
      <c r="D1138">
        <f t="shared" si="86"/>
        <v>0</v>
      </c>
      <c r="E1138">
        <f>IF(B1138&gt;0,C1138-'Real Analysis'!$B$14,0)</f>
        <v>0</v>
      </c>
      <c r="F1138">
        <f t="shared" si="89"/>
        <v>0</v>
      </c>
      <c r="G1138">
        <f t="shared" si="90"/>
        <v>0</v>
      </c>
      <c r="H1138">
        <f ca="1">IF(AND(B1138&gt;'Real Analysis'!$B$31,B1138&lt;'Real Analysis'!$B$32),FilterInput(E1138,'Real Analysis'!$B$26,'Real Analysis'!$B$27),0)</f>
        <v>0</v>
      </c>
      <c r="I1138" t="e">
        <f>MEDIAN2("Real Values",H1138,'Real Analysis'!$B$5,2)</f>
        <v>#VALUE!</v>
      </c>
      <c r="J1138" t="e">
        <f>AVERAGE2("Real Values",I1138,'Real Analysis'!$B$6,2)</f>
        <v>#VALUE!</v>
      </c>
      <c r="K1138" t="e">
        <f>INTEGRAL2(J1138,$B1138,K1137,J1137,$B1137,'Real Analysis'!$B$19)</f>
        <v>#VALUE!</v>
      </c>
      <c r="L1138">
        <f ca="1">IF(AND(B1138&lt;'Real Analysis'!$B$32,B1138&gt;'Real Analysis'!$B$31),INTEGRAL2(K1138,$B1138,L1137,K1137,$B1137,'Real Analysis'!$B$20),0)</f>
        <v>0</v>
      </c>
      <c r="N1138">
        <f>'Real Analysis'!$B$28*'Real Input'!U1138+IF('Real Input'!U1138 &gt; 0,'Real Analysis'!$B$29,0)</f>
        <v>0</v>
      </c>
      <c r="O1138" t="e">
        <f t="shared" si="87"/>
        <v>#VALUE!</v>
      </c>
      <c r="P1138">
        <f t="shared" ca="1" si="88"/>
        <v>0</v>
      </c>
    </row>
    <row r="1139" spans="1:16" x14ac:dyDescent="0.3">
      <c r="A1139">
        <v>1137</v>
      </c>
      <c r="B1139">
        <f>'Real Input'!M1139</f>
        <v>0</v>
      </c>
      <c r="C1139">
        <f ca="1">INDIRECT(CONCATENATE("'Real Input'!",'Real Analysis'!$B$2,A1139+2))</f>
        <v>0</v>
      </c>
      <c r="D1139">
        <f t="shared" si="86"/>
        <v>0</v>
      </c>
      <c r="E1139">
        <f>IF(B1139&gt;0,C1139-'Real Analysis'!$B$14,0)</f>
        <v>0</v>
      </c>
      <c r="F1139">
        <f t="shared" si="89"/>
        <v>0</v>
      </c>
      <c r="G1139">
        <f t="shared" si="90"/>
        <v>0</v>
      </c>
      <c r="H1139">
        <f ca="1">IF(AND(B1139&gt;'Real Analysis'!$B$31,B1139&lt;'Real Analysis'!$B$32),FilterInput(E1139,'Real Analysis'!$B$26,'Real Analysis'!$B$27),0)</f>
        <v>0</v>
      </c>
      <c r="I1139" t="e">
        <f>MEDIAN2("Real Values",H1139,'Real Analysis'!$B$5,2)</f>
        <v>#VALUE!</v>
      </c>
      <c r="J1139" t="e">
        <f>AVERAGE2("Real Values",I1139,'Real Analysis'!$B$6,2)</f>
        <v>#VALUE!</v>
      </c>
      <c r="K1139" t="e">
        <f>INTEGRAL2(J1139,$B1139,K1138,J1138,$B1138,'Real Analysis'!$B$19)</f>
        <v>#VALUE!</v>
      </c>
      <c r="L1139">
        <f ca="1">IF(AND(B1139&lt;'Real Analysis'!$B$32,B1139&gt;'Real Analysis'!$B$31),INTEGRAL2(K1139,$B1139,L1138,K1138,$B1138,'Real Analysis'!$B$20),0)</f>
        <v>0</v>
      </c>
      <c r="N1139">
        <f>'Real Analysis'!$B$28*'Real Input'!U1139+IF('Real Input'!U1139 &gt; 0,'Real Analysis'!$B$29,0)</f>
        <v>0</v>
      </c>
      <c r="O1139" t="e">
        <f t="shared" si="87"/>
        <v>#VALUE!</v>
      </c>
      <c r="P1139">
        <f t="shared" ca="1" si="88"/>
        <v>0</v>
      </c>
    </row>
    <row r="1140" spans="1:16" x14ac:dyDescent="0.3">
      <c r="A1140">
        <v>1138</v>
      </c>
      <c r="B1140">
        <f>'Real Input'!M1140</f>
        <v>0</v>
      </c>
      <c r="C1140">
        <f ca="1">INDIRECT(CONCATENATE("'Real Input'!",'Real Analysis'!$B$2,A1140+2))</f>
        <v>0</v>
      </c>
      <c r="D1140">
        <f t="shared" si="86"/>
        <v>0</v>
      </c>
      <c r="E1140">
        <f>IF(B1140&gt;0,C1140-'Real Analysis'!$B$14,0)</f>
        <v>0</v>
      </c>
      <c r="F1140">
        <f t="shared" si="89"/>
        <v>0</v>
      </c>
      <c r="G1140">
        <f t="shared" si="90"/>
        <v>0</v>
      </c>
      <c r="H1140">
        <f ca="1">IF(AND(B1140&gt;'Real Analysis'!$B$31,B1140&lt;'Real Analysis'!$B$32),FilterInput(E1140,'Real Analysis'!$B$26,'Real Analysis'!$B$27),0)</f>
        <v>0</v>
      </c>
      <c r="I1140" t="e">
        <f>MEDIAN2("Real Values",H1140,'Real Analysis'!$B$5,2)</f>
        <v>#VALUE!</v>
      </c>
      <c r="J1140" t="e">
        <f>AVERAGE2("Real Values",I1140,'Real Analysis'!$B$6,2)</f>
        <v>#VALUE!</v>
      </c>
      <c r="K1140" t="e">
        <f>INTEGRAL2(J1140,$B1140,K1139,J1139,$B1139,'Real Analysis'!$B$19)</f>
        <v>#VALUE!</v>
      </c>
      <c r="L1140">
        <f ca="1">IF(AND(B1140&lt;'Real Analysis'!$B$32,B1140&gt;'Real Analysis'!$B$31),INTEGRAL2(K1140,$B1140,L1139,K1139,$B1139,'Real Analysis'!$B$20),0)</f>
        <v>0</v>
      </c>
      <c r="N1140">
        <f>'Real Analysis'!$B$28*'Real Input'!U1140+IF('Real Input'!U1140 &gt; 0,'Real Analysis'!$B$29,0)</f>
        <v>0</v>
      </c>
      <c r="O1140" t="e">
        <f t="shared" si="87"/>
        <v>#VALUE!</v>
      </c>
      <c r="P1140">
        <f t="shared" ca="1" si="88"/>
        <v>0</v>
      </c>
    </row>
    <row r="1141" spans="1:16" x14ac:dyDescent="0.3">
      <c r="A1141">
        <v>1139</v>
      </c>
      <c r="B1141">
        <f>'Real Input'!M1141</f>
        <v>0</v>
      </c>
      <c r="C1141">
        <f ca="1">INDIRECT(CONCATENATE("'Real Input'!",'Real Analysis'!$B$2,A1141+2))</f>
        <v>0</v>
      </c>
      <c r="D1141">
        <f t="shared" si="86"/>
        <v>0</v>
      </c>
      <c r="E1141">
        <f>IF(B1141&gt;0,C1141-'Real Analysis'!$B$14,0)</f>
        <v>0</v>
      </c>
      <c r="F1141">
        <f t="shared" si="89"/>
        <v>0</v>
      </c>
      <c r="G1141">
        <f t="shared" si="90"/>
        <v>0</v>
      </c>
      <c r="H1141">
        <f ca="1">IF(AND(B1141&gt;'Real Analysis'!$B$31,B1141&lt;'Real Analysis'!$B$32),FilterInput(E1141,'Real Analysis'!$B$26,'Real Analysis'!$B$27),0)</f>
        <v>0</v>
      </c>
      <c r="I1141" t="e">
        <f>MEDIAN2("Real Values",H1141,'Real Analysis'!$B$5,2)</f>
        <v>#VALUE!</v>
      </c>
      <c r="J1141" t="e">
        <f>AVERAGE2("Real Values",I1141,'Real Analysis'!$B$6,2)</f>
        <v>#VALUE!</v>
      </c>
      <c r="K1141" t="e">
        <f>INTEGRAL2(J1141,$B1141,K1140,J1140,$B1140,'Real Analysis'!$B$19)</f>
        <v>#VALUE!</v>
      </c>
      <c r="L1141">
        <f ca="1">IF(AND(B1141&lt;'Real Analysis'!$B$32,B1141&gt;'Real Analysis'!$B$31),INTEGRAL2(K1141,$B1141,L1140,K1140,$B1140,'Real Analysis'!$B$20),0)</f>
        <v>0</v>
      </c>
      <c r="N1141">
        <f>'Real Analysis'!$B$28*'Real Input'!U1141+IF('Real Input'!U1141 &gt; 0,'Real Analysis'!$B$29,0)</f>
        <v>0</v>
      </c>
      <c r="O1141" t="e">
        <f t="shared" si="87"/>
        <v>#VALUE!</v>
      </c>
      <c r="P1141">
        <f t="shared" ca="1" si="88"/>
        <v>0</v>
      </c>
    </row>
    <row r="1142" spans="1:16" x14ac:dyDescent="0.3">
      <c r="A1142">
        <v>1140</v>
      </c>
      <c r="B1142">
        <f>'Real Input'!M1142</f>
        <v>0</v>
      </c>
      <c r="C1142">
        <f ca="1">INDIRECT(CONCATENATE("'Real Input'!",'Real Analysis'!$B$2,A1142+2))</f>
        <v>0</v>
      </c>
      <c r="D1142">
        <f t="shared" si="86"/>
        <v>0</v>
      </c>
      <c r="E1142">
        <f>IF(B1142&gt;0,C1142-'Real Analysis'!$B$14,0)</f>
        <v>0</v>
      </c>
      <c r="F1142">
        <f t="shared" si="89"/>
        <v>0</v>
      </c>
      <c r="G1142">
        <f t="shared" si="90"/>
        <v>0</v>
      </c>
      <c r="H1142">
        <f ca="1">IF(AND(B1142&gt;'Real Analysis'!$B$31,B1142&lt;'Real Analysis'!$B$32),FilterInput(E1142,'Real Analysis'!$B$26,'Real Analysis'!$B$27),0)</f>
        <v>0</v>
      </c>
      <c r="I1142" t="e">
        <f>MEDIAN2("Real Values",H1142,'Real Analysis'!$B$5,2)</f>
        <v>#VALUE!</v>
      </c>
      <c r="J1142" t="e">
        <f>AVERAGE2("Real Values",I1142,'Real Analysis'!$B$6,2)</f>
        <v>#VALUE!</v>
      </c>
      <c r="K1142" t="e">
        <f>INTEGRAL2(J1142,$B1142,K1141,J1141,$B1141,'Real Analysis'!$B$19)</f>
        <v>#VALUE!</v>
      </c>
      <c r="L1142">
        <f ca="1">IF(AND(B1142&lt;'Real Analysis'!$B$32,B1142&gt;'Real Analysis'!$B$31),INTEGRAL2(K1142,$B1142,L1141,K1141,$B1141,'Real Analysis'!$B$20),0)</f>
        <v>0</v>
      </c>
      <c r="N1142">
        <f>'Real Analysis'!$B$28*'Real Input'!U1142+IF('Real Input'!U1142 &gt; 0,'Real Analysis'!$B$29,0)</f>
        <v>0</v>
      </c>
      <c r="O1142" t="e">
        <f t="shared" si="87"/>
        <v>#VALUE!</v>
      </c>
      <c r="P1142">
        <f t="shared" ca="1" si="88"/>
        <v>0</v>
      </c>
    </row>
    <row r="1143" spans="1:16" x14ac:dyDescent="0.3">
      <c r="A1143">
        <v>1141</v>
      </c>
      <c r="B1143">
        <f>'Real Input'!M1143</f>
        <v>0</v>
      </c>
      <c r="C1143">
        <f ca="1">INDIRECT(CONCATENATE("'Real Input'!",'Real Analysis'!$B$2,A1143+2))</f>
        <v>0</v>
      </c>
      <c r="D1143">
        <f t="shared" si="86"/>
        <v>0</v>
      </c>
      <c r="E1143">
        <f>IF(B1143&gt;0,C1143-'Real Analysis'!$B$14,0)</f>
        <v>0</v>
      </c>
      <c r="F1143">
        <f t="shared" si="89"/>
        <v>0</v>
      </c>
      <c r="G1143">
        <f t="shared" si="90"/>
        <v>0</v>
      </c>
      <c r="H1143">
        <f ca="1">IF(AND(B1143&gt;'Real Analysis'!$B$31,B1143&lt;'Real Analysis'!$B$32),FilterInput(E1143,'Real Analysis'!$B$26,'Real Analysis'!$B$27),0)</f>
        <v>0</v>
      </c>
      <c r="I1143" t="e">
        <f>MEDIAN2("Real Values",H1143,'Real Analysis'!$B$5,2)</f>
        <v>#VALUE!</v>
      </c>
      <c r="J1143" t="e">
        <f>AVERAGE2("Real Values",I1143,'Real Analysis'!$B$6,2)</f>
        <v>#VALUE!</v>
      </c>
      <c r="K1143" t="e">
        <f>INTEGRAL2(J1143,$B1143,K1142,J1142,$B1142,'Real Analysis'!$B$19)</f>
        <v>#VALUE!</v>
      </c>
      <c r="L1143">
        <f ca="1">IF(AND(B1143&lt;'Real Analysis'!$B$32,B1143&gt;'Real Analysis'!$B$31),INTEGRAL2(K1143,$B1143,L1142,K1142,$B1142,'Real Analysis'!$B$20),0)</f>
        <v>0</v>
      </c>
      <c r="N1143">
        <f>'Real Analysis'!$B$28*'Real Input'!U1143+IF('Real Input'!U1143 &gt; 0,'Real Analysis'!$B$29,0)</f>
        <v>0</v>
      </c>
      <c r="O1143" t="e">
        <f t="shared" si="87"/>
        <v>#VALUE!</v>
      </c>
      <c r="P1143">
        <f t="shared" ca="1" si="88"/>
        <v>0</v>
      </c>
    </row>
    <row r="1144" spans="1:16" x14ac:dyDescent="0.3">
      <c r="A1144">
        <v>1142</v>
      </c>
      <c r="B1144">
        <f>'Real Input'!M1144</f>
        <v>0</v>
      </c>
      <c r="C1144">
        <f ca="1">INDIRECT(CONCATENATE("'Real Input'!",'Real Analysis'!$B$2,A1144+2))</f>
        <v>0</v>
      </c>
      <c r="D1144">
        <f t="shared" si="86"/>
        <v>0</v>
      </c>
      <c r="E1144">
        <f>IF(B1144&gt;0,C1144-'Real Analysis'!$B$14,0)</f>
        <v>0</v>
      </c>
      <c r="F1144">
        <f t="shared" si="89"/>
        <v>0</v>
      </c>
      <c r="G1144">
        <f t="shared" si="90"/>
        <v>0</v>
      </c>
      <c r="H1144">
        <f ca="1">IF(AND(B1144&gt;'Real Analysis'!$B$31,B1144&lt;'Real Analysis'!$B$32),FilterInput(E1144,'Real Analysis'!$B$26,'Real Analysis'!$B$27),0)</f>
        <v>0</v>
      </c>
      <c r="I1144" t="e">
        <f>MEDIAN2("Real Values",H1144,'Real Analysis'!$B$5,2)</f>
        <v>#VALUE!</v>
      </c>
      <c r="J1144" t="e">
        <f>AVERAGE2("Real Values",I1144,'Real Analysis'!$B$6,2)</f>
        <v>#VALUE!</v>
      </c>
      <c r="K1144" t="e">
        <f>INTEGRAL2(J1144,$B1144,K1143,J1143,$B1143,'Real Analysis'!$B$19)</f>
        <v>#VALUE!</v>
      </c>
      <c r="L1144">
        <f ca="1">IF(AND(B1144&lt;'Real Analysis'!$B$32,B1144&gt;'Real Analysis'!$B$31),INTEGRAL2(K1144,$B1144,L1143,K1143,$B1143,'Real Analysis'!$B$20),0)</f>
        <v>0</v>
      </c>
      <c r="N1144">
        <f>'Real Analysis'!$B$28*'Real Input'!U1144+IF('Real Input'!U1144 &gt; 0,'Real Analysis'!$B$29,0)</f>
        <v>0</v>
      </c>
      <c r="O1144" t="e">
        <f t="shared" si="87"/>
        <v>#VALUE!</v>
      </c>
      <c r="P1144">
        <f t="shared" ca="1" si="88"/>
        <v>0</v>
      </c>
    </row>
    <row r="1145" spans="1:16" x14ac:dyDescent="0.3">
      <c r="A1145">
        <v>1143</v>
      </c>
      <c r="B1145">
        <f>'Real Input'!M1145</f>
        <v>0</v>
      </c>
      <c r="C1145">
        <f ca="1">INDIRECT(CONCATENATE("'Real Input'!",'Real Analysis'!$B$2,A1145+2))</f>
        <v>0</v>
      </c>
      <c r="D1145">
        <f t="shared" si="86"/>
        <v>0</v>
      </c>
      <c r="E1145">
        <f>IF(B1145&gt;0,C1145-'Real Analysis'!$B$14,0)</f>
        <v>0</v>
      </c>
      <c r="F1145">
        <f t="shared" si="89"/>
        <v>0</v>
      </c>
      <c r="G1145">
        <f t="shared" si="90"/>
        <v>0</v>
      </c>
      <c r="H1145">
        <f ca="1">IF(AND(B1145&gt;'Real Analysis'!$B$31,B1145&lt;'Real Analysis'!$B$32),FilterInput(E1145,'Real Analysis'!$B$26,'Real Analysis'!$B$27),0)</f>
        <v>0</v>
      </c>
      <c r="I1145" t="e">
        <f>MEDIAN2("Real Values",H1145,'Real Analysis'!$B$5,2)</f>
        <v>#VALUE!</v>
      </c>
      <c r="J1145" t="e">
        <f>AVERAGE2("Real Values",I1145,'Real Analysis'!$B$6,2)</f>
        <v>#VALUE!</v>
      </c>
      <c r="K1145" t="e">
        <f>INTEGRAL2(J1145,$B1145,K1144,J1144,$B1144,'Real Analysis'!$B$19)</f>
        <v>#VALUE!</v>
      </c>
      <c r="L1145">
        <f ca="1">IF(AND(B1145&lt;'Real Analysis'!$B$32,B1145&gt;'Real Analysis'!$B$31),INTEGRAL2(K1145,$B1145,L1144,K1144,$B1144,'Real Analysis'!$B$20),0)</f>
        <v>0</v>
      </c>
      <c r="N1145">
        <f>'Real Analysis'!$B$28*'Real Input'!U1145+IF('Real Input'!U1145 &gt; 0,'Real Analysis'!$B$29,0)</f>
        <v>0</v>
      </c>
      <c r="O1145" t="e">
        <f t="shared" si="87"/>
        <v>#VALUE!</v>
      </c>
      <c r="P1145">
        <f t="shared" ca="1" si="88"/>
        <v>0</v>
      </c>
    </row>
    <row r="1146" spans="1:16" x14ac:dyDescent="0.3">
      <c r="A1146">
        <v>1144</v>
      </c>
      <c r="B1146">
        <f>'Real Input'!M1146</f>
        <v>0</v>
      </c>
      <c r="C1146">
        <f ca="1">INDIRECT(CONCATENATE("'Real Input'!",'Real Analysis'!$B$2,A1146+2))</f>
        <v>0</v>
      </c>
      <c r="D1146">
        <f t="shared" si="86"/>
        <v>0</v>
      </c>
      <c r="E1146">
        <f>IF(B1146&gt;0,C1146-'Real Analysis'!$B$14,0)</f>
        <v>0</v>
      </c>
      <c r="F1146">
        <f t="shared" si="89"/>
        <v>0</v>
      </c>
      <c r="G1146">
        <f t="shared" si="90"/>
        <v>0</v>
      </c>
      <c r="H1146">
        <f ca="1">IF(AND(B1146&gt;'Real Analysis'!$B$31,B1146&lt;'Real Analysis'!$B$32),FilterInput(E1146,'Real Analysis'!$B$26,'Real Analysis'!$B$27),0)</f>
        <v>0</v>
      </c>
      <c r="I1146" t="e">
        <f>MEDIAN2("Real Values",H1146,'Real Analysis'!$B$5,2)</f>
        <v>#VALUE!</v>
      </c>
      <c r="J1146" t="e">
        <f>AVERAGE2("Real Values",I1146,'Real Analysis'!$B$6,2)</f>
        <v>#VALUE!</v>
      </c>
      <c r="K1146" t="e">
        <f>INTEGRAL2(J1146,$B1146,K1145,J1145,$B1145,'Real Analysis'!$B$19)</f>
        <v>#VALUE!</v>
      </c>
      <c r="L1146">
        <f ca="1">IF(AND(B1146&lt;'Real Analysis'!$B$32,B1146&gt;'Real Analysis'!$B$31),INTEGRAL2(K1146,$B1146,L1145,K1145,$B1145,'Real Analysis'!$B$20),0)</f>
        <v>0</v>
      </c>
      <c r="N1146">
        <f>'Real Analysis'!$B$28*'Real Input'!U1146+IF('Real Input'!U1146 &gt; 0,'Real Analysis'!$B$29,0)</f>
        <v>0</v>
      </c>
      <c r="O1146" t="e">
        <f t="shared" si="87"/>
        <v>#VALUE!</v>
      </c>
      <c r="P1146">
        <f t="shared" ca="1" si="88"/>
        <v>0</v>
      </c>
    </row>
    <row r="1147" spans="1:16" x14ac:dyDescent="0.3">
      <c r="A1147">
        <v>1145</v>
      </c>
      <c r="B1147">
        <f>'Real Input'!M1147</f>
        <v>0</v>
      </c>
      <c r="C1147">
        <f ca="1">INDIRECT(CONCATENATE("'Real Input'!",'Real Analysis'!$B$2,A1147+2))</f>
        <v>0</v>
      </c>
      <c r="D1147">
        <f t="shared" si="86"/>
        <v>0</v>
      </c>
      <c r="E1147">
        <f>IF(B1147&gt;0,C1147-'Real Analysis'!$B$14,0)</f>
        <v>0</v>
      </c>
      <c r="F1147">
        <f t="shared" si="89"/>
        <v>0</v>
      </c>
      <c r="G1147">
        <f t="shared" si="90"/>
        <v>0</v>
      </c>
      <c r="H1147">
        <f ca="1">IF(AND(B1147&gt;'Real Analysis'!$B$31,B1147&lt;'Real Analysis'!$B$32),FilterInput(E1147,'Real Analysis'!$B$26,'Real Analysis'!$B$27),0)</f>
        <v>0</v>
      </c>
      <c r="I1147" t="e">
        <f>MEDIAN2("Real Values",H1147,'Real Analysis'!$B$5,2)</f>
        <v>#VALUE!</v>
      </c>
      <c r="J1147" t="e">
        <f>AVERAGE2("Real Values",I1147,'Real Analysis'!$B$6,2)</f>
        <v>#VALUE!</v>
      </c>
      <c r="K1147" t="e">
        <f>INTEGRAL2(J1147,$B1147,K1146,J1146,$B1146,'Real Analysis'!$B$19)</f>
        <v>#VALUE!</v>
      </c>
      <c r="L1147">
        <f ca="1">IF(AND(B1147&lt;'Real Analysis'!$B$32,B1147&gt;'Real Analysis'!$B$31),INTEGRAL2(K1147,$B1147,L1146,K1146,$B1146,'Real Analysis'!$B$20),0)</f>
        <v>0</v>
      </c>
      <c r="N1147">
        <f>'Real Analysis'!$B$28*'Real Input'!U1147+IF('Real Input'!U1147 &gt; 0,'Real Analysis'!$B$29,0)</f>
        <v>0</v>
      </c>
      <c r="O1147" t="e">
        <f t="shared" si="87"/>
        <v>#VALUE!</v>
      </c>
      <c r="P1147">
        <f t="shared" ca="1" si="88"/>
        <v>0</v>
      </c>
    </row>
    <row r="1148" spans="1:16" x14ac:dyDescent="0.3">
      <c r="A1148">
        <v>1146</v>
      </c>
      <c r="B1148">
        <f>'Real Input'!M1148</f>
        <v>0</v>
      </c>
      <c r="C1148">
        <f ca="1">INDIRECT(CONCATENATE("'Real Input'!",'Real Analysis'!$B$2,A1148+2))</f>
        <v>0</v>
      </c>
      <c r="D1148">
        <f t="shared" si="86"/>
        <v>0</v>
      </c>
      <c r="E1148">
        <f>IF(B1148&gt;0,C1148-'Real Analysis'!$B$14,0)</f>
        <v>0</v>
      </c>
      <c r="F1148">
        <f t="shared" si="89"/>
        <v>0</v>
      </c>
      <c r="G1148">
        <f t="shared" si="90"/>
        <v>0</v>
      </c>
      <c r="H1148">
        <f ca="1">IF(AND(B1148&gt;'Real Analysis'!$B$31,B1148&lt;'Real Analysis'!$B$32),FilterInput(E1148,'Real Analysis'!$B$26,'Real Analysis'!$B$27),0)</f>
        <v>0</v>
      </c>
      <c r="I1148" t="e">
        <f>MEDIAN2("Real Values",H1148,'Real Analysis'!$B$5,2)</f>
        <v>#VALUE!</v>
      </c>
      <c r="J1148" t="e">
        <f>AVERAGE2("Real Values",I1148,'Real Analysis'!$B$6,2)</f>
        <v>#VALUE!</v>
      </c>
      <c r="K1148" t="e">
        <f>INTEGRAL2(J1148,$B1148,K1147,J1147,$B1147,'Real Analysis'!$B$19)</f>
        <v>#VALUE!</v>
      </c>
      <c r="L1148">
        <f ca="1">IF(AND(B1148&lt;'Real Analysis'!$B$32,B1148&gt;'Real Analysis'!$B$31),INTEGRAL2(K1148,$B1148,L1147,K1147,$B1147,'Real Analysis'!$B$20),0)</f>
        <v>0</v>
      </c>
      <c r="N1148">
        <f>'Real Analysis'!$B$28*'Real Input'!U1148+IF('Real Input'!U1148 &gt; 0,'Real Analysis'!$B$29,0)</f>
        <v>0</v>
      </c>
      <c r="O1148" t="e">
        <f t="shared" si="87"/>
        <v>#VALUE!</v>
      </c>
      <c r="P1148">
        <f t="shared" ca="1" si="88"/>
        <v>0</v>
      </c>
    </row>
    <row r="1149" spans="1:16" x14ac:dyDescent="0.3">
      <c r="A1149">
        <v>1147</v>
      </c>
      <c r="B1149">
        <f>'Real Input'!M1149</f>
        <v>0</v>
      </c>
      <c r="C1149">
        <f ca="1">INDIRECT(CONCATENATE("'Real Input'!",'Real Analysis'!$B$2,A1149+2))</f>
        <v>0</v>
      </c>
      <c r="D1149">
        <f t="shared" si="86"/>
        <v>0</v>
      </c>
      <c r="E1149">
        <f>IF(B1149&gt;0,C1149-'Real Analysis'!$B$14,0)</f>
        <v>0</v>
      </c>
      <c r="F1149">
        <f t="shared" si="89"/>
        <v>0</v>
      </c>
      <c r="G1149">
        <f t="shared" si="90"/>
        <v>0</v>
      </c>
      <c r="H1149">
        <f ca="1">IF(AND(B1149&gt;'Real Analysis'!$B$31,B1149&lt;'Real Analysis'!$B$32),FilterInput(E1149,'Real Analysis'!$B$26,'Real Analysis'!$B$27),0)</f>
        <v>0</v>
      </c>
      <c r="I1149" t="e">
        <f>MEDIAN2("Real Values",H1149,'Real Analysis'!$B$5,2)</f>
        <v>#VALUE!</v>
      </c>
      <c r="J1149" t="e">
        <f>AVERAGE2("Real Values",I1149,'Real Analysis'!$B$6,2)</f>
        <v>#VALUE!</v>
      </c>
      <c r="K1149" t="e">
        <f>INTEGRAL2(J1149,$B1149,K1148,J1148,$B1148,'Real Analysis'!$B$19)</f>
        <v>#VALUE!</v>
      </c>
      <c r="L1149">
        <f ca="1">IF(AND(B1149&lt;'Real Analysis'!$B$32,B1149&gt;'Real Analysis'!$B$31),INTEGRAL2(K1149,$B1149,L1148,K1148,$B1148,'Real Analysis'!$B$20),0)</f>
        <v>0</v>
      </c>
      <c r="N1149">
        <f>'Real Analysis'!$B$28*'Real Input'!U1149+IF('Real Input'!U1149 &gt; 0,'Real Analysis'!$B$29,0)</f>
        <v>0</v>
      </c>
      <c r="O1149" t="e">
        <f t="shared" si="87"/>
        <v>#VALUE!</v>
      </c>
      <c r="P1149">
        <f t="shared" ca="1" si="88"/>
        <v>0</v>
      </c>
    </row>
    <row r="1150" spans="1:16" x14ac:dyDescent="0.3">
      <c r="A1150">
        <v>1148</v>
      </c>
      <c r="B1150">
        <f>'Real Input'!M1150</f>
        <v>0</v>
      </c>
      <c r="C1150">
        <f ca="1">INDIRECT(CONCATENATE("'Real Input'!",'Real Analysis'!$B$2,A1150+2))</f>
        <v>0</v>
      </c>
      <c r="D1150">
        <f t="shared" si="86"/>
        <v>0</v>
      </c>
      <c r="E1150">
        <f>IF(B1150&gt;0,C1150-'Real Analysis'!$B$14,0)</f>
        <v>0</v>
      </c>
      <c r="F1150">
        <f t="shared" si="89"/>
        <v>0</v>
      </c>
      <c r="G1150">
        <f t="shared" si="90"/>
        <v>0</v>
      </c>
      <c r="H1150">
        <f ca="1">IF(AND(B1150&gt;'Real Analysis'!$B$31,B1150&lt;'Real Analysis'!$B$32),FilterInput(E1150,'Real Analysis'!$B$26,'Real Analysis'!$B$27),0)</f>
        <v>0</v>
      </c>
      <c r="I1150" t="e">
        <f>MEDIAN2("Real Values",H1150,'Real Analysis'!$B$5,2)</f>
        <v>#VALUE!</v>
      </c>
      <c r="J1150" t="e">
        <f>AVERAGE2("Real Values",I1150,'Real Analysis'!$B$6,2)</f>
        <v>#VALUE!</v>
      </c>
      <c r="K1150" t="e">
        <f>INTEGRAL2(J1150,$B1150,K1149,J1149,$B1149,'Real Analysis'!$B$19)</f>
        <v>#VALUE!</v>
      </c>
      <c r="L1150">
        <f ca="1">IF(AND(B1150&lt;'Real Analysis'!$B$32,B1150&gt;'Real Analysis'!$B$31),INTEGRAL2(K1150,$B1150,L1149,K1149,$B1149,'Real Analysis'!$B$20),0)</f>
        <v>0</v>
      </c>
      <c r="N1150">
        <f>'Real Analysis'!$B$28*'Real Input'!U1150+IF('Real Input'!U1150 &gt; 0,'Real Analysis'!$B$29,0)</f>
        <v>0</v>
      </c>
      <c r="O1150" t="e">
        <f t="shared" si="87"/>
        <v>#VALUE!</v>
      </c>
      <c r="P1150">
        <f t="shared" ca="1" si="88"/>
        <v>0</v>
      </c>
    </row>
    <row r="1151" spans="1:16" x14ac:dyDescent="0.3">
      <c r="A1151">
        <v>1149</v>
      </c>
      <c r="B1151">
        <f>'Real Input'!M1151</f>
        <v>0</v>
      </c>
      <c r="C1151">
        <f ca="1">INDIRECT(CONCATENATE("'Real Input'!",'Real Analysis'!$B$2,A1151+2))</f>
        <v>0</v>
      </c>
      <c r="D1151">
        <f t="shared" si="86"/>
        <v>0</v>
      </c>
      <c r="E1151">
        <f>IF(B1151&gt;0,C1151-'Real Analysis'!$B$14,0)</f>
        <v>0</v>
      </c>
      <c r="F1151">
        <f t="shared" si="89"/>
        <v>0</v>
      </c>
      <c r="G1151">
        <f t="shared" si="90"/>
        <v>0</v>
      </c>
      <c r="H1151">
        <f ca="1">IF(AND(B1151&gt;'Real Analysis'!$B$31,B1151&lt;'Real Analysis'!$B$32),FilterInput(E1151,'Real Analysis'!$B$26,'Real Analysis'!$B$27),0)</f>
        <v>0</v>
      </c>
      <c r="I1151" t="e">
        <f>MEDIAN2("Real Values",H1151,'Real Analysis'!$B$5,2)</f>
        <v>#VALUE!</v>
      </c>
      <c r="J1151" t="e">
        <f>AVERAGE2("Real Values",I1151,'Real Analysis'!$B$6,2)</f>
        <v>#VALUE!</v>
      </c>
      <c r="K1151" t="e">
        <f>INTEGRAL2(J1151,$B1151,K1150,J1150,$B1150,'Real Analysis'!$B$19)</f>
        <v>#VALUE!</v>
      </c>
      <c r="L1151">
        <f ca="1">IF(AND(B1151&lt;'Real Analysis'!$B$32,B1151&gt;'Real Analysis'!$B$31),INTEGRAL2(K1151,$B1151,L1150,K1150,$B1150,'Real Analysis'!$B$20),0)</f>
        <v>0</v>
      </c>
      <c r="N1151">
        <f>'Real Analysis'!$B$28*'Real Input'!U1151+IF('Real Input'!U1151 &gt; 0,'Real Analysis'!$B$29,0)</f>
        <v>0</v>
      </c>
      <c r="O1151" t="e">
        <f t="shared" si="87"/>
        <v>#VALUE!</v>
      </c>
      <c r="P1151">
        <f t="shared" ca="1" si="88"/>
        <v>0</v>
      </c>
    </row>
    <row r="1152" spans="1:16" x14ac:dyDescent="0.3">
      <c r="A1152">
        <v>1150</v>
      </c>
      <c r="B1152">
        <f>'Real Input'!M1152</f>
        <v>0</v>
      </c>
      <c r="C1152">
        <f ca="1">INDIRECT(CONCATENATE("'Real Input'!",'Real Analysis'!$B$2,A1152+2))</f>
        <v>0</v>
      </c>
      <c r="D1152">
        <f t="shared" si="86"/>
        <v>0</v>
      </c>
      <c r="E1152">
        <f>IF(B1152&gt;0,C1152-'Real Analysis'!$B$14,0)</f>
        <v>0</v>
      </c>
      <c r="F1152">
        <f t="shared" si="89"/>
        <v>0</v>
      </c>
      <c r="G1152">
        <f t="shared" si="90"/>
        <v>0</v>
      </c>
      <c r="H1152">
        <f ca="1">IF(AND(B1152&gt;'Real Analysis'!$B$31,B1152&lt;'Real Analysis'!$B$32),FilterInput(E1152,'Real Analysis'!$B$26,'Real Analysis'!$B$27),0)</f>
        <v>0</v>
      </c>
      <c r="I1152" t="e">
        <f>MEDIAN2("Real Values",H1152,'Real Analysis'!$B$5,2)</f>
        <v>#VALUE!</v>
      </c>
      <c r="J1152" t="e">
        <f>AVERAGE2("Real Values",I1152,'Real Analysis'!$B$6,2)</f>
        <v>#VALUE!</v>
      </c>
      <c r="K1152" t="e">
        <f>INTEGRAL2(J1152,$B1152,K1151,J1151,$B1151,'Real Analysis'!$B$19)</f>
        <v>#VALUE!</v>
      </c>
      <c r="L1152">
        <f ca="1">IF(AND(B1152&lt;'Real Analysis'!$B$32,B1152&gt;'Real Analysis'!$B$31),INTEGRAL2(K1152,$B1152,L1151,K1151,$B1151,'Real Analysis'!$B$20),0)</f>
        <v>0</v>
      </c>
      <c r="N1152">
        <f>'Real Analysis'!$B$28*'Real Input'!U1152+IF('Real Input'!U1152 &gt; 0,'Real Analysis'!$B$29,0)</f>
        <v>0</v>
      </c>
      <c r="O1152" t="e">
        <f t="shared" si="87"/>
        <v>#VALUE!</v>
      </c>
      <c r="P1152">
        <f t="shared" ca="1" si="88"/>
        <v>0</v>
      </c>
    </row>
  </sheetData>
  <pageMargins left="0.7" right="0.7" top="0.78740157499999996" bottom="0.78740157499999996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3</vt:i4>
      </vt:variant>
      <vt:variant>
        <vt:lpstr>Benannte Bereiche</vt:lpstr>
      </vt:variant>
      <vt:variant>
        <vt:i4>1</vt:i4>
      </vt:variant>
    </vt:vector>
  </HeadingPairs>
  <TitlesOfParts>
    <vt:vector size="4" baseType="lpstr">
      <vt:lpstr>Real Input</vt:lpstr>
      <vt:lpstr>Real Analysis</vt:lpstr>
      <vt:lpstr>Real Values</vt:lpstr>
      <vt:lpstr>'Real Input'!BagOut_220411_Flight2_1</vt:lpstr>
    </vt:vector>
  </TitlesOfParts>
  <Company>Richard Wolf GmbH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Maag Michael</dc:creator>
  <cp:lastModifiedBy>Maag Michael</cp:lastModifiedBy>
  <dcterms:created xsi:type="dcterms:W3CDTF">2022-04-12T07:36:22Z</dcterms:created>
  <dcterms:modified xsi:type="dcterms:W3CDTF">2022-04-15T10:27:28Z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5f76671f-3ce9-4c1e-a423-e42c48777dbf</vt:lpwstr>
  </property>
</Properties>
</file>